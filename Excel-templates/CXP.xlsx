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20" yWindow="-120" windowWidth="15480" windowHeight="11160" firstSheet="4" activeTab="4"/>
  </bookViews>
  <sheets>
    <sheet name="NOTAS VILLA" sheetId="15" state="hidden" r:id="rId1"/>
    <sheet name="NOTAS ATRASADAS" sheetId="14" state="hidden" r:id="rId2"/>
    <sheet name="AUDIO" sheetId="1" state="hidden" r:id="rId3"/>
    <sheet name="Hoja1" sheetId="4" state="hidden" r:id="rId4"/>
    <sheet name="COMPRAS" sheetId="9" r:id="rId5"/>
    <sheet name="AUDIO (2)" sheetId="5" state="hidden" r:id="rId6"/>
    <sheet name="PENDIENTE" sheetId="10" state="hidden" r:id="rId7"/>
    <sheet name="Hoja2" sheetId="16" state="hidden" r:id="rId8"/>
  </sheets>
  <definedNames>
    <definedName name="_xlnm.Print_Area" localSheetId="4">COMPRAS!#REF!</definedName>
  </definedNames>
  <calcPr calcId="125725"/>
</workbook>
</file>

<file path=xl/calcChain.xml><?xml version="1.0" encoding="utf-8"?>
<calcChain xmlns="http://schemas.openxmlformats.org/spreadsheetml/2006/main">
  <c r="D70" i="9"/>
  <c r="D46"/>
  <c r="D24"/>
  <c r="H9" i="15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F90" i="14"/>
  <c r="E90"/>
  <c r="G90" s="1"/>
  <c r="G11" l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G57" s="1"/>
  <c r="G58" s="1"/>
  <c r="G59" s="1"/>
  <c r="G60" s="1"/>
  <c r="G61" s="1"/>
  <c r="G62" s="1"/>
  <c r="G63" s="1"/>
  <c r="G64" s="1"/>
  <c r="G65" s="1"/>
  <c r="G66" s="1"/>
  <c r="G67" s="1"/>
  <c r="G68" s="1"/>
  <c r="G69" s="1"/>
  <c r="G70" s="1"/>
  <c r="G71" s="1"/>
  <c r="G72" s="1"/>
  <c r="G73" s="1"/>
  <c r="G74" s="1"/>
  <c r="G75" s="1"/>
  <c r="G76" s="1"/>
  <c r="G77" s="1"/>
  <c r="G78" s="1"/>
  <c r="G79" s="1"/>
  <c r="G80" s="1"/>
  <c r="G81" s="1"/>
  <c r="G82" s="1"/>
  <c r="G83" s="1"/>
  <c r="G84" s="1"/>
  <c r="G85" s="1"/>
  <c r="G86" s="1"/>
  <c r="G87" s="1"/>
  <c r="G88" s="1"/>
  <c r="G89" s="1"/>
  <c r="E57" i="1" l="1"/>
  <c r="M78" i="5"/>
  <c r="M77"/>
  <c r="M76"/>
  <c r="M75"/>
  <c r="M74"/>
  <c r="M73"/>
  <c r="F77" l="1"/>
  <c r="F76"/>
  <c r="E70" l="1"/>
  <c r="K59" i="1"/>
  <c r="K60" s="1"/>
  <c r="F70" i="5"/>
  <c r="G51" l="1"/>
  <c r="F51"/>
  <c r="H51" s="1"/>
  <c r="F50"/>
  <c r="H50" s="1"/>
  <c r="G50"/>
  <c r="F71"/>
  <c r="F49" l="1"/>
  <c r="G49"/>
  <c r="E29" l="1"/>
  <c r="F29" s="1"/>
  <c r="H29" s="1"/>
  <c r="F48"/>
  <c r="H48" s="1"/>
  <c r="G48"/>
  <c r="F47"/>
  <c r="H47" s="1"/>
  <c r="G47"/>
  <c r="H55"/>
  <c r="H54"/>
  <c r="H53"/>
  <c r="H52"/>
  <c r="H49"/>
  <c r="C199"/>
  <c r="E68"/>
  <c r="F68" s="1"/>
  <c r="F67"/>
  <c r="F66"/>
  <c r="F64"/>
  <c r="F65" s="1"/>
  <c r="F61"/>
  <c r="F62" s="1"/>
  <c r="G59"/>
  <c r="F59"/>
  <c r="H58"/>
  <c r="G58"/>
  <c r="E58"/>
  <c r="F58" s="1"/>
  <c r="G46"/>
  <c r="F46"/>
  <c r="H46" s="1"/>
  <c r="G45"/>
  <c r="F45"/>
  <c r="H45" s="1"/>
  <c r="G44"/>
  <c r="F44"/>
  <c r="H44" s="1"/>
  <c r="G43"/>
  <c r="F43"/>
  <c r="H43" s="1"/>
  <c r="G42"/>
  <c r="F42"/>
  <c r="H42" s="1"/>
  <c r="G41"/>
  <c r="F41"/>
  <c r="H41" s="1"/>
  <c r="G40"/>
  <c r="F40"/>
  <c r="H40" s="1"/>
  <c r="G39"/>
  <c r="F39"/>
  <c r="H39" s="1"/>
  <c r="G38"/>
  <c r="F38"/>
  <c r="H38" s="1"/>
  <c r="G37"/>
  <c r="F37"/>
  <c r="H37" s="1"/>
  <c r="G36"/>
  <c r="F36"/>
  <c r="H36" s="1"/>
  <c r="G35"/>
  <c r="F35"/>
  <c r="H35" s="1"/>
  <c r="G34"/>
  <c r="F34"/>
  <c r="H34" s="1"/>
  <c r="G33"/>
  <c r="F33"/>
  <c r="H33" s="1"/>
  <c r="G32"/>
  <c r="F32"/>
  <c r="H32" s="1"/>
  <c r="G31"/>
  <c r="F31"/>
  <c r="H31" s="1"/>
  <c r="G30"/>
  <c r="F30"/>
  <c r="H30" s="1"/>
  <c r="G29"/>
  <c r="G28"/>
  <c r="F28"/>
  <c r="H28" s="1"/>
  <c r="G27"/>
  <c r="F27"/>
  <c r="H27" s="1"/>
  <c r="J26"/>
  <c r="G26"/>
  <c r="E26"/>
  <c r="F26" s="1"/>
  <c r="H24"/>
  <c r="G24"/>
  <c r="F24"/>
  <c r="H23"/>
  <c r="G23"/>
  <c r="F23"/>
  <c r="H22"/>
  <c r="G22"/>
  <c r="F22"/>
  <c r="H21"/>
  <c r="G21"/>
  <c r="F21"/>
  <c r="H20"/>
  <c r="G20"/>
  <c r="F20"/>
  <c r="H19"/>
  <c r="G19"/>
  <c r="E19"/>
  <c r="F19" s="1"/>
  <c r="H18"/>
  <c r="G18"/>
  <c r="F18"/>
  <c r="H17"/>
  <c r="G17"/>
  <c r="E17"/>
  <c r="D17"/>
  <c r="H16"/>
  <c r="G16"/>
  <c r="F16"/>
  <c r="H15"/>
  <c r="G15"/>
  <c r="D15"/>
  <c r="F15" s="1"/>
  <c r="H14"/>
  <c r="G14"/>
  <c r="F14"/>
  <c r="H13"/>
  <c r="G13"/>
  <c r="D13"/>
  <c r="F13" s="1"/>
  <c r="H12"/>
  <c r="G12"/>
  <c r="D12"/>
  <c r="F12" s="1"/>
  <c r="H11"/>
  <c r="G11"/>
  <c r="D11"/>
  <c r="F11" s="1"/>
  <c r="H10"/>
  <c r="G10"/>
  <c r="D10"/>
  <c r="F10" s="1"/>
  <c r="H9"/>
  <c r="G9"/>
  <c r="D9"/>
  <c r="F9" s="1"/>
  <c r="H8"/>
  <c r="G8"/>
  <c r="E8"/>
  <c r="D8"/>
  <c r="E6"/>
  <c r="F6" s="1"/>
  <c r="E5"/>
  <c r="F5" s="1"/>
  <c r="G3"/>
  <c r="E3"/>
  <c r="F3" s="1"/>
  <c r="G2"/>
  <c r="E2"/>
  <c r="F2" s="1"/>
  <c r="F69" l="1"/>
  <c r="F7"/>
  <c r="F8"/>
  <c r="F25" s="1"/>
  <c r="F17"/>
  <c r="F60"/>
  <c r="F57"/>
  <c r="H26"/>
  <c r="H56" s="1"/>
  <c r="E59" i="1"/>
  <c r="F59"/>
  <c r="E26" l="1"/>
  <c r="G27" l="1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26"/>
  <c r="F58" l="1"/>
  <c r="J26" l="1"/>
  <c r="F46"/>
  <c r="H46" s="1"/>
  <c r="F45"/>
  <c r="H45" s="1"/>
  <c r="F44"/>
  <c r="H44" s="1"/>
  <c r="H49"/>
  <c r="F43" l="1"/>
  <c r="F42"/>
  <c r="H43"/>
  <c r="F57"/>
  <c r="F60" s="1"/>
  <c r="H42" l="1"/>
  <c r="F41"/>
  <c r="H41" s="1"/>
  <c r="F40"/>
  <c r="H40" s="1"/>
  <c r="F39"/>
  <c r="H39" s="1"/>
  <c r="F38"/>
  <c r="H38" s="1"/>
  <c r="F37"/>
  <c r="H37" s="1"/>
  <c r="F36"/>
  <c r="H36" s="1"/>
  <c r="F35" l="1"/>
  <c r="H35" s="1"/>
  <c r="F34"/>
  <c r="H34" s="1"/>
  <c r="F33"/>
  <c r="H33" s="1"/>
  <c r="F32" l="1"/>
  <c r="H32"/>
  <c r="F31"/>
  <c r="H31"/>
  <c r="F30" l="1"/>
  <c r="H30" s="1"/>
  <c r="F29"/>
  <c r="H29" s="1"/>
  <c r="F28" l="1"/>
  <c r="H28" s="1"/>
  <c r="F27"/>
  <c r="H27" s="1"/>
  <c r="F26"/>
  <c r="H26" s="1"/>
  <c r="F55" l="1"/>
  <c r="F48" l="1"/>
  <c r="H47" l="1"/>
  <c r="F56" l="1"/>
  <c r="F64" s="1"/>
  <c r="E8" l="1"/>
  <c r="C190" l="1"/>
  <c r="H158" i="4" l="1"/>
  <c r="F80" i="1" l="1"/>
  <c r="D77"/>
  <c r="D67"/>
  <c r="D81" l="1"/>
  <c r="G79"/>
  <c r="F79"/>
  <c r="G78"/>
  <c r="F78"/>
  <c r="F72" l="1"/>
  <c r="E49" l="1"/>
  <c r="F24" l="1"/>
  <c r="G24"/>
  <c r="H24"/>
  <c r="F23" l="1"/>
  <c r="G23"/>
  <c r="H23"/>
  <c r="F22" l="1"/>
  <c r="G22"/>
  <c r="H22"/>
  <c r="E19" l="1"/>
  <c r="E17"/>
  <c r="F21" l="1"/>
  <c r="G21"/>
  <c r="H21"/>
  <c r="F20"/>
  <c r="G20"/>
  <c r="H20"/>
  <c r="F18" l="1"/>
  <c r="G18"/>
  <c r="H18"/>
  <c r="F19"/>
  <c r="G19"/>
  <c r="H19"/>
  <c r="D17" l="1"/>
  <c r="D12"/>
  <c r="F14"/>
  <c r="G14"/>
  <c r="H14"/>
  <c r="G16"/>
  <c r="F87" l="1"/>
  <c r="H17"/>
  <c r="H16"/>
  <c r="H15"/>
  <c r="H13"/>
  <c r="G17"/>
  <c r="F17"/>
  <c r="F16"/>
  <c r="G13"/>
  <c r="D13"/>
  <c r="F13" s="1"/>
  <c r="D15"/>
  <c r="F15" s="1"/>
  <c r="G15"/>
  <c r="D11"/>
  <c r="F12"/>
  <c r="G12"/>
  <c r="H12"/>
  <c r="H11" l="1"/>
  <c r="G11"/>
  <c r="F11"/>
  <c r="D10" l="1"/>
  <c r="F10" s="1"/>
  <c r="G10"/>
  <c r="H10"/>
  <c r="H9" l="1"/>
  <c r="G9"/>
  <c r="D9"/>
  <c r="F9" s="1"/>
  <c r="D8" l="1"/>
  <c r="F8" s="1"/>
  <c r="F25" s="1"/>
  <c r="G8"/>
  <c r="H8"/>
  <c r="D23" i="4" l="1"/>
  <c r="D20"/>
  <c r="D25" s="1"/>
  <c r="E81" i="1" l="1"/>
  <c r="G83" l="1"/>
  <c r="F83"/>
  <c r="G11" i="4" l="1"/>
  <c r="C7"/>
  <c r="F5"/>
  <c r="G5" s="1"/>
  <c r="F4"/>
  <c r="E4"/>
  <c r="E7" s="1"/>
  <c r="F3"/>
  <c r="F7" s="1"/>
  <c r="D2"/>
  <c r="D7" s="1"/>
  <c r="B2"/>
  <c r="B7" s="1"/>
  <c r="G7" l="1"/>
  <c r="G14" s="1"/>
  <c r="G2"/>
  <c r="G3"/>
  <c r="G4"/>
  <c r="E5" i="1"/>
  <c r="E6" l="1"/>
  <c r="F50" l="1"/>
  <c r="G50"/>
  <c r="G49" l="1"/>
  <c r="F49"/>
  <c r="F51" s="1"/>
  <c r="G86"/>
  <c r="F86"/>
  <c r="G85"/>
  <c r="F85"/>
  <c r="G71"/>
  <c r="F71"/>
  <c r="G84" l="1"/>
  <c r="F84"/>
  <c r="F6"/>
  <c r="G70" l="1"/>
  <c r="F70"/>
  <c r="F52" l="1"/>
  <c r="F53" s="1"/>
  <c r="F74"/>
  <c r="G74"/>
  <c r="F76"/>
  <c r="F68"/>
  <c r="G76"/>
  <c r="G68"/>
  <c r="F73"/>
  <c r="G73"/>
  <c r="G77"/>
  <c r="F77"/>
  <c r="F67"/>
  <c r="G67"/>
  <c r="G69"/>
  <c r="F69" l="1"/>
  <c r="F81" s="1"/>
  <c r="E3" l="1"/>
  <c r="F5" l="1"/>
  <c r="F7" s="1"/>
  <c r="G3" l="1"/>
  <c r="F3" l="1"/>
  <c r="E2" l="1"/>
  <c r="F2" l="1"/>
  <c r="G2"/>
</calcChain>
</file>

<file path=xl/sharedStrings.xml><?xml version="1.0" encoding="utf-8"?>
<sst xmlns="http://schemas.openxmlformats.org/spreadsheetml/2006/main" count="1177" uniqueCount="342">
  <si>
    <t>PROVEEDOR</t>
  </si>
  <si>
    <t>VENCIMIENTO</t>
  </si>
  <si>
    <t>IMPORTE</t>
  </si>
  <si>
    <t>PAGO SEMANAL</t>
  </si>
  <si>
    <t>ABONO</t>
  </si>
  <si>
    <t>SALDO</t>
  </si>
  <si>
    <t>NOMINA</t>
  </si>
  <si>
    <t>NEXTEL</t>
  </si>
  <si>
    <t>AGUA</t>
  </si>
  <si>
    <t>LUZ</t>
  </si>
  <si>
    <t>ALARMA (ANUAL)</t>
  </si>
  <si>
    <t>TELEFONO</t>
  </si>
  <si>
    <t>ENRIQUE OVIEDO VALENCIA</t>
  </si>
  <si>
    <t>GASTOS FIJOS</t>
  </si>
  <si>
    <t>DIEGO</t>
  </si>
  <si>
    <t>J.J.M. ELECTRONICS</t>
  </si>
  <si>
    <t>EOV (LUPITA)</t>
  </si>
  <si>
    <t>EOV (FER)</t>
  </si>
  <si>
    <t>ALE</t>
  </si>
  <si>
    <t>JOSE</t>
  </si>
  <si>
    <t>MALU</t>
  </si>
  <si>
    <t>GERA</t>
  </si>
  <si>
    <t>METEPEC</t>
  </si>
  <si>
    <t>CONTROL Y MODULO GARANTIA</t>
  </si>
  <si>
    <t>razo</t>
  </si>
  <si>
    <t>tabas</t>
  </si>
  <si>
    <t xml:space="preserve"> </t>
  </si>
  <si>
    <t xml:space="preserve">                         </t>
  </si>
  <si>
    <t>TANDA</t>
  </si>
  <si>
    <t>RENTAS</t>
  </si>
  <si>
    <t>BOCINA 4X6 BEEPER GARANTIA</t>
  </si>
  <si>
    <t>TELMEX</t>
  </si>
  <si>
    <t>PROVEEDORES</t>
  </si>
  <si>
    <t>RENTA MORELOS</t>
  </si>
  <si>
    <t>RENTA JOSE</t>
  </si>
  <si>
    <t>RENTA LUPITA</t>
  </si>
  <si>
    <t>IMSS LUPITA</t>
  </si>
  <si>
    <t>SYPRA</t>
  </si>
  <si>
    <t xml:space="preserve">PAGOS DEL PROX MES </t>
  </si>
  <si>
    <t>SJR00008816</t>
  </si>
  <si>
    <t>SJR00009616</t>
  </si>
  <si>
    <t>R-396</t>
  </si>
  <si>
    <t>DOCUMENTO</t>
  </si>
  <si>
    <t>AL CORRIENTE</t>
  </si>
  <si>
    <t>1-30</t>
  </si>
  <si>
    <t>31-60</t>
  </si>
  <si>
    <t>61-90</t>
  </si>
  <si>
    <t>91 o MAS</t>
  </si>
  <si>
    <t>FER</t>
  </si>
  <si>
    <t>LUPITA</t>
  </si>
  <si>
    <t>CAJA</t>
  </si>
  <si>
    <t>CHEQUES</t>
  </si>
  <si>
    <t>FER (ACAMBARO)</t>
  </si>
  <si>
    <t>ROPA</t>
  </si>
  <si>
    <t>CXP</t>
  </si>
  <si>
    <t>R-405 11550</t>
  </si>
  <si>
    <t>R-406 36</t>
  </si>
  <si>
    <t>#0347 BMX</t>
  </si>
  <si>
    <t>R-417</t>
  </si>
  <si>
    <t>R-406 180</t>
  </si>
  <si>
    <t>#0027 BMX</t>
  </si>
  <si>
    <t>#0028 BMX</t>
  </si>
  <si>
    <t>R-439</t>
  </si>
  <si>
    <t>R-444 11637</t>
  </si>
  <si>
    <t>DIF 899</t>
  </si>
  <si>
    <t>MARY</t>
  </si>
  <si>
    <t>#0364 BMX</t>
  </si>
  <si>
    <t>R-372 20000</t>
  </si>
  <si>
    <t>R-457 6997</t>
  </si>
  <si>
    <t>#0366 BMX</t>
  </si>
  <si>
    <t>#0367 BMX</t>
  </si>
  <si>
    <t>#0368 BMX</t>
  </si>
  <si>
    <t>R-396 6230</t>
  </si>
  <si>
    <t>#0369 BMX</t>
  </si>
  <si>
    <t>R-417 10000</t>
  </si>
  <si>
    <t>R-479 16572</t>
  </si>
  <si>
    <t>R-406 45</t>
  </si>
  <si>
    <t>AUDIO 400</t>
  </si>
  <si>
    <t>R-475</t>
  </si>
  <si>
    <t>#0370 BMX</t>
  </si>
  <si>
    <t>R-491 6714</t>
  </si>
  <si>
    <t>#0371 BMX</t>
  </si>
  <si>
    <t>R-498</t>
  </si>
  <si>
    <t>R-480 2736</t>
  </si>
  <si>
    <t>R-499 2484</t>
  </si>
  <si>
    <t>R-439 10000</t>
  </si>
  <si>
    <t>#0029 BMX</t>
  </si>
  <si>
    <t>dep bbva</t>
  </si>
  <si>
    <t>jose</t>
  </si>
  <si>
    <t>saldo</t>
  </si>
  <si>
    <t>EFE</t>
  </si>
  <si>
    <t>ale</t>
  </si>
  <si>
    <t>malu</t>
  </si>
  <si>
    <t>#0374 BMX</t>
  </si>
  <si>
    <t>R-372 17135</t>
  </si>
  <si>
    <t>#0378 BMX</t>
  </si>
  <si>
    <t>http://www.argim.net/descargar/aplicaciones/?p=10&amp;platform=java&amp;bid=19&amp;sid=9</t>
  </si>
  <si>
    <t>1494 AL 1498</t>
  </si>
  <si>
    <t>1499 A 1502</t>
  </si>
  <si>
    <t>1503 A 1507</t>
  </si>
  <si>
    <t>1508 A 1515</t>
  </si>
  <si>
    <t>1519 Y 1520</t>
  </si>
  <si>
    <t>1522 AL 1524</t>
  </si>
  <si>
    <t xml:space="preserve">PAGOS DEL MES </t>
  </si>
  <si>
    <t>1526 Y 1527</t>
  </si>
  <si>
    <t>ENRIQUE OVIEDO VALENCIA (CONTADO)</t>
  </si>
  <si>
    <t>1530 Y 1531</t>
  </si>
  <si>
    <t>BABY KISSES</t>
  </si>
  <si>
    <t>AGUA LUPITA</t>
  </si>
  <si>
    <t>TOTAL CXC</t>
  </si>
  <si>
    <t>TF14008</t>
  </si>
  <si>
    <t>LUZ LUPITA (BIMESTRAL)</t>
  </si>
  <si>
    <t>AGUA LOCAL</t>
  </si>
  <si>
    <t>LUZ LOCAL (BIMESTRAL)</t>
  </si>
  <si>
    <t>TELMEX TERE (FER)</t>
  </si>
  <si>
    <t>GAS ESTACIONARIO</t>
  </si>
  <si>
    <t>NORMAN, TRAJES D</t>
  </si>
  <si>
    <t>E VESTIR</t>
  </si>
  <si>
    <t>P12</t>
  </si>
  <si>
    <t>Nota de cr馘ito</t>
  </si>
  <si>
    <t>DV</t>
  </si>
  <si>
    <t>Efectivo</t>
  </si>
  <si>
    <t>DEP</t>
  </si>
  <si>
    <t>BBVA</t>
  </si>
  <si>
    <t>DEO</t>
  </si>
  <si>
    <t>Compras</t>
  </si>
  <si>
    <t>------------------------------------------------</t>
  </si>
  <si>
    <t>T O T A L E S</t>
  </si>
  <si>
    <t>:</t>
  </si>
  <si>
    <t>18,490.00               95,100.00</t>
  </si>
  <si>
    <t xml:space="preserve">  F3295</t>
  </si>
  <si>
    <t xml:space="preserve">    9</t>
  </si>
  <si>
    <t>GRUPO AUTOCAR S.A. DE C.V. (CONTADO)</t>
  </si>
  <si>
    <t xml:space="preserve"> F3256A</t>
  </si>
  <si>
    <t xml:space="preserve"> F3259A</t>
  </si>
  <si>
    <t xml:space="preserve"> F3349A</t>
  </si>
  <si>
    <t xml:space="preserve"> F3350A</t>
  </si>
  <si>
    <t xml:space="preserve"> F3351S</t>
  </si>
  <si>
    <t xml:space="preserve">   R-01</t>
  </si>
  <si>
    <t xml:space="preserve">   27</t>
  </si>
  <si>
    <t>FABRICA DE CRINOLINAS</t>
  </si>
  <si>
    <t xml:space="preserve">  R-001</t>
  </si>
  <si>
    <t xml:space="preserve">   13</t>
  </si>
  <si>
    <t>CREACIONES CABALLERO</t>
  </si>
  <si>
    <t xml:space="preserve">  R-002</t>
  </si>
  <si>
    <t xml:space="preserve">   41</t>
  </si>
  <si>
    <t>PRINCESITA MIA</t>
  </si>
  <si>
    <t xml:space="preserve">    2</t>
  </si>
  <si>
    <t>DISEÑOS CARY CAR</t>
  </si>
  <si>
    <t xml:space="preserve">   42</t>
  </si>
  <si>
    <t>PIERO CORNEJO</t>
  </si>
  <si>
    <t xml:space="preserve">  R-003</t>
  </si>
  <si>
    <t xml:space="preserve">  R-004</t>
  </si>
  <si>
    <t xml:space="preserve">  R-233</t>
  </si>
  <si>
    <t xml:space="preserve">   22</t>
  </si>
  <si>
    <t>CLOSTHER NOVIAS "LUPITA CASAS"</t>
  </si>
  <si>
    <t xml:space="preserve">  R-234</t>
  </si>
  <si>
    <t xml:space="preserve">  R-991</t>
  </si>
  <si>
    <t xml:space="preserve">   11</t>
  </si>
  <si>
    <t>CAMISAS BACCUS</t>
  </si>
  <si>
    <t xml:space="preserve"> R-0041</t>
  </si>
  <si>
    <t xml:space="preserve"> R-0042</t>
  </si>
  <si>
    <t xml:space="preserve"> R-0043</t>
  </si>
  <si>
    <t xml:space="preserve"> R-0044</t>
  </si>
  <si>
    <t xml:space="preserve"> R-0045</t>
  </si>
  <si>
    <t xml:space="preserve"> R-0046</t>
  </si>
  <si>
    <t xml:space="preserve"> R-0047</t>
  </si>
  <si>
    <t xml:space="preserve"> R-0424</t>
  </si>
  <si>
    <t xml:space="preserve">   12</t>
  </si>
  <si>
    <t>NORMAN, TRAJES DE VESTIR</t>
  </si>
  <si>
    <t xml:space="preserve"> R-0426</t>
  </si>
  <si>
    <t xml:space="preserve"> R-0427</t>
  </si>
  <si>
    <t xml:space="preserve"> R-0502</t>
  </si>
  <si>
    <t xml:space="preserve"> R-0712</t>
  </si>
  <si>
    <t xml:space="preserve">   29</t>
  </si>
  <si>
    <t>CREACIONES MARLE</t>
  </si>
  <si>
    <t xml:space="preserve"> R-0725</t>
  </si>
  <si>
    <t xml:space="preserve"> R-0780</t>
  </si>
  <si>
    <t xml:space="preserve">   21</t>
  </si>
  <si>
    <t>DOLCE BAMBINA</t>
  </si>
  <si>
    <t xml:space="preserve"> R-0781</t>
  </si>
  <si>
    <t xml:space="preserve"> R-1128</t>
  </si>
  <si>
    <t xml:space="preserve">   43</t>
  </si>
  <si>
    <t>CENTRO</t>
  </si>
  <si>
    <t xml:space="preserve"> R-1430</t>
  </si>
  <si>
    <t xml:space="preserve"> R-1516</t>
  </si>
  <si>
    <t xml:space="preserve"> R-1541</t>
  </si>
  <si>
    <t xml:space="preserve"> R-1629</t>
  </si>
  <si>
    <t xml:space="preserve"> T14001</t>
  </si>
  <si>
    <t xml:space="preserve">    1</t>
  </si>
  <si>
    <t>RICARDO GARCIA ESPINOSA</t>
  </si>
  <si>
    <t xml:space="preserve"> T14002</t>
  </si>
  <si>
    <t xml:space="preserve"> T14003</t>
  </si>
  <si>
    <t xml:space="preserve"> Z27966</t>
  </si>
  <si>
    <t xml:space="preserve">   31</t>
  </si>
  <si>
    <t>A</t>
  </si>
  <si>
    <t>4950A / 1664</t>
  </si>
  <si>
    <t>4951A / 1665</t>
  </si>
  <si>
    <t>4952A / 1666</t>
  </si>
  <si>
    <t>5076A / 1670</t>
  </si>
  <si>
    <t>5077A / 1671</t>
  </si>
  <si>
    <t>5155A / 1672</t>
  </si>
  <si>
    <t>5156A / 1673</t>
  </si>
  <si>
    <t>5246A / 1675</t>
  </si>
  <si>
    <t>5247A / 1676</t>
  </si>
  <si>
    <t>5248A / 1677</t>
  </si>
  <si>
    <t>5294A / 1678</t>
  </si>
  <si>
    <t>5295A / 1679</t>
  </si>
  <si>
    <t>5296A / 1680</t>
  </si>
  <si>
    <t>5422A / 1682</t>
  </si>
  <si>
    <t>5423A / 1683</t>
  </si>
  <si>
    <t>5424A / 1684</t>
  </si>
  <si>
    <t>JUAN PABLO</t>
  </si>
  <si>
    <t>5488A / 1686</t>
  </si>
  <si>
    <t>5665A / 1689</t>
  </si>
  <si>
    <t>5666A / 1690</t>
  </si>
  <si>
    <t>5691A / 1692</t>
  </si>
  <si>
    <t>JJM ELECTONICS</t>
  </si>
  <si>
    <t>SONY</t>
  </si>
  <si>
    <t>5828A / 1695</t>
  </si>
  <si>
    <t>5829A / 1696</t>
  </si>
  <si>
    <t>5885A/1697</t>
  </si>
  <si>
    <t>JJM ELECTRONICS</t>
  </si>
  <si>
    <t>5923A/1700</t>
  </si>
  <si>
    <t>5924A/1701</t>
  </si>
  <si>
    <t>gas</t>
  </si>
  <si>
    <t>fer</t>
  </si>
  <si>
    <t>SONY (MARIBEL ) FACT. JOSE FERNANDO GARCIA 55-5763-9912 ATIENDE YAZMIN LEON</t>
  </si>
  <si>
    <t>OBSERVACIONES</t>
  </si>
  <si>
    <t>F. COMPRA</t>
  </si>
  <si>
    <t>F. VTO</t>
  </si>
  <si>
    <t>1000 pendientes</t>
  </si>
  <si>
    <t>2898.79 pendientes</t>
  </si>
  <si>
    <t>EFECTIVO MARY</t>
  </si>
  <si>
    <t>ACUMULADO COMPLETO CUADRADO</t>
  </si>
  <si>
    <t>INVENTARIOS</t>
  </si>
  <si>
    <t>CAPTURAR PEDIDOS Y REVISAR</t>
  </si>
  <si>
    <t>ENTREGAR REMISIONES</t>
  </si>
  <si>
    <t>GASTOS Y COBRANZA</t>
  </si>
  <si>
    <t>REPORTE</t>
  </si>
  <si>
    <t>ENTREGAR GARANTIAS</t>
  </si>
  <si>
    <t>LLAMADAS P/COBRANZA (TENER COMUNICACIÓN)</t>
  </si>
  <si>
    <t>PREPARAR GARANTIAS</t>
  </si>
  <si>
    <t>LEVANTAR PEDIDOS</t>
  </si>
  <si>
    <t>IDENTIFICAR LO QUE FALTO EN CADA PEDIDO</t>
  </si>
  <si>
    <t>OFRECER ACCESORIOS, ROPA, AUDIO Y GALLETAS ATRAVES DE FOTOS</t>
  </si>
  <si>
    <t>OFRECER ALOS CLIENTES DE ROPA LO DE AUDIO CON UN PRECIO DE MEDIO MAYOREO Y ALOS DE AUDIO OFRECER ROPA</t>
  </si>
  <si>
    <t>INFORMARLE A TODOS LOS CLIENTES DE LA PAGINA FACE</t>
  </si>
  <si>
    <t>TOTAL</t>
  </si>
  <si>
    <t>RAZO DISTRIBUIDORES -- SJR --</t>
  </si>
  <si>
    <t>Estado de cuenta general</t>
  </si>
  <si>
    <t>SAN MARTIN CABALLERO #63, CASA</t>
  </si>
  <si>
    <t>Clasi</t>
  </si>
  <si>
    <t>ficaci   :</t>
  </si>
  <si>
    <t>54745  TEPOJACO</t>
  </si>
  <si>
    <t>D僘s d</t>
  </si>
  <si>
    <t>e cr馘ito :</t>
  </si>
  <si>
    <t>OIVE-711008-5Y4</t>
  </si>
  <si>
    <t>L匇. c</t>
  </si>
  <si>
    <t>r馘ito  :</t>
  </si>
  <si>
    <t>(422) 210-0727 / EOV52*14</t>
  </si>
  <si>
    <t>Saldo</t>
  </si>
  <si>
    <t>dispo. :</t>
  </si>
  <si>
    <t>Concepto                Docume</t>
  </si>
  <si>
    <t>nto</t>
  </si>
  <si>
    <t>F.apli.</t>
  </si>
  <si>
    <t>F.venc.</t>
  </si>
  <si>
    <t>O S</t>
  </si>
  <si>
    <t>A B O N O S</t>
  </si>
  <si>
    <t>S A L     S</t>
  </si>
  <si>
    <t>1 Compras</t>
  </si>
  <si>
    <t>RAZO DISTRIBUIDORES</t>
  </si>
  <si>
    <t>-- SJR --</t>
  </si>
  <si>
    <t>ENRIQUE OVIEDO VALE</t>
  </si>
  <si>
    <t>NCIA (VILLA)</t>
  </si>
  <si>
    <t>CAPULINES #118</t>
  </si>
  <si>
    <t>Cl</t>
  </si>
  <si>
    <t>asificaci   :</t>
  </si>
  <si>
    <t>P6</t>
  </si>
  <si>
    <t>55710  COACALCO EDO</t>
  </si>
  <si>
    <t>. MEXICO</t>
  </si>
  <si>
    <t>D僘</t>
  </si>
  <si>
    <t>s de cr馘ito :</t>
  </si>
  <si>
    <t>(0155) 5879-0618</t>
  </si>
  <si>
    <t>Sa</t>
  </si>
  <si>
    <t>ldo dispo. :</t>
  </si>
  <si>
    <t>Atenci pagos   :</t>
  </si>
  <si>
    <t>MARICELA GARCIA</t>
  </si>
  <si>
    <t>E.</t>
  </si>
  <si>
    <t>Concepto</t>
  </si>
  <si>
    <t>Documento</t>
  </si>
  <si>
    <t>F.apli</t>
  </si>
  <si>
    <t>.   F.venc.  Re</t>
  </si>
  <si>
    <t>ferenc</t>
  </si>
  <si>
    <t>C A R G O S</t>
  </si>
  <si>
    <t>S A L D O S</t>
  </si>
  <si>
    <t>IRA</t>
  </si>
  <si>
    <t>10 Efectivo</t>
  </si>
  <si>
    <t>DEP BBVA</t>
  </si>
  <si>
    <t>F3170</t>
  </si>
  <si>
    <t>F3330</t>
  </si>
  <si>
    <t>G10.001</t>
  </si>
  <si>
    <t xml:space="preserve">RENTA                         </t>
  </si>
  <si>
    <t xml:space="preserve"> Cargado</t>
  </si>
  <si>
    <t xml:space="preserve">        97</t>
  </si>
  <si>
    <t>04/Ene/13</t>
  </si>
  <si>
    <t>18/May/13</t>
  </si>
  <si>
    <t>20/Jun/13</t>
  </si>
  <si>
    <t>18/Jul/13</t>
  </si>
  <si>
    <t>19/Ago/13</t>
  </si>
  <si>
    <t>20/Sep/13</t>
  </si>
  <si>
    <t>19/Oct/13</t>
  </si>
  <si>
    <t>22/Nov/13</t>
  </si>
  <si>
    <t>21/Dic/13</t>
  </si>
  <si>
    <t>18/Ene/14</t>
  </si>
  <si>
    <t>21/Mar/14</t>
  </si>
  <si>
    <t>22/Jul/14</t>
  </si>
  <si>
    <t>30/Ago/14</t>
  </si>
  <si>
    <t>18/Oct/14</t>
  </si>
  <si>
    <t>22/Dic/14</t>
  </si>
  <si>
    <t>20/Ene/15</t>
  </si>
  <si>
    <t>23/Mar/15</t>
  </si>
  <si>
    <t>24/Jun/15</t>
  </si>
  <si>
    <t>28/Jul/15</t>
  </si>
  <si>
    <t>17/Ago/15</t>
  </si>
  <si>
    <t>21/Ago/15</t>
  </si>
  <si>
    <t>25/Sep/12</t>
  </si>
  <si>
    <t>31/Oct/12</t>
  </si>
  <si>
    <t>05/Dic/12</t>
  </si>
  <si>
    <t>28/May/13</t>
  </si>
  <si>
    <t>22/Feb/14</t>
  </si>
  <si>
    <t>28/Abr/14</t>
  </si>
  <si>
    <t>19/May/14</t>
  </si>
  <si>
    <t>20/Jun/14</t>
  </si>
  <si>
    <t>27/Sep/14</t>
  </si>
  <si>
    <t>27/Nov/14</t>
  </si>
  <si>
    <t>FEBRERO</t>
  </si>
  <si>
    <t>ABRIL</t>
  </si>
  <si>
    <t>MAYO</t>
  </si>
  <si>
    <t>SALDOS CXP JOSE</t>
  </si>
  <si>
    <t>SALDOS CXP FER</t>
  </si>
  <si>
    <t>SALDOS CXP LUPITA</t>
  </si>
</sst>
</file>

<file path=xl/styles.xml><?xml version="1.0" encoding="utf-8"?>
<styleSheet xmlns="http://schemas.openxmlformats.org/spreadsheetml/2006/main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7" tint="-0.249977111117893"/>
      <name val="Calibri"/>
      <family val="2"/>
      <scheme val="minor"/>
    </font>
    <font>
      <b/>
      <i/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rgb="FF08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E628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0">
    <xf numFmtId="0" fontId="0" fillId="0" borderId="0" xfId="0"/>
    <xf numFmtId="0" fontId="0" fillId="0" borderId="2" xfId="0" applyBorder="1"/>
    <xf numFmtId="15" fontId="0" fillId="0" borderId="2" xfId="0" applyNumberFormat="1" applyBorder="1"/>
    <xf numFmtId="44" fontId="0" fillId="0" borderId="2" xfId="1" applyFont="1" applyBorder="1"/>
    <xf numFmtId="44" fontId="0" fillId="0" borderId="2" xfId="1" applyFont="1" applyFill="1" applyBorder="1"/>
    <xf numFmtId="44" fontId="3" fillId="0" borderId="2" xfId="1" applyFont="1" applyBorder="1"/>
    <xf numFmtId="0" fontId="0" fillId="0" borderId="0" xfId="0" applyFill="1"/>
    <xf numFmtId="0" fontId="2" fillId="2" borderId="1" xfId="0" applyFont="1" applyFill="1" applyBorder="1" applyAlignment="1">
      <alignment horizontal="center"/>
    </xf>
    <xf numFmtId="0" fontId="0" fillId="0" borderId="2" xfId="0" applyFill="1" applyBorder="1"/>
    <xf numFmtId="15" fontId="0" fillId="0" borderId="0" xfId="0" applyNumberFormat="1"/>
    <xf numFmtId="44" fontId="3" fillId="0" borderId="2" xfId="1" applyFont="1" applyFill="1" applyBorder="1"/>
    <xf numFmtId="15" fontId="0" fillId="0" borderId="2" xfId="0" applyNumberFormat="1" applyFill="1" applyBorder="1" applyAlignment="1">
      <alignment horizontal="right"/>
    </xf>
    <xf numFmtId="15" fontId="0" fillId="0" borderId="2" xfId="0" applyNumberFormat="1" applyFill="1" applyBorder="1"/>
    <xf numFmtId="0" fontId="0" fillId="0" borderId="0" xfId="0" quotePrefix="1"/>
    <xf numFmtId="0" fontId="2" fillId="2" borderId="2" xfId="0" applyFont="1" applyFill="1" applyBorder="1" applyAlignment="1">
      <alignment horizontal="center"/>
    </xf>
    <xf numFmtId="0" fontId="0" fillId="0" borderId="0" xfId="0" applyFill="1" applyBorder="1"/>
    <xf numFmtId="16" fontId="0" fillId="0" borderId="0" xfId="0" applyNumberFormat="1"/>
    <xf numFmtId="0" fontId="4" fillId="0" borderId="0" xfId="0" applyFont="1"/>
    <xf numFmtId="164" fontId="0" fillId="0" borderId="0" xfId="2" applyNumberFormat="1" applyFont="1"/>
    <xf numFmtId="0" fontId="2" fillId="0" borderId="0" xfId="0" applyFont="1" applyAlignment="1">
      <alignment horizontal="center"/>
    </xf>
    <xf numFmtId="0" fontId="5" fillId="0" borderId="0" xfId="0" applyFont="1" applyFill="1"/>
    <xf numFmtId="164" fontId="0" fillId="0" borderId="0" xfId="0" applyNumberFormat="1"/>
    <xf numFmtId="44" fontId="1" fillId="0" borderId="2" xfId="1" applyFont="1" applyFill="1" applyBorder="1"/>
    <xf numFmtId="0" fontId="0" fillId="0" borderId="0" xfId="0" applyFont="1"/>
    <xf numFmtId="44" fontId="6" fillId="0" borderId="2" xfId="1" applyFont="1" applyFill="1" applyBorder="1"/>
    <xf numFmtId="0" fontId="0" fillId="0" borderId="3" xfId="0" applyFill="1" applyBorder="1"/>
    <xf numFmtId="0" fontId="0" fillId="2" borderId="0" xfId="0" applyFill="1"/>
    <xf numFmtId="16" fontId="0" fillId="2" borderId="0" xfId="0" applyNumberFormat="1" applyFill="1"/>
    <xf numFmtId="164" fontId="0" fillId="2" borderId="0" xfId="2" applyNumberFormat="1" applyFont="1" applyFill="1"/>
    <xf numFmtId="164" fontId="0" fillId="0" borderId="0" xfId="2" applyNumberFormat="1" applyFont="1" applyFill="1"/>
    <xf numFmtId="15" fontId="0" fillId="4" borderId="2" xfId="0" applyNumberFormat="1" applyFill="1" applyBorder="1"/>
    <xf numFmtId="0" fontId="2" fillId="0" borderId="0" xfId="0" applyFont="1" applyFill="1" applyAlignment="1">
      <alignment horizontal="center"/>
    </xf>
    <xf numFmtId="0" fontId="0" fillId="0" borderId="0" xfId="0" quotePrefix="1" applyFill="1"/>
    <xf numFmtId="15" fontId="0" fillId="0" borderId="2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44" fontId="0" fillId="0" borderId="0" xfId="0" applyNumberFormat="1"/>
    <xf numFmtId="49" fontId="0" fillId="0" borderId="0" xfId="0" applyNumberFormat="1"/>
    <xf numFmtId="43" fontId="0" fillId="0" borderId="0" xfId="2" applyFont="1"/>
    <xf numFmtId="43" fontId="2" fillId="0" borderId="0" xfId="0" applyNumberFormat="1" applyFont="1"/>
    <xf numFmtId="43" fontId="2" fillId="0" borderId="0" xfId="2" applyFont="1"/>
    <xf numFmtId="43" fontId="0" fillId="0" borderId="0" xfId="0" applyNumberFormat="1"/>
    <xf numFmtId="0" fontId="8" fillId="0" borderId="0" xfId="0" applyFont="1" applyFill="1"/>
    <xf numFmtId="0" fontId="8" fillId="0" borderId="0" xfId="0" applyFont="1"/>
    <xf numFmtId="12" fontId="6" fillId="0" borderId="2" xfId="1" applyNumberFormat="1" applyFont="1" applyFill="1" applyBorder="1"/>
    <xf numFmtId="12" fontId="3" fillId="0" borderId="2" xfId="1" applyNumberFormat="1" applyFont="1" applyFill="1" applyBorder="1"/>
    <xf numFmtId="0" fontId="9" fillId="2" borderId="0" xfId="0" applyFont="1" applyFill="1"/>
    <xf numFmtId="0" fontId="10" fillId="2" borderId="0" xfId="0" applyFont="1" applyFill="1"/>
    <xf numFmtId="0" fontId="9" fillId="0" borderId="0" xfId="0" applyFont="1" applyFill="1"/>
    <xf numFmtId="0" fontId="10" fillId="0" borderId="0" xfId="0" applyFont="1" applyFill="1"/>
    <xf numFmtId="0" fontId="11" fillId="0" borderId="0" xfId="0" applyFont="1" applyFill="1"/>
    <xf numFmtId="0" fontId="9" fillId="3" borderId="0" xfId="0" applyFont="1" applyFill="1"/>
    <xf numFmtId="16" fontId="9" fillId="0" borderId="0" xfId="0" applyNumberFormat="1" applyFont="1" applyFill="1"/>
    <xf numFmtId="16" fontId="2" fillId="0" borderId="0" xfId="0" applyNumberFormat="1" applyFont="1"/>
    <xf numFmtId="164" fontId="2" fillId="0" borderId="0" xfId="2" applyNumberFormat="1" applyFont="1" applyFill="1"/>
    <xf numFmtId="16" fontId="10" fillId="0" borderId="0" xfId="0" applyNumberFormat="1" applyFont="1" applyFill="1"/>
    <xf numFmtId="0" fontId="13" fillId="0" borderId="2" xfId="0" applyFont="1" applyFill="1" applyBorder="1"/>
    <xf numFmtId="44" fontId="7" fillId="4" borderId="2" xfId="1" applyFont="1" applyFill="1" applyBorder="1"/>
    <xf numFmtId="0" fontId="2" fillId="4" borderId="0" xfId="0" applyFont="1" applyFill="1"/>
    <xf numFmtId="44" fontId="6" fillId="4" borderId="2" xfId="1" applyFont="1" applyFill="1" applyBorder="1"/>
    <xf numFmtId="0" fontId="0" fillId="3" borderId="2" xfId="0" applyFill="1" applyBorder="1"/>
    <xf numFmtId="4" fontId="0" fillId="0" borderId="0" xfId="0" applyNumberFormat="1"/>
    <xf numFmtId="0" fontId="0" fillId="0" borderId="0" xfId="0"/>
    <xf numFmtId="49" fontId="14" fillId="0" borderId="0" xfId="0" applyNumberFormat="1" applyFont="1" applyBorder="1" applyAlignment="1"/>
    <xf numFmtId="0" fontId="14" fillId="0" borderId="5" xfId="0" applyFont="1" applyBorder="1" applyAlignment="1"/>
    <xf numFmtId="49" fontId="14" fillId="0" borderId="6" xfId="0" applyNumberFormat="1" applyFont="1" applyBorder="1" applyAlignment="1"/>
    <xf numFmtId="15" fontId="15" fillId="0" borderId="6" xfId="0" applyNumberFormat="1" applyFont="1" applyBorder="1"/>
    <xf numFmtId="0" fontId="14" fillId="0" borderId="8" xfId="0" applyFont="1" applyBorder="1" applyAlignment="1"/>
    <xf numFmtId="15" fontId="15" fillId="0" borderId="0" xfId="0" applyNumberFormat="1" applyFont="1" applyBorder="1"/>
    <xf numFmtId="0" fontId="14" fillId="0" borderId="10" xfId="0" applyFont="1" applyBorder="1" applyAlignment="1"/>
    <xf numFmtId="49" fontId="14" fillId="0" borderId="4" xfId="0" applyNumberFormat="1" applyFont="1" applyBorder="1" applyAlignment="1"/>
    <xf numFmtId="15" fontId="15" fillId="0" borderId="4" xfId="0" applyNumberFormat="1" applyFont="1" applyBorder="1"/>
    <xf numFmtId="0" fontId="14" fillId="0" borderId="12" xfId="0" applyFont="1" applyBorder="1" applyAlignment="1"/>
    <xf numFmtId="49" fontId="14" fillId="0" borderId="13" xfId="0" applyNumberFormat="1" applyFont="1" applyBorder="1" applyAlignment="1"/>
    <xf numFmtId="0" fontId="14" fillId="0" borderId="15" xfId="0" applyFont="1" applyBorder="1" applyAlignment="1"/>
    <xf numFmtId="0" fontId="14" fillId="4" borderId="7" xfId="0" applyFont="1" applyFill="1" applyBorder="1" applyAlignment="1"/>
    <xf numFmtId="0" fontId="14" fillId="4" borderId="9" xfId="0" applyFont="1" applyFill="1" applyBorder="1" applyAlignment="1"/>
    <xf numFmtId="0" fontId="14" fillId="4" borderId="11" xfId="0" applyFont="1" applyFill="1" applyBorder="1" applyAlignment="1"/>
    <xf numFmtId="0" fontId="14" fillId="4" borderId="16" xfId="0" applyFont="1" applyFill="1" applyBorder="1" applyAlignment="1"/>
    <xf numFmtId="0" fontId="14" fillId="4" borderId="14" xfId="0" applyFont="1" applyFill="1" applyBorder="1" applyAlignment="1"/>
    <xf numFmtId="15" fontId="0" fillId="3" borderId="2" xfId="0" applyNumberFormat="1" applyFill="1" applyBorder="1"/>
    <xf numFmtId="44" fontId="7" fillId="6" borderId="2" xfId="1" applyFont="1" applyFill="1" applyBorder="1"/>
    <xf numFmtId="44" fontId="6" fillId="6" borderId="2" xfId="1" applyFont="1" applyFill="1" applyBorder="1"/>
    <xf numFmtId="0" fontId="0" fillId="8" borderId="2" xfId="0" applyFill="1" applyBorder="1"/>
    <xf numFmtId="0" fontId="0" fillId="8" borderId="2" xfId="0" applyNumberFormat="1" applyFill="1" applyBorder="1" applyAlignment="1">
      <alignment horizontal="center"/>
    </xf>
    <xf numFmtId="15" fontId="0" fillId="8" borderId="2" xfId="0" applyNumberFormat="1" applyFill="1" applyBorder="1"/>
    <xf numFmtId="44" fontId="0" fillId="8" borderId="2" xfId="1" applyFont="1" applyFill="1" applyBorder="1"/>
    <xf numFmtId="44" fontId="3" fillId="8" borderId="2" xfId="1" applyFont="1" applyFill="1" applyBorder="1"/>
    <xf numFmtId="44" fontId="1" fillId="8" borderId="2" xfId="1" applyFont="1" applyFill="1" applyBorder="1"/>
    <xf numFmtId="0" fontId="0" fillId="9" borderId="0" xfId="0" applyFill="1"/>
    <xf numFmtId="0" fontId="0" fillId="7" borderId="2" xfId="0" applyFill="1" applyBorder="1"/>
    <xf numFmtId="15" fontId="0" fillId="7" borderId="2" xfId="0" applyNumberFormat="1" applyFill="1" applyBorder="1" applyAlignment="1">
      <alignment horizontal="center"/>
    </xf>
    <xf numFmtId="15" fontId="0" fillId="7" borderId="2" xfId="0" applyNumberFormat="1" applyFill="1" applyBorder="1"/>
    <xf numFmtId="44" fontId="0" fillId="7" borderId="2" xfId="1" applyFont="1" applyFill="1" applyBorder="1"/>
    <xf numFmtId="44" fontId="3" fillId="7" borderId="2" xfId="1" applyFont="1" applyFill="1" applyBorder="1"/>
    <xf numFmtId="44" fontId="6" fillId="7" borderId="2" xfId="1" applyFont="1" applyFill="1" applyBorder="1"/>
    <xf numFmtId="44" fontId="0" fillId="8" borderId="0" xfId="0" applyNumberFormat="1" applyFill="1"/>
    <xf numFmtId="0" fontId="0" fillId="0" borderId="17" xfId="0" applyFill="1" applyBorder="1"/>
    <xf numFmtId="0" fontId="2" fillId="2" borderId="17" xfId="0" applyFont="1" applyFill="1" applyBorder="1" applyAlignment="1">
      <alignment horizontal="center"/>
    </xf>
    <xf numFmtId="0" fontId="0" fillId="0" borderId="18" xfId="0" applyFill="1" applyBorder="1"/>
    <xf numFmtId="0" fontId="0" fillId="3" borderId="17" xfId="0" applyFill="1" applyBorder="1"/>
    <xf numFmtId="0" fontId="13" fillId="0" borderId="17" xfId="0" applyFont="1" applyFill="1" applyBorder="1"/>
    <xf numFmtId="0" fontId="0" fillId="0" borderId="2" xfId="0" applyFont="1" applyBorder="1"/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10" borderId="17" xfId="0" applyFill="1" applyBorder="1"/>
    <xf numFmtId="15" fontId="0" fillId="10" borderId="2" xfId="0" applyNumberFormat="1" applyFill="1" applyBorder="1"/>
    <xf numFmtId="44" fontId="0" fillId="10" borderId="2" xfId="1" applyFont="1" applyFill="1" applyBorder="1"/>
    <xf numFmtId="44" fontId="3" fillId="10" borderId="2" xfId="1" applyFont="1" applyFill="1" applyBorder="1"/>
    <xf numFmtId="0" fontId="0" fillId="10" borderId="2" xfId="0" applyFill="1" applyBorder="1"/>
    <xf numFmtId="15" fontId="0" fillId="10" borderId="2" xfId="0" applyNumberFormat="1" applyFill="1" applyBorder="1" applyAlignment="1">
      <alignment horizontal="center"/>
    </xf>
    <xf numFmtId="44" fontId="6" fillId="10" borderId="2" xfId="1" applyFont="1" applyFill="1" applyBorder="1"/>
    <xf numFmtId="0" fontId="16" fillId="2" borderId="1" xfId="0" applyFont="1" applyFill="1" applyBorder="1" applyAlignment="1">
      <alignment horizontal="center"/>
    </xf>
    <xf numFmtId="44" fontId="0" fillId="0" borderId="2" xfId="1" applyNumberFormat="1" applyFont="1" applyFill="1" applyBorder="1"/>
    <xf numFmtId="44" fontId="0" fillId="0" borderId="0" xfId="1" applyFont="1" applyFill="1" applyBorder="1"/>
    <xf numFmtId="44" fontId="0" fillId="0" borderId="0" xfId="0" applyNumberFormat="1" applyFill="1"/>
    <xf numFmtId="16" fontId="0" fillId="0" borderId="0" xfId="0" applyNumberFormat="1" applyBorder="1"/>
    <xf numFmtId="16" fontId="17" fillId="0" borderId="0" xfId="0" applyNumberFormat="1" applyFont="1" applyBorder="1"/>
    <xf numFmtId="0" fontId="0" fillId="3" borderId="0" xfId="0" applyFill="1"/>
    <xf numFmtId="0" fontId="10" fillId="0" borderId="0" xfId="0" applyFont="1" applyFill="1" applyBorder="1"/>
    <xf numFmtId="15" fontId="0" fillId="3" borderId="0" xfId="0" applyNumberFormat="1" applyFill="1"/>
    <xf numFmtId="0" fontId="0" fillId="12" borderId="0" xfId="0" applyFill="1"/>
    <xf numFmtId="0" fontId="0" fillId="4" borderId="0" xfId="0" applyFill="1"/>
    <xf numFmtId="0" fontId="0" fillId="13" borderId="0" xfId="0" applyFill="1"/>
    <xf numFmtId="0" fontId="0" fillId="11" borderId="0" xfId="0" applyFill="1"/>
    <xf numFmtId="0" fontId="0" fillId="14" borderId="0" xfId="0" applyFill="1"/>
    <xf numFmtId="0" fontId="0" fillId="5" borderId="0" xfId="0" applyFill="1"/>
    <xf numFmtId="15" fontId="0" fillId="15" borderId="0" xfId="0" applyNumberFormat="1" applyFill="1"/>
    <xf numFmtId="0" fontId="0" fillId="15" borderId="0" xfId="0" applyFill="1"/>
    <xf numFmtId="44" fontId="10" fillId="0" borderId="2" xfId="1" applyFont="1" applyFill="1" applyBorder="1"/>
    <xf numFmtId="0" fontId="0" fillId="0" borderId="0" xfId="0"/>
    <xf numFmtId="44" fontId="0" fillId="0" borderId="0" xfId="1" applyNumberFormat="1" applyFont="1" applyFill="1" applyBorder="1"/>
    <xf numFmtId="0" fontId="0" fillId="0" borderId="0" xfId="0" applyBorder="1"/>
    <xf numFmtId="15" fontId="0" fillId="0" borderId="0" xfId="0" applyNumberFormat="1" applyFont="1" applyFill="1" applyBorder="1"/>
    <xf numFmtId="44" fontId="0" fillId="0" borderId="0" xfId="0" applyNumberFormat="1" applyBorder="1"/>
    <xf numFmtId="16" fontId="0" fillId="0" borderId="2" xfId="0" applyNumberFormat="1" applyFill="1" applyBorder="1"/>
    <xf numFmtId="16" fontId="10" fillId="0" borderId="2" xfId="0" applyNumberFormat="1" applyFont="1" applyFill="1" applyBorder="1"/>
    <xf numFmtId="15" fontId="0" fillId="0" borderId="0" xfId="0" applyNumberFormat="1" applyBorder="1"/>
    <xf numFmtId="0" fontId="10" fillId="0" borderId="19" xfId="0" applyFont="1" applyFill="1" applyBorder="1"/>
    <xf numFmtId="44" fontId="1" fillId="0" borderId="0" xfId="1" applyFont="1" applyFill="1" applyBorder="1"/>
    <xf numFmtId="0" fontId="10" fillId="0" borderId="8" xfId="0" applyFont="1" applyFill="1" applyBorder="1"/>
    <xf numFmtId="44" fontId="17" fillId="0" borderId="0" xfId="0" applyNumberFormat="1" applyFont="1" applyBorder="1"/>
    <xf numFmtId="0" fontId="10" fillId="0" borderId="21" xfId="0" applyFont="1" applyFill="1" applyBorder="1"/>
    <xf numFmtId="44" fontId="2" fillId="0" borderId="22" xfId="1" applyNumberFormat="1" applyFont="1" applyFill="1" applyBorder="1"/>
    <xf numFmtId="44" fontId="0" fillId="0" borderId="22" xfId="1" applyFont="1" applyFill="1" applyBorder="1"/>
    <xf numFmtId="44" fontId="1" fillId="0" borderId="22" xfId="1" applyFont="1" applyFill="1" applyBorder="1"/>
    <xf numFmtId="44" fontId="17" fillId="0" borderId="23" xfId="0" applyNumberFormat="1" applyFont="1" applyBorder="1"/>
    <xf numFmtId="44" fontId="2" fillId="0" borderId="20" xfId="0" applyNumberFormat="1" applyFont="1" applyFill="1" applyBorder="1"/>
    <xf numFmtId="44" fontId="2" fillId="0" borderId="9" xfId="0" applyNumberFormat="1" applyFont="1" applyFill="1" applyBorder="1"/>
    <xf numFmtId="0" fontId="0" fillId="0" borderId="8" xfId="0" applyBorder="1"/>
    <xf numFmtId="0" fontId="0" fillId="0" borderId="9" xfId="0" applyBorder="1"/>
    <xf numFmtId="0" fontId="0" fillId="0" borderId="9" xfId="0" applyFill="1" applyBorder="1"/>
    <xf numFmtId="15" fontId="0" fillId="0" borderId="0" xfId="0" applyNumberFormat="1" applyFill="1" applyBorder="1"/>
    <xf numFmtId="44" fontId="0" fillId="0" borderId="0" xfId="0" applyNumberFormat="1" applyFill="1" applyBorder="1"/>
    <xf numFmtId="0" fontId="0" fillId="0" borderId="8" xfId="0" applyFill="1" applyBorder="1"/>
    <xf numFmtId="17" fontId="12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16" fontId="2" fillId="0" borderId="22" xfId="0" applyNumberFormat="1" applyFont="1" applyBorder="1" applyAlignment="1">
      <alignment horizontal="center"/>
    </xf>
    <xf numFmtId="17" fontId="12" fillId="4" borderId="5" xfId="0" applyNumberFormat="1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9" defaultPivotStyle="PivotStyleLight16"/>
  <colors>
    <mruColors>
      <color rgb="FFFFCC99"/>
      <color rgb="FF9999FF"/>
      <color rgb="FFFFFF99"/>
      <color rgb="FF66FFFF"/>
      <color rgb="FFCCFFFF"/>
      <color rgb="FFC09AB2"/>
      <color rgb="FF9E628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opLeftCell="A19" workbookViewId="0">
      <selection activeCell="H45" sqref="H45"/>
    </sheetView>
  </sheetViews>
  <sheetFormatPr baseColWidth="10" defaultRowHeight="15"/>
  <cols>
    <col min="1" max="16384" width="11.42578125" style="61"/>
  </cols>
  <sheetData>
    <row r="1" spans="1:8">
      <c r="A1" s="61" t="s">
        <v>271</v>
      </c>
      <c r="B1" s="61" t="s">
        <v>272</v>
      </c>
    </row>
    <row r="2" spans="1:8">
      <c r="A2" s="61" t="s">
        <v>273</v>
      </c>
      <c r="B2" s="61" t="s">
        <v>274</v>
      </c>
      <c r="F2" s="61">
        <v>-6</v>
      </c>
    </row>
    <row r="3" spans="1:8">
      <c r="A3" s="61" t="s">
        <v>275</v>
      </c>
      <c r="C3" s="61" t="s">
        <v>276</v>
      </c>
      <c r="D3" s="61" t="s">
        <v>277</v>
      </c>
      <c r="F3" s="61" t="s">
        <v>278</v>
      </c>
    </row>
    <row r="4" spans="1:8">
      <c r="A4" s="61" t="s">
        <v>279</v>
      </c>
      <c r="B4" s="61" t="s">
        <v>280</v>
      </c>
      <c r="C4" s="61" t="s">
        <v>281</v>
      </c>
      <c r="D4" s="61" t="s">
        <v>282</v>
      </c>
      <c r="F4" s="61">
        <v>30</v>
      </c>
    </row>
    <row r="5" spans="1:8">
      <c r="A5" s="61" t="s">
        <v>283</v>
      </c>
      <c r="C5" s="61" t="s">
        <v>284</v>
      </c>
      <c r="D5" s="61" t="s">
        <v>285</v>
      </c>
      <c r="F5" s="60">
        <v>-40000</v>
      </c>
    </row>
    <row r="6" spans="1:8">
      <c r="A6" s="61" t="s">
        <v>286</v>
      </c>
      <c r="B6" s="61" t="s">
        <v>287</v>
      </c>
      <c r="C6" s="61" t="s">
        <v>288</v>
      </c>
    </row>
    <row r="7" spans="1:8">
      <c r="A7" s="61" t="s">
        <v>289</v>
      </c>
      <c r="B7" s="61" t="s">
        <v>290</v>
      </c>
      <c r="C7" s="61" t="s">
        <v>291</v>
      </c>
      <c r="D7" s="61" t="s">
        <v>292</v>
      </c>
      <c r="E7" s="61" t="s">
        <v>293</v>
      </c>
      <c r="F7" s="61" t="s">
        <v>294</v>
      </c>
      <c r="G7" s="61" t="s">
        <v>268</v>
      </c>
      <c r="H7" s="61" t="s">
        <v>295</v>
      </c>
    </row>
    <row r="9" spans="1:8">
      <c r="A9" s="61" t="s">
        <v>270</v>
      </c>
      <c r="B9" s="61" t="s">
        <v>296</v>
      </c>
      <c r="C9" s="9">
        <v>40506</v>
      </c>
      <c r="D9" s="9">
        <v>40536</v>
      </c>
      <c r="E9" s="61" t="s">
        <v>296</v>
      </c>
      <c r="F9" s="60">
        <v>389127.99</v>
      </c>
      <c r="H9" s="60">
        <f>F9-G9</f>
        <v>389127.99</v>
      </c>
    </row>
    <row r="10" spans="1:8">
      <c r="A10" s="61" t="s">
        <v>297</v>
      </c>
      <c r="B10" s="61" t="s">
        <v>298</v>
      </c>
      <c r="C10" s="9">
        <v>40515</v>
      </c>
      <c r="D10" s="9">
        <v>40515</v>
      </c>
      <c r="E10" s="61" t="s">
        <v>296</v>
      </c>
      <c r="G10" s="60">
        <v>3187</v>
      </c>
      <c r="H10" s="60">
        <f>H9+F10-G10</f>
        <v>385940.99</v>
      </c>
    </row>
    <row r="11" spans="1:8">
      <c r="A11" s="61" t="s">
        <v>297</v>
      </c>
      <c r="B11" s="61" t="s">
        <v>298</v>
      </c>
      <c r="C11" s="9">
        <v>40529</v>
      </c>
      <c r="D11" s="9">
        <v>40529</v>
      </c>
      <c r="E11" s="61" t="s">
        <v>296</v>
      </c>
      <c r="G11" s="60">
        <v>2500</v>
      </c>
      <c r="H11" s="60">
        <f t="shared" ref="H11:H44" si="0">H10+F11-G11</f>
        <v>383440.99</v>
      </c>
    </row>
    <row r="12" spans="1:8">
      <c r="A12" s="61" t="s">
        <v>297</v>
      </c>
      <c r="B12" s="61" t="s">
        <v>298</v>
      </c>
      <c r="C12" s="9">
        <v>40536</v>
      </c>
      <c r="D12" s="9">
        <v>40536</v>
      </c>
      <c r="E12" s="61" t="s">
        <v>296</v>
      </c>
      <c r="G12" s="60">
        <v>2500</v>
      </c>
      <c r="H12" s="60">
        <f t="shared" si="0"/>
        <v>380940.99</v>
      </c>
    </row>
    <row r="13" spans="1:8">
      <c r="A13" s="61" t="s">
        <v>297</v>
      </c>
      <c r="B13" s="61" t="s">
        <v>298</v>
      </c>
      <c r="C13" s="9">
        <v>40543</v>
      </c>
      <c r="D13" s="9">
        <v>40543</v>
      </c>
      <c r="E13" s="61" t="s">
        <v>296</v>
      </c>
      <c r="G13" s="60">
        <v>2500</v>
      </c>
      <c r="H13" s="60">
        <f t="shared" si="0"/>
        <v>378440.99</v>
      </c>
    </row>
    <row r="14" spans="1:8">
      <c r="A14" s="61" t="s">
        <v>297</v>
      </c>
      <c r="B14" s="61" t="s">
        <v>298</v>
      </c>
      <c r="C14" s="9">
        <v>40551</v>
      </c>
      <c r="D14" s="9">
        <v>40551</v>
      </c>
      <c r="E14" s="61" t="s">
        <v>296</v>
      </c>
      <c r="G14" s="60">
        <v>2500</v>
      </c>
      <c r="H14" s="60">
        <f t="shared" si="0"/>
        <v>375940.99</v>
      </c>
    </row>
    <row r="15" spans="1:8">
      <c r="A15" s="61" t="s">
        <v>297</v>
      </c>
      <c r="B15" s="61" t="s">
        <v>298</v>
      </c>
      <c r="C15" s="9">
        <v>40557</v>
      </c>
      <c r="D15" s="9">
        <v>40557</v>
      </c>
      <c r="E15" s="61" t="s">
        <v>296</v>
      </c>
      <c r="G15" s="60">
        <v>2500</v>
      </c>
      <c r="H15" s="60">
        <f t="shared" si="0"/>
        <v>373440.99</v>
      </c>
    </row>
    <row r="16" spans="1:8">
      <c r="A16" s="61" t="s">
        <v>297</v>
      </c>
      <c r="B16" s="61" t="s">
        <v>298</v>
      </c>
      <c r="C16" s="9">
        <v>40557</v>
      </c>
      <c r="D16" s="9">
        <v>40557</v>
      </c>
      <c r="E16" s="61" t="s">
        <v>296</v>
      </c>
      <c r="G16" s="60">
        <v>2500</v>
      </c>
      <c r="H16" s="60">
        <f t="shared" si="0"/>
        <v>370940.99</v>
      </c>
    </row>
    <row r="17" spans="1:8">
      <c r="A17" s="61" t="s">
        <v>297</v>
      </c>
      <c r="B17" s="61" t="s">
        <v>298</v>
      </c>
      <c r="C17" s="9">
        <v>40564</v>
      </c>
      <c r="D17" s="9">
        <v>40564</v>
      </c>
      <c r="E17" s="61" t="s">
        <v>296</v>
      </c>
      <c r="G17" s="60">
        <v>2500</v>
      </c>
      <c r="H17" s="60">
        <f t="shared" si="0"/>
        <v>368440.99</v>
      </c>
    </row>
    <row r="18" spans="1:8">
      <c r="A18" s="61" t="s">
        <v>297</v>
      </c>
      <c r="B18" s="61" t="s">
        <v>298</v>
      </c>
      <c r="C18" s="9">
        <v>40574</v>
      </c>
      <c r="D18" s="9">
        <v>40574</v>
      </c>
      <c r="E18" s="61" t="s">
        <v>296</v>
      </c>
      <c r="G18" s="60">
        <v>2500</v>
      </c>
      <c r="H18" s="60">
        <f t="shared" si="0"/>
        <v>365940.99</v>
      </c>
    </row>
    <row r="19" spans="1:8">
      <c r="A19" s="61" t="s">
        <v>297</v>
      </c>
      <c r="B19" s="61" t="s">
        <v>298</v>
      </c>
      <c r="C19" s="9">
        <v>40584</v>
      </c>
      <c r="D19" s="9">
        <v>40584</v>
      </c>
      <c r="E19" s="61" t="s">
        <v>296</v>
      </c>
      <c r="G19" s="60">
        <v>2500</v>
      </c>
      <c r="H19" s="60">
        <f t="shared" si="0"/>
        <v>363440.99</v>
      </c>
    </row>
    <row r="20" spans="1:8">
      <c r="A20" s="61" t="s">
        <v>297</v>
      </c>
      <c r="B20" s="61" t="s">
        <v>298</v>
      </c>
      <c r="C20" s="9">
        <v>40605</v>
      </c>
      <c r="D20" s="9">
        <v>40605</v>
      </c>
      <c r="E20" s="61" t="s">
        <v>296</v>
      </c>
      <c r="G20" s="60">
        <v>7500</v>
      </c>
      <c r="H20" s="60">
        <f t="shared" si="0"/>
        <v>355940.99</v>
      </c>
    </row>
    <row r="21" spans="1:8">
      <c r="A21" s="61" t="s">
        <v>297</v>
      </c>
      <c r="B21" s="61" t="s">
        <v>298</v>
      </c>
      <c r="C21" s="9">
        <v>40627</v>
      </c>
      <c r="D21" s="9">
        <v>40627</v>
      </c>
      <c r="E21" s="61" t="s">
        <v>296</v>
      </c>
      <c r="G21" s="60">
        <v>5000</v>
      </c>
      <c r="H21" s="60">
        <f t="shared" si="0"/>
        <v>350940.99</v>
      </c>
    </row>
    <row r="22" spans="1:8">
      <c r="A22" s="61" t="s">
        <v>297</v>
      </c>
      <c r="B22" s="61" t="s">
        <v>298</v>
      </c>
      <c r="C22" s="9">
        <v>40633</v>
      </c>
      <c r="D22" s="9">
        <v>40633</v>
      </c>
      <c r="E22" s="61" t="s">
        <v>296</v>
      </c>
      <c r="G22" s="60">
        <v>5000</v>
      </c>
      <c r="H22" s="60">
        <f t="shared" si="0"/>
        <v>345940.99</v>
      </c>
    </row>
    <row r="23" spans="1:8">
      <c r="A23" s="61" t="s">
        <v>297</v>
      </c>
      <c r="B23" s="61" t="s">
        <v>298</v>
      </c>
      <c r="C23" s="9">
        <v>40648</v>
      </c>
      <c r="D23" s="9">
        <v>40648</v>
      </c>
      <c r="E23" s="61" t="s">
        <v>296</v>
      </c>
      <c r="G23" s="60">
        <v>2500</v>
      </c>
      <c r="H23" s="60">
        <f t="shared" si="0"/>
        <v>343440.99</v>
      </c>
    </row>
    <row r="24" spans="1:8">
      <c r="A24" s="61" t="s">
        <v>297</v>
      </c>
      <c r="B24" s="61" t="s">
        <v>298</v>
      </c>
      <c r="C24" s="9">
        <v>40649</v>
      </c>
      <c r="D24" s="9">
        <v>40649</v>
      </c>
      <c r="E24" s="61" t="s">
        <v>296</v>
      </c>
      <c r="G24" s="60">
        <v>2500</v>
      </c>
      <c r="H24" s="60">
        <f t="shared" si="0"/>
        <v>340940.99</v>
      </c>
    </row>
    <row r="25" spans="1:8">
      <c r="A25" s="61" t="s">
        <v>297</v>
      </c>
      <c r="B25" s="61" t="s">
        <v>298</v>
      </c>
      <c r="C25" s="9">
        <v>40661</v>
      </c>
      <c r="D25" s="9">
        <v>40661</v>
      </c>
      <c r="E25" s="61" t="s">
        <v>296</v>
      </c>
      <c r="G25" s="60">
        <v>5000</v>
      </c>
      <c r="H25" s="60">
        <f t="shared" si="0"/>
        <v>335940.99</v>
      </c>
    </row>
    <row r="26" spans="1:8">
      <c r="A26" s="61" t="s">
        <v>297</v>
      </c>
      <c r="B26" s="61" t="s">
        <v>298</v>
      </c>
      <c r="C26" s="9">
        <v>40679</v>
      </c>
      <c r="D26" s="9">
        <v>40679</v>
      </c>
      <c r="E26" s="61" t="s">
        <v>296</v>
      </c>
      <c r="G26" s="60">
        <v>5940.99</v>
      </c>
      <c r="H26" s="60">
        <f t="shared" si="0"/>
        <v>330000</v>
      </c>
    </row>
    <row r="27" spans="1:8">
      <c r="A27" s="61" t="s">
        <v>297</v>
      </c>
      <c r="B27" s="61" t="s">
        <v>298</v>
      </c>
      <c r="C27" s="9">
        <v>40693</v>
      </c>
      <c r="D27" s="9">
        <v>40693</v>
      </c>
      <c r="E27" s="61" t="s">
        <v>296</v>
      </c>
      <c r="G27" s="60">
        <v>5000</v>
      </c>
      <c r="H27" s="60">
        <f t="shared" si="0"/>
        <v>325000</v>
      </c>
    </row>
    <row r="28" spans="1:8">
      <c r="A28" s="61" t="s">
        <v>297</v>
      </c>
      <c r="B28" s="61" t="s">
        <v>298</v>
      </c>
      <c r="C28" s="9">
        <v>40704</v>
      </c>
      <c r="D28" s="9">
        <v>40704</v>
      </c>
      <c r="E28" s="61" t="s">
        <v>296</v>
      </c>
      <c r="G28" s="60">
        <v>5000</v>
      </c>
      <c r="H28" s="60">
        <f t="shared" si="0"/>
        <v>320000</v>
      </c>
    </row>
    <row r="29" spans="1:8">
      <c r="A29" s="61" t="s">
        <v>297</v>
      </c>
      <c r="B29" s="61" t="s">
        <v>298</v>
      </c>
      <c r="C29" s="9">
        <v>40718</v>
      </c>
      <c r="D29" s="9">
        <v>40718</v>
      </c>
      <c r="E29" s="61" t="s">
        <v>296</v>
      </c>
      <c r="G29" s="60">
        <v>5000</v>
      </c>
      <c r="H29" s="60">
        <f t="shared" si="0"/>
        <v>315000</v>
      </c>
    </row>
    <row r="30" spans="1:8">
      <c r="A30" s="61" t="s">
        <v>297</v>
      </c>
      <c r="B30" s="61" t="s">
        <v>298</v>
      </c>
      <c r="C30" s="9">
        <v>40739</v>
      </c>
      <c r="D30" s="9">
        <v>40739</v>
      </c>
      <c r="E30" s="61" t="s">
        <v>296</v>
      </c>
      <c r="G30" s="60">
        <v>5000</v>
      </c>
      <c r="H30" s="60">
        <f t="shared" si="0"/>
        <v>310000</v>
      </c>
    </row>
    <row r="31" spans="1:8">
      <c r="A31" s="61" t="s">
        <v>297</v>
      </c>
      <c r="B31" s="61" t="s">
        <v>298</v>
      </c>
      <c r="C31" s="9">
        <v>40745</v>
      </c>
      <c r="D31" s="9">
        <v>40745</v>
      </c>
      <c r="E31" s="61" t="s">
        <v>296</v>
      </c>
      <c r="G31" s="60">
        <v>5000</v>
      </c>
      <c r="H31" s="60">
        <f t="shared" si="0"/>
        <v>305000</v>
      </c>
    </row>
    <row r="32" spans="1:8">
      <c r="A32" s="61" t="s">
        <v>297</v>
      </c>
      <c r="B32" s="61" t="s">
        <v>298</v>
      </c>
      <c r="C32" s="9">
        <v>40766</v>
      </c>
      <c r="D32" s="9">
        <v>40766</v>
      </c>
      <c r="E32" s="61" t="s">
        <v>296</v>
      </c>
      <c r="G32" s="60">
        <v>5000</v>
      </c>
      <c r="H32" s="60">
        <f t="shared" si="0"/>
        <v>300000</v>
      </c>
    </row>
    <row r="33" spans="1:8">
      <c r="A33" s="61" t="s">
        <v>297</v>
      </c>
      <c r="B33" s="61" t="s">
        <v>298</v>
      </c>
      <c r="C33" s="9">
        <v>40782</v>
      </c>
      <c r="D33" s="9">
        <v>40782</v>
      </c>
      <c r="E33" s="61" t="s">
        <v>296</v>
      </c>
      <c r="G33" s="60">
        <v>5000</v>
      </c>
      <c r="H33" s="60">
        <f t="shared" si="0"/>
        <v>295000</v>
      </c>
    </row>
    <row r="34" spans="1:8">
      <c r="A34" s="61" t="s">
        <v>297</v>
      </c>
      <c r="B34" s="61" t="s">
        <v>298</v>
      </c>
      <c r="C34" s="9">
        <v>40801</v>
      </c>
      <c r="D34" s="9">
        <v>40801</v>
      </c>
      <c r="E34" s="61" t="s">
        <v>296</v>
      </c>
      <c r="G34" s="60">
        <v>5000</v>
      </c>
      <c r="H34" s="60">
        <f t="shared" si="0"/>
        <v>290000</v>
      </c>
    </row>
    <row r="35" spans="1:8">
      <c r="A35" s="61" t="s">
        <v>297</v>
      </c>
      <c r="B35" s="61" t="s">
        <v>298</v>
      </c>
      <c r="C35" s="9">
        <v>40918</v>
      </c>
      <c r="D35" s="9">
        <v>40918</v>
      </c>
      <c r="E35" s="61" t="s">
        <v>296</v>
      </c>
      <c r="G35" s="60">
        <v>5000</v>
      </c>
      <c r="H35" s="60">
        <f t="shared" si="0"/>
        <v>285000</v>
      </c>
    </row>
    <row r="36" spans="1:8">
      <c r="A36" s="61" t="s">
        <v>297</v>
      </c>
      <c r="B36" s="61" t="s">
        <v>298</v>
      </c>
      <c r="C36" s="9">
        <v>40928</v>
      </c>
      <c r="D36" s="9">
        <v>40928</v>
      </c>
      <c r="E36" s="61" t="s">
        <v>296</v>
      </c>
      <c r="G36" s="60">
        <v>5000</v>
      </c>
      <c r="H36" s="60">
        <f t="shared" si="0"/>
        <v>280000</v>
      </c>
    </row>
    <row r="37" spans="1:8">
      <c r="A37" s="61" t="s">
        <v>297</v>
      </c>
      <c r="B37" s="61" t="s">
        <v>298</v>
      </c>
      <c r="C37" s="9">
        <v>40942</v>
      </c>
      <c r="D37" s="9">
        <v>40942</v>
      </c>
      <c r="E37" s="61" t="s">
        <v>296</v>
      </c>
      <c r="G37" s="60">
        <v>5000</v>
      </c>
      <c r="H37" s="60">
        <f t="shared" si="0"/>
        <v>275000</v>
      </c>
    </row>
    <row r="38" spans="1:8">
      <c r="A38" s="61" t="s">
        <v>297</v>
      </c>
      <c r="B38" s="61" t="s">
        <v>298</v>
      </c>
      <c r="C38" s="9">
        <v>40956</v>
      </c>
      <c r="D38" s="9">
        <v>40956</v>
      </c>
      <c r="E38" s="61" t="s">
        <v>296</v>
      </c>
      <c r="G38" s="60">
        <v>5000</v>
      </c>
      <c r="H38" s="60">
        <f t="shared" si="0"/>
        <v>270000</v>
      </c>
    </row>
    <row r="39" spans="1:8">
      <c r="A39" s="61" t="s">
        <v>297</v>
      </c>
      <c r="B39" s="61" t="s">
        <v>298</v>
      </c>
      <c r="C39" s="9">
        <v>40970</v>
      </c>
      <c r="D39" s="9">
        <v>40970</v>
      </c>
      <c r="E39" s="61" t="s">
        <v>296</v>
      </c>
      <c r="G39" s="60">
        <v>5000</v>
      </c>
      <c r="H39" s="60">
        <f t="shared" si="0"/>
        <v>265000</v>
      </c>
    </row>
    <row r="40" spans="1:8">
      <c r="A40" s="61" t="s">
        <v>297</v>
      </c>
      <c r="B40" s="61" t="s">
        <v>298</v>
      </c>
      <c r="C40" s="9">
        <v>40989</v>
      </c>
      <c r="D40" s="9">
        <v>40989</v>
      </c>
      <c r="E40" s="61" t="s">
        <v>296</v>
      </c>
      <c r="G40" s="60">
        <v>5000</v>
      </c>
      <c r="H40" s="60">
        <f t="shared" si="0"/>
        <v>260000</v>
      </c>
    </row>
    <row r="41" spans="1:8">
      <c r="A41" s="61" t="s">
        <v>297</v>
      </c>
      <c r="B41" s="61" t="s">
        <v>298</v>
      </c>
      <c r="C41" s="9">
        <v>41001</v>
      </c>
      <c r="D41" s="9">
        <v>41001</v>
      </c>
      <c r="E41" s="61" t="s">
        <v>296</v>
      </c>
      <c r="G41" s="60">
        <v>5000</v>
      </c>
      <c r="H41" s="60">
        <f t="shared" si="0"/>
        <v>255000</v>
      </c>
    </row>
    <row r="42" spans="1:8">
      <c r="A42" s="61" t="s">
        <v>297</v>
      </c>
      <c r="B42" s="61" t="s">
        <v>298</v>
      </c>
      <c r="C42" s="9">
        <v>41023</v>
      </c>
      <c r="D42" s="9">
        <v>41023</v>
      </c>
      <c r="E42" s="61" t="s">
        <v>296</v>
      </c>
      <c r="G42" s="60">
        <v>5000</v>
      </c>
      <c r="H42" s="60">
        <f t="shared" si="0"/>
        <v>250000</v>
      </c>
    </row>
    <row r="43" spans="1:8">
      <c r="A43" s="61" t="s">
        <v>297</v>
      </c>
      <c r="B43" s="61" t="s">
        <v>298</v>
      </c>
      <c r="C43" s="9">
        <v>41159</v>
      </c>
      <c r="D43" s="9">
        <v>41159</v>
      </c>
      <c r="E43" s="61" t="s">
        <v>296</v>
      </c>
      <c r="G43" s="60">
        <v>5000</v>
      </c>
      <c r="H43" s="60">
        <f t="shared" si="0"/>
        <v>245000</v>
      </c>
    </row>
    <row r="44" spans="1:8">
      <c r="A44" s="61" t="s">
        <v>297</v>
      </c>
      <c r="B44" s="61" t="s">
        <v>298</v>
      </c>
      <c r="C44" s="9">
        <v>41187</v>
      </c>
      <c r="D44" s="9">
        <v>41187</v>
      </c>
      <c r="E44" s="61" t="s">
        <v>296</v>
      </c>
      <c r="G44" s="60">
        <v>5000</v>
      </c>
      <c r="H44" s="60">
        <f t="shared" si="0"/>
        <v>240000</v>
      </c>
    </row>
    <row r="45" spans="1:8">
      <c r="F45" s="60">
        <v>389127.99</v>
      </c>
      <c r="G45" s="60">
        <v>149127.99</v>
      </c>
      <c r="H45" s="60">
        <v>240000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0"/>
  <sheetViews>
    <sheetView topLeftCell="B82" workbookViewId="0">
      <selection activeCell="F93" sqref="F93"/>
    </sheetView>
  </sheetViews>
  <sheetFormatPr baseColWidth="10" defaultRowHeight="15"/>
  <cols>
    <col min="1" max="1" width="0" style="61" hidden="1" customWidth="1"/>
    <col min="2" max="2" width="6.7109375" style="61" customWidth="1"/>
    <col min="3" max="4" width="0" style="61" hidden="1" customWidth="1"/>
    <col min="5" max="6" width="11.42578125" style="61"/>
    <col min="7" max="7" width="11.7109375" style="61" bestFit="1" customWidth="1"/>
    <col min="8" max="16384" width="11.42578125" style="61"/>
  </cols>
  <sheetData>
    <row r="1" spans="1:7">
      <c r="A1" s="61" t="s">
        <v>249</v>
      </c>
    </row>
    <row r="2" spans="1:7">
      <c r="A2" s="61" t="s">
        <v>250</v>
      </c>
    </row>
    <row r="4" spans="1:7">
      <c r="A4" s="61" t="s">
        <v>12</v>
      </c>
    </row>
    <row r="5" spans="1:7">
      <c r="A5" s="61" t="s">
        <v>251</v>
      </c>
      <c r="B5" s="61">
        <v>49</v>
      </c>
      <c r="C5" s="61" t="s">
        <v>252</v>
      </c>
      <c r="D5" s="61" t="s">
        <v>253</v>
      </c>
    </row>
    <row r="6" spans="1:7">
      <c r="A6" s="61" t="s">
        <v>254</v>
      </c>
      <c r="C6" s="61" t="s">
        <v>255</v>
      </c>
      <c r="D6" s="61" t="s">
        <v>256</v>
      </c>
    </row>
    <row r="7" spans="1:7">
      <c r="A7" s="61" t="s">
        <v>257</v>
      </c>
      <c r="C7" s="61" t="s">
        <v>258</v>
      </c>
      <c r="D7" s="61" t="s">
        <v>259</v>
      </c>
    </row>
    <row r="8" spans="1:7">
      <c r="A8" s="61" t="s">
        <v>260</v>
      </c>
      <c r="C8" s="61" t="s">
        <v>261</v>
      </c>
      <c r="D8" s="61" t="s">
        <v>262</v>
      </c>
    </row>
    <row r="9" spans="1:7">
      <c r="A9" s="61" t="s">
        <v>263</v>
      </c>
      <c r="B9" s="61" t="s">
        <v>264</v>
      </c>
      <c r="C9" s="61" t="s">
        <v>265</v>
      </c>
      <c r="D9" s="61" t="s">
        <v>266</v>
      </c>
      <c r="E9" s="61" t="s">
        <v>267</v>
      </c>
      <c r="F9" s="61" t="s">
        <v>268</v>
      </c>
      <c r="G9" s="61" t="s">
        <v>269</v>
      </c>
    </row>
    <row r="10" spans="1:7" ht="6" customHeight="1"/>
    <row r="11" spans="1:7">
      <c r="A11" s="61" t="s">
        <v>270</v>
      </c>
      <c r="B11" s="61">
        <v>214</v>
      </c>
      <c r="C11" s="9">
        <v>39651</v>
      </c>
      <c r="D11" s="9">
        <v>39711</v>
      </c>
      <c r="E11" s="60">
        <v>24962.73</v>
      </c>
      <c r="F11" s="60">
        <v>9375.65</v>
      </c>
      <c r="G11" s="60">
        <f>E11-F11</f>
        <v>15587.08</v>
      </c>
    </row>
    <row r="12" spans="1:7">
      <c r="A12" s="61" t="s">
        <v>270</v>
      </c>
      <c r="B12" s="61">
        <v>216</v>
      </c>
      <c r="C12" s="9">
        <v>39651</v>
      </c>
      <c r="D12" s="9">
        <v>39711</v>
      </c>
      <c r="E12" s="60">
        <v>21807.59</v>
      </c>
      <c r="F12" s="61">
        <v>0</v>
      </c>
      <c r="G12" s="60">
        <f>G11+E12-F12</f>
        <v>37394.67</v>
      </c>
    </row>
    <row r="13" spans="1:7">
      <c r="A13" s="61" t="s">
        <v>270</v>
      </c>
      <c r="B13" s="61">
        <v>218</v>
      </c>
      <c r="C13" s="9">
        <v>39651</v>
      </c>
      <c r="D13" s="9">
        <v>39711</v>
      </c>
      <c r="E13" s="60">
        <v>19116.32</v>
      </c>
      <c r="F13" s="61">
        <v>0</v>
      </c>
      <c r="G13" s="60">
        <f t="shared" ref="G13:G76" si="0">G12+E13-F13</f>
        <v>56510.99</v>
      </c>
    </row>
    <row r="14" spans="1:7">
      <c r="A14" s="61" t="s">
        <v>270</v>
      </c>
      <c r="B14" s="61">
        <v>221</v>
      </c>
      <c r="C14" s="9">
        <v>39653</v>
      </c>
      <c r="D14" s="9">
        <v>39713</v>
      </c>
      <c r="E14" s="60">
        <v>18589.21</v>
      </c>
      <c r="F14" s="61">
        <v>0</v>
      </c>
      <c r="G14" s="60">
        <f t="shared" si="0"/>
        <v>75100.2</v>
      </c>
    </row>
    <row r="15" spans="1:7">
      <c r="A15" s="61" t="s">
        <v>270</v>
      </c>
      <c r="B15" s="61">
        <v>228</v>
      </c>
      <c r="C15" s="9">
        <v>39664</v>
      </c>
      <c r="D15" s="9">
        <v>39724</v>
      </c>
      <c r="E15" s="60">
        <v>34450.480000000003</v>
      </c>
      <c r="F15" s="60">
        <v>1440.84</v>
      </c>
      <c r="G15" s="60">
        <f t="shared" si="0"/>
        <v>108109.84</v>
      </c>
    </row>
    <row r="16" spans="1:7">
      <c r="A16" s="61" t="s">
        <v>270</v>
      </c>
      <c r="B16" s="61">
        <v>229</v>
      </c>
      <c r="C16" s="9">
        <v>39664</v>
      </c>
      <c r="D16" s="9">
        <v>39724</v>
      </c>
      <c r="E16" s="60">
        <v>19211.080000000002</v>
      </c>
      <c r="F16" s="60">
        <v>4128.96</v>
      </c>
      <c r="G16" s="60">
        <f t="shared" si="0"/>
        <v>123191.95999999999</v>
      </c>
    </row>
    <row r="17" spans="1:7">
      <c r="A17" s="61" t="s">
        <v>270</v>
      </c>
      <c r="B17" s="61">
        <v>230</v>
      </c>
      <c r="C17" s="9">
        <v>39664</v>
      </c>
      <c r="D17" s="9">
        <v>39724</v>
      </c>
      <c r="E17" s="60">
        <v>29652.82</v>
      </c>
      <c r="F17" s="61">
        <v>0</v>
      </c>
      <c r="G17" s="60">
        <f t="shared" si="0"/>
        <v>152844.78</v>
      </c>
    </row>
    <row r="18" spans="1:7">
      <c r="A18" s="61" t="s">
        <v>270</v>
      </c>
      <c r="B18" s="61">
        <v>239</v>
      </c>
      <c r="C18" s="9">
        <v>39672</v>
      </c>
      <c r="D18" s="9">
        <v>39732</v>
      </c>
      <c r="E18" s="60">
        <v>24954.84</v>
      </c>
      <c r="F18" s="60">
        <v>8693.08</v>
      </c>
      <c r="G18" s="60">
        <f t="shared" si="0"/>
        <v>169106.54</v>
      </c>
    </row>
    <row r="19" spans="1:7">
      <c r="A19" s="61" t="s">
        <v>270</v>
      </c>
      <c r="B19" s="61">
        <v>240</v>
      </c>
      <c r="C19" s="9">
        <v>39672</v>
      </c>
      <c r="D19" s="9">
        <v>39732</v>
      </c>
      <c r="E19" s="60">
        <v>17460.97</v>
      </c>
      <c r="F19" s="61">
        <v>0</v>
      </c>
      <c r="G19" s="60">
        <f t="shared" si="0"/>
        <v>186567.51</v>
      </c>
    </row>
    <row r="20" spans="1:7">
      <c r="A20" s="61" t="s">
        <v>270</v>
      </c>
      <c r="B20" s="61">
        <v>241</v>
      </c>
      <c r="C20" s="9">
        <v>39678</v>
      </c>
      <c r="D20" s="9">
        <v>39738</v>
      </c>
      <c r="E20" s="60">
        <v>31908.51</v>
      </c>
      <c r="F20" s="61">
        <v>0</v>
      </c>
      <c r="G20" s="60">
        <f t="shared" si="0"/>
        <v>218476.02000000002</v>
      </c>
    </row>
    <row r="21" spans="1:7">
      <c r="A21" s="61" t="s">
        <v>270</v>
      </c>
      <c r="B21" s="61">
        <v>253</v>
      </c>
      <c r="C21" s="9">
        <v>39687</v>
      </c>
      <c r="D21" s="9">
        <v>39747</v>
      </c>
      <c r="E21" s="60">
        <v>30130.400000000001</v>
      </c>
      <c r="F21" s="61">
        <v>0</v>
      </c>
      <c r="G21" s="60">
        <f t="shared" si="0"/>
        <v>248606.42</v>
      </c>
    </row>
    <row r="22" spans="1:7">
      <c r="A22" s="61" t="s">
        <v>270</v>
      </c>
      <c r="B22" s="61">
        <v>254</v>
      </c>
      <c r="C22" s="9">
        <v>39687</v>
      </c>
      <c r="D22" s="9">
        <v>39747</v>
      </c>
      <c r="E22" s="60">
        <v>22802.86</v>
      </c>
      <c r="F22" s="61">
        <v>0</v>
      </c>
      <c r="G22" s="60">
        <f t="shared" si="0"/>
        <v>271409.28000000003</v>
      </c>
    </row>
    <row r="23" spans="1:7">
      <c r="A23" s="61" t="s">
        <v>270</v>
      </c>
      <c r="B23" s="61">
        <v>263</v>
      </c>
      <c r="C23" s="9">
        <v>39700</v>
      </c>
      <c r="D23" s="9">
        <v>39760</v>
      </c>
      <c r="E23" s="60">
        <v>27707.84</v>
      </c>
      <c r="F23" s="61">
        <v>0</v>
      </c>
      <c r="G23" s="60">
        <f t="shared" si="0"/>
        <v>299117.12000000005</v>
      </c>
    </row>
    <row r="24" spans="1:7">
      <c r="A24" s="61" t="s">
        <v>270</v>
      </c>
      <c r="B24" s="61">
        <v>277</v>
      </c>
      <c r="C24" s="9">
        <v>39723</v>
      </c>
      <c r="D24" s="9">
        <v>39783</v>
      </c>
      <c r="E24" s="60">
        <v>25825.88</v>
      </c>
      <c r="F24" s="61">
        <v>0</v>
      </c>
      <c r="G24" s="60">
        <f t="shared" si="0"/>
        <v>324943.00000000006</v>
      </c>
    </row>
    <row r="25" spans="1:7">
      <c r="A25" s="61" t="s">
        <v>270</v>
      </c>
      <c r="B25" s="61">
        <v>278</v>
      </c>
      <c r="C25" s="9">
        <v>39723</v>
      </c>
      <c r="D25" s="9">
        <v>39783</v>
      </c>
      <c r="E25" s="60">
        <v>24165.59</v>
      </c>
      <c r="F25" s="61">
        <v>0</v>
      </c>
      <c r="G25" s="60">
        <f t="shared" si="0"/>
        <v>349108.59000000008</v>
      </c>
    </row>
    <row r="26" spans="1:7">
      <c r="A26" s="61" t="s">
        <v>270</v>
      </c>
      <c r="B26" s="61">
        <v>300</v>
      </c>
      <c r="C26" s="9">
        <v>39750</v>
      </c>
      <c r="D26" s="9">
        <v>39810</v>
      </c>
      <c r="E26" s="60">
        <v>29422.19</v>
      </c>
      <c r="F26" s="61">
        <v>0</v>
      </c>
      <c r="G26" s="60">
        <f t="shared" si="0"/>
        <v>378530.78000000009</v>
      </c>
    </row>
    <row r="27" spans="1:7">
      <c r="A27" s="61" t="s">
        <v>270</v>
      </c>
      <c r="B27" s="61">
        <v>301</v>
      </c>
      <c r="C27" s="9">
        <v>39750</v>
      </c>
      <c r="D27" s="9">
        <v>39810</v>
      </c>
      <c r="E27" s="60">
        <v>11299.88</v>
      </c>
      <c r="F27" s="60">
        <v>8412.51</v>
      </c>
      <c r="G27" s="60">
        <f t="shared" si="0"/>
        <v>381418.15000000008</v>
      </c>
    </row>
    <row r="28" spans="1:7">
      <c r="A28" s="61" t="s">
        <v>270</v>
      </c>
      <c r="B28" s="61">
        <v>303</v>
      </c>
      <c r="C28" s="9">
        <v>39750</v>
      </c>
      <c r="D28" s="9">
        <v>39810</v>
      </c>
      <c r="E28" s="60">
        <v>15284.74</v>
      </c>
      <c r="F28" s="61">
        <v>0</v>
      </c>
      <c r="G28" s="60">
        <f t="shared" si="0"/>
        <v>396702.89000000007</v>
      </c>
    </row>
    <row r="29" spans="1:7">
      <c r="A29" s="61" t="s">
        <v>270</v>
      </c>
      <c r="B29" s="61">
        <v>324</v>
      </c>
      <c r="C29" s="9">
        <v>39771</v>
      </c>
      <c r="D29" s="9">
        <v>39831</v>
      </c>
      <c r="E29" s="60">
        <v>37557.14</v>
      </c>
      <c r="F29" s="61">
        <v>0</v>
      </c>
      <c r="G29" s="60">
        <f t="shared" si="0"/>
        <v>434260.03000000009</v>
      </c>
    </row>
    <row r="30" spans="1:7">
      <c r="A30" s="61" t="s">
        <v>270</v>
      </c>
      <c r="B30" s="61">
        <v>325</v>
      </c>
      <c r="C30" s="9">
        <v>39771</v>
      </c>
      <c r="D30" s="9">
        <v>39831</v>
      </c>
      <c r="E30" s="60">
        <v>29406.37</v>
      </c>
      <c r="F30" s="61">
        <v>0</v>
      </c>
      <c r="G30" s="60">
        <f t="shared" si="0"/>
        <v>463666.40000000008</v>
      </c>
    </row>
    <row r="31" spans="1:7">
      <c r="A31" s="61" t="s">
        <v>270</v>
      </c>
      <c r="B31" s="61">
        <v>326</v>
      </c>
      <c r="C31" s="9">
        <v>39771</v>
      </c>
      <c r="D31" s="9">
        <v>39831</v>
      </c>
      <c r="E31" s="60">
        <v>16992.18</v>
      </c>
      <c r="F31" s="61">
        <v>0</v>
      </c>
      <c r="G31" s="60">
        <f t="shared" si="0"/>
        <v>480658.58000000007</v>
      </c>
    </row>
    <row r="32" spans="1:7">
      <c r="A32" s="61" t="s">
        <v>270</v>
      </c>
      <c r="B32" s="61">
        <v>327</v>
      </c>
      <c r="C32" s="9">
        <v>39771</v>
      </c>
      <c r="D32" s="9">
        <v>39831</v>
      </c>
      <c r="E32" s="60">
        <v>13609.89</v>
      </c>
      <c r="F32" s="61">
        <v>0</v>
      </c>
      <c r="G32" s="60">
        <f t="shared" si="0"/>
        <v>494268.47000000009</v>
      </c>
    </row>
    <row r="33" spans="1:7">
      <c r="A33" s="61" t="s">
        <v>270</v>
      </c>
      <c r="B33" s="61">
        <v>328</v>
      </c>
      <c r="C33" s="9">
        <v>39771</v>
      </c>
      <c r="D33" s="9">
        <v>39831</v>
      </c>
      <c r="E33" s="60">
        <v>33366.050000000003</v>
      </c>
      <c r="F33" s="61">
        <v>0</v>
      </c>
      <c r="G33" s="60">
        <f t="shared" si="0"/>
        <v>527634.52000000014</v>
      </c>
    </row>
    <row r="34" spans="1:7">
      <c r="A34" s="61" t="s">
        <v>270</v>
      </c>
      <c r="B34" s="61">
        <v>331</v>
      </c>
      <c r="C34" s="9">
        <v>39778</v>
      </c>
      <c r="D34" s="9">
        <v>39838</v>
      </c>
      <c r="E34" s="60">
        <v>11120.6</v>
      </c>
      <c r="F34" s="61">
        <v>0</v>
      </c>
      <c r="G34" s="60">
        <f t="shared" si="0"/>
        <v>538755.12000000011</v>
      </c>
    </row>
    <row r="35" spans="1:7">
      <c r="A35" s="61" t="s">
        <v>270</v>
      </c>
      <c r="B35" s="61">
        <v>334</v>
      </c>
      <c r="C35" s="9">
        <v>39780</v>
      </c>
      <c r="D35" s="9">
        <v>39840</v>
      </c>
      <c r="E35" s="60">
        <v>27566.66</v>
      </c>
      <c r="F35" s="61">
        <v>0</v>
      </c>
      <c r="G35" s="60">
        <f t="shared" si="0"/>
        <v>566321.78000000014</v>
      </c>
    </row>
    <row r="36" spans="1:7">
      <c r="A36" s="61" t="s">
        <v>270</v>
      </c>
      <c r="B36" s="61">
        <v>335</v>
      </c>
      <c r="C36" s="9">
        <v>39780</v>
      </c>
      <c r="D36" s="9">
        <v>39840</v>
      </c>
      <c r="E36" s="60">
        <v>30140.36</v>
      </c>
      <c r="F36" s="61">
        <v>0</v>
      </c>
      <c r="G36" s="60">
        <f t="shared" si="0"/>
        <v>596462.14000000013</v>
      </c>
    </row>
    <row r="37" spans="1:7">
      <c r="A37" s="61" t="s">
        <v>270</v>
      </c>
      <c r="B37" s="61">
        <v>336</v>
      </c>
      <c r="C37" s="9">
        <v>39780</v>
      </c>
      <c r="D37" s="9">
        <v>39840</v>
      </c>
      <c r="E37" s="60">
        <v>17165.82</v>
      </c>
      <c r="F37" s="61">
        <v>0</v>
      </c>
      <c r="G37" s="60">
        <f t="shared" si="0"/>
        <v>613627.96000000008</v>
      </c>
    </row>
    <row r="38" spans="1:7">
      <c r="A38" s="61" t="s">
        <v>270</v>
      </c>
      <c r="B38" s="61">
        <v>363</v>
      </c>
      <c r="C38" s="9">
        <v>39802</v>
      </c>
      <c r="D38" s="9">
        <v>39862</v>
      </c>
      <c r="E38" s="60">
        <v>13389.37</v>
      </c>
      <c r="F38" s="61">
        <v>0</v>
      </c>
      <c r="G38" s="60">
        <f t="shared" si="0"/>
        <v>627017.33000000007</v>
      </c>
    </row>
    <row r="39" spans="1:7">
      <c r="A39" s="61" t="s">
        <v>270</v>
      </c>
      <c r="B39" s="61">
        <v>370</v>
      </c>
      <c r="C39" s="9">
        <v>39804</v>
      </c>
      <c r="D39" s="9">
        <v>39864</v>
      </c>
      <c r="E39" s="60">
        <v>11861.76</v>
      </c>
      <c r="F39" s="61">
        <v>0</v>
      </c>
      <c r="G39" s="60">
        <f t="shared" si="0"/>
        <v>638879.09000000008</v>
      </c>
    </row>
    <row r="40" spans="1:7">
      <c r="A40" s="61" t="s">
        <v>270</v>
      </c>
      <c r="B40" s="61">
        <v>371</v>
      </c>
      <c r="C40" s="9">
        <v>39804</v>
      </c>
      <c r="D40" s="9">
        <v>39864</v>
      </c>
      <c r="E40" s="60">
        <v>13748.04</v>
      </c>
      <c r="F40" s="61">
        <v>0</v>
      </c>
      <c r="G40" s="60">
        <f t="shared" si="0"/>
        <v>652627.13000000012</v>
      </c>
    </row>
    <row r="41" spans="1:7">
      <c r="A41" s="61" t="s">
        <v>270</v>
      </c>
      <c r="B41" s="61">
        <v>373</v>
      </c>
      <c r="C41" s="9">
        <v>39804</v>
      </c>
      <c r="D41" s="9">
        <v>39864</v>
      </c>
      <c r="E41" s="60">
        <v>24954.44</v>
      </c>
      <c r="F41" s="61">
        <v>0</v>
      </c>
      <c r="G41" s="60">
        <f t="shared" si="0"/>
        <v>677581.57000000007</v>
      </c>
    </row>
    <row r="42" spans="1:7">
      <c r="A42" s="61" t="s">
        <v>270</v>
      </c>
      <c r="B42" s="61">
        <v>374</v>
      </c>
      <c r="C42" s="9">
        <v>39804</v>
      </c>
      <c r="D42" s="9">
        <v>39864</v>
      </c>
      <c r="E42" s="60">
        <v>46604.44</v>
      </c>
      <c r="F42" s="60">
        <v>3523.97</v>
      </c>
      <c r="G42" s="60">
        <f t="shared" si="0"/>
        <v>720662.04</v>
      </c>
    </row>
    <row r="43" spans="1:7">
      <c r="A43" s="61" t="s">
        <v>270</v>
      </c>
      <c r="B43" s="61">
        <v>376</v>
      </c>
      <c r="C43" s="9">
        <v>39804</v>
      </c>
      <c r="D43" s="9">
        <v>39864</v>
      </c>
      <c r="E43" s="60">
        <v>23650.75</v>
      </c>
      <c r="F43" s="61">
        <v>0</v>
      </c>
      <c r="G43" s="60">
        <f t="shared" si="0"/>
        <v>744312.79</v>
      </c>
    </row>
    <row r="44" spans="1:7">
      <c r="A44" s="61" t="s">
        <v>270</v>
      </c>
      <c r="B44" s="61">
        <v>381</v>
      </c>
      <c r="C44" s="9">
        <v>39818</v>
      </c>
      <c r="D44" s="9">
        <v>39878</v>
      </c>
      <c r="E44" s="60">
        <v>44286.239999999998</v>
      </c>
      <c r="F44" s="61">
        <v>0</v>
      </c>
      <c r="G44" s="60">
        <f t="shared" si="0"/>
        <v>788599.03</v>
      </c>
    </row>
    <row r="45" spans="1:7">
      <c r="A45" s="61" t="s">
        <v>270</v>
      </c>
      <c r="B45" s="61">
        <v>382</v>
      </c>
      <c r="C45" s="9">
        <v>39818</v>
      </c>
      <c r="D45" s="9">
        <v>39878</v>
      </c>
      <c r="E45" s="60">
        <v>33723.19</v>
      </c>
      <c r="F45" s="61">
        <v>0</v>
      </c>
      <c r="G45" s="60">
        <f t="shared" si="0"/>
        <v>822322.22</v>
      </c>
    </row>
    <row r="46" spans="1:7">
      <c r="A46" s="61" t="s">
        <v>270</v>
      </c>
      <c r="B46" s="61">
        <v>383</v>
      </c>
      <c r="C46" s="9">
        <v>39818</v>
      </c>
      <c r="D46" s="9">
        <v>39878</v>
      </c>
      <c r="E46" s="60">
        <v>14684.75</v>
      </c>
      <c r="F46" s="61">
        <v>924.03</v>
      </c>
      <c r="G46" s="60">
        <f t="shared" si="0"/>
        <v>836082.94</v>
      </c>
    </row>
    <row r="47" spans="1:7">
      <c r="A47" s="61" t="s">
        <v>270</v>
      </c>
      <c r="B47" s="61">
        <v>396</v>
      </c>
      <c r="C47" s="9">
        <v>39833</v>
      </c>
      <c r="D47" s="9">
        <v>39893</v>
      </c>
      <c r="E47" s="60">
        <v>60586.69</v>
      </c>
      <c r="F47" s="61">
        <v>0</v>
      </c>
      <c r="G47" s="60">
        <f t="shared" si="0"/>
        <v>896669.62999999989</v>
      </c>
    </row>
    <row r="48" spans="1:7">
      <c r="A48" s="61" t="s">
        <v>270</v>
      </c>
      <c r="B48" s="61">
        <v>397</v>
      </c>
      <c r="C48" s="9">
        <v>39833</v>
      </c>
      <c r="D48" s="9">
        <v>39893</v>
      </c>
      <c r="E48" s="60">
        <v>16864.36</v>
      </c>
      <c r="F48" s="61">
        <v>0</v>
      </c>
      <c r="G48" s="60">
        <f t="shared" si="0"/>
        <v>913533.98999999987</v>
      </c>
    </row>
    <row r="49" spans="1:7">
      <c r="A49" s="61" t="s">
        <v>270</v>
      </c>
      <c r="B49" s="61">
        <v>400</v>
      </c>
      <c r="C49" s="9">
        <v>39833</v>
      </c>
      <c r="D49" s="9">
        <v>39893</v>
      </c>
      <c r="E49" s="60">
        <v>14766.57</v>
      </c>
      <c r="F49" s="61">
        <v>0</v>
      </c>
      <c r="G49" s="60">
        <f t="shared" si="0"/>
        <v>928300.55999999982</v>
      </c>
    </row>
    <row r="50" spans="1:7">
      <c r="A50" s="61" t="s">
        <v>270</v>
      </c>
      <c r="B50" s="61">
        <v>401</v>
      </c>
      <c r="C50" s="9">
        <v>39837</v>
      </c>
      <c r="D50" s="9">
        <v>39897</v>
      </c>
      <c r="E50" s="60">
        <v>11699.44</v>
      </c>
      <c r="F50" s="61">
        <v>0</v>
      </c>
      <c r="G50" s="60">
        <f t="shared" si="0"/>
        <v>939999.99999999977</v>
      </c>
    </row>
    <row r="51" spans="1:7">
      <c r="A51" s="61" t="s">
        <v>270</v>
      </c>
      <c r="B51" s="61">
        <v>1495</v>
      </c>
      <c r="C51" s="9">
        <v>41383</v>
      </c>
      <c r="D51" s="9">
        <v>41413</v>
      </c>
      <c r="E51" s="60">
        <v>86950.26</v>
      </c>
      <c r="F51" s="60">
        <v>57855.72</v>
      </c>
      <c r="G51" s="60">
        <f t="shared" si="0"/>
        <v>969094.5399999998</v>
      </c>
    </row>
    <row r="52" spans="1:7">
      <c r="A52" s="61" t="s">
        <v>270</v>
      </c>
      <c r="B52" s="61">
        <v>1496</v>
      </c>
      <c r="C52" s="9">
        <v>41383</v>
      </c>
      <c r="D52" s="9">
        <v>41413</v>
      </c>
      <c r="E52" s="60">
        <v>8665.4699999999993</v>
      </c>
      <c r="F52" s="61">
        <v>0</v>
      </c>
      <c r="G52" s="60">
        <f t="shared" si="0"/>
        <v>977760.00999999978</v>
      </c>
    </row>
    <row r="53" spans="1:7">
      <c r="A53" s="61" t="s">
        <v>270</v>
      </c>
      <c r="B53" s="61">
        <v>1497</v>
      </c>
      <c r="C53" s="9">
        <v>41383</v>
      </c>
      <c r="D53" s="9">
        <v>41413</v>
      </c>
      <c r="E53" s="60">
        <v>9018.33</v>
      </c>
      <c r="F53" s="61">
        <v>0</v>
      </c>
      <c r="G53" s="60">
        <f t="shared" si="0"/>
        <v>986778.33999999973</v>
      </c>
    </row>
    <row r="54" spans="1:7">
      <c r="A54" s="61" t="s">
        <v>270</v>
      </c>
      <c r="B54" s="61">
        <v>1498</v>
      </c>
      <c r="C54" s="9">
        <v>41383</v>
      </c>
      <c r="D54" s="9">
        <v>41413</v>
      </c>
      <c r="E54" s="60">
        <v>20742.46</v>
      </c>
      <c r="F54" s="61">
        <v>0</v>
      </c>
      <c r="G54" s="60">
        <f t="shared" si="0"/>
        <v>1007520.7999999997</v>
      </c>
    </row>
    <row r="55" spans="1:7">
      <c r="A55" s="61" t="s">
        <v>270</v>
      </c>
      <c r="B55" s="61">
        <v>1499</v>
      </c>
      <c r="C55" s="9">
        <v>41397</v>
      </c>
      <c r="D55" s="9">
        <v>41427</v>
      </c>
      <c r="E55" s="60">
        <v>41650.699999999997</v>
      </c>
      <c r="F55" s="61">
        <v>0</v>
      </c>
      <c r="G55" s="60">
        <f t="shared" si="0"/>
        <v>1049171.4999999998</v>
      </c>
    </row>
    <row r="56" spans="1:7">
      <c r="A56" s="61" t="s">
        <v>270</v>
      </c>
      <c r="B56" s="61">
        <v>1500</v>
      </c>
      <c r="C56" s="9">
        <v>41397</v>
      </c>
      <c r="D56" s="9">
        <v>41427</v>
      </c>
      <c r="E56" s="60">
        <v>4250.45</v>
      </c>
      <c r="F56" s="61">
        <v>0</v>
      </c>
      <c r="G56" s="60">
        <f t="shared" si="0"/>
        <v>1053421.9499999997</v>
      </c>
    </row>
    <row r="57" spans="1:7">
      <c r="A57" s="61" t="s">
        <v>270</v>
      </c>
      <c r="B57" s="61">
        <v>1501</v>
      </c>
      <c r="C57" s="9">
        <v>41397</v>
      </c>
      <c r="D57" s="9">
        <v>41427</v>
      </c>
      <c r="E57" s="60">
        <v>30238.1</v>
      </c>
      <c r="F57" s="61">
        <v>0</v>
      </c>
      <c r="G57" s="60">
        <f t="shared" si="0"/>
        <v>1083660.0499999998</v>
      </c>
    </row>
    <row r="58" spans="1:7">
      <c r="A58" s="61" t="s">
        <v>270</v>
      </c>
      <c r="B58" s="61">
        <v>1502</v>
      </c>
      <c r="C58" s="9">
        <v>41397</v>
      </c>
      <c r="D58" s="9">
        <v>41427</v>
      </c>
      <c r="E58" s="60">
        <v>6216.84</v>
      </c>
      <c r="F58" s="61">
        <v>0</v>
      </c>
      <c r="G58" s="60">
        <f t="shared" si="0"/>
        <v>1089876.8899999999</v>
      </c>
    </row>
    <row r="59" spans="1:7">
      <c r="A59" s="61" t="s">
        <v>270</v>
      </c>
      <c r="B59" s="61">
        <v>1503</v>
      </c>
      <c r="C59" s="9">
        <v>41411</v>
      </c>
      <c r="D59" s="9">
        <v>41441</v>
      </c>
      <c r="E59" s="60">
        <v>20995.77</v>
      </c>
      <c r="F59" s="61">
        <v>0</v>
      </c>
      <c r="G59" s="60">
        <f t="shared" si="0"/>
        <v>1110872.6599999999</v>
      </c>
    </row>
    <row r="60" spans="1:7">
      <c r="A60" s="61" t="s">
        <v>270</v>
      </c>
      <c r="B60" s="61">
        <v>1504</v>
      </c>
      <c r="C60" s="9">
        <v>41411</v>
      </c>
      <c r="D60" s="9">
        <v>41441</v>
      </c>
      <c r="E60" s="60">
        <v>9856.4599999999991</v>
      </c>
      <c r="F60" s="61">
        <v>0</v>
      </c>
      <c r="G60" s="60">
        <f t="shared" si="0"/>
        <v>1120729.1199999999</v>
      </c>
    </row>
    <row r="61" spans="1:7">
      <c r="A61" s="61" t="s">
        <v>270</v>
      </c>
      <c r="B61" s="61">
        <v>1505</v>
      </c>
      <c r="C61" s="9">
        <v>41411</v>
      </c>
      <c r="D61" s="9">
        <v>41441</v>
      </c>
      <c r="E61" s="60">
        <v>16444.07</v>
      </c>
      <c r="F61" s="61">
        <v>0</v>
      </c>
      <c r="G61" s="60">
        <f t="shared" si="0"/>
        <v>1137173.19</v>
      </c>
    </row>
    <row r="62" spans="1:7">
      <c r="A62" s="61" t="s">
        <v>270</v>
      </c>
      <c r="B62" s="61">
        <v>1506</v>
      </c>
      <c r="C62" s="9">
        <v>41411</v>
      </c>
      <c r="D62" s="9">
        <v>41441</v>
      </c>
      <c r="E62" s="60">
        <v>6201.68</v>
      </c>
      <c r="F62" s="61">
        <v>0</v>
      </c>
      <c r="G62" s="60">
        <f t="shared" si="0"/>
        <v>1143374.8699999999</v>
      </c>
    </row>
    <row r="63" spans="1:7">
      <c r="A63" s="61" t="s">
        <v>270</v>
      </c>
      <c r="B63" s="61">
        <v>1507</v>
      </c>
      <c r="C63" s="9">
        <v>41411</v>
      </c>
      <c r="D63" s="9">
        <v>41441</v>
      </c>
      <c r="E63" s="60">
        <v>4017.9</v>
      </c>
      <c r="F63" s="61">
        <v>0</v>
      </c>
      <c r="G63" s="60">
        <f t="shared" si="0"/>
        <v>1147392.7699999998</v>
      </c>
    </row>
    <row r="64" spans="1:7">
      <c r="A64" s="61" t="s">
        <v>270</v>
      </c>
      <c r="B64" s="61">
        <v>1508</v>
      </c>
      <c r="C64" s="9">
        <v>41424</v>
      </c>
      <c r="D64" s="9">
        <v>41454</v>
      </c>
      <c r="E64" s="60">
        <v>10453.11</v>
      </c>
      <c r="F64" s="61">
        <v>0</v>
      </c>
      <c r="G64" s="60">
        <f t="shared" si="0"/>
        <v>1157845.8799999999</v>
      </c>
    </row>
    <row r="65" spans="1:7">
      <c r="A65" s="61" t="s">
        <v>270</v>
      </c>
      <c r="B65" s="61">
        <v>1509</v>
      </c>
      <c r="C65" s="9">
        <v>41424</v>
      </c>
      <c r="D65" s="9">
        <v>41454</v>
      </c>
      <c r="E65" s="60">
        <v>19031.48</v>
      </c>
      <c r="F65" s="61">
        <v>0</v>
      </c>
      <c r="G65" s="60">
        <f t="shared" si="0"/>
        <v>1176877.3599999999</v>
      </c>
    </row>
    <row r="66" spans="1:7">
      <c r="A66" s="61" t="s">
        <v>270</v>
      </c>
      <c r="B66" s="61">
        <v>1510</v>
      </c>
      <c r="C66" s="9">
        <v>41424</v>
      </c>
      <c r="D66" s="9">
        <v>41454</v>
      </c>
      <c r="E66" s="60">
        <v>7501.09</v>
      </c>
      <c r="F66" s="61">
        <v>0</v>
      </c>
      <c r="G66" s="60">
        <f t="shared" si="0"/>
        <v>1184378.45</v>
      </c>
    </row>
    <row r="67" spans="1:7">
      <c r="A67" s="61" t="s">
        <v>270</v>
      </c>
      <c r="B67" s="61">
        <v>1511</v>
      </c>
      <c r="C67" s="9">
        <v>41424</v>
      </c>
      <c r="D67" s="9">
        <v>41454</v>
      </c>
      <c r="E67" s="60">
        <v>8700</v>
      </c>
      <c r="F67" s="61">
        <v>0</v>
      </c>
      <c r="G67" s="60">
        <f t="shared" si="0"/>
        <v>1193078.45</v>
      </c>
    </row>
    <row r="68" spans="1:7">
      <c r="A68" s="61" t="s">
        <v>270</v>
      </c>
      <c r="B68" s="61">
        <v>1512</v>
      </c>
      <c r="C68" s="9">
        <v>41424</v>
      </c>
      <c r="D68" s="9">
        <v>41454</v>
      </c>
      <c r="E68" s="60">
        <v>13665.26</v>
      </c>
      <c r="F68" s="61">
        <v>0</v>
      </c>
      <c r="G68" s="60">
        <f t="shared" si="0"/>
        <v>1206743.71</v>
      </c>
    </row>
    <row r="69" spans="1:7">
      <c r="A69" s="61" t="s">
        <v>270</v>
      </c>
      <c r="B69" s="61">
        <v>1513</v>
      </c>
      <c r="C69" s="9">
        <v>41424</v>
      </c>
      <c r="D69" s="9">
        <v>41454</v>
      </c>
      <c r="E69" s="60">
        <v>1757.13</v>
      </c>
      <c r="F69" s="61">
        <v>0</v>
      </c>
      <c r="G69" s="60">
        <f t="shared" si="0"/>
        <v>1208500.8399999999</v>
      </c>
    </row>
    <row r="70" spans="1:7">
      <c r="A70" s="61" t="s">
        <v>270</v>
      </c>
      <c r="B70" s="61">
        <v>1514</v>
      </c>
      <c r="C70" s="9">
        <v>41424</v>
      </c>
      <c r="D70" s="9">
        <v>41454</v>
      </c>
      <c r="E70" s="60">
        <v>9159.06</v>
      </c>
      <c r="F70" s="61">
        <v>0</v>
      </c>
      <c r="G70" s="60">
        <f t="shared" si="0"/>
        <v>1217659.8999999999</v>
      </c>
    </row>
    <row r="71" spans="1:7">
      <c r="A71" s="61" t="s">
        <v>270</v>
      </c>
      <c r="B71" s="61">
        <v>1515</v>
      </c>
      <c r="C71" s="9">
        <v>41424</v>
      </c>
      <c r="D71" s="9">
        <v>41454</v>
      </c>
      <c r="E71" s="61">
        <v>826.5</v>
      </c>
      <c r="F71" s="61">
        <v>0</v>
      </c>
      <c r="G71" s="60">
        <f t="shared" si="0"/>
        <v>1218486.3999999999</v>
      </c>
    </row>
    <row r="72" spans="1:7">
      <c r="A72" s="61" t="s">
        <v>270</v>
      </c>
      <c r="B72" s="61">
        <v>1519</v>
      </c>
      <c r="C72" s="9">
        <v>41432</v>
      </c>
      <c r="D72" s="9">
        <v>41462</v>
      </c>
      <c r="E72" s="60">
        <v>10311.39</v>
      </c>
      <c r="F72" s="61">
        <v>145</v>
      </c>
      <c r="G72" s="60">
        <f t="shared" si="0"/>
        <v>1228652.7899999998</v>
      </c>
    </row>
    <row r="73" spans="1:7">
      <c r="A73" s="61" t="s">
        <v>270</v>
      </c>
      <c r="B73" s="61">
        <v>1520</v>
      </c>
      <c r="C73" s="9">
        <v>41432</v>
      </c>
      <c r="D73" s="9">
        <v>41462</v>
      </c>
      <c r="E73" s="60">
        <v>3927.68</v>
      </c>
      <c r="F73" s="61">
        <v>0</v>
      </c>
      <c r="G73" s="60">
        <f t="shared" si="0"/>
        <v>1232580.4699999997</v>
      </c>
    </row>
    <row r="74" spans="1:7">
      <c r="A74" s="61" t="s">
        <v>270</v>
      </c>
      <c r="B74" s="61">
        <v>1521</v>
      </c>
      <c r="C74" s="9">
        <v>41437</v>
      </c>
      <c r="D74" s="9">
        <v>41467</v>
      </c>
      <c r="E74" s="61">
        <v>87</v>
      </c>
      <c r="F74" s="61">
        <v>0</v>
      </c>
      <c r="G74" s="60">
        <f t="shared" si="0"/>
        <v>1232667.4699999997</v>
      </c>
    </row>
    <row r="75" spans="1:7">
      <c r="A75" s="61" t="s">
        <v>270</v>
      </c>
      <c r="B75" s="61">
        <v>1522</v>
      </c>
      <c r="C75" s="9">
        <v>41438</v>
      </c>
      <c r="D75" s="9">
        <v>41468</v>
      </c>
      <c r="E75" s="60">
        <v>13426.38</v>
      </c>
      <c r="F75" s="61">
        <v>0</v>
      </c>
      <c r="G75" s="60">
        <f t="shared" si="0"/>
        <v>1246093.8499999996</v>
      </c>
    </row>
    <row r="76" spans="1:7">
      <c r="A76" s="61" t="s">
        <v>270</v>
      </c>
      <c r="B76" s="61">
        <v>1523</v>
      </c>
      <c r="C76" s="9">
        <v>41438</v>
      </c>
      <c r="D76" s="9">
        <v>41468</v>
      </c>
      <c r="E76" s="60">
        <v>25444.31</v>
      </c>
      <c r="F76" s="61">
        <v>0</v>
      </c>
      <c r="G76" s="60">
        <f t="shared" si="0"/>
        <v>1271538.1599999997</v>
      </c>
    </row>
    <row r="77" spans="1:7">
      <c r="A77" s="61" t="s">
        <v>270</v>
      </c>
      <c r="B77" s="61">
        <v>1524</v>
      </c>
      <c r="C77" s="9">
        <v>41438</v>
      </c>
      <c r="D77" s="9">
        <v>41468</v>
      </c>
      <c r="E77" s="60">
        <v>9272.1200000000008</v>
      </c>
      <c r="F77" s="61">
        <v>0</v>
      </c>
      <c r="G77" s="60">
        <f t="shared" ref="G77:G89" si="1">G76+E77-F77</f>
        <v>1280810.2799999998</v>
      </c>
    </row>
    <row r="78" spans="1:7">
      <c r="A78" s="61" t="s">
        <v>270</v>
      </c>
      <c r="B78" s="61">
        <v>1526</v>
      </c>
      <c r="C78" s="9">
        <v>41432</v>
      </c>
      <c r="D78" s="9">
        <v>41462</v>
      </c>
      <c r="E78" s="60">
        <v>4027.06</v>
      </c>
      <c r="F78" s="61">
        <v>0</v>
      </c>
      <c r="G78" s="60">
        <f t="shared" si="1"/>
        <v>1284837.3399999999</v>
      </c>
    </row>
    <row r="79" spans="1:7">
      <c r="A79" s="61" t="s">
        <v>270</v>
      </c>
      <c r="B79" s="61">
        <v>1527</v>
      </c>
      <c r="C79" s="9">
        <v>41432</v>
      </c>
      <c r="D79" s="9">
        <v>41462</v>
      </c>
      <c r="E79" s="60">
        <v>14706.79</v>
      </c>
      <c r="F79" s="61">
        <v>0</v>
      </c>
      <c r="G79" s="60">
        <f t="shared" si="1"/>
        <v>1299544.1299999999</v>
      </c>
    </row>
    <row r="80" spans="1:7">
      <c r="A80" s="61" t="s">
        <v>270</v>
      </c>
      <c r="B80" s="61">
        <v>1529</v>
      </c>
      <c r="C80" s="9">
        <v>41446</v>
      </c>
      <c r="D80" s="9">
        <v>41476</v>
      </c>
      <c r="E80" s="60">
        <v>17432.599999999999</v>
      </c>
      <c r="F80" s="61">
        <v>0</v>
      </c>
      <c r="G80" s="60">
        <f t="shared" si="1"/>
        <v>1316976.73</v>
      </c>
    </row>
    <row r="81" spans="1:7">
      <c r="A81" s="61" t="s">
        <v>270</v>
      </c>
      <c r="B81" s="61">
        <v>1530</v>
      </c>
      <c r="C81" s="9">
        <v>41452</v>
      </c>
      <c r="D81" s="9">
        <v>41482</v>
      </c>
      <c r="E81" s="60">
        <v>19126.28</v>
      </c>
      <c r="F81" s="61">
        <v>0</v>
      </c>
      <c r="G81" s="60">
        <f t="shared" si="1"/>
        <v>1336103.01</v>
      </c>
    </row>
    <row r="82" spans="1:7">
      <c r="A82" s="61" t="s">
        <v>270</v>
      </c>
      <c r="B82" s="61">
        <v>1531</v>
      </c>
      <c r="C82" s="9">
        <v>41452</v>
      </c>
      <c r="D82" s="9">
        <v>41482</v>
      </c>
      <c r="E82" s="60">
        <v>28119.25</v>
      </c>
      <c r="F82" s="60">
        <v>3655.42</v>
      </c>
      <c r="G82" s="60">
        <f t="shared" si="1"/>
        <v>1360566.84</v>
      </c>
    </row>
    <row r="83" spans="1:7">
      <c r="A83" s="61" t="s">
        <v>270</v>
      </c>
      <c r="B83" s="61">
        <v>1535</v>
      </c>
      <c r="C83" s="9">
        <v>41466</v>
      </c>
      <c r="D83" s="9">
        <v>41496</v>
      </c>
      <c r="E83" s="60">
        <v>15686.91</v>
      </c>
      <c r="F83" s="60">
        <v>3230.02</v>
      </c>
      <c r="G83" s="60">
        <f t="shared" si="1"/>
        <v>1373023.73</v>
      </c>
    </row>
    <row r="84" spans="1:7">
      <c r="A84" s="61" t="s">
        <v>270</v>
      </c>
      <c r="B84" s="61">
        <v>1536</v>
      </c>
      <c r="C84" s="9">
        <v>41465</v>
      </c>
      <c r="D84" s="9">
        <v>41495</v>
      </c>
      <c r="E84" s="60">
        <v>4707.74</v>
      </c>
      <c r="F84" s="61">
        <v>0</v>
      </c>
      <c r="G84" s="60">
        <f t="shared" si="1"/>
        <v>1377731.47</v>
      </c>
    </row>
    <row r="85" spans="1:7">
      <c r="A85" s="61" t="s">
        <v>270</v>
      </c>
      <c r="B85" s="61">
        <v>1538</v>
      </c>
      <c r="C85" s="9">
        <v>41474</v>
      </c>
      <c r="D85" s="9">
        <v>41504</v>
      </c>
      <c r="E85" s="60">
        <v>6424.74</v>
      </c>
      <c r="F85" s="61">
        <v>0</v>
      </c>
      <c r="G85" s="60">
        <f t="shared" si="1"/>
        <v>1384156.21</v>
      </c>
    </row>
    <row r="86" spans="1:7">
      <c r="A86" s="61" t="s">
        <v>270</v>
      </c>
      <c r="B86" s="61">
        <v>1540</v>
      </c>
      <c r="C86" s="9">
        <v>41481</v>
      </c>
      <c r="D86" s="9">
        <v>41511</v>
      </c>
      <c r="E86" s="60">
        <v>17880.650000000001</v>
      </c>
      <c r="F86" s="61">
        <v>0</v>
      </c>
      <c r="G86" s="60">
        <f t="shared" si="1"/>
        <v>1402036.8599999999</v>
      </c>
    </row>
    <row r="87" spans="1:7">
      <c r="A87" s="61" t="s">
        <v>270</v>
      </c>
      <c r="B87" s="61">
        <v>1541</v>
      </c>
      <c r="C87" s="9">
        <v>41488</v>
      </c>
      <c r="D87" s="9">
        <v>41518</v>
      </c>
      <c r="E87" s="60">
        <v>3245.59</v>
      </c>
      <c r="F87" s="61">
        <v>0</v>
      </c>
      <c r="G87" s="60">
        <f t="shared" si="1"/>
        <v>1405282.45</v>
      </c>
    </row>
    <row r="88" spans="1:7">
      <c r="A88" s="61" t="s">
        <v>270</v>
      </c>
      <c r="B88" s="61">
        <v>1543</v>
      </c>
      <c r="C88" s="9">
        <v>41495</v>
      </c>
      <c r="D88" s="9">
        <v>41525</v>
      </c>
      <c r="E88" s="60">
        <v>28126.78</v>
      </c>
      <c r="F88" s="61">
        <v>0</v>
      </c>
      <c r="G88" s="60">
        <f t="shared" si="1"/>
        <v>1433409.23</v>
      </c>
    </row>
    <row r="89" spans="1:7">
      <c r="A89" s="61" t="s">
        <v>270</v>
      </c>
      <c r="B89" s="61">
        <v>1550</v>
      </c>
      <c r="C89" s="9">
        <v>41502</v>
      </c>
      <c r="D89" s="9">
        <v>41532</v>
      </c>
      <c r="E89" s="60">
        <v>2249.3200000000002</v>
      </c>
      <c r="F89" s="61">
        <v>0</v>
      </c>
      <c r="G89" s="60">
        <f t="shared" si="1"/>
        <v>1435658.55</v>
      </c>
    </row>
    <row r="90" spans="1:7">
      <c r="E90" s="60">
        <f>SUM(E11:E89)</f>
        <v>1537043.75</v>
      </c>
      <c r="F90" s="60">
        <f>SUM(F11:F89)</f>
        <v>101385.20000000001</v>
      </c>
      <c r="G90" s="60">
        <f>E90-F90</f>
        <v>1435658.55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1"/>
  <dimension ref="A1:GF634"/>
  <sheetViews>
    <sheetView zoomScale="110" zoomScaleNormal="110" workbookViewId="0">
      <selection activeCell="B51" sqref="B51"/>
    </sheetView>
  </sheetViews>
  <sheetFormatPr baseColWidth="10" defaultRowHeight="15"/>
  <cols>
    <col min="1" max="1" width="49.5703125" bestFit="1" customWidth="1"/>
    <col min="2" max="2" width="13" style="6" bestFit="1" customWidth="1"/>
    <col min="3" max="3" width="13.7109375" bestFit="1" customWidth="1"/>
    <col min="4" max="5" width="13.28515625" bestFit="1" customWidth="1"/>
    <col min="6" max="6" width="15.5703125" style="23" bestFit="1" customWidth="1"/>
    <col min="7" max="7" width="15.42578125" bestFit="1" customWidth="1"/>
    <col min="8" max="8" width="16.28515625" customWidth="1"/>
    <col min="9" max="9" width="31.85546875" bestFit="1" customWidth="1"/>
    <col min="10" max="10" width="30.85546875" bestFit="1" customWidth="1"/>
    <col min="11" max="11" width="14.140625" bestFit="1" customWidth="1"/>
  </cols>
  <sheetData>
    <row r="1" spans="1:9" ht="15.75" thickBot="1">
      <c r="A1" s="7" t="s">
        <v>0</v>
      </c>
      <c r="B1" s="7" t="s">
        <v>42</v>
      </c>
      <c r="C1" s="7" t="s">
        <v>1</v>
      </c>
      <c r="D1" s="7" t="s">
        <v>2</v>
      </c>
      <c r="E1" s="7" t="s">
        <v>4</v>
      </c>
      <c r="F1" s="7" t="s">
        <v>5</v>
      </c>
      <c r="G1" s="7" t="s">
        <v>3</v>
      </c>
    </row>
    <row r="2" spans="1:9">
      <c r="A2" s="8" t="s">
        <v>22</v>
      </c>
      <c r="B2" s="33"/>
      <c r="C2" s="11">
        <v>40815</v>
      </c>
      <c r="D2" s="4">
        <v>12300</v>
      </c>
      <c r="E2" s="5">
        <f>6000+6000</f>
        <v>12000</v>
      </c>
      <c r="F2" s="22">
        <f>D2-E2</f>
        <v>300</v>
      </c>
      <c r="G2" s="12">
        <f>+C2+30</f>
        <v>40845</v>
      </c>
      <c r="H2" t="s">
        <v>40</v>
      </c>
      <c r="I2" s="17" t="s">
        <v>23</v>
      </c>
    </row>
    <row r="3" spans="1:9">
      <c r="A3" s="8" t="s">
        <v>22</v>
      </c>
      <c r="B3" s="33"/>
      <c r="C3" s="11">
        <v>40952</v>
      </c>
      <c r="D3" s="4">
        <v>20000</v>
      </c>
      <c r="E3" s="5">
        <f>5000+5000+5000+4850</f>
        <v>19850</v>
      </c>
      <c r="F3" s="22">
        <f>D3-E3</f>
        <v>150</v>
      </c>
      <c r="G3" s="12">
        <f>+C3+30</f>
        <v>40982</v>
      </c>
      <c r="H3" t="s">
        <v>39</v>
      </c>
      <c r="I3" s="17" t="s">
        <v>30</v>
      </c>
    </row>
    <row r="4" spans="1:9">
      <c r="A4" s="14" t="s">
        <v>32</v>
      </c>
      <c r="B4" s="33"/>
      <c r="C4" s="12"/>
      <c r="D4" s="4"/>
      <c r="E4" s="10"/>
      <c r="G4" s="12"/>
    </row>
    <row r="5" spans="1:9">
      <c r="A5" s="8" t="s">
        <v>17</v>
      </c>
      <c r="B5" s="33"/>
      <c r="C5" s="12"/>
      <c r="D5" s="4">
        <v>960000</v>
      </c>
      <c r="E5" s="10">
        <f>10000+5000+5000</f>
        <v>20000</v>
      </c>
      <c r="F5" s="4">
        <f>D5-E5</f>
        <v>940000</v>
      </c>
      <c r="G5" s="12"/>
    </row>
    <row r="6" spans="1:9">
      <c r="A6" s="8" t="s">
        <v>16</v>
      </c>
      <c r="B6" s="33"/>
      <c r="C6" s="12"/>
      <c r="D6" s="4">
        <v>250000</v>
      </c>
      <c r="E6" s="10">
        <f>5000+5000</f>
        <v>10000</v>
      </c>
      <c r="F6" s="4">
        <f>D6-E6</f>
        <v>240000</v>
      </c>
      <c r="G6" s="12"/>
      <c r="H6" s="9"/>
    </row>
    <row r="7" spans="1:9">
      <c r="A7" s="8"/>
      <c r="B7" s="33"/>
      <c r="C7" s="12"/>
      <c r="D7" s="4"/>
      <c r="E7" s="10"/>
      <c r="F7" s="80">
        <f>SUM(F5:F6)</f>
        <v>1180000</v>
      </c>
      <c r="G7" s="12"/>
      <c r="H7" s="9"/>
    </row>
    <row r="8" spans="1:9">
      <c r="A8" s="8" t="s">
        <v>12</v>
      </c>
      <c r="B8" s="34" t="s">
        <v>97</v>
      </c>
      <c r="C8" s="12">
        <v>41383</v>
      </c>
      <c r="D8" s="22">
        <f>57456.99+86950.42+8665.47+9018.34+20742.48</f>
        <v>182833.7</v>
      </c>
      <c r="E8" s="10">
        <f>12833.7+6000+3500+10500+15500+15500+7000+4500+5000+3500+1500+3000+1500+579+2800+3600+1150+3000+1525+525+5000+500+1800+5000</f>
        <v>115312.7</v>
      </c>
      <c r="F8" s="22">
        <f>D8-E8</f>
        <v>67521.000000000015</v>
      </c>
      <c r="G8" s="12">
        <f>+C8+50</f>
        <v>41433</v>
      </c>
      <c r="H8" s="9">
        <f>+C8+60</f>
        <v>41443</v>
      </c>
    </row>
    <row r="9" spans="1:9">
      <c r="A9" s="8" t="s">
        <v>12</v>
      </c>
      <c r="B9" s="34" t="s">
        <v>98</v>
      </c>
      <c r="C9" s="12">
        <v>41397</v>
      </c>
      <c r="D9" s="22">
        <f>41650.78+4250.46+30238.16+6216.85</f>
        <v>82356.25</v>
      </c>
      <c r="E9" s="10"/>
      <c r="F9" s="22">
        <f>D9-E9</f>
        <v>82356.25</v>
      </c>
      <c r="G9" s="12">
        <f>+C9+50</f>
        <v>41447</v>
      </c>
      <c r="H9" s="9">
        <f>+C9+60</f>
        <v>41457</v>
      </c>
    </row>
    <row r="10" spans="1:9">
      <c r="A10" s="8" t="s">
        <v>12</v>
      </c>
      <c r="B10" s="34" t="s">
        <v>99</v>
      </c>
      <c r="C10" s="12">
        <v>41411</v>
      </c>
      <c r="D10" s="22">
        <f>20995.82+9856.46+16444.1+6201.67+4017.92</f>
        <v>57515.969999999994</v>
      </c>
      <c r="E10" s="10"/>
      <c r="F10" s="22">
        <f>D10-E10</f>
        <v>57515.969999999994</v>
      </c>
      <c r="G10" s="12">
        <f>+C10+50</f>
        <v>41461</v>
      </c>
      <c r="H10" s="9">
        <f>+C10+60</f>
        <v>41471</v>
      </c>
    </row>
    <row r="11" spans="1:9">
      <c r="A11" s="8" t="s">
        <v>12</v>
      </c>
      <c r="B11" s="34" t="s">
        <v>100</v>
      </c>
      <c r="C11" s="12">
        <v>41424</v>
      </c>
      <c r="D11" s="22">
        <f>10453.12+19031.55+7501.16+8700+13665.27+1757.15+9159.06+826.5</f>
        <v>71093.810000000012</v>
      </c>
      <c r="E11" s="10"/>
      <c r="F11" s="22">
        <f t="shared" ref="F11:F24" si="0">D11-E11</f>
        <v>71093.810000000012</v>
      </c>
      <c r="G11" s="12">
        <f t="shared" ref="G11:G24" si="1">+C11+50</f>
        <v>41474</v>
      </c>
      <c r="H11" s="9">
        <f t="shared" ref="H11:H24" si="2">+C11+60</f>
        <v>41484</v>
      </c>
    </row>
    <row r="12" spans="1:9">
      <c r="A12" s="8" t="s">
        <v>12</v>
      </c>
      <c r="B12" s="34" t="s">
        <v>101</v>
      </c>
      <c r="C12" s="12">
        <v>41432</v>
      </c>
      <c r="D12" s="22">
        <f>10311.38-145+3927.7</f>
        <v>14094.079999999998</v>
      </c>
      <c r="E12" s="10"/>
      <c r="F12" s="22">
        <f t="shared" si="0"/>
        <v>14094.079999999998</v>
      </c>
      <c r="G12" s="12">
        <f t="shared" si="1"/>
        <v>41482</v>
      </c>
      <c r="H12" s="9">
        <f t="shared" si="2"/>
        <v>41492</v>
      </c>
    </row>
    <row r="13" spans="1:9">
      <c r="A13" s="8" t="s">
        <v>12</v>
      </c>
      <c r="B13" s="34" t="s">
        <v>104</v>
      </c>
      <c r="C13" s="12">
        <v>41432</v>
      </c>
      <c r="D13" s="22">
        <f>4027.07+14707.99</f>
        <v>18735.060000000001</v>
      </c>
      <c r="E13" s="10"/>
      <c r="F13" s="22">
        <f>D13-E13</f>
        <v>18735.060000000001</v>
      </c>
      <c r="G13" s="12">
        <f>+C13+50</f>
        <v>41482</v>
      </c>
      <c r="H13" s="9">
        <f t="shared" si="2"/>
        <v>41492</v>
      </c>
    </row>
    <row r="14" spans="1:9">
      <c r="A14" s="8" t="s">
        <v>12</v>
      </c>
      <c r="B14" s="34">
        <v>1521</v>
      </c>
      <c r="C14" s="12">
        <v>41437</v>
      </c>
      <c r="D14" s="22">
        <v>87</v>
      </c>
      <c r="E14" s="10"/>
      <c r="F14" s="22">
        <f>D14-E14</f>
        <v>87</v>
      </c>
      <c r="G14" s="12">
        <f>+C14+50</f>
        <v>41487</v>
      </c>
      <c r="H14" s="9">
        <f t="shared" si="2"/>
        <v>41497</v>
      </c>
    </row>
    <row r="15" spans="1:9">
      <c r="A15" s="8" t="s">
        <v>12</v>
      </c>
      <c r="B15" s="34" t="s">
        <v>102</v>
      </c>
      <c r="C15" s="12">
        <v>41438</v>
      </c>
      <c r="D15" s="22">
        <f>13426.42+25444.36+9272.14</f>
        <v>48142.92</v>
      </c>
      <c r="E15" s="10"/>
      <c r="F15" s="22">
        <f t="shared" si="0"/>
        <v>48142.92</v>
      </c>
      <c r="G15" s="12">
        <f>+C15+50</f>
        <v>41488</v>
      </c>
      <c r="H15" s="9">
        <f t="shared" si="2"/>
        <v>41498</v>
      </c>
    </row>
    <row r="16" spans="1:9">
      <c r="A16" s="8" t="s">
        <v>12</v>
      </c>
      <c r="B16" s="34">
        <v>1529</v>
      </c>
      <c r="C16" s="12">
        <v>41446</v>
      </c>
      <c r="D16" s="22">
        <v>17432.599999999999</v>
      </c>
      <c r="E16" s="10"/>
      <c r="F16" s="22">
        <f t="shared" si="0"/>
        <v>17432.599999999999</v>
      </c>
      <c r="G16" s="12">
        <f>+C16+50</f>
        <v>41496</v>
      </c>
      <c r="H16" s="9">
        <f t="shared" si="2"/>
        <v>41506</v>
      </c>
    </row>
    <row r="17" spans="1:10">
      <c r="A17" s="8" t="s">
        <v>12</v>
      </c>
      <c r="B17" s="34" t="s">
        <v>106</v>
      </c>
      <c r="C17" s="12">
        <v>41452</v>
      </c>
      <c r="D17" s="22">
        <f>19126.27+28119.33</f>
        <v>47245.600000000006</v>
      </c>
      <c r="E17" s="10">
        <f>3655.44</f>
        <v>3655.44</v>
      </c>
      <c r="F17" s="22">
        <f t="shared" si="0"/>
        <v>43590.16</v>
      </c>
      <c r="G17" s="12">
        <f t="shared" si="1"/>
        <v>41502</v>
      </c>
      <c r="H17" s="9">
        <f t="shared" si="2"/>
        <v>41512</v>
      </c>
    </row>
    <row r="18" spans="1:10">
      <c r="A18" s="8" t="s">
        <v>12</v>
      </c>
      <c r="B18" s="34">
        <v>1536</v>
      </c>
      <c r="C18" s="12">
        <v>41465</v>
      </c>
      <c r="D18" s="22">
        <v>4707.74</v>
      </c>
      <c r="E18" s="10"/>
      <c r="F18" s="22">
        <f t="shared" si="0"/>
        <v>4707.74</v>
      </c>
      <c r="G18" s="12">
        <f t="shared" si="1"/>
        <v>41515</v>
      </c>
      <c r="H18" s="9">
        <f t="shared" si="2"/>
        <v>41525</v>
      </c>
    </row>
    <row r="19" spans="1:10">
      <c r="A19" s="8" t="s">
        <v>12</v>
      </c>
      <c r="B19" s="34">
        <v>1535</v>
      </c>
      <c r="C19" s="12">
        <v>41466</v>
      </c>
      <c r="D19" s="22">
        <v>15686.94</v>
      </c>
      <c r="E19" s="10">
        <f>3230.02</f>
        <v>3230.02</v>
      </c>
      <c r="F19" s="22">
        <f t="shared" si="0"/>
        <v>12456.92</v>
      </c>
      <c r="G19" s="12">
        <f t="shared" si="1"/>
        <v>41516</v>
      </c>
      <c r="H19" s="9">
        <f t="shared" si="2"/>
        <v>41526</v>
      </c>
    </row>
    <row r="20" spans="1:10">
      <c r="A20" s="8" t="s">
        <v>12</v>
      </c>
      <c r="B20" s="34">
        <v>1538</v>
      </c>
      <c r="C20" s="12">
        <v>41474</v>
      </c>
      <c r="D20" s="22">
        <v>6424.74</v>
      </c>
      <c r="E20" s="10"/>
      <c r="F20" s="22">
        <f t="shared" si="0"/>
        <v>6424.74</v>
      </c>
      <c r="G20" s="12">
        <f t="shared" si="1"/>
        <v>41524</v>
      </c>
      <c r="H20" s="9">
        <f t="shared" si="2"/>
        <v>41534</v>
      </c>
    </row>
    <row r="21" spans="1:10">
      <c r="A21" s="8" t="s">
        <v>12</v>
      </c>
      <c r="B21" s="34">
        <v>1540</v>
      </c>
      <c r="C21" s="12">
        <v>41481</v>
      </c>
      <c r="D21" s="22">
        <v>17880.66</v>
      </c>
      <c r="E21" s="10"/>
      <c r="F21" s="22">
        <f t="shared" si="0"/>
        <v>17880.66</v>
      </c>
      <c r="G21" s="12">
        <f t="shared" si="1"/>
        <v>41531</v>
      </c>
      <c r="H21" s="9">
        <f t="shared" si="2"/>
        <v>41541</v>
      </c>
    </row>
    <row r="22" spans="1:10">
      <c r="A22" s="8" t="s">
        <v>12</v>
      </c>
      <c r="B22" s="34">
        <v>1541</v>
      </c>
      <c r="C22" s="12">
        <v>41488</v>
      </c>
      <c r="D22" s="22">
        <v>3245.6</v>
      </c>
      <c r="E22" s="10"/>
      <c r="F22" s="22">
        <f t="shared" si="0"/>
        <v>3245.6</v>
      </c>
      <c r="G22" s="12">
        <f t="shared" si="1"/>
        <v>41538</v>
      </c>
      <c r="H22" s="9">
        <f t="shared" si="2"/>
        <v>41548</v>
      </c>
    </row>
    <row r="23" spans="1:10">
      <c r="A23" s="8" t="s">
        <v>12</v>
      </c>
      <c r="B23" s="34">
        <v>1543</v>
      </c>
      <c r="C23" s="12">
        <v>41495</v>
      </c>
      <c r="D23" s="22">
        <v>28126.799999999999</v>
      </c>
      <c r="E23" s="10"/>
      <c r="F23" s="22">
        <f t="shared" si="0"/>
        <v>28126.799999999999</v>
      </c>
      <c r="G23" s="12">
        <f t="shared" si="1"/>
        <v>41545</v>
      </c>
      <c r="H23" s="9">
        <f t="shared" si="2"/>
        <v>41555</v>
      </c>
    </row>
    <row r="24" spans="1:10">
      <c r="A24" s="8" t="s">
        <v>12</v>
      </c>
      <c r="B24" s="34">
        <v>1550</v>
      </c>
      <c r="C24" s="12">
        <v>41502</v>
      </c>
      <c r="D24" s="22">
        <v>2249.31</v>
      </c>
      <c r="E24" s="10"/>
      <c r="F24" s="22">
        <f t="shared" si="0"/>
        <v>2249.31</v>
      </c>
      <c r="G24" s="12">
        <f t="shared" si="1"/>
        <v>41552</v>
      </c>
      <c r="H24" s="9">
        <f t="shared" si="2"/>
        <v>41562</v>
      </c>
    </row>
    <row r="25" spans="1:10" ht="18" customHeight="1">
      <c r="A25" s="8"/>
      <c r="B25" s="33"/>
      <c r="C25" s="12"/>
      <c r="D25" s="4"/>
      <c r="E25" s="10"/>
      <c r="F25" s="81">
        <f>SUM(F8:F24)</f>
        <v>495660.61999999988</v>
      </c>
      <c r="G25" s="4"/>
      <c r="H25" s="9"/>
    </row>
    <row r="26" spans="1:10" s="61" customFormat="1" ht="18" customHeight="1">
      <c r="A26" s="8" t="s">
        <v>105</v>
      </c>
      <c r="B26" s="34" t="s">
        <v>196</v>
      </c>
      <c r="C26" s="12">
        <v>41968</v>
      </c>
      <c r="D26" s="4">
        <v>44854.67</v>
      </c>
      <c r="E26" s="10">
        <f>2752.08+7300+2670+1780+730+14622.59+3000</f>
        <v>32854.67</v>
      </c>
      <c r="F26" s="22">
        <f t="shared" ref="F26:F40" si="3">D26-E26</f>
        <v>12000</v>
      </c>
      <c r="G26" s="79">
        <f>+C26+30</f>
        <v>41998</v>
      </c>
      <c r="H26" s="35">
        <f>F26-5000-7000</f>
        <v>0</v>
      </c>
      <c r="J26" s="61">
        <f>118+118+152+152</f>
        <v>540</v>
      </c>
    </row>
    <row r="27" spans="1:10" s="61" customFormat="1" ht="18" customHeight="1">
      <c r="A27" s="8" t="s">
        <v>105</v>
      </c>
      <c r="B27" s="34" t="s">
        <v>197</v>
      </c>
      <c r="C27" s="12">
        <v>41968</v>
      </c>
      <c r="D27" s="4">
        <v>29764.76</v>
      </c>
      <c r="E27" s="10">
        <v>1240</v>
      </c>
      <c r="F27" s="22">
        <f t="shared" si="3"/>
        <v>28524.76</v>
      </c>
      <c r="G27" s="79">
        <f t="shared" ref="G27:G46" si="4">+C27+30</f>
        <v>41998</v>
      </c>
      <c r="H27" s="35">
        <f>F27-28524.76</f>
        <v>0</v>
      </c>
    </row>
    <row r="28" spans="1:10" s="61" customFormat="1" ht="18" customHeight="1">
      <c r="A28" s="8" t="s">
        <v>105</v>
      </c>
      <c r="B28" s="34" t="s">
        <v>198</v>
      </c>
      <c r="C28" s="12">
        <v>41968</v>
      </c>
      <c r="D28" s="4">
        <v>6684.6</v>
      </c>
      <c r="E28" s="10"/>
      <c r="F28" s="22">
        <f t="shared" si="3"/>
        <v>6684.6</v>
      </c>
      <c r="G28" s="79">
        <f t="shared" si="4"/>
        <v>41998</v>
      </c>
      <c r="H28" s="35">
        <f>F28-6684.6</f>
        <v>0</v>
      </c>
    </row>
    <row r="29" spans="1:10" s="61" customFormat="1" ht="18" customHeight="1">
      <c r="A29" s="8" t="s">
        <v>105</v>
      </c>
      <c r="B29" s="34" t="s">
        <v>199</v>
      </c>
      <c r="C29" s="12">
        <v>41982</v>
      </c>
      <c r="D29" s="4">
        <v>72427.48</v>
      </c>
      <c r="E29" s="10">
        <v>2200</v>
      </c>
      <c r="F29" s="22">
        <f t="shared" si="3"/>
        <v>70227.48</v>
      </c>
      <c r="G29" s="79">
        <f t="shared" si="4"/>
        <v>42012</v>
      </c>
      <c r="H29" s="35">
        <f>F29-4427.48</f>
        <v>65800</v>
      </c>
    </row>
    <row r="30" spans="1:10" s="61" customFormat="1" ht="18" customHeight="1">
      <c r="A30" s="8" t="s">
        <v>105</v>
      </c>
      <c r="B30" s="34" t="s">
        <v>200</v>
      </c>
      <c r="C30" s="12">
        <v>41982</v>
      </c>
      <c r="D30" s="4">
        <v>5734.95</v>
      </c>
      <c r="E30" s="10"/>
      <c r="F30" s="22">
        <f t="shared" si="3"/>
        <v>5734.95</v>
      </c>
      <c r="G30" s="79">
        <f t="shared" si="4"/>
        <v>42012</v>
      </c>
      <c r="H30" s="35">
        <f t="shared" ref="H30:H46" si="5">F30</f>
        <v>5734.95</v>
      </c>
    </row>
    <row r="31" spans="1:10" s="61" customFormat="1" ht="18" customHeight="1">
      <c r="A31" s="8" t="s">
        <v>105</v>
      </c>
      <c r="B31" s="34" t="s">
        <v>201</v>
      </c>
      <c r="C31" s="12">
        <v>41990</v>
      </c>
      <c r="D31" s="4">
        <v>116919.19</v>
      </c>
      <c r="E31" s="10"/>
      <c r="F31" s="22">
        <f t="shared" si="3"/>
        <v>116919.19</v>
      </c>
      <c r="G31" s="79">
        <f t="shared" si="4"/>
        <v>42020</v>
      </c>
      <c r="H31" s="35">
        <f t="shared" si="5"/>
        <v>116919.19</v>
      </c>
      <c r="I31" s="61" t="s">
        <v>231</v>
      </c>
    </row>
    <row r="32" spans="1:10" s="61" customFormat="1" ht="18" customHeight="1">
      <c r="A32" s="8" t="s">
        <v>105</v>
      </c>
      <c r="B32" s="34" t="s">
        <v>202</v>
      </c>
      <c r="C32" s="12">
        <v>41990</v>
      </c>
      <c r="D32" s="4">
        <v>20258.75</v>
      </c>
      <c r="E32" s="10"/>
      <c r="F32" s="22">
        <f t="shared" si="3"/>
        <v>20258.75</v>
      </c>
      <c r="G32" s="79">
        <f t="shared" si="4"/>
        <v>42020</v>
      </c>
      <c r="H32" s="35">
        <f t="shared" si="5"/>
        <v>20258.75</v>
      </c>
    </row>
    <row r="33" spans="1:12" s="61" customFormat="1" ht="18" customHeight="1">
      <c r="A33" s="8" t="s">
        <v>105</v>
      </c>
      <c r="B33" s="34" t="s">
        <v>203</v>
      </c>
      <c r="C33" s="12">
        <v>41999</v>
      </c>
      <c r="D33" s="4">
        <v>32256.07</v>
      </c>
      <c r="E33" s="10"/>
      <c r="F33" s="22">
        <f t="shared" si="3"/>
        <v>32256.07</v>
      </c>
      <c r="G33" s="79">
        <f t="shared" si="4"/>
        <v>42029</v>
      </c>
      <c r="H33" s="35">
        <f t="shared" si="5"/>
        <v>32256.07</v>
      </c>
    </row>
    <row r="34" spans="1:12" s="61" customFormat="1" ht="18" customHeight="1">
      <c r="A34" s="8" t="s">
        <v>105</v>
      </c>
      <c r="B34" s="34" t="s">
        <v>204</v>
      </c>
      <c r="C34" s="12">
        <v>41999</v>
      </c>
      <c r="D34" s="4">
        <v>3023.02</v>
      </c>
      <c r="E34" s="10"/>
      <c r="F34" s="22">
        <f t="shared" si="3"/>
        <v>3023.02</v>
      </c>
      <c r="G34" s="79">
        <f t="shared" si="4"/>
        <v>42029</v>
      </c>
      <c r="H34" s="35">
        <f t="shared" si="5"/>
        <v>3023.02</v>
      </c>
    </row>
    <row r="35" spans="1:12" s="61" customFormat="1" ht="18" customHeight="1">
      <c r="A35" s="8" t="s">
        <v>105</v>
      </c>
      <c r="B35" s="34" t="s">
        <v>205</v>
      </c>
      <c r="C35" s="12">
        <v>41999</v>
      </c>
      <c r="D35" s="4">
        <v>4483.05</v>
      </c>
      <c r="E35" s="10"/>
      <c r="F35" s="22">
        <f t="shared" si="3"/>
        <v>4483.05</v>
      </c>
      <c r="G35" s="79">
        <f t="shared" si="4"/>
        <v>42029</v>
      </c>
      <c r="H35" s="35">
        <f t="shared" si="5"/>
        <v>4483.05</v>
      </c>
    </row>
    <row r="36" spans="1:12" s="61" customFormat="1" ht="18" customHeight="1">
      <c r="A36" s="8" t="s">
        <v>105</v>
      </c>
      <c r="B36" s="34" t="s">
        <v>206</v>
      </c>
      <c r="C36" s="12">
        <v>42010</v>
      </c>
      <c r="D36" s="4">
        <v>31120.98</v>
      </c>
      <c r="E36" s="10"/>
      <c r="F36" s="22">
        <f t="shared" si="3"/>
        <v>31120.98</v>
      </c>
      <c r="G36" s="79">
        <f t="shared" si="4"/>
        <v>42040</v>
      </c>
      <c r="H36" s="35">
        <f t="shared" si="5"/>
        <v>31120.98</v>
      </c>
    </row>
    <row r="37" spans="1:12" s="61" customFormat="1" ht="18" customHeight="1">
      <c r="A37" s="8" t="s">
        <v>105</v>
      </c>
      <c r="B37" s="34" t="s">
        <v>207</v>
      </c>
      <c r="C37" s="12">
        <v>42010</v>
      </c>
      <c r="D37" s="4">
        <v>1380.01</v>
      </c>
      <c r="E37" s="10"/>
      <c r="F37" s="22">
        <f t="shared" si="3"/>
        <v>1380.01</v>
      </c>
      <c r="G37" s="79">
        <f t="shared" si="4"/>
        <v>42040</v>
      </c>
      <c r="H37" s="35">
        <f t="shared" si="5"/>
        <v>1380.01</v>
      </c>
    </row>
    <row r="38" spans="1:12" s="61" customFormat="1" ht="18" customHeight="1">
      <c r="A38" s="8" t="s">
        <v>105</v>
      </c>
      <c r="B38" s="34" t="s">
        <v>208</v>
      </c>
      <c r="C38" s="12">
        <v>42010</v>
      </c>
      <c r="D38" s="4">
        <v>61476.02</v>
      </c>
      <c r="E38" s="10">
        <v>80.010000000000005</v>
      </c>
      <c r="F38" s="22">
        <f t="shared" si="3"/>
        <v>61396.009999999995</v>
      </c>
      <c r="G38" s="79">
        <f t="shared" si="4"/>
        <v>42040</v>
      </c>
      <c r="H38" s="35">
        <f t="shared" si="5"/>
        <v>61396.009999999995</v>
      </c>
      <c r="I38" s="61" t="s">
        <v>232</v>
      </c>
    </row>
    <row r="39" spans="1:12" s="61" customFormat="1" ht="18" customHeight="1">
      <c r="A39" s="8" t="s">
        <v>105</v>
      </c>
      <c r="B39" s="34" t="s">
        <v>209</v>
      </c>
      <c r="C39" s="12">
        <v>42025</v>
      </c>
      <c r="D39" s="4">
        <v>82733.67</v>
      </c>
      <c r="E39" s="10"/>
      <c r="F39" s="22">
        <f t="shared" si="3"/>
        <v>82733.67</v>
      </c>
      <c r="G39" s="79">
        <f t="shared" si="4"/>
        <v>42055</v>
      </c>
      <c r="H39" s="35">
        <f t="shared" si="5"/>
        <v>82733.67</v>
      </c>
    </row>
    <row r="40" spans="1:12" s="61" customFormat="1" ht="18" customHeight="1">
      <c r="A40" s="8" t="s">
        <v>105</v>
      </c>
      <c r="B40" s="34" t="s">
        <v>210</v>
      </c>
      <c r="C40" s="12">
        <v>42025</v>
      </c>
      <c r="D40" s="4">
        <v>34638.959999999999</v>
      </c>
      <c r="E40" s="10">
        <v>170</v>
      </c>
      <c r="F40" s="22">
        <f t="shared" si="3"/>
        <v>34468.959999999999</v>
      </c>
      <c r="G40" s="79">
        <f t="shared" si="4"/>
        <v>42055</v>
      </c>
      <c r="H40" s="35">
        <f t="shared" si="5"/>
        <v>34468.959999999999</v>
      </c>
    </row>
    <row r="41" spans="1:12" s="61" customFormat="1" ht="18" customHeight="1">
      <c r="A41" s="8" t="s">
        <v>105</v>
      </c>
      <c r="B41" s="34" t="s">
        <v>211</v>
      </c>
      <c r="C41" s="12">
        <v>42025</v>
      </c>
      <c r="D41" s="4">
        <v>28146.25</v>
      </c>
      <c r="E41" s="10">
        <v>15455</v>
      </c>
      <c r="F41" s="22">
        <f t="shared" ref="F41:F46" si="6">D41-E41</f>
        <v>12691.25</v>
      </c>
      <c r="G41" s="79">
        <f t="shared" si="4"/>
        <v>42055</v>
      </c>
      <c r="H41" s="35">
        <f>F41</f>
        <v>12691.25</v>
      </c>
    </row>
    <row r="42" spans="1:12" s="61" customFormat="1" ht="18" customHeight="1">
      <c r="A42" s="8" t="s">
        <v>105</v>
      </c>
      <c r="B42" s="34" t="s">
        <v>210</v>
      </c>
      <c r="C42" s="12">
        <v>42025</v>
      </c>
      <c r="D42" s="4">
        <v>944.99</v>
      </c>
      <c r="E42" s="10"/>
      <c r="F42" s="22">
        <f t="shared" si="6"/>
        <v>944.99</v>
      </c>
      <c r="G42" s="79">
        <f t="shared" si="4"/>
        <v>42055</v>
      </c>
      <c r="H42" s="35">
        <f>F42</f>
        <v>944.99</v>
      </c>
    </row>
    <row r="43" spans="1:12" s="61" customFormat="1" ht="18" customHeight="1">
      <c r="A43" s="8" t="s">
        <v>105</v>
      </c>
      <c r="B43" s="34" t="s">
        <v>213</v>
      </c>
      <c r="C43" s="12">
        <v>42031</v>
      </c>
      <c r="D43" s="4">
        <v>18442.099999999999</v>
      </c>
      <c r="E43" s="10"/>
      <c r="F43" s="22">
        <f t="shared" si="6"/>
        <v>18442.099999999999</v>
      </c>
      <c r="G43" s="79">
        <f t="shared" si="4"/>
        <v>42061</v>
      </c>
      <c r="H43" s="35">
        <f t="shared" si="5"/>
        <v>18442.099999999999</v>
      </c>
    </row>
    <row r="44" spans="1:12" s="61" customFormat="1" ht="18" customHeight="1">
      <c r="A44" s="8" t="s">
        <v>105</v>
      </c>
      <c r="B44" s="34" t="s">
        <v>214</v>
      </c>
      <c r="C44" s="12">
        <v>42047</v>
      </c>
      <c r="D44" s="4">
        <v>66897.86</v>
      </c>
      <c r="E44" s="10"/>
      <c r="F44" s="22">
        <f t="shared" si="6"/>
        <v>66897.86</v>
      </c>
      <c r="G44" s="12">
        <f t="shared" si="4"/>
        <v>42077</v>
      </c>
      <c r="H44" s="35">
        <f t="shared" si="5"/>
        <v>66897.86</v>
      </c>
    </row>
    <row r="45" spans="1:12" s="61" customFormat="1" ht="18" customHeight="1">
      <c r="A45" s="8" t="s">
        <v>105</v>
      </c>
      <c r="B45" s="34" t="s">
        <v>215</v>
      </c>
      <c r="C45" s="12">
        <v>42047</v>
      </c>
      <c r="D45" s="4">
        <v>2242.0100000000002</v>
      </c>
      <c r="E45" s="10"/>
      <c r="F45" s="22">
        <f t="shared" si="6"/>
        <v>2242.0100000000002</v>
      </c>
      <c r="G45" s="12">
        <f t="shared" si="4"/>
        <v>42077</v>
      </c>
      <c r="H45" s="35">
        <f t="shared" si="5"/>
        <v>2242.0100000000002</v>
      </c>
    </row>
    <row r="46" spans="1:12" s="61" customFormat="1" ht="18" customHeight="1">
      <c r="A46" s="8" t="s">
        <v>105</v>
      </c>
      <c r="B46" s="34" t="s">
        <v>216</v>
      </c>
      <c r="C46" s="12">
        <v>42051</v>
      </c>
      <c r="D46" s="4">
        <v>21995.33</v>
      </c>
      <c r="E46" s="10"/>
      <c r="F46" s="22">
        <f t="shared" si="6"/>
        <v>21995.33</v>
      </c>
      <c r="G46" s="12">
        <f t="shared" si="4"/>
        <v>42081</v>
      </c>
      <c r="H46" s="35">
        <f t="shared" si="5"/>
        <v>21995.33</v>
      </c>
    </row>
    <row r="47" spans="1:12" s="61" customFormat="1" ht="18" customHeight="1">
      <c r="A47" s="8"/>
      <c r="B47" s="34"/>
      <c r="C47" s="12"/>
      <c r="D47" s="4"/>
      <c r="E47" s="10"/>
      <c r="F47" s="22"/>
      <c r="G47" s="12"/>
      <c r="H47" s="35">
        <f>SUM(H26:H46)</f>
        <v>582788.19999999995</v>
      </c>
    </row>
    <row r="48" spans="1:12" ht="18" customHeight="1">
      <c r="A48" s="8"/>
      <c r="B48" s="33"/>
      <c r="C48" s="12"/>
      <c r="D48" s="4"/>
      <c r="E48" s="10"/>
      <c r="F48" s="56">
        <f>SUM(F26:F47)</f>
        <v>634425.03999999992</v>
      </c>
      <c r="G48" s="4"/>
      <c r="H48" s="35">
        <v>-502923.99</v>
      </c>
      <c r="K48" s="61"/>
      <c r="L48" s="61"/>
    </row>
    <row r="49" spans="1:13">
      <c r="A49" s="8" t="s">
        <v>37</v>
      </c>
      <c r="B49" s="34" t="s">
        <v>299</v>
      </c>
      <c r="C49" s="30">
        <v>41150</v>
      </c>
      <c r="D49" s="4">
        <v>13190</v>
      </c>
      <c r="E49" s="10">
        <f>1190+1000</f>
        <v>2190</v>
      </c>
      <c r="F49" s="22">
        <f>D49-E49</f>
        <v>11000</v>
      </c>
      <c r="G49" s="12">
        <f>+C49+30</f>
        <v>41180</v>
      </c>
      <c r="H49" s="35">
        <f>-500-500-1000-1000</f>
        <v>-3000</v>
      </c>
      <c r="K49" s="61"/>
      <c r="L49" s="61"/>
    </row>
    <row r="50" spans="1:13">
      <c r="A50" s="8" t="s">
        <v>37</v>
      </c>
      <c r="B50" s="34" t="s">
        <v>300</v>
      </c>
      <c r="C50" s="30">
        <v>41181</v>
      </c>
      <c r="D50" s="4">
        <v>16350</v>
      </c>
      <c r="E50" s="10"/>
      <c r="F50" s="22">
        <f>D50-E50</f>
        <v>16350</v>
      </c>
      <c r="G50" s="12">
        <f>+C50+30</f>
        <v>41211</v>
      </c>
      <c r="H50" s="9"/>
      <c r="K50" s="61"/>
      <c r="L50" s="61"/>
    </row>
    <row r="51" spans="1:13">
      <c r="A51" s="8"/>
      <c r="B51" s="34"/>
      <c r="C51" s="12"/>
      <c r="D51" s="4"/>
      <c r="E51" s="10"/>
      <c r="F51" s="81">
        <f>SUM(F49:F50)</f>
        <v>27350</v>
      </c>
      <c r="G51" s="12"/>
      <c r="H51" s="9"/>
      <c r="K51" s="61"/>
      <c r="L51" s="61"/>
    </row>
    <row r="52" spans="1:13">
      <c r="A52" s="8" t="s">
        <v>15</v>
      </c>
      <c r="B52" s="33"/>
      <c r="C52" s="12"/>
      <c r="D52" s="4">
        <v>38000</v>
      </c>
      <c r="E52" s="10"/>
      <c r="F52" s="22">
        <f>D52-E52</f>
        <v>38000</v>
      </c>
      <c r="G52" s="12"/>
      <c r="H52" s="9"/>
      <c r="K52" s="61"/>
      <c r="L52" s="61"/>
    </row>
    <row r="53" spans="1:13">
      <c r="A53" s="8"/>
      <c r="B53" s="33"/>
      <c r="C53" s="12"/>
      <c r="D53" s="4"/>
      <c r="E53" s="10"/>
      <c r="F53" s="81">
        <f>SUM(F52:F52)</f>
        <v>38000</v>
      </c>
      <c r="G53" s="12"/>
      <c r="K53" s="35"/>
    </row>
    <row r="54" spans="1:13" s="61" customFormat="1">
      <c r="A54" s="8"/>
      <c r="B54" s="33"/>
      <c r="C54" s="12"/>
      <c r="D54" s="4"/>
      <c r="E54" s="10"/>
      <c r="F54" s="22"/>
      <c r="G54" s="12"/>
      <c r="H54" s="35"/>
      <c r="K54" s="35">
        <v>1013</v>
      </c>
      <c r="L54" s="61">
        <v>150</v>
      </c>
      <c r="M54" s="61" t="s">
        <v>225</v>
      </c>
    </row>
    <row r="55" spans="1:13" s="61" customFormat="1">
      <c r="A55" s="8"/>
      <c r="B55" s="33"/>
      <c r="C55" s="12"/>
      <c r="D55" s="4"/>
      <c r="E55" s="10"/>
      <c r="F55" s="22">
        <f>D55-E55</f>
        <v>0</v>
      </c>
      <c r="G55" s="12"/>
      <c r="H55" s="35"/>
      <c r="K55" s="35">
        <v>475</v>
      </c>
      <c r="L55" s="61">
        <v>200</v>
      </c>
      <c r="M55" s="61" t="s">
        <v>226</v>
      </c>
    </row>
    <row r="56" spans="1:13" s="61" customFormat="1">
      <c r="A56" s="8"/>
      <c r="B56" s="33"/>
      <c r="C56" s="12"/>
      <c r="D56" s="4"/>
      <c r="E56" s="10"/>
      <c r="F56" s="56">
        <f>SUM(F54:F55)</f>
        <v>0</v>
      </c>
      <c r="G56" s="12"/>
      <c r="K56" s="35">
        <v>237</v>
      </c>
    </row>
    <row r="57" spans="1:13" s="61" customFormat="1">
      <c r="A57" s="8" t="s">
        <v>212</v>
      </c>
      <c r="B57" s="33"/>
      <c r="C57" s="12"/>
      <c r="D57" s="4">
        <v>9910</v>
      </c>
      <c r="E57" s="10">
        <f>5000+4000</f>
        <v>9000</v>
      </c>
      <c r="F57" s="22">
        <f>D57-E57</f>
        <v>910</v>
      </c>
      <c r="G57" s="12"/>
      <c r="H57" s="35"/>
      <c r="K57" s="35">
        <v>2464</v>
      </c>
    </row>
    <row r="58" spans="1:13" s="61" customFormat="1">
      <c r="A58" s="8" t="s">
        <v>217</v>
      </c>
      <c r="B58" s="33"/>
      <c r="C58" s="12"/>
      <c r="D58" s="4">
        <v>9065</v>
      </c>
      <c r="E58" s="10">
        <v>1660</v>
      </c>
      <c r="F58" s="22">
        <f>D58-E58</f>
        <v>7405</v>
      </c>
      <c r="G58" s="12"/>
      <c r="H58" s="35"/>
      <c r="K58" s="35">
        <v>450</v>
      </c>
    </row>
    <row r="59" spans="1:13" s="61" customFormat="1">
      <c r="A59" s="8" t="s">
        <v>218</v>
      </c>
      <c r="B59" s="33"/>
      <c r="C59" s="12"/>
      <c r="D59" s="4">
        <v>8375</v>
      </c>
      <c r="E59" s="10">
        <f>4500+3475</f>
        <v>7975</v>
      </c>
      <c r="F59" s="22">
        <f>D59-E59</f>
        <v>400</v>
      </c>
      <c r="G59" s="12"/>
      <c r="H59" s="35"/>
      <c r="K59" s="35">
        <f>SUM(K54:K58)</f>
        <v>4639</v>
      </c>
    </row>
    <row r="60" spans="1:13" s="61" customFormat="1">
      <c r="A60" s="8"/>
      <c r="B60" s="33"/>
      <c r="C60" s="12"/>
      <c r="D60" s="4"/>
      <c r="E60" s="10"/>
      <c r="F60" s="56">
        <f>SUM(F57:F59)</f>
        <v>8715</v>
      </c>
      <c r="G60" s="12"/>
      <c r="K60" s="35">
        <f>K59-L54</f>
        <v>4489</v>
      </c>
    </row>
    <row r="61" spans="1:13" s="61" customFormat="1">
      <c r="A61" s="8"/>
      <c r="B61" s="33"/>
      <c r="C61" s="12"/>
      <c r="D61" s="4"/>
      <c r="E61" s="10"/>
      <c r="F61" s="24"/>
      <c r="G61" s="12"/>
      <c r="K61" s="35"/>
    </row>
    <row r="62" spans="1:13" s="61" customFormat="1">
      <c r="A62" s="8"/>
      <c r="B62" s="33"/>
      <c r="C62" s="12"/>
      <c r="D62" s="4"/>
      <c r="E62" s="10"/>
      <c r="F62" s="24"/>
      <c r="G62" s="12"/>
      <c r="K62" s="35">
        <v>4289</v>
      </c>
    </row>
    <row r="63" spans="1:13">
      <c r="A63" s="8"/>
      <c r="B63" s="33"/>
      <c r="C63" s="12"/>
      <c r="D63" s="4"/>
      <c r="E63" s="10"/>
      <c r="F63" s="24"/>
      <c r="G63" s="12"/>
      <c r="K63" s="35"/>
    </row>
    <row r="64" spans="1:13">
      <c r="A64" s="8"/>
      <c r="B64" s="33"/>
      <c r="C64" s="12"/>
      <c r="D64" s="4"/>
      <c r="E64" s="57" t="s">
        <v>109</v>
      </c>
      <c r="F64" s="58">
        <f>+F48+F56+F60</f>
        <v>643140.03999999992</v>
      </c>
      <c r="G64" s="12"/>
      <c r="H64" s="40"/>
      <c r="K64" s="35"/>
    </row>
    <row r="65" spans="1:11">
      <c r="A65" s="8"/>
      <c r="B65" s="33"/>
      <c r="C65" s="12"/>
      <c r="D65" s="4"/>
      <c r="E65" s="10"/>
      <c r="F65" s="24"/>
      <c r="G65" s="12"/>
      <c r="H65" s="40"/>
      <c r="K65" s="35"/>
    </row>
    <row r="66" spans="1:11">
      <c r="A66" s="14" t="s">
        <v>103</v>
      </c>
      <c r="B66" s="33"/>
      <c r="C66" s="12"/>
      <c r="D66" s="4"/>
      <c r="E66" s="10"/>
      <c r="F66" s="22"/>
      <c r="G66" s="12"/>
    </row>
    <row r="67" spans="1:11">
      <c r="A67" s="25" t="s">
        <v>6</v>
      </c>
      <c r="B67" s="33"/>
      <c r="C67" s="12">
        <v>41825</v>
      </c>
      <c r="D67" s="4">
        <f>1500+3000</f>
        <v>4500</v>
      </c>
      <c r="E67" s="10"/>
      <c r="F67" s="22">
        <f t="shared" ref="F67:F77" si="7">D67-E67</f>
        <v>4500</v>
      </c>
      <c r="G67" s="12">
        <f>+C67</f>
        <v>41825</v>
      </c>
    </row>
    <row r="68" spans="1:11">
      <c r="A68" s="59" t="s">
        <v>34</v>
      </c>
      <c r="B68" s="12"/>
      <c r="C68" s="12"/>
      <c r="D68" s="4">
        <v>2300</v>
      </c>
      <c r="E68" s="10"/>
      <c r="F68" s="22">
        <f>D68-E68</f>
        <v>2300</v>
      </c>
      <c r="G68" s="12">
        <f>+C68</f>
        <v>0</v>
      </c>
    </row>
    <row r="69" spans="1:11">
      <c r="A69" s="8" t="s">
        <v>31</v>
      </c>
      <c r="B69" s="12"/>
      <c r="C69" s="12">
        <v>41826</v>
      </c>
      <c r="D69" s="4">
        <v>2236</v>
      </c>
      <c r="E69" s="10"/>
      <c r="F69" s="22">
        <f t="shared" si="7"/>
        <v>2236</v>
      </c>
      <c r="G69" s="12">
        <f>+C69</f>
        <v>41826</v>
      </c>
    </row>
    <row r="70" spans="1:11">
      <c r="A70" s="59" t="s">
        <v>114</v>
      </c>
      <c r="B70" s="33"/>
      <c r="C70" s="12"/>
      <c r="D70" s="4"/>
      <c r="E70" s="10"/>
      <c r="F70" s="22">
        <f t="shared" si="7"/>
        <v>0</v>
      </c>
      <c r="G70" s="12">
        <f>+C70</f>
        <v>0</v>
      </c>
    </row>
    <row r="71" spans="1:11">
      <c r="A71" s="59" t="s">
        <v>111</v>
      </c>
      <c r="B71" s="33"/>
      <c r="C71" s="12"/>
      <c r="D71" s="4">
        <v>100</v>
      </c>
      <c r="E71" s="10"/>
      <c r="F71" s="22">
        <f>D71-E71</f>
        <v>100</v>
      </c>
      <c r="G71" s="12">
        <f>+C71</f>
        <v>0</v>
      </c>
    </row>
    <row r="72" spans="1:11">
      <c r="A72" s="59" t="s">
        <v>108</v>
      </c>
      <c r="B72" s="33"/>
      <c r="C72" s="12"/>
      <c r="D72" s="4">
        <v>300</v>
      </c>
      <c r="E72" s="10"/>
      <c r="F72" s="22">
        <f>D72-E72</f>
        <v>300</v>
      </c>
      <c r="G72" s="12"/>
    </row>
    <row r="73" spans="1:11">
      <c r="A73" s="8" t="s">
        <v>33</v>
      </c>
      <c r="B73" s="33"/>
      <c r="C73" s="12">
        <v>41830</v>
      </c>
      <c r="D73" s="4">
        <v>6000</v>
      </c>
      <c r="E73" s="10"/>
      <c r="F73" s="22">
        <f t="shared" si="7"/>
        <v>6000</v>
      </c>
      <c r="G73" s="12">
        <f>+C73</f>
        <v>41830</v>
      </c>
    </row>
    <row r="74" spans="1:11">
      <c r="A74" s="8" t="s">
        <v>36</v>
      </c>
      <c r="B74" s="33"/>
      <c r="C74" s="12"/>
      <c r="D74" s="4">
        <v>1400</v>
      </c>
      <c r="E74" s="10"/>
      <c r="F74" s="22">
        <f t="shared" si="7"/>
        <v>1400</v>
      </c>
      <c r="G74" s="12">
        <f>+C74</f>
        <v>0</v>
      </c>
    </row>
    <row r="75" spans="1:11">
      <c r="A75" s="8" t="s">
        <v>36</v>
      </c>
      <c r="B75" s="33"/>
      <c r="C75" s="12"/>
      <c r="D75" s="4">
        <v>678</v>
      </c>
      <c r="E75" s="10"/>
      <c r="F75" s="22"/>
      <c r="G75" s="12"/>
    </row>
    <row r="76" spans="1:11">
      <c r="A76" s="59" t="s">
        <v>35</v>
      </c>
      <c r="B76" s="33"/>
      <c r="C76" s="12">
        <v>41835</v>
      </c>
      <c r="D76" s="4">
        <v>2000</v>
      </c>
      <c r="E76" s="10"/>
      <c r="F76" s="22">
        <f>D76-E76</f>
        <v>2000</v>
      </c>
      <c r="G76" s="12">
        <f>+C76</f>
        <v>41835</v>
      </c>
    </row>
    <row r="77" spans="1:11">
      <c r="A77" s="8" t="s">
        <v>6</v>
      </c>
      <c r="B77" s="33"/>
      <c r="C77" s="12">
        <v>41840</v>
      </c>
      <c r="D77" s="4">
        <f>1500+3000</f>
        <v>4500</v>
      </c>
      <c r="E77" s="10"/>
      <c r="F77" s="22">
        <f t="shared" si="7"/>
        <v>4500</v>
      </c>
      <c r="G77" s="12">
        <f>+C77</f>
        <v>41840</v>
      </c>
    </row>
    <row r="78" spans="1:11">
      <c r="A78" s="8" t="s">
        <v>113</v>
      </c>
      <c r="B78" s="33"/>
      <c r="C78" s="12"/>
      <c r="D78" s="4">
        <v>324</v>
      </c>
      <c r="E78" s="10"/>
      <c r="F78" s="22">
        <f>D78-E78</f>
        <v>324</v>
      </c>
      <c r="G78" s="12">
        <f>+C78</f>
        <v>0</v>
      </c>
    </row>
    <row r="79" spans="1:11">
      <c r="A79" s="8" t="s">
        <v>112</v>
      </c>
      <c r="B79" s="33"/>
      <c r="C79" s="12">
        <v>41810</v>
      </c>
      <c r="D79" s="4">
        <v>149</v>
      </c>
      <c r="E79" s="10"/>
      <c r="F79" s="22">
        <f>D79-E79</f>
        <v>149</v>
      </c>
      <c r="G79" s="12">
        <f>+C79</f>
        <v>41810</v>
      </c>
    </row>
    <row r="80" spans="1:11">
      <c r="A80" s="59" t="s">
        <v>115</v>
      </c>
      <c r="B80" s="33"/>
      <c r="C80" s="12"/>
      <c r="D80" s="4">
        <v>0</v>
      </c>
      <c r="E80" s="10"/>
      <c r="F80" s="22">
        <f>D80-E80</f>
        <v>0</v>
      </c>
      <c r="G80" s="12"/>
    </row>
    <row r="81" spans="1:8">
      <c r="A81" s="8"/>
      <c r="B81" s="33"/>
      <c r="C81" s="12"/>
      <c r="D81" s="24">
        <f>SUM(D67:D80)</f>
        <v>24487</v>
      </c>
      <c r="E81" s="24">
        <f>SUM(E67:E77)</f>
        <v>0</v>
      </c>
      <c r="F81" s="24">
        <f>SUM(F67:F77)</f>
        <v>23336</v>
      </c>
      <c r="G81" s="12"/>
    </row>
    <row r="82" spans="1:8">
      <c r="A82" s="14" t="s">
        <v>38</v>
      </c>
      <c r="B82" s="33"/>
      <c r="C82" s="12"/>
      <c r="D82" s="4"/>
      <c r="E82" s="44"/>
      <c r="F82" s="43"/>
      <c r="G82" s="12"/>
    </row>
    <row r="83" spans="1:8">
      <c r="A83" s="8" t="s">
        <v>11</v>
      </c>
      <c r="B83" s="33"/>
      <c r="C83" s="12">
        <v>41826</v>
      </c>
      <c r="D83" s="4">
        <v>2294</v>
      </c>
      <c r="E83" s="10"/>
      <c r="F83" s="22">
        <f>D83-E83</f>
        <v>2294</v>
      </c>
      <c r="G83" s="12">
        <f>C83</f>
        <v>41826</v>
      </c>
    </row>
    <row r="84" spans="1:8">
      <c r="A84" s="8" t="s">
        <v>36</v>
      </c>
      <c r="B84" s="33"/>
      <c r="C84" s="12"/>
      <c r="D84" s="4"/>
      <c r="E84" s="4"/>
      <c r="F84" s="22">
        <f>D84-E84</f>
        <v>0</v>
      </c>
      <c r="G84" s="12">
        <f>+C84</f>
        <v>0</v>
      </c>
    </row>
    <row r="85" spans="1:8">
      <c r="A85" s="8" t="s">
        <v>9</v>
      </c>
      <c r="B85" s="33"/>
      <c r="C85" s="12"/>
      <c r="D85" s="4"/>
      <c r="E85" s="10"/>
      <c r="F85" s="22">
        <f>D85-E85</f>
        <v>0</v>
      </c>
      <c r="G85" s="12">
        <f>+C85</f>
        <v>0</v>
      </c>
    </row>
    <row r="86" spans="1:8">
      <c r="A86" s="8" t="s">
        <v>8</v>
      </c>
      <c r="B86" s="33"/>
      <c r="C86" s="12"/>
      <c r="D86" s="4"/>
      <c r="E86" s="10"/>
      <c r="F86" s="22">
        <f>D86-E86</f>
        <v>0</v>
      </c>
      <c r="G86" s="12">
        <f>+C86</f>
        <v>0</v>
      </c>
    </row>
    <row r="87" spans="1:8">
      <c r="A87" s="55"/>
      <c r="B87" s="33"/>
      <c r="C87" s="12"/>
      <c r="D87" s="4"/>
      <c r="E87" s="10"/>
      <c r="F87" s="22">
        <f>D87-E87</f>
        <v>0</v>
      </c>
      <c r="G87" s="12"/>
    </row>
    <row r="88" spans="1:8">
      <c r="A88" s="14" t="s">
        <v>13</v>
      </c>
      <c r="B88" s="33"/>
      <c r="C88" s="2"/>
      <c r="D88" s="3"/>
      <c r="E88" s="5"/>
      <c r="F88" s="22"/>
      <c r="G88" s="2"/>
    </row>
    <row r="89" spans="1:8">
      <c r="A89" s="8" t="s">
        <v>8</v>
      </c>
      <c r="B89" s="33"/>
      <c r="C89" s="2"/>
      <c r="D89" s="3"/>
      <c r="E89" s="5"/>
      <c r="F89" s="22"/>
      <c r="G89" s="2"/>
    </row>
    <row r="90" spans="1:8">
      <c r="A90" s="8" t="s">
        <v>14</v>
      </c>
      <c r="B90" s="33"/>
      <c r="C90" s="12"/>
      <c r="D90" s="4"/>
      <c r="E90" s="10"/>
      <c r="F90" s="22"/>
      <c r="G90" s="12"/>
      <c r="H90" s="9"/>
    </row>
    <row r="91" spans="1:8">
      <c r="A91" s="8" t="s">
        <v>9</v>
      </c>
      <c r="B91" s="33"/>
      <c r="C91" s="2"/>
      <c r="D91" s="3"/>
      <c r="E91" s="5"/>
      <c r="F91" s="22"/>
      <c r="G91" s="2"/>
      <c r="H91" s="9"/>
    </row>
    <row r="92" spans="1:8">
      <c r="A92" s="8" t="s">
        <v>7</v>
      </c>
      <c r="B92" s="33"/>
      <c r="C92" s="2"/>
      <c r="D92" s="3"/>
      <c r="E92" s="5"/>
      <c r="F92" s="22"/>
      <c r="G92" s="2"/>
      <c r="H92" s="9"/>
    </row>
    <row r="93" spans="1:8">
      <c r="A93" s="8" t="s">
        <v>6</v>
      </c>
      <c r="B93" s="33"/>
      <c r="C93" s="2"/>
      <c r="D93" s="3"/>
      <c r="E93" s="5"/>
      <c r="F93" s="22"/>
      <c r="G93" s="2"/>
      <c r="H93" s="9"/>
    </row>
    <row r="94" spans="1:8">
      <c r="A94" s="8" t="s">
        <v>29</v>
      </c>
      <c r="B94" s="33"/>
      <c r="C94" s="12"/>
      <c r="D94" s="4"/>
      <c r="E94" s="10"/>
      <c r="F94" s="22"/>
      <c r="G94" s="12"/>
      <c r="H94" s="9"/>
    </row>
    <row r="95" spans="1:8">
      <c r="A95" s="8" t="s">
        <v>28</v>
      </c>
      <c r="B95" s="33"/>
      <c r="C95" s="2"/>
      <c r="D95" s="3"/>
      <c r="E95" s="5"/>
      <c r="F95" s="22"/>
      <c r="G95" s="2"/>
    </row>
    <row r="96" spans="1:8">
      <c r="A96" s="8" t="s">
        <v>11</v>
      </c>
      <c r="B96" s="33"/>
      <c r="C96" s="12"/>
      <c r="D96" s="4"/>
      <c r="E96" s="10"/>
      <c r="F96" s="22"/>
      <c r="G96" s="12"/>
    </row>
    <row r="97" spans="1:8">
      <c r="A97" s="8" t="s">
        <v>10</v>
      </c>
      <c r="B97" s="12"/>
      <c r="C97" s="12"/>
      <c r="D97" s="4"/>
      <c r="E97" s="10"/>
      <c r="F97" s="22"/>
      <c r="G97" s="12"/>
    </row>
    <row r="98" spans="1:8">
      <c r="A98" s="8"/>
      <c r="B98" s="12"/>
      <c r="C98" s="12"/>
      <c r="D98" s="4"/>
      <c r="E98" s="10"/>
      <c r="F98" s="22"/>
      <c r="G98" s="12"/>
    </row>
    <row r="99" spans="1:8">
      <c r="A99" s="6"/>
    </row>
    <row r="100" spans="1:8">
      <c r="A100" s="6"/>
      <c r="B100" s="31"/>
      <c r="C100" s="19" t="s">
        <v>24</v>
      </c>
      <c r="D100" s="19" t="s">
        <v>25</v>
      </c>
    </row>
    <row r="101" spans="1:8">
      <c r="A101" s="15" t="s">
        <v>19</v>
      </c>
      <c r="C101">
        <v>3000</v>
      </c>
    </row>
    <row r="102" spans="1:8">
      <c r="A102" s="6" t="s">
        <v>18</v>
      </c>
      <c r="C102">
        <v>3000</v>
      </c>
    </row>
    <row r="103" spans="1:8">
      <c r="A103" s="15" t="s">
        <v>20</v>
      </c>
      <c r="D103">
        <v>1500</v>
      </c>
    </row>
    <row r="104" spans="1:8">
      <c r="A104" s="15" t="s">
        <v>21</v>
      </c>
      <c r="C104">
        <v>2500</v>
      </c>
    </row>
    <row r="105" spans="1:8">
      <c r="A105" s="15" t="s">
        <v>65</v>
      </c>
      <c r="C105">
        <v>2500</v>
      </c>
    </row>
    <row r="106" spans="1:8">
      <c r="A106" s="6"/>
    </row>
    <row r="107" spans="1:8">
      <c r="H107" s="61"/>
    </row>
    <row r="109" spans="1:8">
      <c r="H109" s="61"/>
    </row>
    <row r="111" spans="1:8">
      <c r="C111" s="61"/>
      <c r="D111" s="61"/>
    </row>
    <row r="112" spans="1:8" ht="15.75">
      <c r="A112" s="41"/>
      <c r="C112" s="61"/>
      <c r="D112" s="61"/>
    </row>
    <row r="113" spans="1:4" ht="15.75">
      <c r="A113" s="41"/>
      <c r="C113" s="61"/>
      <c r="D113" s="61"/>
    </row>
    <row r="114" spans="1:4" ht="15.75">
      <c r="A114" s="41"/>
      <c r="C114" s="61"/>
      <c r="D114" s="61"/>
    </row>
    <row r="115" spans="1:4" ht="15.75">
      <c r="A115" s="41"/>
      <c r="C115" s="61"/>
      <c r="D115" s="61"/>
    </row>
    <row r="116" spans="1:4" ht="15.75">
      <c r="A116" s="41"/>
      <c r="C116" s="61"/>
      <c r="D116" s="61"/>
    </row>
    <row r="117" spans="1:4" ht="15.75">
      <c r="A117" s="41"/>
      <c r="C117" s="61"/>
      <c r="D117" s="61"/>
    </row>
    <row r="118" spans="1:4">
      <c r="C118" s="61"/>
      <c r="D118" s="61"/>
    </row>
    <row r="119" spans="1:4">
      <c r="C119" s="61"/>
      <c r="D119" s="61"/>
    </row>
    <row r="120" spans="1:4">
      <c r="C120" s="61"/>
      <c r="D120" s="61"/>
    </row>
    <row r="121" spans="1:4">
      <c r="C121" s="61"/>
      <c r="D121" s="61"/>
    </row>
    <row r="122" spans="1:4" ht="15.75">
      <c r="A122" s="41"/>
      <c r="C122" s="61"/>
      <c r="D122" s="61"/>
    </row>
    <row r="123" spans="1:4" ht="15.75">
      <c r="A123" s="41"/>
      <c r="C123" s="61"/>
      <c r="D123" s="61"/>
    </row>
    <row r="124" spans="1:4" ht="15.75">
      <c r="A124" s="42"/>
      <c r="C124" s="61"/>
      <c r="D124" s="61"/>
    </row>
    <row r="125" spans="1:4" ht="15.75">
      <c r="A125" s="42"/>
      <c r="C125" s="61"/>
      <c r="D125" s="61"/>
    </row>
    <row r="126" spans="1:4" ht="15.75">
      <c r="A126" s="42"/>
      <c r="C126" s="61"/>
      <c r="D126" s="61"/>
    </row>
    <row r="127" spans="1:4" ht="15.75">
      <c r="A127" s="42"/>
      <c r="C127" s="61"/>
      <c r="D127" s="61"/>
    </row>
    <row r="128" spans="1:4" ht="15.75">
      <c r="A128" s="42"/>
      <c r="C128" s="61"/>
      <c r="D128" s="61"/>
    </row>
    <row r="129" spans="1:188" ht="15.75">
      <c r="A129" s="42"/>
      <c r="C129" s="61"/>
      <c r="D129" s="61"/>
    </row>
    <row r="130" spans="1:188" ht="15.75">
      <c r="A130" s="42"/>
      <c r="C130" s="61"/>
      <c r="D130" s="61"/>
    </row>
    <row r="131" spans="1:188">
      <c r="C131" s="61"/>
      <c r="D131" s="61"/>
      <c r="GD131" t="s">
        <v>26</v>
      </c>
      <c r="GF131" t="s">
        <v>27</v>
      </c>
    </row>
    <row r="132" spans="1:188">
      <c r="C132" s="61"/>
      <c r="D132" s="61"/>
    </row>
    <row r="133" spans="1:188">
      <c r="C133" s="61"/>
      <c r="D133" s="61"/>
    </row>
    <row r="134" spans="1:188">
      <c r="C134" s="61"/>
      <c r="D134" s="61"/>
    </row>
    <row r="135" spans="1:188">
      <c r="C135" s="61"/>
      <c r="D135" s="61"/>
    </row>
    <row r="136" spans="1:188">
      <c r="C136" s="61"/>
      <c r="D136" s="61"/>
    </row>
    <row r="137" spans="1:188">
      <c r="A137" s="61"/>
      <c r="C137" s="61"/>
      <c r="D137" s="61"/>
    </row>
    <row r="138" spans="1:188">
      <c r="C138" s="61"/>
      <c r="D138" s="61"/>
    </row>
    <row r="139" spans="1:188">
      <c r="C139" s="61"/>
      <c r="D139" s="61"/>
    </row>
    <row r="140" spans="1:188">
      <c r="C140" s="61"/>
      <c r="D140" s="61"/>
    </row>
    <row r="141" spans="1:188">
      <c r="C141" s="61"/>
      <c r="D141" s="61"/>
    </row>
    <row r="142" spans="1:188">
      <c r="C142" s="61"/>
      <c r="D142" s="61"/>
    </row>
    <row r="143" spans="1:188">
      <c r="C143" s="61"/>
      <c r="D143" s="61"/>
    </row>
    <row r="144" spans="1:188">
      <c r="C144" s="61"/>
      <c r="D144" s="61"/>
    </row>
    <row r="145" spans="3:4">
      <c r="C145" s="61"/>
      <c r="D145" s="61"/>
    </row>
    <row r="146" spans="3:4">
      <c r="C146" s="61"/>
      <c r="D146" s="61"/>
    </row>
    <row r="147" spans="3:4">
      <c r="C147" s="61"/>
      <c r="D147" s="61"/>
    </row>
    <row r="148" spans="3:4">
      <c r="C148" s="61"/>
      <c r="D148" s="61"/>
    </row>
    <row r="149" spans="3:4">
      <c r="C149" s="61"/>
      <c r="D149" s="61"/>
    </row>
    <row r="150" spans="3:4">
      <c r="C150" s="61"/>
      <c r="D150" s="61"/>
    </row>
    <row r="190" spans="3:3">
      <c r="C190">
        <f>30515-1655-8000</f>
        <v>20860</v>
      </c>
    </row>
    <row r="267" spans="2:3">
      <c r="B267" s="32"/>
      <c r="C267" s="13"/>
    </row>
    <row r="634" spans="8:8">
      <c r="H634" t="s">
        <v>26</v>
      </c>
    </row>
  </sheetData>
  <sortState ref="A22:G31">
    <sortCondition ref="C22:C3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8"/>
  <sheetViews>
    <sheetView workbookViewId="0">
      <selection activeCell="A52" sqref="A52"/>
    </sheetView>
  </sheetViews>
  <sheetFormatPr baseColWidth="10" defaultRowHeight="15"/>
  <cols>
    <col min="2" max="2" width="13.42578125" bestFit="1" customWidth="1"/>
  </cols>
  <sheetData>
    <row r="1" spans="1:7">
      <c r="B1" t="s">
        <v>43</v>
      </c>
      <c r="C1" s="36" t="s">
        <v>44</v>
      </c>
      <c r="D1" t="s">
        <v>45</v>
      </c>
      <c r="E1" t="s">
        <v>46</v>
      </c>
      <c r="F1" t="s">
        <v>47</v>
      </c>
    </row>
    <row r="2" spans="1:7">
      <c r="A2" t="s">
        <v>48</v>
      </c>
      <c r="B2" s="37">
        <f>1370+827+580+389</f>
        <v>3166</v>
      </c>
      <c r="C2" s="37">
        <v>3211</v>
      </c>
      <c r="D2" s="37">
        <f>15784-(1350+1088+724+206+190+3174+501+1322+1067+1500+1089)</f>
        <v>3573</v>
      </c>
      <c r="E2" s="37">
        <v>0</v>
      </c>
      <c r="F2" s="37">
        <v>0</v>
      </c>
      <c r="G2" s="37">
        <f>SUM(B2:F2)</f>
        <v>9950</v>
      </c>
    </row>
    <row r="3" spans="1:7">
      <c r="A3" t="s">
        <v>21</v>
      </c>
      <c r="B3" s="37">
        <v>0</v>
      </c>
      <c r="C3" s="37">
        <v>77918</v>
      </c>
      <c r="D3" s="37">
        <v>24556</v>
      </c>
      <c r="E3" s="37">
        <v>3862</v>
      </c>
      <c r="F3" s="37">
        <f>18787.99+8783-26570.99</f>
        <v>1000</v>
      </c>
      <c r="G3" s="37">
        <f>SUM(B3:F3)</f>
        <v>107336</v>
      </c>
    </row>
    <row r="4" spans="1:7">
      <c r="A4" t="s">
        <v>49</v>
      </c>
      <c r="B4" s="37">
        <v>0</v>
      </c>
      <c r="C4">
        <v>13821</v>
      </c>
      <c r="D4">
        <v>5313</v>
      </c>
      <c r="E4">
        <f>2460-2460</f>
        <v>0</v>
      </c>
      <c r="F4">
        <f>2773.29-(2022.29+693+58)</f>
        <v>0</v>
      </c>
      <c r="G4" s="37">
        <f>SUM(B4:F4)</f>
        <v>19134</v>
      </c>
    </row>
    <row r="5" spans="1:7">
      <c r="A5" t="s">
        <v>19</v>
      </c>
      <c r="B5" s="37">
        <v>0</v>
      </c>
      <c r="C5">
        <v>9222</v>
      </c>
      <c r="D5">
        <v>6524</v>
      </c>
      <c r="E5">
        <v>1985</v>
      </c>
      <c r="F5">
        <f>5340-(195+1000)</f>
        <v>4145</v>
      </c>
      <c r="G5" s="37">
        <f>SUM(B5:F5)</f>
        <v>21876</v>
      </c>
    </row>
    <row r="7" spans="1:7">
      <c r="B7" s="38">
        <f>SUM(B2:B6)</f>
        <v>3166</v>
      </c>
      <c r="C7" s="38">
        <f>SUM(C2:C6)</f>
        <v>104172</v>
      </c>
      <c r="D7" s="38">
        <f>SUM(D2:D6)</f>
        <v>39966</v>
      </c>
      <c r="E7" s="38">
        <f>SUM(E2:E6)</f>
        <v>5847</v>
      </c>
      <c r="F7" s="38">
        <f>SUM(F2:F6)</f>
        <v>5145</v>
      </c>
      <c r="G7" s="39">
        <f>SUM(B7:F7)</f>
        <v>158296</v>
      </c>
    </row>
    <row r="9" spans="1:7">
      <c r="F9" t="s">
        <v>50</v>
      </c>
      <c r="G9">
        <v>3572</v>
      </c>
    </row>
    <row r="10" spans="1:7">
      <c r="F10" t="s">
        <v>18</v>
      </c>
      <c r="G10">
        <v>1168</v>
      </c>
    </row>
    <row r="11" spans="1:7">
      <c r="F11" t="s">
        <v>51</v>
      </c>
      <c r="G11">
        <f>1210+1500</f>
        <v>2710</v>
      </c>
    </row>
    <row r="12" spans="1:7">
      <c r="F12" t="s">
        <v>52</v>
      </c>
      <c r="G12">
        <v>12211</v>
      </c>
    </row>
    <row r="13" spans="1:7">
      <c r="F13" t="s">
        <v>53</v>
      </c>
      <c r="G13">
        <v>5197</v>
      </c>
    </row>
    <row r="14" spans="1:7">
      <c r="G14" s="40">
        <f>SUM(G7:G13)</f>
        <v>183154</v>
      </c>
    </row>
    <row r="15" spans="1:7">
      <c r="F15" t="s">
        <v>54</v>
      </c>
      <c r="G15" s="40">
        <v>-261011.92</v>
      </c>
    </row>
    <row r="20" spans="1:7">
      <c r="A20" s="26" t="s">
        <v>57</v>
      </c>
      <c r="B20" s="26"/>
      <c r="C20" s="27">
        <v>41264</v>
      </c>
      <c r="D20" s="28">
        <f>32851</f>
        <v>32851</v>
      </c>
      <c r="E20" s="45" t="s">
        <v>58</v>
      </c>
      <c r="F20" s="45" t="s">
        <v>59</v>
      </c>
      <c r="G20" s="21"/>
    </row>
    <row r="21" spans="1:7">
      <c r="C21" s="16"/>
      <c r="D21" s="29">
        <v>-10000</v>
      </c>
      <c r="E21" t="s">
        <v>73</v>
      </c>
      <c r="F21" s="48"/>
    </row>
    <row r="22" spans="1:7">
      <c r="C22" s="16"/>
      <c r="D22" s="29">
        <v>-7000</v>
      </c>
      <c r="E22" s="47" t="s">
        <v>90</v>
      </c>
      <c r="F22" s="54">
        <v>41286</v>
      </c>
      <c r="G22" t="s">
        <v>91</v>
      </c>
    </row>
    <row r="23" spans="1:7">
      <c r="C23" s="16"/>
      <c r="D23" s="29">
        <f>-10000</f>
        <v>-10000</v>
      </c>
      <c r="E23" t="s">
        <v>79</v>
      </c>
      <c r="F23" s="48"/>
    </row>
    <row r="24" spans="1:7">
      <c r="C24" s="16"/>
      <c r="D24" s="29">
        <v>-5851</v>
      </c>
      <c r="E24" t="s">
        <v>90</v>
      </c>
      <c r="F24" s="51">
        <v>41302</v>
      </c>
      <c r="G24" t="s">
        <v>92</v>
      </c>
    </row>
    <row r="25" spans="1:7">
      <c r="C25" s="52" t="s">
        <v>89</v>
      </c>
      <c r="D25" s="53">
        <f>SUM(D20:D24)</f>
        <v>0</v>
      </c>
      <c r="E25" s="51"/>
      <c r="F25" s="48"/>
    </row>
    <row r="26" spans="1:7">
      <c r="A26" s="26" t="s">
        <v>60</v>
      </c>
      <c r="B26" s="26" t="s">
        <v>49</v>
      </c>
      <c r="C26" s="27">
        <v>41278</v>
      </c>
      <c r="D26" s="28">
        <v>28248</v>
      </c>
      <c r="E26" s="45" t="s">
        <v>62</v>
      </c>
      <c r="F26" s="46"/>
    </row>
    <row r="27" spans="1:7">
      <c r="C27" s="16"/>
      <c r="D27" s="29">
        <v>-10000</v>
      </c>
      <c r="E27" t="s">
        <v>81</v>
      </c>
      <c r="F27" s="48"/>
    </row>
    <row r="28" spans="1:7">
      <c r="C28" s="16"/>
      <c r="D28" s="29">
        <v>-4149</v>
      </c>
      <c r="E28" t="s">
        <v>90</v>
      </c>
      <c r="F28" s="51">
        <v>41302</v>
      </c>
      <c r="G28" t="s">
        <v>92</v>
      </c>
    </row>
    <row r="29" spans="1:7">
      <c r="C29" s="16"/>
      <c r="D29" s="29">
        <v>-11000</v>
      </c>
      <c r="E29" t="s">
        <v>87</v>
      </c>
      <c r="F29" s="51">
        <v>41305</v>
      </c>
      <c r="G29" t="s">
        <v>88</v>
      </c>
    </row>
    <row r="30" spans="1:7">
      <c r="C30" s="29"/>
      <c r="D30" s="29">
        <v>-3099</v>
      </c>
      <c r="E30" t="s">
        <v>90</v>
      </c>
      <c r="F30" s="51">
        <v>41314</v>
      </c>
      <c r="G30" t="s">
        <v>91</v>
      </c>
    </row>
    <row r="31" spans="1:7">
      <c r="A31" s="26" t="s">
        <v>61</v>
      </c>
      <c r="B31" s="26" t="s">
        <v>49</v>
      </c>
      <c r="C31" s="27">
        <v>41285</v>
      </c>
      <c r="D31" s="28">
        <v>12536</v>
      </c>
      <c r="E31" s="45" t="s">
        <v>63</v>
      </c>
      <c r="F31" s="46" t="s">
        <v>64</v>
      </c>
    </row>
    <row r="32" spans="1:7">
      <c r="C32" s="52"/>
      <c r="D32" s="29">
        <v>-4901</v>
      </c>
      <c r="E32" t="s">
        <v>90</v>
      </c>
      <c r="F32" s="51">
        <v>41314</v>
      </c>
      <c r="G32" t="s">
        <v>91</v>
      </c>
    </row>
    <row r="33" spans="1:7">
      <c r="C33" s="29"/>
      <c r="D33" s="29">
        <v>-7635</v>
      </c>
      <c r="E33" t="s">
        <v>90</v>
      </c>
      <c r="F33" s="51"/>
    </row>
    <row r="34" spans="1:7">
      <c r="A34" s="26" t="s">
        <v>66</v>
      </c>
      <c r="B34" s="26"/>
      <c r="C34" s="27">
        <v>41292</v>
      </c>
      <c r="D34" s="28">
        <v>26997</v>
      </c>
      <c r="E34" s="45" t="s">
        <v>67</v>
      </c>
      <c r="F34" s="46" t="s">
        <v>68</v>
      </c>
    </row>
    <row r="35" spans="1:7">
      <c r="C35" s="52"/>
      <c r="D35" s="29">
        <v>-2865</v>
      </c>
      <c r="E35" t="s">
        <v>90</v>
      </c>
      <c r="F35" s="51">
        <v>41314</v>
      </c>
      <c r="G35" t="s">
        <v>91</v>
      </c>
    </row>
    <row r="36" spans="1:7">
      <c r="C36" s="52"/>
      <c r="D36" s="29">
        <v>-24132</v>
      </c>
      <c r="E36" t="s">
        <v>93</v>
      </c>
      <c r="F36" s="51"/>
    </row>
    <row r="37" spans="1:7">
      <c r="A37" s="26" t="s">
        <v>69</v>
      </c>
      <c r="B37" s="26"/>
      <c r="C37" s="27">
        <v>41306</v>
      </c>
      <c r="D37" s="28">
        <v>17815</v>
      </c>
      <c r="E37" s="45" t="s">
        <v>41</v>
      </c>
      <c r="F37" s="46"/>
    </row>
    <row r="38" spans="1:7">
      <c r="A38" t="s">
        <v>70</v>
      </c>
      <c r="C38" s="16">
        <v>41313</v>
      </c>
      <c r="D38" s="18">
        <v>17816</v>
      </c>
      <c r="E38" s="47" t="s">
        <v>72</v>
      </c>
      <c r="F38" s="48" t="s">
        <v>55</v>
      </c>
      <c r="G38" t="s">
        <v>56</v>
      </c>
    </row>
    <row r="39" spans="1:7">
      <c r="A39" t="s">
        <v>71</v>
      </c>
      <c r="C39" s="16">
        <v>41320</v>
      </c>
      <c r="D39" s="18">
        <v>6908</v>
      </c>
      <c r="E39" s="47" t="s">
        <v>78</v>
      </c>
      <c r="F39" s="49" t="s">
        <v>77</v>
      </c>
    </row>
    <row r="40" spans="1:7">
      <c r="A40" t="s">
        <v>73</v>
      </c>
      <c r="C40" s="16">
        <v>41327</v>
      </c>
      <c r="D40" s="18">
        <v>26617</v>
      </c>
      <c r="E40" s="50" t="s">
        <v>74</v>
      </c>
      <c r="F40" s="47" t="s">
        <v>75</v>
      </c>
      <c r="G40" t="s">
        <v>76</v>
      </c>
    </row>
    <row r="41" spans="1:7">
      <c r="A41" t="s">
        <v>79</v>
      </c>
      <c r="C41" s="16">
        <v>41341</v>
      </c>
      <c r="D41" s="18">
        <v>16714</v>
      </c>
      <c r="E41" s="50" t="s">
        <v>74</v>
      </c>
      <c r="F41" s="47" t="s">
        <v>80</v>
      </c>
    </row>
    <row r="42" spans="1:7">
      <c r="A42" t="s">
        <v>81</v>
      </c>
      <c r="C42" s="16">
        <v>41348</v>
      </c>
      <c r="D42" s="18">
        <v>15455</v>
      </c>
      <c r="E42" s="50" t="s">
        <v>85</v>
      </c>
      <c r="F42" s="20" t="s">
        <v>83</v>
      </c>
      <c r="G42" s="47" t="s">
        <v>84</v>
      </c>
    </row>
    <row r="43" spans="1:7">
      <c r="A43" t="s">
        <v>86</v>
      </c>
      <c r="B43" t="s">
        <v>49</v>
      </c>
      <c r="C43" s="16">
        <v>41355</v>
      </c>
      <c r="D43" s="18">
        <v>18985</v>
      </c>
      <c r="E43" s="20" t="s">
        <v>82</v>
      </c>
    </row>
    <row r="44" spans="1:7">
      <c r="A44" t="s">
        <v>93</v>
      </c>
      <c r="C44" s="16">
        <v>41369</v>
      </c>
      <c r="D44" s="18">
        <v>24132</v>
      </c>
      <c r="E44" s="47" t="s">
        <v>94</v>
      </c>
      <c r="F44" s="48" t="s">
        <v>68</v>
      </c>
    </row>
    <row r="45" spans="1:7">
      <c r="A45" t="s">
        <v>95</v>
      </c>
      <c r="C45" s="16">
        <v>41317</v>
      </c>
      <c r="D45" s="18">
        <v>15631</v>
      </c>
    </row>
    <row r="51" spans="1:10">
      <c r="A51" t="s">
        <v>96</v>
      </c>
    </row>
    <row r="57" spans="1:10">
      <c r="A57">
        <v>12</v>
      </c>
      <c r="B57" t="s">
        <v>116</v>
      </c>
      <c r="C57" t="s">
        <v>117</v>
      </c>
      <c r="H57" t="s">
        <v>118</v>
      </c>
    </row>
    <row r="58" spans="1:10">
      <c r="B58" t="s">
        <v>119</v>
      </c>
      <c r="C58" t="s">
        <v>120</v>
      </c>
      <c r="D58">
        <v>-31</v>
      </c>
      <c r="E58">
        <v>114</v>
      </c>
      <c r="F58" s="9">
        <v>41670</v>
      </c>
      <c r="G58" s="9">
        <v>41670</v>
      </c>
      <c r="H58">
        <v>668</v>
      </c>
      <c r="J58" s="60">
        <v>7700</v>
      </c>
    </row>
    <row r="59" spans="1:10">
      <c r="B59" t="s">
        <v>121</v>
      </c>
      <c r="D59" t="s">
        <v>122</v>
      </c>
      <c r="E59" t="s">
        <v>123</v>
      </c>
      <c r="F59" s="9">
        <v>41641</v>
      </c>
      <c r="G59" s="9">
        <v>41641</v>
      </c>
      <c r="H59">
        <v>668</v>
      </c>
      <c r="J59" s="60">
        <v>3670</v>
      </c>
    </row>
    <row r="60" spans="1:10">
      <c r="B60" t="s">
        <v>121</v>
      </c>
      <c r="D60" t="s">
        <v>122</v>
      </c>
      <c r="E60" t="s">
        <v>123</v>
      </c>
      <c r="F60" s="9">
        <v>41641</v>
      </c>
      <c r="G60" s="9">
        <v>41641</v>
      </c>
      <c r="H60">
        <v>693</v>
      </c>
      <c r="J60" s="60">
        <v>5330</v>
      </c>
    </row>
    <row r="61" spans="1:10">
      <c r="B61" t="s">
        <v>121</v>
      </c>
      <c r="D61" t="s">
        <v>122</v>
      </c>
      <c r="E61" t="s">
        <v>123</v>
      </c>
      <c r="F61" s="9">
        <v>41654</v>
      </c>
      <c r="G61" s="9">
        <v>41654</v>
      </c>
      <c r="H61">
        <v>693</v>
      </c>
      <c r="J61" s="60">
        <v>5990</v>
      </c>
    </row>
    <row r="62" spans="1:10">
      <c r="B62" t="s">
        <v>121</v>
      </c>
      <c r="D62" t="s">
        <v>122</v>
      </c>
      <c r="E62" t="s">
        <v>123</v>
      </c>
      <c r="F62" s="9">
        <v>41654</v>
      </c>
      <c r="G62" s="9">
        <v>41654</v>
      </c>
      <c r="H62">
        <v>716</v>
      </c>
      <c r="J62" s="60">
        <v>3010</v>
      </c>
    </row>
    <row r="63" spans="1:10">
      <c r="B63" t="s">
        <v>121</v>
      </c>
      <c r="D63" t="s">
        <v>122</v>
      </c>
      <c r="E63" t="s">
        <v>123</v>
      </c>
      <c r="F63" s="9">
        <v>41662</v>
      </c>
      <c r="G63" s="9">
        <v>41662</v>
      </c>
      <c r="H63">
        <v>716</v>
      </c>
      <c r="J63" s="60">
        <v>5000</v>
      </c>
    </row>
    <row r="64" spans="1:10">
      <c r="B64" t="s">
        <v>121</v>
      </c>
      <c r="D64" t="s">
        <v>122</v>
      </c>
      <c r="E64" t="s">
        <v>123</v>
      </c>
      <c r="F64" s="9">
        <v>41677</v>
      </c>
      <c r="G64" s="9">
        <v>41677</v>
      </c>
      <c r="H64">
        <v>716</v>
      </c>
      <c r="J64" s="60">
        <v>6000</v>
      </c>
    </row>
    <row r="65" spans="2:10">
      <c r="B65" t="s">
        <v>121</v>
      </c>
      <c r="D65" t="s">
        <v>122</v>
      </c>
      <c r="E65" t="s">
        <v>123</v>
      </c>
      <c r="F65" s="9">
        <v>41688</v>
      </c>
      <c r="G65" s="9">
        <v>41688</v>
      </c>
      <c r="H65">
        <v>716</v>
      </c>
      <c r="J65" s="60">
        <v>6000</v>
      </c>
    </row>
    <row r="66" spans="2:10">
      <c r="B66" t="s">
        <v>121</v>
      </c>
      <c r="D66" t="s">
        <v>122</v>
      </c>
      <c r="E66" t="s">
        <v>123</v>
      </c>
      <c r="F66" s="9">
        <v>41697</v>
      </c>
      <c r="G66" s="9">
        <v>41697</v>
      </c>
      <c r="H66">
        <v>716</v>
      </c>
      <c r="J66" s="60">
        <v>7000</v>
      </c>
    </row>
    <row r="67" spans="2:10">
      <c r="B67" t="s">
        <v>121</v>
      </c>
      <c r="D67" t="s">
        <v>122</v>
      </c>
      <c r="E67" t="s">
        <v>123</v>
      </c>
      <c r="F67" s="9">
        <v>41708</v>
      </c>
      <c r="G67" s="9">
        <v>41708</v>
      </c>
      <c r="H67">
        <v>716</v>
      </c>
      <c r="J67" s="60">
        <v>6000</v>
      </c>
    </row>
    <row r="68" spans="2:10">
      <c r="B68" t="s">
        <v>121</v>
      </c>
      <c r="D68" t="s">
        <v>122</v>
      </c>
      <c r="E68" t="s">
        <v>123</v>
      </c>
      <c r="F68" s="9">
        <v>41717</v>
      </c>
      <c r="G68" s="9">
        <v>41717</v>
      </c>
      <c r="H68">
        <v>716</v>
      </c>
      <c r="J68" s="60">
        <v>7000</v>
      </c>
    </row>
    <row r="69" spans="2:10">
      <c r="B69" t="s">
        <v>121</v>
      </c>
      <c r="D69" t="s">
        <v>122</v>
      </c>
      <c r="E69" t="s">
        <v>123</v>
      </c>
      <c r="F69" s="9">
        <v>41723</v>
      </c>
      <c r="G69" s="9">
        <v>41723</v>
      </c>
      <c r="H69">
        <v>716</v>
      </c>
      <c r="J69" s="60">
        <v>2000</v>
      </c>
    </row>
    <row r="70" spans="2:10">
      <c r="B70" t="s">
        <v>121</v>
      </c>
      <c r="D70" t="s">
        <v>124</v>
      </c>
      <c r="E70" t="s">
        <v>123</v>
      </c>
      <c r="F70" s="9">
        <v>41724</v>
      </c>
      <c r="G70" s="9">
        <v>41724</v>
      </c>
      <c r="H70">
        <v>716</v>
      </c>
      <c r="J70" s="60">
        <v>5000</v>
      </c>
    </row>
    <row r="71" spans="2:10">
      <c r="B71" t="s">
        <v>121</v>
      </c>
      <c r="D71" t="s">
        <v>122</v>
      </c>
      <c r="E71" t="s">
        <v>123</v>
      </c>
      <c r="F71" s="9">
        <v>41733</v>
      </c>
      <c r="G71" s="9">
        <v>41733</v>
      </c>
      <c r="H71">
        <v>716</v>
      </c>
      <c r="J71">
        <v>430</v>
      </c>
    </row>
    <row r="72" spans="2:10">
      <c r="B72" t="s">
        <v>121</v>
      </c>
      <c r="D72" t="s">
        <v>122</v>
      </c>
      <c r="E72" t="s">
        <v>123</v>
      </c>
      <c r="F72" s="9">
        <v>41733</v>
      </c>
      <c r="G72" s="9">
        <v>41733</v>
      </c>
      <c r="H72">
        <v>717</v>
      </c>
      <c r="J72" s="60">
        <v>1920</v>
      </c>
    </row>
    <row r="73" spans="2:10">
      <c r="B73" t="s">
        <v>121</v>
      </c>
      <c r="D73" t="s">
        <v>122</v>
      </c>
      <c r="E73" t="s">
        <v>123</v>
      </c>
      <c r="F73" s="9">
        <v>41733</v>
      </c>
      <c r="G73" s="9">
        <v>41733</v>
      </c>
      <c r="H73">
        <v>729</v>
      </c>
      <c r="J73">
        <v>880</v>
      </c>
    </row>
    <row r="74" spans="2:10">
      <c r="B74" t="s">
        <v>121</v>
      </c>
      <c r="D74" t="s">
        <v>122</v>
      </c>
      <c r="E74" t="s">
        <v>123</v>
      </c>
      <c r="F74" s="9">
        <v>41733</v>
      </c>
      <c r="G74" s="9">
        <v>41733</v>
      </c>
      <c r="H74">
        <v>734</v>
      </c>
      <c r="J74">
        <v>770</v>
      </c>
    </row>
    <row r="75" spans="2:10">
      <c r="B75" t="s">
        <v>121</v>
      </c>
      <c r="D75" t="s">
        <v>122</v>
      </c>
      <c r="E75" t="s">
        <v>123</v>
      </c>
      <c r="F75" s="9">
        <v>41733</v>
      </c>
      <c r="G75" s="9">
        <v>41733</v>
      </c>
      <c r="H75">
        <v>734</v>
      </c>
      <c r="J75" s="60">
        <v>2900</v>
      </c>
    </row>
    <row r="76" spans="2:10">
      <c r="B76" t="s">
        <v>121</v>
      </c>
      <c r="D76" t="s">
        <v>122</v>
      </c>
      <c r="E76" t="s">
        <v>123</v>
      </c>
      <c r="F76" s="9">
        <v>41757</v>
      </c>
      <c r="G76" s="9">
        <v>41757</v>
      </c>
      <c r="H76">
        <v>734</v>
      </c>
      <c r="J76" s="60">
        <v>6010</v>
      </c>
    </row>
    <row r="77" spans="2:10">
      <c r="B77" t="s">
        <v>121</v>
      </c>
      <c r="D77" t="s">
        <v>122</v>
      </c>
      <c r="E77" t="s">
        <v>123</v>
      </c>
      <c r="F77" s="9">
        <v>41757</v>
      </c>
      <c r="G77" s="9">
        <v>41757</v>
      </c>
      <c r="H77">
        <v>757</v>
      </c>
      <c r="J77">
        <v>990</v>
      </c>
    </row>
    <row r="78" spans="2:10">
      <c r="B78" t="s">
        <v>121</v>
      </c>
      <c r="D78" t="s">
        <v>122</v>
      </c>
      <c r="E78" t="s">
        <v>123</v>
      </c>
      <c r="F78" s="9">
        <v>41766</v>
      </c>
      <c r="G78" s="9">
        <v>41766</v>
      </c>
      <c r="H78">
        <v>757</v>
      </c>
      <c r="J78">
        <v>60</v>
      </c>
    </row>
    <row r="79" spans="2:10">
      <c r="B79" t="s">
        <v>121</v>
      </c>
      <c r="D79" t="s">
        <v>122</v>
      </c>
      <c r="E79" t="s">
        <v>123</v>
      </c>
      <c r="F79" s="9">
        <v>41766</v>
      </c>
      <c r="G79" s="9">
        <v>41766</v>
      </c>
      <c r="H79">
        <v>758</v>
      </c>
      <c r="J79" s="60">
        <v>6940</v>
      </c>
    </row>
    <row r="80" spans="2:10">
      <c r="B80" t="s">
        <v>121</v>
      </c>
      <c r="D80" t="s">
        <v>122</v>
      </c>
      <c r="E80" t="s">
        <v>123</v>
      </c>
      <c r="F80" s="9">
        <v>41778</v>
      </c>
      <c r="G80" s="9">
        <v>41778</v>
      </c>
      <c r="H80">
        <v>758</v>
      </c>
      <c r="J80" s="60">
        <v>1550</v>
      </c>
    </row>
    <row r="81" spans="1:10">
      <c r="B81" t="s">
        <v>121</v>
      </c>
      <c r="D81" t="s">
        <v>122</v>
      </c>
      <c r="E81" t="s">
        <v>123</v>
      </c>
      <c r="F81" s="9">
        <v>41778</v>
      </c>
      <c r="G81" s="9">
        <v>41778</v>
      </c>
      <c r="H81">
        <v>759</v>
      </c>
      <c r="J81" s="60">
        <v>1170</v>
      </c>
    </row>
    <row r="82" spans="1:10">
      <c r="B82" t="s">
        <v>121</v>
      </c>
      <c r="D82" t="s">
        <v>122</v>
      </c>
      <c r="E82" t="s">
        <v>123</v>
      </c>
      <c r="F82" s="9">
        <v>41778</v>
      </c>
      <c r="G82" s="9">
        <v>41778</v>
      </c>
      <c r="H82">
        <v>773</v>
      </c>
      <c r="J82" s="60">
        <v>1780</v>
      </c>
    </row>
    <row r="83" spans="1:10">
      <c r="B83" t="s">
        <v>125</v>
      </c>
      <c r="E83">
        <v>822</v>
      </c>
      <c r="F83" s="9">
        <v>41703</v>
      </c>
      <c r="G83" s="9">
        <v>41703</v>
      </c>
      <c r="H83">
        <v>822</v>
      </c>
      <c r="I83">
        <v>880</v>
      </c>
    </row>
    <row r="84" spans="1:10">
      <c r="B84" t="s">
        <v>125</v>
      </c>
      <c r="E84">
        <v>843</v>
      </c>
      <c r="F84" s="9">
        <v>41726</v>
      </c>
      <c r="G84" s="9">
        <v>41726</v>
      </c>
      <c r="H84">
        <v>843</v>
      </c>
      <c r="I84" s="60">
        <v>3300</v>
      </c>
    </row>
    <row r="85" spans="1:10">
      <c r="B85" t="s">
        <v>125</v>
      </c>
      <c r="E85">
        <v>844</v>
      </c>
      <c r="F85" s="9">
        <v>41726</v>
      </c>
      <c r="G85" s="9">
        <v>41726</v>
      </c>
      <c r="H85">
        <v>844</v>
      </c>
      <c r="I85" s="60">
        <v>2640</v>
      </c>
    </row>
    <row r="86" spans="1:10">
      <c r="B86" t="s">
        <v>125</v>
      </c>
      <c r="E86">
        <v>849</v>
      </c>
      <c r="F86" s="9">
        <v>41718</v>
      </c>
      <c r="G86" s="9">
        <v>41718</v>
      </c>
      <c r="H86">
        <v>849</v>
      </c>
      <c r="I86" s="60">
        <v>5490</v>
      </c>
    </row>
    <row r="87" spans="1:10">
      <c r="B87" t="s">
        <v>125</v>
      </c>
      <c r="E87">
        <v>850</v>
      </c>
      <c r="F87" s="9">
        <v>41718</v>
      </c>
      <c r="G87" s="9">
        <v>41718</v>
      </c>
      <c r="H87">
        <v>850</v>
      </c>
      <c r="I87" s="60">
        <v>5940</v>
      </c>
    </row>
    <row r="88" spans="1:10">
      <c r="B88" t="s">
        <v>125</v>
      </c>
      <c r="E88">
        <v>851</v>
      </c>
      <c r="F88" s="9">
        <v>41718</v>
      </c>
      <c r="G88" s="9">
        <v>41718</v>
      </c>
      <c r="H88">
        <v>851</v>
      </c>
      <c r="I88">
        <v>240</v>
      </c>
    </row>
    <row r="90" spans="1:10">
      <c r="I90" t="s">
        <v>126</v>
      </c>
    </row>
    <row r="91" spans="1:10">
      <c r="F91" t="s">
        <v>127</v>
      </c>
      <c r="G91" t="s">
        <v>128</v>
      </c>
      <c r="I91" t="s">
        <v>129</v>
      </c>
    </row>
    <row r="92" spans="1:10">
      <c r="I92" t="s">
        <v>126</v>
      </c>
    </row>
    <row r="94" spans="1:10" ht="15.75" thickBot="1">
      <c r="F94" s="61"/>
      <c r="G94" s="61"/>
    </row>
    <row r="95" spans="1:10">
      <c r="A95" s="63">
        <v>10</v>
      </c>
      <c r="B95" s="64" t="s">
        <v>121</v>
      </c>
      <c r="C95" s="64" t="s">
        <v>141</v>
      </c>
      <c r="D95" s="64" t="s">
        <v>142</v>
      </c>
      <c r="E95" s="64" t="s">
        <v>143</v>
      </c>
      <c r="F95" s="65">
        <v>41761</v>
      </c>
      <c r="G95" s="65">
        <v>41761</v>
      </c>
      <c r="H95" s="74">
        <v>793</v>
      </c>
      <c r="I95" s="61"/>
    </row>
    <row r="96" spans="1:10">
      <c r="A96" s="66">
        <v>10</v>
      </c>
      <c r="B96" s="62" t="s">
        <v>121</v>
      </c>
      <c r="C96" s="62" t="s">
        <v>157</v>
      </c>
      <c r="D96" s="62" t="s">
        <v>158</v>
      </c>
      <c r="E96" s="62" t="s">
        <v>159</v>
      </c>
      <c r="F96" s="67">
        <v>41761</v>
      </c>
      <c r="G96" s="67">
        <v>41761</v>
      </c>
      <c r="H96" s="75">
        <v>1260</v>
      </c>
      <c r="I96" s="61"/>
    </row>
    <row r="97" spans="1:9">
      <c r="A97" s="66">
        <v>10</v>
      </c>
      <c r="B97" s="62" t="s">
        <v>121</v>
      </c>
      <c r="C97" s="62" t="s">
        <v>160</v>
      </c>
      <c r="D97" s="62" t="s">
        <v>158</v>
      </c>
      <c r="E97" s="62" t="s">
        <v>159</v>
      </c>
      <c r="F97" s="67">
        <v>41761</v>
      </c>
      <c r="G97" s="67">
        <v>41761</v>
      </c>
      <c r="H97" s="75">
        <v>9793</v>
      </c>
      <c r="I97" s="61"/>
    </row>
    <row r="98" spans="1:9">
      <c r="A98" s="66">
        <v>10</v>
      </c>
      <c r="B98" s="62" t="s">
        <v>121</v>
      </c>
      <c r="C98" s="62" t="s">
        <v>161</v>
      </c>
      <c r="D98" s="62" t="s">
        <v>158</v>
      </c>
      <c r="E98" s="62" t="s">
        <v>159</v>
      </c>
      <c r="F98" s="67">
        <v>41761</v>
      </c>
      <c r="G98" s="67">
        <v>41761</v>
      </c>
      <c r="H98" s="75">
        <v>7413</v>
      </c>
      <c r="I98" s="61"/>
    </row>
    <row r="99" spans="1:9">
      <c r="A99" s="66">
        <v>10</v>
      </c>
      <c r="B99" s="62" t="s">
        <v>121</v>
      </c>
      <c r="C99" s="62" t="s">
        <v>162</v>
      </c>
      <c r="D99" s="62" t="s">
        <v>158</v>
      </c>
      <c r="E99" s="62" t="s">
        <v>159</v>
      </c>
      <c r="F99" s="67">
        <v>41761</v>
      </c>
      <c r="G99" s="67">
        <v>41761</v>
      </c>
      <c r="H99" s="75">
        <v>7639</v>
      </c>
      <c r="I99" s="61"/>
    </row>
    <row r="100" spans="1:9">
      <c r="A100" s="66">
        <v>10</v>
      </c>
      <c r="B100" s="62" t="s">
        <v>121</v>
      </c>
      <c r="C100" s="62" t="s">
        <v>163</v>
      </c>
      <c r="D100" s="62" t="s">
        <v>158</v>
      </c>
      <c r="E100" s="62" t="s">
        <v>159</v>
      </c>
      <c r="F100" s="67">
        <v>41761</v>
      </c>
      <c r="G100" s="67">
        <v>41761</v>
      </c>
      <c r="H100" s="75">
        <v>155</v>
      </c>
      <c r="I100" s="61"/>
    </row>
    <row r="101" spans="1:9">
      <c r="A101" s="66">
        <v>10</v>
      </c>
      <c r="B101" s="62" t="s">
        <v>121</v>
      </c>
      <c r="C101" s="62" t="s">
        <v>133</v>
      </c>
      <c r="D101" s="62" t="s">
        <v>131</v>
      </c>
      <c r="E101" s="62" t="s">
        <v>132</v>
      </c>
      <c r="F101" s="67">
        <v>41762</v>
      </c>
      <c r="G101" s="67">
        <v>41762</v>
      </c>
      <c r="H101" s="75">
        <v>2000</v>
      </c>
      <c r="I101" s="15" t="s">
        <v>195</v>
      </c>
    </row>
    <row r="102" spans="1:9">
      <c r="A102" s="66">
        <v>10</v>
      </c>
      <c r="B102" s="62" t="s">
        <v>121</v>
      </c>
      <c r="C102" s="62" t="s">
        <v>134</v>
      </c>
      <c r="D102" s="62" t="s">
        <v>131</v>
      </c>
      <c r="E102" s="62" t="s">
        <v>132</v>
      </c>
      <c r="F102" s="67">
        <v>41762</v>
      </c>
      <c r="G102" s="67">
        <v>41762</v>
      </c>
      <c r="H102" s="75">
        <v>25050.32</v>
      </c>
      <c r="I102" s="15" t="s">
        <v>195</v>
      </c>
    </row>
    <row r="103" spans="1:9">
      <c r="A103" s="66">
        <v>10</v>
      </c>
      <c r="B103" s="62" t="s">
        <v>121</v>
      </c>
      <c r="C103" s="62" t="s">
        <v>144</v>
      </c>
      <c r="D103" s="62" t="s">
        <v>149</v>
      </c>
      <c r="E103" s="62" t="s">
        <v>150</v>
      </c>
      <c r="F103" s="67">
        <v>41762</v>
      </c>
      <c r="G103" s="67">
        <v>41762</v>
      </c>
      <c r="H103" s="75">
        <v>6580</v>
      </c>
      <c r="I103" s="61"/>
    </row>
    <row r="104" spans="1:9">
      <c r="A104" s="66">
        <v>10</v>
      </c>
      <c r="B104" s="62" t="s">
        <v>121</v>
      </c>
      <c r="C104" s="62" t="s">
        <v>151</v>
      </c>
      <c r="D104" s="62" t="s">
        <v>149</v>
      </c>
      <c r="E104" s="62" t="s">
        <v>150</v>
      </c>
      <c r="F104" s="67">
        <v>41762</v>
      </c>
      <c r="G104" s="67">
        <v>41762</v>
      </c>
      <c r="H104" s="75">
        <v>3420</v>
      </c>
      <c r="I104" s="61"/>
    </row>
    <row r="105" spans="1:9">
      <c r="A105" s="66">
        <v>10</v>
      </c>
      <c r="B105" s="62" t="s">
        <v>121</v>
      </c>
      <c r="C105" s="62" t="s">
        <v>133</v>
      </c>
      <c r="D105" s="62" t="s">
        <v>131</v>
      </c>
      <c r="E105" s="62" t="s">
        <v>132</v>
      </c>
      <c r="F105" s="67">
        <v>41765</v>
      </c>
      <c r="G105" s="67">
        <v>41765</v>
      </c>
      <c r="H105" s="75">
        <v>3600</v>
      </c>
      <c r="I105" s="15" t="s">
        <v>195</v>
      </c>
    </row>
    <row r="106" spans="1:9">
      <c r="A106" s="66">
        <v>10</v>
      </c>
      <c r="B106" s="62" t="s">
        <v>121</v>
      </c>
      <c r="C106" s="62" t="s">
        <v>144</v>
      </c>
      <c r="D106" s="62" t="s">
        <v>147</v>
      </c>
      <c r="E106" s="62" t="s">
        <v>148</v>
      </c>
      <c r="F106" s="67">
        <v>41765</v>
      </c>
      <c r="G106" s="67">
        <v>41765</v>
      </c>
      <c r="H106" s="75">
        <v>4569</v>
      </c>
      <c r="I106" s="61"/>
    </row>
    <row r="107" spans="1:9">
      <c r="A107" s="66">
        <v>10</v>
      </c>
      <c r="B107" s="62" t="s">
        <v>121</v>
      </c>
      <c r="C107" s="62" t="s">
        <v>177</v>
      </c>
      <c r="D107" s="62" t="s">
        <v>178</v>
      </c>
      <c r="E107" s="62" t="s">
        <v>179</v>
      </c>
      <c r="F107" s="67">
        <v>41765</v>
      </c>
      <c r="G107" s="67">
        <v>41765</v>
      </c>
      <c r="H107" s="75">
        <v>15000</v>
      </c>
      <c r="I107" s="61"/>
    </row>
    <row r="108" spans="1:9" ht="15.75" thickBot="1">
      <c r="A108" s="68">
        <v>10</v>
      </c>
      <c r="B108" s="69" t="s">
        <v>121</v>
      </c>
      <c r="C108" s="69" t="s">
        <v>187</v>
      </c>
      <c r="D108" s="69" t="s">
        <v>147</v>
      </c>
      <c r="E108" s="69" t="s">
        <v>148</v>
      </c>
      <c r="F108" s="70">
        <v>41765</v>
      </c>
      <c r="G108" s="70">
        <v>41765</v>
      </c>
      <c r="H108" s="76">
        <v>1074</v>
      </c>
      <c r="I108" s="61"/>
    </row>
    <row r="109" spans="1:9" ht="15.75" thickTop="1">
      <c r="A109" s="71">
        <v>10</v>
      </c>
      <c r="B109" s="72" t="s">
        <v>121</v>
      </c>
      <c r="C109" s="72" t="s">
        <v>130</v>
      </c>
      <c r="D109" s="72" t="s">
        <v>131</v>
      </c>
      <c r="E109" s="72" t="s">
        <v>132</v>
      </c>
      <c r="F109" s="67">
        <v>41766</v>
      </c>
      <c r="G109" s="67">
        <v>41766</v>
      </c>
      <c r="H109" s="78">
        <v>6252.02</v>
      </c>
      <c r="I109" s="15" t="s">
        <v>195</v>
      </c>
    </row>
    <row r="110" spans="1:9">
      <c r="A110" s="73">
        <v>10</v>
      </c>
      <c r="B110" s="62" t="s">
        <v>121</v>
      </c>
      <c r="C110" s="62" t="s">
        <v>137</v>
      </c>
      <c r="D110" s="62" t="s">
        <v>131</v>
      </c>
      <c r="E110" s="62" t="s">
        <v>132</v>
      </c>
      <c r="F110" s="67">
        <v>41766</v>
      </c>
      <c r="G110" s="67">
        <v>41766</v>
      </c>
      <c r="H110" s="77">
        <v>7500</v>
      </c>
      <c r="I110" s="15" t="s">
        <v>195</v>
      </c>
    </row>
    <row r="111" spans="1:9">
      <c r="A111" s="73">
        <v>10</v>
      </c>
      <c r="B111" s="62" t="s">
        <v>121</v>
      </c>
      <c r="C111" s="62" t="s">
        <v>167</v>
      </c>
      <c r="D111" s="62" t="s">
        <v>168</v>
      </c>
      <c r="E111" s="62" t="s">
        <v>169</v>
      </c>
      <c r="F111" s="67">
        <v>41766</v>
      </c>
      <c r="G111" s="67">
        <v>41766</v>
      </c>
      <c r="H111" s="77">
        <v>6940</v>
      </c>
    </row>
    <row r="112" spans="1:9">
      <c r="A112" s="73">
        <v>10</v>
      </c>
      <c r="B112" s="62" t="s">
        <v>121</v>
      </c>
      <c r="C112" s="62" t="s">
        <v>170</v>
      </c>
      <c r="D112" s="62" t="s">
        <v>168</v>
      </c>
      <c r="E112" s="62" t="s">
        <v>169</v>
      </c>
      <c r="F112" s="67">
        <v>41766</v>
      </c>
      <c r="G112" s="67">
        <v>41766</v>
      </c>
      <c r="H112" s="77">
        <v>60</v>
      </c>
    </row>
    <row r="113" spans="1:9">
      <c r="A113" s="73">
        <v>10</v>
      </c>
      <c r="B113" s="62" t="s">
        <v>121</v>
      </c>
      <c r="C113" s="62" t="s">
        <v>130</v>
      </c>
      <c r="D113" s="62" t="s">
        <v>131</v>
      </c>
      <c r="E113" s="62" t="s">
        <v>132</v>
      </c>
      <c r="F113" s="67">
        <v>41767</v>
      </c>
      <c r="G113" s="67">
        <v>41767</v>
      </c>
      <c r="H113" s="77">
        <v>100.05</v>
      </c>
      <c r="I113" t="s">
        <v>195</v>
      </c>
    </row>
    <row r="114" spans="1:9">
      <c r="A114" s="73">
        <v>10</v>
      </c>
      <c r="B114" s="62" t="s">
        <v>121</v>
      </c>
      <c r="C114" s="62" t="s">
        <v>133</v>
      </c>
      <c r="D114" s="62" t="s">
        <v>131</v>
      </c>
      <c r="E114" s="62" t="s">
        <v>132</v>
      </c>
      <c r="F114" s="67">
        <v>41767</v>
      </c>
      <c r="G114" s="67">
        <v>41767</v>
      </c>
      <c r="H114" s="77">
        <v>1400</v>
      </c>
      <c r="I114" s="15" t="s">
        <v>195</v>
      </c>
    </row>
    <row r="115" spans="1:9">
      <c r="A115" s="73">
        <v>10</v>
      </c>
      <c r="B115" s="62" t="s">
        <v>121</v>
      </c>
      <c r="C115" s="62" t="s">
        <v>144</v>
      </c>
      <c r="D115" s="62" t="s">
        <v>145</v>
      </c>
      <c r="E115" s="62" t="s">
        <v>146</v>
      </c>
      <c r="F115" s="67">
        <v>41767</v>
      </c>
      <c r="G115" s="67">
        <v>41767</v>
      </c>
      <c r="H115" s="77">
        <v>6447</v>
      </c>
    </row>
    <row r="116" spans="1:9">
      <c r="A116" s="73">
        <v>10</v>
      </c>
      <c r="B116" s="62" t="s">
        <v>121</v>
      </c>
      <c r="C116" s="62" t="s">
        <v>153</v>
      </c>
      <c r="D116" s="62" t="s">
        <v>154</v>
      </c>
      <c r="E116" s="62" t="s">
        <v>155</v>
      </c>
      <c r="F116" s="67">
        <v>41767</v>
      </c>
      <c r="G116" s="67">
        <v>41767</v>
      </c>
      <c r="H116" s="77">
        <v>1200</v>
      </c>
    </row>
    <row r="117" spans="1:9">
      <c r="A117" s="73">
        <v>10</v>
      </c>
      <c r="B117" s="62" t="s">
        <v>121</v>
      </c>
      <c r="C117" s="62" t="s">
        <v>188</v>
      </c>
      <c r="D117" s="62" t="s">
        <v>189</v>
      </c>
      <c r="E117" s="62" t="s">
        <v>190</v>
      </c>
      <c r="F117" s="67">
        <v>41767</v>
      </c>
      <c r="G117" s="67">
        <v>41767</v>
      </c>
      <c r="H117" s="77">
        <v>7207.08</v>
      </c>
    </row>
    <row r="118" spans="1:9">
      <c r="A118" s="73">
        <v>10</v>
      </c>
      <c r="B118" s="62" t="s">
        <v>121</v>
      </c>
      <c r="C118" s="62" t="s">
        <v>191</v>
      </c>
      <c r="D118" s="62" t="s">
        <v>189</v>
      </c>
      <c r="E118" s="62" t="s">
        <v>190</v>
      </c>
      <c r="F118" s="67">
        <v>41767</v>
      </c>
      <c r="G118" s="67">
        <v>41767</v>
      </c>
      <c r="H118" s="77">
        <v>2007.42</v>
      </c>
    </row>
    <row r="119" spans="1:9">
      <c r="A119" s="73">
        <v>10</v>
      </c>
      <c r="B119" s="62" t="s">
        <v>121</v>
      </c>
      <c r="C119" s="62" t="s">
        <v>110</v>
      </c>
      <c r="D119" s="62" t="s">
        <v>189</v>
      </c>
      <c r="E119" s="62" t="s">
        <v>190</v>
      </c>
      <c r="F119" s="67">
        <v>41767</v>
      </c>
      <c r="G119" s="67">
        <v>41767</v>
      </c>
      <c r="H119" s="77">
        <v>5785.5</v>
      </c>
    </row>
    <row r="120" spans="1:9">
      <c r="A120" s="73">
        <v>10</v>
      </c>
      <c r="B120" s="62" t="s">
        <v>121</v>
      </c>
      <c r="C120" s="62" t="s">
        <v>144</v>
      </c>
      <c r="D120" s="62" t="s">
        <v>147</v>
      </c>
      <c r="E120" s="62" t="s">
        <v>148</v>
      </c>
      <c r="F120" s="67">
        <v>41768</v>
      </c>
      <c r="G120" s="67">
        <v>41768</v>
      </c>
      <c r="H120" s="77">
        <v>5000</v>
      </c>
    </row>
    <row r="121" spans="1:9">
      <c r="A121" s="73">
        <v>10</v>
      </c>
      <c r="B121" s="62" t="s">
        <v>121</v>
      </c>
      <c r="C121" s="62" t="s">
        <v>151</v>
      </c>
      <c r="D121" s="62" t="s">
        <v>149</v>
      </c>
      <c r="E121" s="62" t="s">
        <v>150</v>
      </c>
      <c r="F121" s="67">
        <v>41769</v>
      </c>
      <c r="G121" s="67">
        <v>41769</v>
      </c>
      <c r="H121" s="77">
        <v>5595</v>
      </c>
    </row>
    <row r="122" spans="1:9">
      <c r="A122" s="73">
        <v>10</v>
      </c>
      <c r="B122" s="62" t="s">
        <v>121</v>
      </c>
      <c r="C122" s="62" t="s">
        <v>156</v>
      </c>
      <c r="D122" s="62" t="s">
        <v>154</v>
      </c>
      <c r="E122" s="62" t="s">
        <v>155</v>
      </c>
      <c r="F122" s="67">
        <v>41771</v>
      </c>
      <c r="G122" s="67">
        <v>41771</v>
      </c>
      <c r="H122" s="77">
        <v>1300</v>
      </c>
    </row>
    <row r="123" spans="1:9">
      <c r="A123" s="73">
        <v>10</v>
      </c>
      <c r="B123" s="62" t="s">
        <v>121</v>
      </c>
      <c r="C123" s="62" t="s">
        <v>135</v>
      </c>
      <c r="D123" s="62" t="s">
        <v>131</v>
      </c>
      <c r="E123" s="62" t="s">
        <v>132</v>
      </c>
      <c r="F123" s="67">
        <v>41772</v>
      </c>
      <c r="G123" s="67">
        <v>41772</v>
      </c>
      <c r="H123" s="77">
        <v>3600</v>
      </c>
      <c r="I123" s="15" t="s">
        <v>195</v>
      </c>
    </row>
    <row r="124" spans="1:9">
      <c r="A124" s="73">
        <v>10</v>
      </c>
      <c r="B124" s="62" t="s">
        <v>121</v>
      </c>
      <c r="C124" s="62" t="s">
        <v>177</v>
      </c>
      <c r="D124" s="62" t="s">
        <v>178</v>
      </c>
      <c r="E124" s="62" t="s">
        <v>179</v>
      </c>
      <c r="F124" s="67">
        <v>41772</v>
      </c>
      <c r="G124" s="67">
        <v>41772</v>
      </c>
      <c r="H124" s="77">
        <v>2000.8</v>
      </c>
    </row>
    <row r="125" spans="1:9">
      <c r="A125" s="73">
        <v>10</v>
      </c>
      <c r="B125" s="62" t="s">
        <v>121</v>
      </c>
      <c r="C125" s="62" t="s">
        <v>180</v>
      </c>
      <c r="D125" s="62" t="s">
        <v>178</v>
      </c>
      <c r="E125" s="62" t="s">
        <v>179</v>
      </c>
      <c r="F125" s="67">
        <v>41772</v>
      </c>
      <c r="G125" s="67">
        <v>41772</v>
      </c>
      <c r="H125" s="77">
        <v>999.2</v>
      </c>
    </row>
    <row r="126" spans="1:9">
      <c r="A126" s="73">
        <v>10</v>
      </c>
      <c r="B126" s="62" t="s">
        <v>121</v>
      </c>
      <c r="C126" s="62" t="s">
        <v>163</v>
      </c>
      <c r="D126" s="62" t="s">
        <v>158</v>
      </c>
      <c r="E126" s="62" t="s">
        <v>159</v>
      </c>
      <c r="F126" s="67">
        <v>41773</v>
      </c>
      <c r="G126" s="67">
        <v>41773</v>
      </c>
      <c r="H126" s="77">
        <v>13348</v>
      </c>
    </row>
    <row r="127" spans="1:9">
      <c r="A127" s="73">
        <v>10</v>
      </c>
      <c r="B127" s="62" t="s">
        <v>121</v>
      </c>
      <c r="C127" s="62" t="s">
        <v>164</v>
      </c>
      <c r="D127" s="62" t="s">
        <v>158</v>
      </c>
      <c r="E127" s="62" t="s">
        <v>159</v>
      </c>
      <c r="F127" s="67">
        <v>41773</v>
      </c>
      <c r="G127" s="67">
        <v>41773</v>
      </c>
      <c r="H127" s="77">
        <v>4989</v>
      </c>
    </row>
    <row r="128" spans="1:9">
      <c r="A128" s="73">
        <v>10</v>
      </c>
      <c r="B128" s="62" t="s">
        <v>121</v>
      </c>
      <c r="C128" s="62" t="s">
        <v>165</v>
      </c>
      <c r="D128" s="62" t="s">
        <v>158</v>
      </c>
      <c r="E128" s="62" t="s">
        <v>159</v>
      </c>
      <c r="F128" s="67">
        <v>41773</v>
      </c>
      <c r="G128" s="67">
        <v>41773</v>
      </c>
      <c r="H128" s="77">
        <v>10924</v>
      </c>
    </row>
    <row r="129" spans="1:9">
      <c r="A129" s="73">
        <v>10</v>
      </c>
      <c r="B129" s="62" t="s">
        <v>121</v>
      </c>
      <c r="C129" s="62" t="s">
        <v>166</v>
      </c>
      <c r="D129" s="62" t="s">
        <v>158</v>
      </c>
      <c r="E129" s="62" t="s">
        <v>159</v>
      </c>
      <c r="F129" s="67">
        <v>41773</v>
      </c>
      <c r="G129" s="67">
        <v>41773</v>
      </c>
      <c r="H129" s="77">
        <v>739</v>
      </c>
    </row>
    <row r="130" spans="1:9">
      <c r="A130" s="73">
        <v>10</v>
      </c>
      <c r="B130" s="62" t="s">
        <v>121</v>
      </c>
      <c r="C130" s="62" t="s">
        <v>181</v>
      </c>
      <c r="D130" s="62" t="s">
        <v>182</v>
      </c>
      <c r="E130" s="62" t="s">
        <v>183</v>
      </c>
      <c r="F130" s="67">
        <v>41773</v>
      </c>
      <c r="G130" s="67">
        <v>41773</v>
      </c>
      <c r="H130" s="77">
        <v>2450</v>
      </c>
    </row>
    <row r="131" spans="1:9">
      <c r="A131" s="73">
        <v>10</v>
      </c>
      <c r="B131" s="62" t="s">
        <v>121</v>
      </c>
      <c r="C131" s="62" t="s">
        <v>135</v>
      </c>
      <c r="D131" s="62" t="s">
        <v>131</v>
      </c>
      <c r="E131" s="62" t="s">
        <v>132</v>
      </c>
      <c r="F131" s="67">
        <v>41774</v>
      </c>
      <c r="G131" s="67">
        <v>41774</v>
      </c>
      <c r="H131" s="77">
        <v>6445.71</v>
      </c>
      <c r="I131" s="15" t="s">
        <v>195</v>
      </c>
    </row>
    <row r="132" spans="1:9">
      <c r="A132" s="73">
        <v>10</v>
      </c>
      <c r="B132" s="62" t="s">
        <v>121</v>
      </c>
      <c r="C132" s="62" t="s">
        <v>137</v>
      </c>
      <c r="D132" s="62" t="s">
        <v>131</v>
      </c>
      <c r="E132" s="62" t="s">
        <v>132</v>
      </c>
      <c r="F132" s="67">
        <v>41774</v>
      </c>
      <c r="G132" s="67">
        <v>41774</v>
      </c>
      <c r="H132" s="77">
        <v>849.96</v>
      </c>
      <c r="I132" s="15" t="s">
        <v>195</v>
      </c>
    </row>
    <row r="133" spans="1:9">
      <c r="A133" s="73">
        <v>10</v>
      </c>
      <c r="B133" s="62" t="s">
        <v>121</v>
      </c>
      <c r="C133" s="62" t="s">
        <v>144</v>
      </c>
      <c r="D133" s="62" t="s">
        <v>147</v>
      </c>
      <c r="E133" s="62" t="s">
        <v>148</v>
      </c>
      <c r="F133" s="67">
        <v>41775</v>
      </c>
      <c r="G133" s="67">
        <v>41775</v>
      </c>
      <c r="H133" s="77">
        <v>6241</v>
      </c>
    </row>
    <row r="134" spans="1:9">
      <c r="A134" s="73">
        <v>10</v>
      </c>
      <c r="B134" s="62" t="s">
        <v>121</v>
      </c>
      <c r="C134" s="62" t="s">
        <v>151</v>
      </c>
      <c r="D134" s="62" t="s">
        <v>149</v>
      </c>
      <c r="E134" s="62" t="s">
        <v>150</v>
      </c>
      <c r="F134" s="67">
        <v>41775</v>
      </c>
      <c r="G134" s="67">
        <v>41775</v>
      </c>
      <c r="H134" s="77">
        <v>805</v>
      </c>
    </row>
    <row r="135" spans="1:9">
      <c r="A135" s="73">
        <v>10</v>
      </c>
      <c r="B135" s="62" t="s">
        <v>121</v>
      </c>
      <c r="C135" s="62" t="s">
        <v>152</v>
      </c>
      <c r="D135" s="62" t="s">
        <v>149</v>
      </c>
      <c r="E135" s="62" t="s">
        <v>150</v>
      </c>
      <c r="F135" s="67">
        <v>41775</v>
      </c>
      <c r="G135" s="67">
        <v>41775</v>
      </c>
      <c r="H135" s="77">
        <v>2845</v>
      </c>
    </row>
    <row r="136" spans="1:9">
      <c r="A136" s="73">
        <v>10</v>
      </c>
      <c r="B136" s="62" t="s">
        <v>121</v>
      </c>
      <c r="C136" s="62" t="s">
        <v>185</v>
      </c>
      <c r="D136" s="62" t="s">
        <v>147</v>
      </c>
      <c r="E136" s="62" t="s">
        <v>148</v>
      </c>
      <c r="F136" s="67">
        <v>41775</v>
      </c>
      <c r="G136" s="67">
        <v>41775</v>
      </c>
      <c r="H136" s="77">
        <v>4402</v>
      </c>
    </row>
    <row r="137" spans="1:9">
      <c r="A137" s="73">
        <v>10</v>
      </c>
      <c r="B137" s="62" t="s">
        <v>121</v>
      </c>
      <c r="C137" s="62" t="s">
        <v>173</v>
      </c>
      <c r="D137" s="62" t="s">
        <v>174</v>
      </c>
      <c r="E137" s="62" t="s">
        <v>175</v>
      </c>
      <c r="F137" s="67">
        <v>41776</v>
      </c>
      <c r="G137" s="67">
        <v>41776</v>
      </c>
      <c r="H137" s="77">
        <v>8560</v>
      </c>
    </row>
    <row r="138" spans="1:9">
      <c r="A138" s="73">
        <v>10</v>
      </c>
      <c r="B138" s="62" t="s">
        <v>121</v>
      </c>
      <c r="C138" s="62" t="s">
        <v>191</v>
      </c>
      <c r="D138" s="62" t="s">
        <v>189</v>
      </c>
      <c r="E138" s="62" t="s">
        <v>190</v>
      </c>
      <c r="F138" s="67">
        <v>41776</v>
      </c>
      <c r="G138" s="67">
        <v>41776</v>
      </c>
      <c r="H138" s="77">
        <v>20000</v>
      </c>
    </row>
    <row r="139" spans="1:9">
      <c r="A139" s="73">
        <v>10</v>
      </c>
      <c r="B139" s="62" t="s">
        <v>121</v>
      </c>
      <c r="C139" s="62" t="s">
        <v>135</v>
      </c>
      <c r="D139" s="62" t="s">
        <v>131</v>
      </c>
      <c r="E139" s="62" t="s">
        <v>132</v>
      </c>
      <c r="F139" s="67">
        <v>41778</v>
      </c>
      <c r="G139" s="67">
        <v>41778</v>
      </c>
      <c r="H139" s="77">
        <v>2000</v>
      </c>
      <c r="I139" s="15" t="s">
        <v>195</v>
      </c>
    </row>
    <row r="140" spans="1:9">
      <c r="A140" s="73">
        <v>10</v>
      </c>
      <c r="B140" s="62" t="s">
        <v>121</v>
      </c>
      <c r="C140" s="62" t="s">
        <v>167</v>
      </c>
      <c r="D140" s="62" t="s">
        <v>168</v>
      </c>
      <c r="E140" s="62" t="s">
        <v>169</v>
      </c>
      <c r="F140" s="67">
        <v>41778</v>
      </c>
      <c r="G140" s="67">
        <v>41778</v>
      </c>
      <c r="H140" s="77">
        <v>1550</v>
      </c>
    </row>
    <row r="141" spans="1:9">
      <c r="A141" s="73">
        <v>10</v>
      </c>
      <c r="B141" s="62" t="s">
        <v>121</v>
      </c>
      <c r="C141" s="62" t="s">
        <v>171</v>
      </c>
      <c r="D141" s="62" t="s">
        <v>168</v>
      </c>
      <c r="E141" s="62" t="s">
        <v>169</v>
      </c>
      <c r="F141" s="67">
        <v>41778</v>
      </c>
      <c r="G141" s="67">
        <v>41778</v>
      </c>
      <c r="H141" s="77">
        <v>1170</v>
      </c>
    </row>
    <row r="142" spans="1:9">
      <c r="A142" s="73">
        <v>10</v>
      </c>
      <c r="B142" s="62" t="s">
        <v>121</v>
      </c>
      <c r="C142" s="62" t="s">
        <v>172</v>
      </c>
      <c r="D142" s="62" t="s">
        <v>168</v>
      </c>
      <c r="E142" s="62" t="s">
        <v>169</v>
      </c>
      <c r="F142" s="67">
        <v>41778</v>
      </c>
      <c r="G142" s="67">
        <v>41778</v>
      </c>
      <c r="H142" s="77">
        <v>1780</v>
      </c>
    </row>
    <row r="143" spans="1:9">
      <c r="A143" s="73">
        <v>10</v>
      </c>
      <c r="B143" s="62" t="s">
        <v>121</v>
      </c>
      <c r="C143" s="62" t="s">
        <v>180</v>
      </c>
      <c r="D143" s="62" t="s">
        <v>178</v>
      </c>
      <c r="E143" s="62" t="s">
        <v>179</v>
      </c>
      <c r="F143" s="67">
        <v>41778</v>
      </c>
      <c r="G143" s="67">
        <v>41778</v>
      </c>
      <c r="H143" s="77">
        <v>6500</v>
      </c>
    </row>
    <row r="144" spans="1:9">
      <c r="A144" s="73">
        <v>10</v>
      </c>
      <c r="B144" s="62" t="s">
        <v>121</v>
      </c>
      <c r="C144" s="62" t="s">
        <v>135</v>
      </c>
      <c r="D144" s="62" t="s">
        <v>131</v>
      </c>
      <c r="E144" s="62" t="s">
        <v>132</v>
      </c>
      <c r="F144" s="67">
        <v>41779</v>
      </c>
      <c r="G144" s="67">
        <v>41779</v>
      </c>
      <c r="H144" s="77">
        <v>4000</v>
      </c>
      <c r="I144" s="15" t="s">
        <v>195</v>
      </c>
    </row>
    <row r="145" spans="1:9">
      <c r="A145" s="73">
        <v>10</v>
      </c>
      <c r="B145" s="62" t="s">
        <v>121</v>
      </c>
      <c r="C145" s="62" t="s">
        <v>135</v>
      </c>
      <c r="D145" s="62" t="s">
        <v>131</v>
      </c>
      <c r="E145" s="62" t="s">
        <v>132</v>
      </c>
      <c r="F145" s="67">
        <v>41779</v>
      </c>
      <c r="G145" s="67">
        <v>41779</v>
      </c>
      <c r="H145" s="77">
        <v>6400</v>
      </c>
      <c r="I145" s="15" t="s">
        <v>195</v>
      </c>
    </row>
    <row r="146" spans="1:9">
      <c r="A146" s="73">
        <v>10</v>
      </c>
      <c r="B146" s="62" t="s">
        <v>121</v>
      </c>
      <c r="C146" s="62" t="s">
        <v>136</v>
      </c>
      <c r="D146" s="62" t="s">
        <v>131</v>
      </c>
      <c r="E146" s="62" t="s">
        <v>132</v>
      </c>
      <c r="F146" s="67">
        <v>41779</v>
      </c>
      <c r="G146" s="67">
        <v>41779</v>
      </c>
      <c r="H146" s="77">
        <v>22178.760000000002</v>
      </c>
      <c r="I146" s="15" t="s">
        <v>195</v>
      </c>
    </row>
    <row r="147" spans="1:9">
      <c r="A147" s="73">
        <v>10</v>
      </c>
      <c r="B147" s="62" t="s">
        <v>121</v>
      </c>
      <c r="C147" s="62" t="s">
        <v>172</v>
      </c>
      <c r="D147" s="62" t="s">
        <v>168</v>
      </c>
      <c r="E147" s="62" t="s">
        <v>169</v>
      </c>
      <c r="F147" s="67">
        <v>41779</v>
      </c>
      <c r="G147" s="67">
        <v>41779</v>
      </c>
      <c r="H147" s="77">
        <v>2500</v>
      </c>
    </row>
    <row r="148" spans="1:9">
      <c r="A148" s="73">
        <v>10</v>
      </c>
      <c r="B148" s="62" t="s">
        <v>121</v>
      </c>
      <c r="C148" s="62" t="s">
        <v>138</v>
      </c>
      <c r="D148" s="62" t="s">
        <v>139</v>
      </c>
      <c r="E148" s="62" t="s">
        <v>140</v>
      </c>
      <c r="F148" s="67">
        <v>41780</v>
      </c>
      <c r="G148" s="67">
        <v>41780</v>
      </c>
      <c r="H148" s="77">
        <v>280</v>
      </c>
    </row>
    <row r="149" spans="1:9">
      <c r="A149" s="73">
        <v>10</v>
      </c>
      <c r="B149" s="62" t="s">
        <v>121</v>
      </c>
      <c r="C149" s="62" t="s">
        <v>193</v>
      </c>
      <c r="D149" s="62" t="s">
        <v>194</v>
      </c>
      <c r="E149" s="62" t="s">
        <v>107</v>
      </c>
      <c r="F149" s="67">
        <v>41780</v>
      </c>
      <c r="G149" s="67">
        <v>41780</v>
      </c>
      <c r="H149" s="77">
        <v>6100</v>
      </c>
    </row>
    <row r="150" spans="1:9">
      <c r="A150" s="73">
        <v>10</v>
      </c>
      <c r="B150" s="62" t="s">
        <v>121</v>
      </c>
      <c r="C150" s="62" t="s">
        <v>176</v>
      </c>
      <c r="D150" s="62" t="s">
        <v>174</v>
      </c>
      <c r="E150" s="62" t="s">
        <v>175</v>
      </c>
      <c r="F150" s="67">
        <v>41781</v>
      </c>
      <c r="G150" s="67">
        <v>41781</v>
      </c>
      <c r="H150" s="77">
        <v>9550</v>
      </c>
    </row>
    <row r="151" spans="1:9">
      <c r="A151" s="73">
        <v>10</v>
      </c>
      <c r="B151" s="62" t="s">
        <v>121</v>
      </c>
      <c r="C151" s="62" t="s">
        <v>184</v>
      </c>
      <c r="D151" s="62" t="s">
        <v>147</v>
      </c>
      <c r="E151" s="62" t="s">
        <v>148</v>
      </c>
      <c r="F151" s="67">
        <v>41781</v>
      </c>
      <c r="G151" s="67">
        <v>41781</v>
      </c>
      <c r="H151" s="77">
        <v>1075</v>
      </c>
    </row>
    <row r="152" spans="1:9">
      <c r="A152" s="73">
        <v>10</v>
      </c>
      <c r="B152" s="62" t="s">
        <v>121</v>
      </c>
      <c r="C152" s="62" t="s">
        <v>186</v>
      </c>
      <c r="D152" s="62" t="s">
        <v>147</v>
      </c>
      <c r="E152" s="62" t="s">
        <v>148</v>
      </c>
      <c r="F152" s="67">
        <v>41781</v>
      </c>
      <c r="G152" s="67">
        <v>41781</v>
      </c>
      <c r="H152" s="77">
        <v>11010</v>
      </c>
    </row>
    <row r="153" spans="1:9">
      <c r="A153" s="73">
        <v>10</v>
      </c>
      <c r="B153" s="62" t="s">
        <v>121</v>
      </c>
      <c r="C153" s="62" t="s">
        <v>191</v>
      </c>
      <c r="D153" s="62" t="s">
        <v>189</v>
      </c>
      <c r="E153" s="62" t="s">
        <v>190</v>
      </c>
      <c r="F153" s="67">
        <v>41781</v>
      </c>
      <c r="G153" s="67">
        <v>41781</v>
      </c>
      <c r="H153" s="77">
        <v>8694.880000000001</v>
      </c>
    </row>
    <row r="154" spans="1:9">
      <c r="A154" s="73">
        <v>10</v>
      </c>
      <c r="B154" s="62" t="s">
        <v>121</v>
      </c>
      <c r="C154" s="62" t="s">
        <v>192</v>
      </c>
      <c r="D154" s="62" t="s">
        <v>189</v>
      </c>
      <c r="E154" s="62" t="s">
        <v>190</v>
      </c>
      <c r="F154" s="67">
        <v>41781</v>
      </c>
      <c r="G154" s="67">
        <v>41781</v>
      </c>
      <c r="H154" s="77">
        <v>5842.05</v>
      </c>
    </row>
    <row r="155" spans="1:9">
      <c r="A155" s="73">
        <v>10</v>
      </c>
      <c r="B155" s="62" t="s">
        <v>121</v>
      </c>
      <c r="C155" s="62" t="s">
        <v>152</v>
      </c>
      <c r="D155" s="62" t="s">
        <v>149</v>
      </c>
      <c r="E155" s="62" t="s">
        <v>150</v>
      </c>
      <c r="F155" s="67">
        <v>41782</v>
      </c>
      <c r="G155" s="67">
        <v>41782</v>
      </c>
      <c r="H155" s="77">
        <v>4400</v>
      </c>
    </row>
    <row r="156" spans="1:9">
      <c r="A156" s="73">
        <v>10</v>
      </c>
      <c r="B156" s="62" t="s">
        <v>121</v>
      </c>
      <c r="C156" s="62" t="s">
        <v>152</v>
      </c>
      <c r="D156" s="62" t="s">
        <v>149</v>
      </c>
      <c r="E156" s="62" t="s">
        <v>150</v>
      </c>
      <c r="F156" s="67">
        <v>41782</v>
      </c>
      <c r="G156" s="67">
        <v>41782</v>
      </c>
      <c r="H156" s="77">
        <v>1600</v>
      </c>
    </row>
    <row r="157" spans="1:9">
      <c r="A157" s="73">
        <v>10</v>
      </c>
      <c r="B157" s="62" t="s">
        <v>121</v>
      </c>
      <c r="C157" s="62" t="s">
        <v>166</v>
      </c>
      <c r="D157" s="62" t="s">
        <v>158</v>
      </c>
      <c r="E157" s="62" t="s">
        <v>159</v>
      </c>
      <c r="F157" s="67">
        <v>41782</v>
      </c>
      <c r="G157" s="67">
        <v>41782</v>
      </c>
      <c r="H157" s="77">
        <v>23000</v>
      </c>
    </row>
    <row r="158" spans="1:9">
      <c r="H158">
        <f>SUM(H95:H157)</f>
        <v>353969.75</v>
      </c>
    </row>
  </sheetData>
  <sortState ref="A95:I157">
    <sortCondition ref="F95:F157"/>
  </sortState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1"/>
  <sheetViews>
    <sheetView tabSelected="1" zoomScaleNormal="100" workbookViewId="0">
      <selection activeCell="D71" sqref="D71"/>
    </sheetView>
  </sheetViews>
  <sheetFormatPr baseColWidth="10" defaultRowHeight="15"/>
  <cols>
    <col min="1" max="1" width="15.85546875" style="61" bestFit="1" customWidth="1"/>
    <col min="2" max="2" width="11.5703125" style="61" bestFit="1" customWidth="1"/>
    <col min="3" max="3" width="12.7109375" style="129" bestFit="1" customWidth="1"/>
    <col min="4" max="4" width="17.5703125" style="61" bestFit="1" customWidth="1"/>
    <col min="5" max="5" width="11.5703125" style="61" hidden="1" customWidth="1"/>
    <col min="6" max="6" width="12.5703125" style="61" hidden="1" customWidth="1"/>
    <col min="7" max="7" width="17.5703125" style="61" customWidth="1"/>
    <col min="8" max="8" width="13.42578125" style="61" customWidth="1"/>
    <col min="9" max="9" width="14.42578125" style="61" bestFit="1" customWidth="1"/>
    <col min="10" max="10" width="11.5703125" style="61" bestFit="1" customWidth="1"/>
    <col min="11" max="16384" width="11.42578125" style="61"/>
  </cols>
  <sheetData>
    <row r="1" spans="1:8" s="129" customFormat="1" ht="19.5" thickBot="1">
      <c r="A1" s="154" t="s">
        <v>340</v>
      </c>
      <c r="B1" s="155"/>
      <c r="C1" s="155"/>
      <c r="D1" s="155"/>
      <c r="E1" s="155"/>
      <c r="F1" s="155"/>
      <c r="G1" s="155"/>
    </row>
    <row r="2" spans="1:8" s="129" customFormat="1" ht="15.75" thickBot="1">
      <c r="A2" s="111" t="s">
        <v>0</v>
      </c>
      <c r="B2" s="7" t="s">
        <v>229</v>
      </c>
      <c r="C2" s="7" t="s">
        <v>230</v>
      </c>
      <c r="D2" s="7" t="s">
        <v>2</v>
      </c>
      <c r="E2" s="7" t="s">
        <v>4</v>
      </c>
      <c r="F2" s="7" t="s">
        <v>5</v>
      </c>
      <c r="G2" s="7" t="s">
        <v>228</v>
      </c>
    </row>
    <row r="3" spans="1:8" s="129" customFormat="1" ht="4.5" customHeight="1">
      <c r="D3" s="6"/>
    </row>
    <row r="4" spans="1:8" s="6" customFormat="1">
      <c r="A4" s="137"/>
      <c r="B4" s="134"/>
      <c r="C4" s="134"/>
      <c r="D4" s="112"/>
      <c r="E4" s="4"/>
      <c r="F4" s="22"/>
      <c r="G4" s="146"/>
      <c r="H4" s="114"/>
    </row>
    <row r="5" spans="1:8" s="15" customFormat="1" ht="6.75" customHeight="1">
      <c r="A5" s="139"/>
      <c r="B5" s="151"/>
      <c r="C5" s="151"/>
      <c r="D5" s="130"/>
      <c r="E5" s="113"/>
      <c r="F5" s="138"/>
      <c r="G5" s="147"/>
      <c r="H5" s="152"/>
    </row>
    <row r="6" spans="1:8" s="6" customFormat="1">
      <c r="A6" s="137"/>
      <c r="B6" s="134"/>
      <c r="C6" s="134"/>
      <c r="D6" s="4"/>
      <c r="E6" s="4"/>
      <c r="F6" s="22"/>
      <c r="G6" s="146"/>
      <c r="H6" s="114"/>
    </row>
    <row r="7" spans="1:8" s="6" customFormat="1">
      <c r="A7" s="137"/>
      <c r="B7" s="134"/>
      <c r="C7" s="134"/>
      <c r="D7" s="4"/>
      <c r="E7" s="4"/>
      <c r="F7" s="22"/>
      <c r="G7" s="146"/>
      <c r="H7" s="114"/>
    </row>
    <row r="8" spans="1:8" s="6" customFormat="1">
      <c r="A8" s="137"/>
      <c r="B8" s="134"/>
      <c r="C8" s="134"/>
      <c r="D8" s="4"/>
      <c r="E8" s="4"/>
      <c r="F8" s="22"/>
      <c r="G8" s="146"/>
      <c r="H8" s="114"/>
    </row>
    <row r="9" spans="1:8" s="15" customFormat="1" ht="6.75" customHeight="1">
      <c r="A9" s="139"/>
      <c r="B9" s="151"/>
      <c r="C9" s="151"/>
      <c r="D9" s="130"/>
      <c r="E9" s="113"/>
      <c r="F9" s="138"/>
      <c r="G9" s="147"/>
      <c r="H9" s="152"/>
    </row>
    <row r="10" spans="1:8" s="6" customFormat="1">
      <c r="A10" s="137"/>
      <c r="B10" s="134"/>
      <c r="C10" s="134"/>
      <c r="D10" s="4"/>
      <c r="E10" s="4"/>
      <c r="F10" s="22"/>
      <c r="G10" s="146"/>
      <c r="H10" s="114"/>
    </row>
    <row r="11" spans="1:8" s="15" customFormat="1" ht="6.75" customHeight="1">
      <c r="A11" s="139"/>
      <c r="B11" s="151"/>
      <c r="C11" s="151"/>
      <c r="D11" s="130"/>
      <c r="E11" s="113"/>
      <c r="F11" s="138"/>
      <c r="G11" s="147"/>
      <c r="H11" s="152"/>
    </row>
    <row r="12" spans="1:8" s="6" customFormat="1">
      <c r="A12" s="137"/>
      <c r="B12" s="134"/>
      <c r="C12" s="134"/>
      <c r="D12" s="128"/>
      <c r="E12" s="4"/>
      <c r="F12" s="22"/>
      <c r="G12" s="146"/>
      <c r="H12" s="114"/>
    </row>
    <row r="13" spans="1:8" s="6" customFormat="1">
      <c r="A13" s="137"/>
      <c r="B13" s="134"/>
      <c r="C13" s="134"/>
      <c r="D13" s="4"/>
      <c r="E13" s="4"/>
      <c r="F13" s="22"/>
      <c r="G13" s="146"/>
      <c r="H13" s="114"/>
    </row>
    <row r="14" spans="1:8" s="6" customFormat="1">
      <c r="A14" s="137"/>
      <c r="B14" s="134"/>
      <c r="C14" s="134"/>
      <c r="D14" s="4"/>
      <c r="E14" s="4"/>
      <c r="F14" s="22"/>
      <c r="G14" s="146"/>
      <c r="H14" s="114"/>
    </row>
    <row r="15" spans="1:8" s="6" customFormat="1">
      <c r="A15" s="137"/>
      <c r="B15" s="134"/>
      <c r="C15" s="134"/>
      <c r="D15" s="4"/>
      <c r="E15" s="4"/>
      <c r="F15" s="22"/>
      <c r="G15" s="146"/>
      <c r="H15" s="114"/>
    </row>
    <row r="16" spans="1:8" s="15" customFormat="1" ht="6.75" customHeight="1">
      <c r="A16" s="139"/>
      <c r="B16" s="151"/>
      <c r="C16" s="151"/>
      <c r="D16" s="130"/>
      <c r="E16" s="113"/>
      <c r="F16" s="138"/>
      <c r="G16" s="147"/>
      <c r="H16" s="152"/>
    </row>
    <row r="17" spans="1:9" s="6" customFormat="1">
      <c r="A17" s="137"/>
      <c r="B17" s="134"/>
      <c r="C17" s="134"/>
      <c r="D17" s="112"/>
      <c r="E17" s="4"/>
      <c r="F17" s="22"/>
      <c r="G17" s="146"/>
      <c r="H17" s="114"/>
    </row>
    <row r="18" spans="1:9" s="6" customFormat="1">
      <c r="A18" s="137"/>
      <c r="B18" s="135"/>
      <c r="C18" s="135"/>
      <c r="D18" s="128"/>
      <c r="E18" s="4"/>
      <c r="F18" s="22"/>
      <c r="G18" s="146"/>
      <c r="H18" s="114"/>
    </row>
    <row r="19" spans="1:9" s="15" customFormat="1" ht="6.75" customHeight="1">
      <c r="A19" s="139"/>
      <c r="B19" s="151"/>
      <c r="C19" s="151"/>
      <c r="D19" s="130"/>
      <c r="E19" s="113"/>
      <c r="F19" s="138"/>
      <c r="G19" s="147"/>
      <c r="H19" s="152"/>
    </row>
    <row r="20" spans="1:9" s="6" customFormat="1">
      <c r="A20" s="137"/>
      <c r="B20" s="134"/>
      <c r="C20" s="134"/>
      <c r="D20" s="112"/>
      <c r="E20" s="4"/>
      <c r="F20" s="22"/>
      <c r="G20" s="146"/>
      <c r="H20" s="114"/>
    </row>
    <row r="21" spans="1:9" s="15" customFormat="1" ht="6.75" customHeight="1">
      <c r="A21" s="139"/>
      <c r="B21" s="151"/>
      <c r="C21" s="151"/>
      <c r="D21" s="130"/>
      <c r="E21" s="113"/>
      <c r="F21" s="138"/>
      <c r="G21" s="147"/>
      <c r="H21" s="152"/>
    </row>
    <row r="22" spans="1:9" s="6" customFormat="1">
      <c r="A22" s="137"/>
      <c r="B22" s="134"/>
      <c r="C22" s="134"/>
      <c r="D22" s="112"/>
      <c r="E22" s="4"/>
      <c r="F22" s="22"/>
      <c r="G22" s="146"/>
      <c r="H22" s="114"/>
    </row>
    <row r="23" spans="1:9" s="131" customFormat="1" ht="6.75" customHeight="1" thickBot="1">
      <c r="A23" s="139"/>
      <c r="B23" s="136"/>
      <c r="C23" s="136"/>
      <c r="D23" s="112"/>
      <c r="E23" s="113"/>
      <c r="F23" s="138"/>
      <c r="G23" s="147"/>
      <c r="H23" s="133"/>
    </row>
    <row r="24" spans="1:9" s="131" customFormat="1" ht="15.75" thickBot="1">
      <c r="A24" s="141"/>
      <c r="B24" s="156" t="s">
        <v>248</v>
      </c>
      <c r="C24" s="156"/>
      <c r="D24" s="142">
        <f>SUM(D4:D23)</f>
        <v>0</v>
      </c>
      <c r="E24" s="143"/>
      <c r="F24" s="144"/>
      <c r="G24" s="145"/>
      <c r="H24" s="140"/>
      <c r="I24" s="133"/>
    </row>
    <row r="25" spans="1:9" s="131" customFormat="1">
      <c r="A25" s="118"/>
      <c r="B25" s="115"/>
      <c r="C25" s="132"/>
      <c r="D25" s="130"/>
      <c r="E25" s="113"/>
      <c r="F25" s="138"/>
      <c r="G25" s="116"/>
      <c r="H25" s="133"/>
      <c r="I25" s="133"/>
    </row>
    <row r="26" spans="1:9" s="131" customFormat="1">
      <c r="A26" s="118"/>
      <c r="B26" s="115"/>
      <c r="C26" s="132"/>
      <c r="D26" s="130"/>
      <c r="E26" s="113"/>
      <c r="F26" s="138"/>
      <c r="G26" s="116"/>
      <c r="H26" s="133"/>
      <c r="I26" s="133"/>
    </row>
    <row r="27" spans="1:9" ht="19.5" thickBot="1">
      <c r="A27" s="154" t="s">
        <v>339</v>
      </c>
      <c r="B27" s="155"/>
      <c r="C27" s="155"/>
      <c r="D27" s="155"/>
      <c r="E27" s="155"/>
      <c r="F27" s="155"/>
      <c r="G27" s="155"/>
    </row>
    <row r="28" spans="1:9" ht="15.75" thickBot="1">
      <c r="A28" s="111" t="s">
        <v>0</v>
      </c>
      <c r="B28" s="7" t="s">
        <v>229</v>
      </c>
      <c r="C28" s="7" t="s">
        <v>230</v>
      </c>
      <c r="D28" s="7" t="s">
        <v>2</v>
      </c>
      <c r="E28" s="7" t="s">
        <v>4</v>
      </c>
      <c r="F28" s="7" t="s">
        <v>5</v>
      </c>
      <c r="G28" s="7" t="s">
        <v>228</v>
      </c>
    </row>
    <row r="29" spans="1:9" s="129" customFormat="1" ht="4.5" customHeight="1"/>
    <row r="30" spans="1:9" s="129" customFormat="1">
      <c r="A30" s="137"/>
      <c r="B30" s="134"/>
      <c r="C30" s="134"/>
      <c r="D30" s="4"/>
      <c r="E30" s="4"/>
      <c r="F30" s="22"/>
      <c r="G30" s="146"/>
      <c r="H30" s="35"/>
    </row>
    <row r="31" spans="1:9" s="129" customFormat="1">
      <c r="A31" s="137"/>
      <c r="B31" s="134"/>
      <c r="C31" s="134"/>
      <c r="D31" s="4"/>
      <c r="E31" s="4"/>
      <c r="F31" s="22"/>
      <c r="G31" s="146"/>
      <c r="H31" s="35"/>
    </row>
    <row r="32" spans="1:9" s="129" customFormat="1">
      <c r="A32" s="137"/>
      <c r="B32" s="134"/>
      <c r="C32" s="134"/>
      <c r="D32" s="4"/>
      <c r="E32" s="4"/>
      <c r="F32" s="22"/>
      <c r="G32" s="146"/>
      <c r="H32" s="35"/>
    </row>
    <row r="33" spans="1:9" s="129" customFormat="1" ht="4.5" customHeight="1">
      <c r="A33" s="153"/>
      <c r="B33" s="15"/>
      <c r="C33" s="15"/>
      <c r="D33" s="112"/>
      <c r="E33" s="15"/>
      <c r="F33" s="15"/>
      <c r="G33" s="150"/>
    </row>
    <row r="34" spans="1:9" s="129" customFormat="1">
      <c r="A34" s="137"/>
      <c r="B34" s="134"/>
      <c r="C34" s="134"/>
      <c r="D34" s="128"/>
      <c r="E34" s="4"/>
      <c r="F34" s="22"/>
      <c r="G34" s="146"/>
      <c r="H34" s="35"/>
    </row>
    <row r="35" spans="1:9" s="129" customFormat="1">
      <c r="A35" s="137"/>
      <c r="B35" s="134"/>
      <c r="C35" s="134"/>
      <c r="D35" s="128"/>
      <c r="E35" s="4"/>
      <c r="F35" s="22"/>
      <c r="G35" s="146"/>
      <c r="H35" s="35"/>
    </row>
    <row r="36" spans="1:9" s="129" customFormat="1" ht="4.5" customHeight="1">
      <c r="A36" s="153"/>
      <c r="B36" s="15"/>
      <c r="C36" s="15"/>
      <c r="D36" s="112"/>
      <c r="E36" s="15"/>
      <c r="F36" s="15"/>
      <c r="G36" s="150"/>
    </row>
    <row r="37" spans="1:9" s="129" customFormat="1">
      <c r="A37" s="137"/>
      <c r="B37" s="135"/>
      <c r="C37" s="135"/>
      <c r="D37" s="128"/>
      <c r="E37" s="4"/>
      <c r="F37" s="22"/>
      <c r="G37" s="146"/>
      <c r="H37" s="35"/>
    </row>
    <row r="38" spans="1:9" s="129" customFormat="1">
      <c r="A38" s="137"/>
      <c r="B38" s="135"/>
      <c r="C38" s="135"/>
      <c r="D38" s="128"/>
      <c r="E38" s="4"/>
      <c r="F38" s="22"/>
      <c r="G38" s="146"/>
      <c r="H38" s="35"/>
    </row>
    <row r="39" spans="1:9" s="131" customFormat="1" ht="6.75" customHeight="1">
      <c r="A39" s="139"/>
      <c r="B39" s="151"/>
      <c r="C39" s="151"/>
      <c r="D39" s="112"/>
      <c r="E39" s="113"/>
      <c r="F39" s="138"/>
      <c r="G39" s="147"/>
      <c r="H39" s="133"/>
    </row>
    <row r="40" spans="1:9" s="129" customFormat="1">
      <c r="A40" s="137"/>
      <c r="B40" s="134"/>
      <c r="C40" s="134"/>
      <c r="D40" s="128"/>
      <c r="E40" s="4"/>
      <c r="F40" s="22"/>
      <c r="G40" s="146"/>
      <c r="H40" s="35"/>
    </row>
    <row r="41" spans="1:9" s="129" customFormat="1">
      <c r="A41" s="137"/>
      <c r="B41" s="134"/>
      <c r="C41" s="134"/>
      <c r="D41" s="128"/>
      <c r="E41" s="4"/>
      <c r="F41" s="22"/>
      <c r="G41" s="146"/>
      <c r="H41" s="35"/>
    </row>
    <row r="42" spans="1:9" s="131" customFormat="1" ht="6.75" customHeight="1">
      <c r="A42" s="139"/>
      <c r="B42" s="151"/>
      <c r="C42" s="151"/>
      <c r="D42" s="112"/>
      <c r="E42" s="113"/>
      <c r="F42" s="138"/>
      <c r="G42" s="147"/>
      <c r="H42" s="133"/>
    </row>
    <row r="43" spans="1:9" s="129" customFormat="1">
      <c r="A43" s="137"/>
      <c r="B43" s="134"/>
      <c r="C43" s="134"/>
      <c r="D43" s="112"/>
      <c r="E43" s="4"/>
      <c r="F43" s="22"/>
      <c r="G43" s="146"/>
    </row>
    <row r="44" spans="1:9" s="129" customFormat="1">
      <c r="A44" s="137"/>
      <c r="B44" s="134"/>
      <c r="C44" s="134"/>
      <c r="D44" s="112"/>
      <c r="E44" s="4"/>
      <c r="F44" s="22"/>
      <c r="G44" s="146"/>
    </row>
    <row r="45" spans="1:9" s="131" customFormat="1" ht="6.75" customHeight="1" thickBot="1">
      <c r="A45" s="139"/>
      <c r="B45" s="136"/>
      <c r="C45" s="136"/>
      <c r="D45" s="112"/>
      <c r="E45" s="113"/>
      <c r="F45" s="138"/>
      <c r="G45" s="147"/>
      <c r="H45" s="133"/>
    </row>
    <row r="46" spans="1:9" ht="15.75" thickBot="1">
      <c r="A46" s="141"/>
      <c r="B46" s="156" t="s">
        <v>248</v>
      </c>
      <c r="C46" s="156"/>
      <c r="D46" s="142">
        <f>SUM(D30:D44)</f>
        <v>0</v>
      </c>
      <c r="E46" s="143"/>
      <c r="F46" s="144"/>
      <c r="G46" s="145"/>
      <c r="I46" s="35"/>
    </row>
    <row r="47" spans="1:9">
      <c r="D47" s="40"/>
      <c r="I47" s="35"/>
    </row>
    <row r="48" spans="1:9" ht="15.75" thickBot="1">
      <c r="I48" s="35"/>
    </row>
    <row r="49" spans="1:8" s="129" customFormat="1" ht="19.5" thickBot="1">
      <c r="A49" s="157" t="s">
        <v>341</v>
      </c>
      <c r="B49" s="158"/>
      <c r="C49" s="158"/>
      <c r="D49" s="158"/>
      <c r="E49" s="158"/>
      <c r="F49" s="158"/>
      <c r="G49" s="159"/>
    </row>
    <row r="50" spans="1:8" s="129" customFormat="1" ht="15.75" thickBot="1">
      <c r="A50" s="111" t="s">
        <v>0</v>
      </c>
      <c r="B50" s="7" t="s">
        <v>229</v>
      </c>
      <c r="C50" s="7" t="s">
        <v>230</v>
      </c>
      <c r="D50" s="7" t="s">
        <v>2</v>
      </c>
      <c r="E50" s="7" t="s">
        <v>4</v>
      </c>
      <c r="F50" s="7" t="s">
        <v>5</v>
      </c>
      <c r="G50" s="7" t="s">
        <v>228</v>
      </c>
    </row>
    <row r="51" spans="1:8" s="129" customFormat="1" ht="4.5" customHeight="1">
      <c r="A51" s="148"/>
      <c r="B51" s="131"/>
      <c r="C51" s="131"/>
      <c r="D51" s="15"/>
      <c r="E51" s="131"/>
      <c r="F51" s="131"/>
      <c r="G51" s="149"/>
    </row>
    <row r="52" spans="1:8" s="129" customFormat="1">
      <c r="A52" s="137"/>
      <c r="B52" s="134"/>
      <c r="C52" s="134"/>
      <c r="D52" s="112"/>
      <c r="E52" s="4"/>
      <c r="F52" s="22"/>
      <c r="G52" s="146"/>
      <c r="H52" s="35"/>
    </row>
    <row r="53" spans="1:8" s="129" customFormat="1" ht="4.5" customHeight="1">
      <c r="A53" s="153"/>
      <c r="B53" s="15"/>
      <c r="C53" s="15"/>
      <c r="D53" s="112"/>
      <c r="E53" s="15"/>
      <c r="F53" s="15"/>
      <c r="G53" s="150"/>
    </row>
    <row r="54" spans="1:8" s="129" customFormat="1">
      <c r="A54" s="137"/>
      <c r="B54" s="134"/>
      <c r="C54" s="134"/>
      <c r="D54" s="4"/>
      <c r="E54" s="4"/>
      <c r="F54" s="22"/>
      <c r="G54" s="146"/>
      <c r="H54" s="35"/>
    </row>
    <row r="55" spans="1:8" s="129" customFormat="1" ht="4.5" customHeight="1">
      <c r="A55" s="153"/>
      <c r="B55" s="15"/>
      <c r="C55" s="15"/>
      <c r="D55" s="112"/>
      <c r="E55" s="15"/>
      <c r="F55" s="15"/>
      <c r="G55" s="150"/>
    </row>
    <row r="56" spans="1:8" s="129" customFormat="1">
      <c r="A56" s="137"/>
      <c r="B56" s="134"/>
      <c r="C56" s="134"/>
      <c r="D56" s="128"/>
      <c r="E56" s="4"/>
      <c r="F56" s="22"/>
      <c r="G56" s="146"/>
      <c r="H56" s="35"/>
    </row>
    <row r="57" spans="1:8" s="129" customFormat="1" ht="4.5" customHeight="1">
      <c r="A57" s="153"/>
      <c r="B57" s="15"/>
      <c r="C57" s="15"/>
      <c r="D57" s="112"/>
      <c r="E57" s="15"/>
      <c r="F57" s="15"/>
      <c r="G57" s="150"/>
    </row>
    <row r="58" spans="1:8" s="6" customFormat="1">
      <c r="A58" s="137"/>
      <c r="B58" s="135"/>
      <c r="C58" s="135"/>
      <c r="D58" s="112"/>
      <c r="E58" s="4"/>
      <c r="F58" s="22"/>
      <c r="G58" s="146"/>
    </row>
    <row r="59" spans="1:8" s="6" customFormat="1">
      <c r="A59" s="137"/>
      <c r="B59" s="135"/>
      <c r="C59" s="135"/>
      <c r="D59" s="112"/>
      <c r="E59" s="4"/>
      <c r="F59" s="22"/>
      <c r="G59" s="146"/>
    </row>
    <row r="60" spans="1:8" s="6" customFormat="1">
      <c r="A60" s="137"/>
      <c r="B60" s="135"/>
      <c r="C60" s="135"/>
      <c r="D60" s="112"/>
      <c r="E60" s="4"/>
      <c r="F60" s="22"/>
      <c r="G60" s="146"/>
    </row>
    <row r="61" spans="1:8" s="6" customFormat="1">
      <c r="A61" s="137"/>
      <c r="B61" s="135"/>
      <c r="C61" s="135"/>
      <c r="D61" s="112"/>
      <c r="E61" s="4"/>
      <c r="F61" s="22"/>
      <c r="G61" s="146"/>
    </row>
    <row r="62" spans="1:8" s="6" customFormat="1">
      <c r="A62" s="137"/>
      <c r="B62" s="135"/>
      <c r="C62" s="135"/>
      <c r="D62" s="112"/>
      <c r="E62" s="4"/>
      <c r="F62" s="22"/>
      <c r="G62" s="146"/>
    </row>
    <row r="63" spans="1:8" s="6" customFormat="1">
      <c r="A63" s="137"/>
      <c r="B63" s="135"/>
      <c r="C63" s="135"/>
      <c r="D63" s="128"/>
      <c r="E63" s="4"/>
      <c r="F63" s="22"/>
      <c r="G63" s="146"/>
    </row>
    <row r="64" spans="1:8" s="6" customFormat="1">
      <c r="A64" s="137"/>
      <c r="B64" s="135"/>
      <c r="C64" s="135"/>
      <c r="D64" s="128"/>
      <c r="E64" s="4"/>
      <c r="F64" s="22"/>
      <c r="G64" s="146"/>
    </row>
    <row r="65" spans="1:9" s="129" customFormat="1" ht="4.5" customHeight="1">
      <c r="A65" s="153"/>
      <c r="B65" s="15"/>
      <c r="C65" s="15"/>
      <c r="D65" s="112"/>
      <c r="E65" s="15"/>
      <c r="F65" s="15"/>
      <c r="G65" s="150"/>
    </row>
    <row r="66" spans="1:9" s="6" customFormat="1">
      <c r="A66" s="137"/>
      <c r="B66" s="135"/>
      <c r="C66" s="135"/>
      <c r="D66" s="112"/>
      <c r="E66" s="4"/>
      <c r="F66" s="22"/>
      <c r="G66" s="146"/>
    </row>
    <row r="67" spans="1:9" s="129" customFormat="1" ht="4.5" customHeight="1">
      <c r="A67" s="153"/>
      <c r="B67" s="15"/>
      <c r="C67" s="15"/>
      <c r="D67" s="112"/>
      <c r="E67" s="15"/>
      <c r="F67" s="15"/>
      <c r="G67" s="150"/>
    </row>
    <row r="68" spans="1:9" s="6" customFormat="1">
      <c r="A68" s="137"/>
      <c r="B68" s="134"/>
      <c r="C68" s="134"/>
      <c r="D68" s="112"/>
      <c r="E68" s="4"/>
      <c r="F68" s="22"/>
      <c r="G68" s="146"/>
      <c r="H68" s="114"/>
    </row>
    <row r="69" spans="1:9" s="129" customFormat="1" ht="4.5" customHeight="1" thickBot="1">
      <c r="A69" s="153"/>
      <c r="B69" s="15"/>
      <c r="C69" s="15"/>
      <c r="D69" s="112"/>
      <c r="E69" s="15"/>
      <c r="F69" s="15"/>
      <c r="G69" s="150"/>
    </row>
    <row r="70" spans="1:9" s="129" customFormat="1" ht="15.75" thickBot="1">
      <c r="A70" s="141"/>
      <c r="B70" s="156" t="s">
        <v>248</v>
      </c>
      <c r="C70" s="156"/>
      <c r="D70" s="142">
        <f>SUM(D52:D68)</f>
        <v>0</v>
      </c>
      <c r="E70" s="143"/>
      <c r="F70" s="144"/>
      <c r="G70" s="145"/>
      <c r="I70" s="35"/>
    </row>
    <row r="71" spans="1:9" s="131" customFormat="1">
      <c r="A71" s="118"/>
      <c r="B71" s="115"/>
      <c r="C71" s="132"/>
      <c r="D71" s="130"/>
      <c r="E71" s="113"/>
      <c r="F71" s="138"/>
      <c r="G71" s="116"/>
      <c r="H71" s="133"/>
      <c r="I71" s="133"/>
    </row>
  </sheetData>
  <sortState ref="A359:D384">
    <sortCondition ref="B359:B384"/>
  </sortState>
  <mergeCells count="6">
    <mergeCell ref="A1:G1"/>
    <mergeCell ref="B24:C24"/>
    <mergeCell ref="A49:G49"/>
    <mergeCell ref="B70:C70"/>
    <mergeCell ref="A27:G27"/>
    <mergeCell ref="B46:C46"/>
  </mergeCells>
  <pageMargins left="0.70866141732283472" right="0.70866141732283472" top="0.31496062992125984" bottom="0.23622047244094491" header="0.31496062992125984" footer="0.19685039370078741"/>
  <pageSetup scale="78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F643"/>
  <sheetViews>
    <sheetView topLeftCell="A43" zoomScale="110" zoomScaleNormal="110" workbookViewId="0">
      <selection activeCell="B58" sqref="B58"/>
    </sheetView>
  </sheetViews>
  <sheetFormatPr baseColWidth="10" defaultRowHeight="15"/>
  <cols>
    <col min="1" max="1" width="49.5703125" style="61" bestFit="1" customWidth="1"/>
    <col min="2" max="2" width="13" style="6" bestFit="1" customWidth="1"/>
    <col min="3" max="3" width="13.7109375" style="61" bestFit="1" customWidth="1"/>
    <col min="4" max="4" width="13.28515625" style="61" bestFit="1" customWidth="1"/>
    <col min="5" max="5" width="15.140625" style="61" bestFit="1" customWidth="1"/>
    <col min="6" max="6" width="15.5703125" style="23" bestFit="1" customWidth="1"/>
    <col min="7" max="7" width="15.42578125" style="61" bestFit="1" customWidth="1"/>
    <col min="8" max="8" width="16.28515625" style="61" customWidth="1"/>
    <col min="9" max="9" width="31.85546875" style="61" bestFit="1" customWidth="1"/>
    <col min="10" max="10" width="30.85546875" style="61" bestFit="1" customWidth="1"/>
    <col min="11" max="11" width="14.140625" style="61" bestFit="1" customWidth="1"/>
    <col min="12" max="16384" width="11.42578125" style="61"/>
  </cols>
  <sheetData>
    <row r="1" spans="1:9" ht="15.75" thickBot="1">
      <c r="A1" s="7" t="s">
        <v>0</v>
      </c>
      <c r="B1" s="7" t="s">
        <v>42</v>
      </c>
      <c r="C1" s="7" t="s">
        <v>1</v>
      </c>
      <c r="D1" s="7" t="s">
        <v>2</v>
      </c>
      <c r="E1" s="7" t="s">
        <v>4</v>
      </c>
      <c r="F1" s="7" t="s">
        <v>5</v>
      </c>
      <c r="G1" s="7" t="s">
        <v>3</v>
      </c>
    </row>
    <row r="2" spans="1:9">
      <c r="A2" s="8" t="s">
        <v>22</v>
      </c>
      <c r="B2" s="33"/>
      <c r="C2" s="11">
        <v>40815</v>
      </c>
      <c r="D2" s="4">
        <v>12300</v>
      </c>
      <c r="E2" s="5">
        <f>6000+6000</f>
        <v>12000</v>
      </c>
      <c r="F2" s="22">
        <f>D2-E2</f>
        <v>300</v>
      </c>
      <c r="G2" s="12">
        <f>+C2+30</f>
        <v>40845</v>
      </c>
      <c r="H2" s="61" t="s">
        <v>40</v>
      </c>
      <c r="I2" s="17" t="s">
        <v>23</v>
      </c>
    </row>
    <row r="3" spans="1:9">
      <c r="A3" s="8" t="s">
        <v>22</v>
      </c>
      <c r="B3" s="33"/>
      <c r="C3" s="11">
        <v>40952</v>
      </c>
      <c r="D3" s="4">
        <v>20000</v>
      </c>
      <c r="E3" s="5">
        <f>5000+5000+5000+4850</f>
        <v>19850</v>
      </c>
      <c r="F3" s="22">
        <f>D3-E3</f>
        <v>150</v>
      </c>
      <c r="G3" s="12">
        <f>+C3+30</f>
        <v>40982</v>
      </c>
      <c r="H3" s="61" t="s">
        <v>39</v>
      </c>
      <c r="I3" s="17" t="s">
        <v>30</v>
      </c>
    </row>
    <row r="4" spans="1:9">
      <c r="A4" s="14" t="s">
        <v>32</v>
      </c>
      <c r="B4" s="33"/>
      <c r="C4" s="12"/>
      <c r="D4" s="4"/>
      <c r="E4" s="10"/>
      <c r="G4" s="12"/>
    </row>
    <row r="5" spans="1:9">
      <c r="A5" s="8" t="s">
        <v>17</v>
      </c>
      <c r="B5" s="33"/>
      <c r="C5" s="12"/>
      <c r="D5" s="4">
        <v>960000</v>
      </c>
      <c r="E5" s="10">
        <f>10000+5000+5000</f>
        <v>20000</v>
      </c>
      <c r="F5" s="4">
        <f>D5-E5</f>
        <v>940000</v>
      </c>
      <c r="G5" s="12"/>
    </row>
    <row r="6" spans="1:9">
      <c r="A6" s="8" t="s">
        <v>16</v>
      </c>
      <c r="B6" s="33"/>
      <c r="C6" s="12"/>
      <c r="D6" s="4">
        <v>250000</v>
      </c>
      <c r="E6" s="10">
        <f>5000+5000</f>
        <v>10000</v>
      </c>
      <c r="F6" s="4">
        <f>D6-E6</f>
        <v>240000</v>
      </c>
      <c r="G6" s="12"/>
      <c r="H6" s="9"/>
    </row>
    <row r="7" spans="1:9">
      <c r="A7" s="8"/>
      <c r="B7" s="33"/>
      <c r="C7" s="12"/>
      <c r="D7" s="4"/>
      <c r="E7" s="10"/>
      <c r="F7" s="80">
        <f>SUM(F5:F6)</f>
        <v>1180000</v>
      </c>
      <c r="G7" s="12"/>
      <c r="H7" s="9"/>
    </row>
    <row r="8" spans="1:9">
      <c r="A8" s="8" t="s">
        <v>12</v>
      </c>
      <c r="B8" s="34" t="s">
        <v>97</v>
      </c>
      <c r="C8" s="12">
        <v>41383</v>
      </c>
      <c r="D8" s="22">
        <f>57456.99+86950.42+8665.47+9018.34+20742.48</f>
        <v>182833.7</v>
      </c>
      <c r="E8" s="10">
        <f>12833.7+6000+3500+10500+15500+15500+7000+4500+5000+3500+1500+3000+1500+579+2800+3600+1150+3000+1525+525+5000+500+1800+5000</f>
        <v>115312.7</v>
      </c>
      <c r="F8" s="22">
        <f>D8-E8</f>
        <v>67521.000000000015</v>
      </c>
      <c r="G8" s="12">
        <f>+C8+50</f>
        <v>41433</v>
      </c>
      <c r="H8" s="9">
        <f>+C8+60</f>
        <v>41443</v>
      </c>
    </row>
    <row r="9" spans="1:9">
      <c r="A9" s="8" t="s">
        <v>12</v>
      </c>
      <c r="B9" s="34" t="s">
        <v>98</v>
      </c>
      <c r="C9" s="12">
        <v>41397</v>
      </c>
      <c r="D9" s="22">
        <f>41650.78+4250.46+30238.16+6216.85</f>
        <v>82356.25</v>
      </c>
      <c r="E9" s="10"/>
      <c r="F9" s="22">
        <f>D9-E9</f>
        <v>82356.25</v>
      </c>
      <c r="G9" s="12">
        <f>+C9+50</f>
        <v>41447</v>
      </c>
      <c r="H9" s="9">
        <f>+C9+60</f>
        <v>41457</v>
      </c>
    </row>
    <row r="10" spans="1:9">
      <c r="A10" s="8" t="s">
        <v>12</v>
      </c>
      <c r="B10" s="34" t="s">
        <v>99</v>
      </c>
      <c r="C10" s="12">
        <v>41411</v>
      </c>
      <c r="D10" s="22">
        <f>20995.82+9856.46+16444.1+6201.67+4017.92</f>
        <v>57515.969999999994</v>
      </c>
      <c r="E10" s="10"/>
      <c r="F10" s="22">
        <f>D10-E10</f>
        <v>57515.969999999994</v>
      </c>
      <c r="G10" s="12">
        <f>+C10+50</f>
        <v>41461</v>
      </c>
      <c r="H10" s="9">
        <f>+C10+60</f>
        <v>41471</v>
      </c>
    </row>
    <row r="11" spans="1:9">
      <c r="A11" s="8" t="s">
        <v>12</v>
      </c>
      <c r="B11" s="34" t="s">
        <v>100</v>
      </c>
      <c r="C11" s="12">
        <v>41424</v>
      </c>
      <c r="D11" s="22">
        <f>10453.12+19031.55+7501.16+8700+13665.27+1757.15+9159.06+826.5</f>
        <v>71093.810000000012</v>
      </c>
      <c r="E11" s="10"/>
      <c r="F11" s="22">
        <f t="shared" ref="F11:F24" si="0">D11-E11</f>
        <v>71093.810000000012</v>
      </c>
      <c r="G11" s="12">
        <f t="shared" ref="G11:G24" si="1">+C11+50</f>
        <v>41474</v>
      </c>
      <c r="H11" s="9">
        <f t="shared" ref="H11:H24" si="2">+C11+60</f>
        <v>41484</v>
      </c>
    </row>
    <row r="12" spans="1:9">
      <c r="A12" s="8" t="s">
        <v>12</v>
      </c>
      <c r="B12" s="34" t="s">
        <v>101</v>
      </c>
      <c r="C12" s="12">
        <v>41432</v>
      </c>
      <c r="D12" s="22">
        <f>10311.38-145+3927.7</f>
        <v>14094.079999999998</v>
      </c>
      <c r="E12" s="10"/>
      <c r="F12" s="22">
        <f t="shared" si="0"/>
        <v>14094.079999999998</v>
      </c>
      <c r="G12" s="12">
        <f t="shared" si="1"/>
        <v>41482</v>
      </c>
      <c r="H12" s="9">
        <f t="shared" si="2"/>
        <v>41492</v>
      </c>
    </row>
    <row r="13" spans="1:9">
      <c r="A13" s="8" t="s">
        <v>12</v>
      </c>
      <c r="B13" s="34" t="s">
        <v>104</v>
      </c>
      <c r="C13" s="12">
        <v>41432</v>
      </c>
      <c r="D13" s="22">
        <f>4027.07+14707.99</f>
        <v>18735.060000000001</v>
      </c>
      <c r="E13" s="10"/>
      <c r="F13" s="22">
        <f>D13-E13</f>
        <v>18735.060000000001</v>
      </c>
      <c r="G13" s="12">
        <f>+C13+50</f>
        <v>41482</v>
      </c>
      <c r="H13" s="9">
        <f t="shared" si="2"/>
        <v>41492</v>
      </c>
    </row>
    <row r="14" spans="1:9">
      <c r="A14" s="8" t="s">
        <v>12</v>
      </c>
      <c r="B14" s="34">
        <v>1521</v>
      </c>
      <c r="C14" s="12">
        <v>41437</v>
      </c>
      <c r="D14" s="22">
        <v>87</v>
      </c>
      <c r="E14" s="10"/>
      <c r="F14" s="22">
        <f>D14-E14</f>
        <v>87</v>
      </c>
      <c r="G14" s="12">
        <f>+C14+50</f>
        <v>41487</v>
      </c>
      <c r="H14" s="9">
        <f t="shared" si="2"/>
        <v>41497</v>
      </c>
    </row>
    <row r="15" spans="1:9">
      <c r="A15" s="8" t="s">
        <v>12</v>
      </c>
      <c r="B15" s="34" t="s">
        <v>102</v>
      </c>
      <c r="C15" s="12">
        <v>41438</v>
      </c>
      <c r="D15" s="22">
        <f>13426.42+25444.36+9272.14</f>
        <v>48142.92</v>
      </c>
      <c r="E15" s="10"/>
      <c r="F15" s="22">
        <f t="shared" si="0"/>
        <v>48142.92</v>
      </c>
      <c r="G15" s="12">
        <f>+C15+50</f>
        <v>41488</v>
      </c>
      <c r="H15" s="9">
        <f t="shared" si="2"/>
        <v>41498</v>
      </c>
    </row>
    <row r="16" spans="1:9">
      <c r="A16" s="8" t="s">
        <v>12</v>
      </c>
      <c r="B16" s="34">
        <v>1529</v>
      </c>
      <c r="C16" s="12">
        <v>41446</v>
      </c>
      <c r="D16" s="22">
        <v>17432.599999999999</v>
      </c>
      <c r="E16" s="10"/>
      <c r="F16" s="22">
        <f t="shared" si="0"/>
        <v>17432.599999999999</v>
      </c>
      <c r="G16" s="12">
        <f>+C16+50</f>
        <v>41496</v>
      </c>
      <c r="H16" s="9">
        <f t="shared" si="2"/>
        <v>41506</v>
      </c>
    </row>
    <row r="17" spans="1:10">
      <c r="A17" s="8" t="s">
        <v>12</v>
      </c>
      <c r="B17" s="34" t="s">
        <v>106</v>
      </c>
      <c r="C17" s="12">
        <v>41452</v>
      </c>
      <c r="D17" s="22">
        <f>19126.27+28119.33</f>
        <v>47245.600000000006</v>
      </c>
      <c r="E17" s="10">
        <f>3655.44</f>
        <v>3655.44</v>
      </c>
      <c r="F17" s="22">
        <f t="shared" si="0"/>
        <v>43590.16</v>
      </c>
      <c r="G17" s="12">
        <f t="shared" si="1"/>
        <v>41502</v>
      </c>
      <c r="H17" s="9">
        <f t="shared" si="2"/>
        <v>41512</v>
      </c>
    </row>
    <row r="18" spans="1:10">
      <c r="A18" s="8" t="s">
        <v>12</v>
      </c>
      <c r="B18" s="34">
        <v>1536</v>
      </c>
      <c r="C18" s="12">
        <v>41465</v>
      </c>
      <c r="D18" s="22">
        <v>4707.74</v>
      </c>
      <c r="E18" s="10"/>
      <c r="F18" s="22">
        <f t="shared" si="0"/>
        <v>4707.74</v>
      </c>
      <c r="G18" s="12">
        <f t="shared" si="1"/>
        <v>41515</v>
      </c>
      <c r="H18" s="9">
        <f t="shared" si="2"/>
        <v>41525</v>
      </c>
    </row>
    <row r="19" spans="1:10">
      <c r="A19" s="8" t="s">
        <v>12</v>
      </c>
      <c r="B19" s="34">
        <v>1535</v>
      </c>
      <c r="C19" s="12">
        <v>41466</v>
      </c>
      <c r="D19" s="22">
        <v>15686.94</v>
      </c>
      <c r="E19" s="10">
        <f>3230.02</f>
        <v>3230.02</v>
      </c>
      <c r="F19" s="22">
        <f t="shared" si="0"/>
        <v>12456.92</v>
      </c>
      <c r="G19" s="12">
        <f t="shared" si="1"/>
        <v>41516</v>
      </c>
      <c r="H19" s="9">
        <f t="shared" si="2"/>
        <v>41526</v>
      </c>
    </row>
    <row r="20" spans="1:10">
      <c r="A20" s="8" t="s">
        <v>12</v>
      </c>
      <c r="B20" s="34">
        <v>1538</v>
      </c>
      <c r="C20" s="12">
        <v>41474</v>
      </c>
      <c r="D20" s="22">
        <v>6424.74</v>
      </c>
      <c r="E20" s="10"/>
      <c r="F20" s="22">
        <f t="shared" si="0"/>
        <v>6424.74</v>
      </c>
      <c r="G20" s="12">
        <f t="shared" si="1"/>
        <v>41524</v>
      </c>
      <c r="H20" s="9">
        <f t="shared" si="2"/>
        <v>41534</v>
      </c>
    </row>
    <row r="21" spans="1:10">
      <c r="A21" s="8" t="s">
        <v>12</v>
      </c>
      <c r="B21" s="34">
        <v>1540</v>
      </c>
      <c r="C21" s="12">
        <v>41481</v>
      </c>
      <c r="D21" s="22">
        <v>17880.66</v>
      </c>
      <c r="E21" s="10"/>
      <c r="F21" s="22">
        <f t="shared" si="0"/>
        <v>17880.66</v>
      </c>
      <c r="G21" s="12">
        <f t="shared" si="1"/>
        <v>41531</v>
      </c>
      <c r="H21" s="9">
        <f t="shared" si="2"/>
        <v>41541</v>
      </c>
    </row>
    <row r="22" spans="1:10">
      <c r="A22" s="8" t="s">
        <v>12</v>
      </c>
      <c r="B22" s="34">
        <v>1541</v>
      </c>
      <c r="C22" s="12">
        <v>41488</v>
      </c>
      <c r="D22" s="22">
        <v>3245.6</v>
      </c>
      <c r="E22" s="10"/>
      <c r="F22" s="22">
        <f t="shared" si="0"/>
        <v>3245.6</v>
      </c>
      <c r="G22" s="12">
        <f t="shared" si="1"/>
        <v>41538</v>
      </c>
      <c r="H22" s="9">
        <f t="shared" si="2"/>
        <v>41548</v>
      </c>
    </row>
    <row r="23" spans="1:10">
      <c r="A23" s="8" t="s">
        <v>12</v>
      </c>
      <c r="B23" s="34">
        <v>1543</v>
      </c>
      <c r="C23" s="12">
        <v>41495</v>
      </c>
      <c r="D23" s="22">
        <v>28126.799999999999</v>
      </c>
      <c r="E23" s="10"/>
      <c r="F23" s="22">
        <f t="shared" si="0"/>
        <v>28126.799999999999</v>
      </c>
      <c r="G23" s="12">
        <f t="shared" si="1"/>
        <v>41545</v>
      </c>
      <c r="H23" s="9">
        <f t="shared" si="2"/>
        <v>41555</v>
      </c>
    </row>
    <row r="24" spans="1:10">
      <c r="A24" s="8" t="s">
        <v>12</v>
      </c>
      <c r="B24" s="34">
        <v>1550</v>
      </c>
      <c r="C24" s="12">
        <v>41502</v>
      </c>
      <c r="D24" s="22">
        <v>2249.31</v>
      </c>
      <c r="E24" s="10"/>
      <c r="F24" s="22">
        <f t="shared" si="0"/>
        <v>2249.31</v>
      </c>
      <c r="G24" s="12">
        <f t="shared" si="1"/>
        <v>41552</v>
      </c>
      <c r="H24" s="9">
        <f t="shared" si="2"/>
        <v>41562</v>
      </c>
    </row>
    <row r="25" spans="1:10" ht="18" customHeight="1">
      <c r="A25" s="8"/>
      <c r="B25" s="33"/>
      <c r="C25" s="12"/>
      <c r="D25" s="4"/>
      <c r="E25" s="10"/>
      <c r="F25" s="81">
        <f>SUM(F8:F24)</f>
        <v>495660.61999999988</v>
      </c>
      <c r="G25" s="4"/>
      <c r="H25" s="9"/>
    </row>
    <row r="26" spans="1:10" ht="18" customHeight="1">
      <c r="A26" s="8" t="s">
        <v>105</v>
      </c>
      <c r="B26" s="34" t="s">
        <v>196</v>
      </c>
      <c r="C26" s="12">
        <v>41968</v>
      </c>
      <c r="D26" s="4">
        <v>44854.67</v>
      </c>
      <c r="E26" s="10">
        <f>2752.08+7300+2670+1780+730+14622.59+3000</f>
        <v>32854.67</v>
      </c>
      <c r="F26" s="22">
        <f t="shared" ref="F26:F40" si="3">D26-E26</f>
        <v>12000</v>
      </c>
      <c r="G26" s="79">
        <f>+C26+30</f>
        <v>41998</v>
      </c>
      <c r="H26" s="35">
        <f>F26-5000-7000</f>
        <v>0</v>
      </c>
      <c r="J26" s="61">
        <f>118+118+152+152</f>
        <v>540</v>
      </c>
    </row>
    <row r="27" spans="1:10" ht="18" customHeight="1">
      <c r="A27" s="8" t="s">
        <v>105</v>
      </c>
      <c r="B27" s="34" t="s">
        <v>197</v>
      </c>
      <c r="C27" s="12">
        <v>41968</v>
      </c>
      <c r="D27" s="4">
        <v>29764.76</v>
      </c>
      <c r="E27" s="10">
        <v>1240</v>
      </c>
      <c r="F27" s="22">
        <f t="shared" si="3"/>
        <v>28524.76</v>
      </c>
      <c r="G27" s="79">
        <f t="shared" ref="G27:G51" si="4">+C27+30</f>
        <v>41998</v>
      </c>
      <c r="H27" s="35">
        <f>F27-28524.76</f>
        <v>0</v>
      </c>
    </row>
    <row r="28" spans="1:10" ht="18" customHeight="1">
      <c r="A28" s="8" t="s">
        <v>105</v>
      </c>
      <c r="B28" s="34" t="s">
        <v>198</v>
      </c>
      <c r="C28" s="12">
        <v>41968</v>
      </c>
      <c r="D28" s="4">
        <v>6684.6</v>
      </c>
      <c r="E28" s="10"/>
      <c r="F28" s="22">
        <f t="shared" si="3"/>
        <v>6684.6</v>
      </c>
      <c r="G28" s="79">
        <f t="shared" si="4"/>
        <v>41998</v>
      </c>
      <c r="H28" s="35">
        <f>F28-6684.6</f>
        <v>0</v>
      </c>
    </row>
    <row r="29" spans="1:10" ht="18" customHeight="1">
      <c r="A29" s="8" t="s">
        <v>105</v>
      </c>
      <c r="B29" s="34" t="s">
        <v>199</v>
      </c>
      <c r="C29" s="12">
        <v>41982</v>
      </c>
      <c r="D29" s="4">
        <v>72427.48</v>
      </c>
      <c r="E29" s="10">
        <f>2200+1900+5000+5000+6427.48+6684.6+28524+7000</f>
        <v>62736.08</v>
      </c>
      <c r="F29" s="22">
        <f t="shared" si="3"/>
        <v>9691.3999999999942</v>
      </c>
      <c r="G29" s="79">
        <f t="shared" si="4"/>
        <v>42012</v>
      </c>
      <c r="H29" s="95">
        <f>F29-4427.48-5263.92</f>
        <v>0</v>
      </c>
    </row>
    <row r="30" spans="1:10" ht="18" customHeight="1">
      <c r="A30" s="8" t="s">
        <v>105</v>
      </c>
      <c r="B30" s="34" t="s">
        <v>200</v>
      </c>
      <c r="C30" s="12">
        <v>41982</v>
      </c>
      <c r="D30" s="4">
        <v>5734.95</v>
      </c>
      <c r="E30" s="10"/>
      <c r="F30" s="22">
        <f t="shared" si="3"/>
        <v>5734.95</v>
      </c>
      <c r="G30" s="79">
        <f t="shared" si="4"/>
        <v>42012</v>
      </c>
      <c r="H30" s="95">
        <f>F30-5734.95</f>
        <v>0</v>
      </c>
    </row>
    <row r="31" spans="1:10" ht="18" customHeight="1">
      <c r="A31" s="8" t="s">
        <v>105</v>
      </c>
      <c r="B31" s="34" t="s">
        <v>201</v>
      </c>
      <c r="C31" s="12">
        <v>41990</v>
      </c>
      <c r="D31" s="4">
        <v>116919.19</v>
      </c>
      <c r="E31" s="10"/>
      <c r="F31" s="22">
        <f t="shared" si="3"/>
        <v>116919.19</v>
      </c>
      <c r="G31" s="79">
        <f t="shared" si="4"/>
        <v>42020</v>
      </c>
      <c r="H31" s="95">
        <f>F31-9001.13-19000</f>
        <v>88918.06</v>
      </c>
    </row>
    <row r="32" spans="1:10" ht="18" customHeight="1">
      <c r="A32" s="8" t="s">
        <v>105</v>
      </c>
      <c r="B32" s="34" t="s">
        <v>202</v>
      </c>
      <c r="C32" s="12">
        <v>41990</v>
      </c>
      <c r="D32" s="4">
        <v>20258.75</v>
      </c>
      <c r="E32" s="10"/>
      <c r="F32" s="22">
        <f t="shared" si="3"/>
        <v>20258.75</v>
      </c>
      <c r="G32" s="79">
        <f t="shared" si="4"/>
        <v>42020</v>
      </c>
      <c r="H32" s="35">
        <f t="shared" ref="H32:H55" si="5">F32</f>
        <v>20258.75</v>
      </c>
    </row>
    <row r="33" spans="1:8" ht="18" customHeight="1">
      <c r="A33" s="8" t="s">
        <v>105</v>
      </c>
      <c r="B33" s="34" t="s">
        <v>203</v>
      </c>
      <c r="C33" s="12">
        <v>41999</v>
      </c>
      <c r="D33" s="4">
        <v>32256.07</v>
      </c>
      <c r="E33" s="10"/>
      <c r="F33" s="22">
        <f t="shared" si="3"/>
        <v>32256.07</v>
      </c>
      <c r="G33" s="79">
        <f t="shared" si="4"/>
        <v>42029</v>
      </c>
      <c r="H33" s="35">
        <f t="shared" si="5"/>
        <v>32256.07</v>
      </c>
    </row>
    <row r="34" spans="1:8" ht="18" customHeight="1">
      <c r="A34" s="8" t="s">
        <v>105</v>
      </c>
      <c r="B34" s="34" t="s">
        <v>204</v>
      </c>
      <c r="C34" s="12">
        <v>41999</v>
      </c>
      <c r="D34" s="4">
        <v>3023.02</v>
      </c>
      <c r="E34" s="10"/>
      <c r="F34" s="22">
        <f t="shared" si="3"/>
        <v>3023.02</v>
      </c>
      <c r="G34" s="79">
        <f t="shared" si="4"/>
        <v>42029</v>
      </c>
      <c r="H34" s="35">
        <f t="shared" si="5"/>
        <v>3023.02</v>
      </c>
    </row>
    <row r="35" spans="1:8" ht="18" customHeight="1">
      <c r="A35" s="8" t="s">
        <v>105</v>
      </c>
      <c r="B35" s="34" t="s">
        <v>205</v>
      </c>
      <c r="C35" s="12">
        <v>41999</v>
      </c>
      <c r="D35" s="4">
        <v>4483.05</v>
      </c>
      <c r="E35" s="10"/>
      <c r="F35" s="22">
        <f t="shared" si="3"/>
        <v>4483.05</v>
      </c>
      <c r="G35" s="79">
        <f t="shared" si="4"/>
        <v>42029</v>
      </c>
      <c r="H35" s="35">
        <f t="shared" si="5"/>
        <v>4483.05</v>
      </c>
    </row>
    <row r="36" spans="1:8" ht="18" customHeight="1">
      <c r="A36" s="8" t="s">
        <v>105</v>
      </c>
      <c r="B36" s="34" t="s">
        <v>206</v>
      </c>
      <c r="C36" s="12">
        <v>42010</v>
      </c>
      <c r="D36" s="4">
        <v>31120.98</v>
      </c>
      <c r="E36" s="10"/>
      <c r="F36" s="22">
        <f t="shared" si="3"/>
        <v>31120.98</v>
      </c>
      <c r="G36" s="79">
        <f t="shared" si="4"/>
        <v>42040</v>
      </c>
      <c r="H36" s="35">
        <f t="shared" si="5"/>
        <v>31120.98</v>
      </c>
    </row>
    <row r="37" spans="1:8" ht="18" customHeight="1">
      <c r="A37" s="8" t="s">
        <v>105</v>
      </c>
      <c r="B37" s="34" t="s">
        <v>207</v>
      </c>
      <c r="C37" s="12">
        <v>42010</v>
      </c>
      <c r="D37" s="4">
        <v>1380.01</v>
      </c>
      <c r="E37" s="10"/>
      <c r="F37" s="22">
        <f t="shared" si="3"/>
        <v>1380.01</v>
      </c>
      <c r="G37" s="79">
        <f t="shared" si="4"/>
        <v>42040</v>
      </c>
      <c r="H37" s="35">
        <f t="shared" si="5"/>
        <v>1380.01</v>
      </c>
    </row>
    <row r="38" spans="1:8" ht="18" customHeight="1">
      <c r="A38" s="8" t="s">
        <v>105</v>
      </c>
      <c r="B38" s="34" t="s">
        <v>208</v>
      </c>
      <c r="C38" s="12">
        <v>42010</v>
      </c>
      <c r="D38" s="4">
        <v>61476.02</v>
      </c>
      <c r="E38" s="10">
        <v>80.010000000000005</v>
      </c>
      <c r="F38" s="22">
        <f t="shared" si="3"/>
        <v>61396.009999999995</v>
      </c>
      <c r="G38" s="79">
        <f t="shared" si="4"/>
        <v>42040</v>
      </c>
      <c r="H38" s="35">
        <f t="shared" si="5"/>
        <v>61396.009999999995</v>
      </c>
    </row>
    <row r="39" spans="1:8" ht="18" customHeight="1">
      <c r="A39" s="8" t="s">
        <v>105</v>
      </c>
      <c r="B39" s="34" t="s">
        <v>209</v>
      </c>
      <c r="C39" s="12">
        <v>42025</v>
      </c>
      <c r="D39" s="4">
        <v>82733.67</v>
      </c>
      <c r="E39" s="10"/>
      <c r="F39" s="22">
        <f t="shared" si="3"/>
        <v>82733.67</v>
      </c>
      <c r="G39" s="79">
        <f t="shared" si="4"/>
        <v>42055</v>
      </c>
      <c r="H39" s="35">
        <f t="shared" si="5"/>
        <v>82733.67</v>
      </c>
    </row>
    <row r="40" spans="1:8" ht="18" customHeight="1">
      <c r="A40" s="8" t="s">
        <v>105</v>
      </c>
      <c r="B40" s="34" t="s">
        <v>210</v>
      </c>
      <c r="C40" s="12">
        <v>42025</v>
      </c>
      <c r="D40" s="4">
        <v>34638.959999999999</v>
      </c>
      <c r="E40" s="10">
        <v>170</v>
      </c>
      <c r="F40" s="22">
        <f t="shared" si="3"/>
        <v>34468.959999999999</v>
      </c>
      <c r="G40" s="79">
        <f t="shared" si="4"/>
        <v>42055</v>
      </c>
      <c r="H40" s="35">
        <f t="shared" si="5"/>
        <v>34468.959999999999</v>
      </c>
    </row>
    <row r="41" spans="1:8" ht="18" customHeight="1">
      <c r="A41" s="8" t="s">
        <v>105</v>
      </c>
      <c r="B41" s="34" t="s">
        <v>211</v>
      </c>
      <c r="C41" s="12">
        <v>42025</v>
      </c>
      <c r="D41" s="4">
        <v>28146.25</v>
      </c>
      <c r="E41" s="10">
        <v>15455</v>
      </c>
      <c r="F41" s="22">
        <f>D41-E41</f>
        <v>12691.25</v>
      </c>
      <c r="G41" s="79">
        <f t="shared" si="4"/>
        <v>42055</v>
      </c>
      <c r="H41" s="35">
        <f>F41</f>
        <v>12691.25</v>
      </c>
    </row>
    <row r="42" spans="1:8" ht="18" customHeight="1">
      <c r="A42" s="8" t="s">
        <v>105</v>
      </c>
      <c r="B42" s="34" t="s">
        <v>210</v>
      </c>
      <c r="C42" s="12">
        <v>42025</v>
      </c>
      <c r="D42" s="4">
        <v>944.99</v>
      </c>
      <c r="E42" s="10"/>
      <c r="F42" s="22">
        <f t="shared" ref="F42:F51" si="6">D42-E42</f>
        <v>944.99</v>
      </c>
      <c r="G42" s="79">
        <f t="shared" si="4"/>
        <v>42055</v>
      </c>
      <c r="H42" s="35">
        <f>F42</f>
        <v>944.99</v>
      </c>
    </row>
    <row r="43" spans="1:8" ht="18" customHeight="1">
      <c r="A43" s="8" t="s">
        <v>105</v>
      </c>
      <c r="B43" s="34" t="s">
        <v>213</v>
      </c>
      <c r="C43" s="12">
        <v>42031</v>
      </c>
      <c r="D43" s="4">
        <v>18442.099999999999</v>
      </c>
      <c r="E43" s="10"/>
      <c r="F43" s="22">
        <f t="shared" si="6"/>
        <v>18442.099999999999</v>
      </c>
      <c r="G43" s="79">
        <f t="shared" si="4"/>
        <v>42061</v>
      </c>
      <c r="H43" s="35">
        <f t="shared" si="5"/>
        <v>18442.099999999999</v>
      </c>
    </row>
    <row r="44" spans="1:8" ht="18" customHeight="1">
      <c r="A44" s="8" t="s">
        <v>105</v>
      </c>
      <c r="B44" s="34" t="s">
        <v>214</v>
      </c>
      <c r="C44" s="12">
        <v>42047</v>
      </c>
      <c r="D44" s="4">
        <v>66897.86</v>
      </c>
      <c r="E44" s="10"/>
      <c r="F44" s="22">
        <f t="shared" si="6"/>
        <v>66897.86</v>
      </c>
      <c r="G44" s="12">
        <f t="shared" si="4"/>
        <v>42077</v>
      </c>
      <c r="H44" s="35">
        <f t="shared" si="5"/>
        <v>66897.86</v>
      </c>
    </row>
    <row r="45" spans="1:8" ht="18" customHeight="1">
      <c r="A45" s="8" t="s">
        <v>105</v>
      </c>
      <c r="B45" s="34" t="s">
        <v>215</v>
      </c>
      <c r="C45" s="12">
        <v>42047</v>
      </c>
      <c r="D45" s="4">
        <v>2242.0100000000002</v>
      </c>
      <c r="E45" s="10"/>
      <c r="F45" s="22">
        <f t="shared" si="6"/>
        <v>2242.0100000000002</v>
      </c>
      <c r="G45" s="12">
        <f t="shared" si="4"/>
        <v>42077</v>
      </c>
      <c r="H45" s="35">
        <f t="shared" si="5"/>
        <v>2242.0100000000002</v>
      </c>
    </row>
    <row r="46" spans="1:8" ht="18" customHeight="1">
      <c r="A46" s="8" t="s">
        <v>105</v>
      </c>
      <c r="B46" s="34" t="s">
        <v>216</v>
      </c>
      <c r="C46" s="12">
        <v>42051</v>
      </c>
      <c r="D46" s="4">
        <v>21995.33</v>
      </c>
      <c r="E46" s="10"/>
      <c r="F46" s="22">
        <f t="shared" si="6"/>
        <v>21995.33</v>
      </c>
      <c r="G46" s="12">
        <f t="shared" si="4"/>
        <v>42081</v>
      </c>
      <c r="H46" s="35">
        <f t="shared" si="5"/>
        <v>21995.33</v>
      </c>
    </row>
    <row r="47" spans="1:8" ht="18" customHeight="1">
      <c r="A47" s="82" t="s">
        <v>12</v>
      </c>
      <c r="B47" s="83" t="s">
        <v>219</v>
      </c>
      <c r="C47" s="84">
        <v>42067</v>
      </c>
      <c r="D47" s="85">
        <v>94537.59</v>
      </c>
      <c r="E47" s="86"/>
      <c r="F47" s="87">
        <f t="shared" si="6"/>
        <v>94537.59</v>
      </c>
      <c r="G47" s="84">
        <f t="shared" si="4"/>
        <v>42097</v>
      </c>
      <c r="H47" s="35">
        <f t="shared" si="5"/>
        <v>94537.59</v>
      </c>
    </row>
    <row r="48" spans="1:8" ht="18" customHeight="1">
      <c r="A48" s="82" t="s">
        <v>12</v>
      </c>
      <c r="B48" s="83" t="s">
        <v>220</v>
      </c>
      <c r="C48" s="84">
        <v>42067</v>
      </c>
      <c r="D48" s="85">
        <v>16138.89</v>
      </c>
      <c r="E48" s="86"/>
      <c r="F48" s="87">
        <f t="shared" si="6"/>
        <v>16138.89</v>
      </c>
      <c r="G48" s="84">
        <f t="shared" si="4"/>
        <v>42097</v>
      </c>
      <c r="H48" s="35">
        <f t="shared" si="5"/>
        <v>16138.89</v>
      </c>
    </row>
    <row r="49" spans="1:11" ht="18" customHeight="1">
      <c r="A49" s="82" t="s">
        <v>12</v>
      </c>
      <c r="B49" s="83" t="s">
        <v>221</v>
      </c>
      <c r="C49" s="84">
        <v>42076</v>
      </c>
      <c r="D49" s="85">
        <v>48232.72</v>
      </c>
      <c r="E49" s="86"/>
      <c r="F49" s="87">
        <f t="shared" si="6"/>
        <v>48232.72</v>
      </c>
      <c r="G49" s="84">
        <f t="shared" si="4"/>
        <v>42106</v>
      </c>
      <c r="H49" s="35">
        <f t="shared" si="5"/>
        <v>48232.72</v>
      </c>
    </row>
    <row r="50" spans="1:11" ht="18" customHeight="1">
      <c r="A50" s="82" t="s">
        <v>12</v>
      </c>
      <c r="B50" s="83" t="s">
        <v>223</v>
      </c>
      <c r="C50" s="84">
        <v>42080</v>
      </c>
      <c r="D50" s="85">
        <v>42862.81</v>
      </c>
      <c r="E50" s="86"/>
      <c r="F50" s="87">
        <f t="shared" si="6"/>
        <v>42862.81</v>
      </c>
      <c r="G50" s="84">
        <f t="shared" si="4"/>
        <v>42110</v>
      </c>
      <c r="H50" s="35">
        <f t="shared" si="5"/>
        <v>42862.81</v>
      </c>
    </row>
    <row r="51" spans="1:11" ht="18" customHeight="1">
      <c r="A51" s="82" t="s">
        <v>12</v>
      </c>
      <c r="B51" s="83" t="s">
        <v>224</v>
      </c>
      <c r="C51" s="84">
        <v>42080</v>
      </c>
      <c r="D51" s="85">
        <v>10692.42</v>
      </c>
      <c r="E51" s="86"/>
      <c r="F51" s="87">
        <f t="shared" si="6"/>
        <v>10692.42</v>
      </c>
      <c r="G51" s="84">
        <f t="shared" si="4"/>
        <v>42110</v>
      </c>
      <c r="H51" s="35">
        <f t="shared" si="5"/>
        <v>10692.42</v>
      </c>
    </row>
    <row r="52" spans="1:11" ht="18" customHeight="1">
      <c r="A52" s="8"/>
      <c r="B52" s="34"/>
      <c r="C52" s="12"/>
      <c r="D52" s="4"/>
      <c r="E52" s="10"/>
      <c r="F52" s="22"/>
      <c r="G52" s="12"/>
      <c r="H52" s="35">
        <f t="shared" si="5"/>
        <v>0</v>
      </c>
    </row>
    <row r="53" spans="1:11" ht="18" customHeight="1">
      <c r="A53" s="8"/>
      <c r="B53" s="34"/>
      <c r="C53" s="12"/>
      <c r="D53" s="4"/>
      <c r="E53" s="10"/>
      <c r="F53" s="22"/>
      <c r="G53" s="12"/>
      <c r="H53" s="35">
        <f t="shared" si="5"/>
        <v>0</v>
      </c>
    </row>
    <row r="54" spans="1:11" ht="18" customHeight="1">
      <c r="A54" s="8"/>
      <c r="B54" s="34"/>
      <c r="C54" s="12"/>
      <c r="D54" s="4"/>
      <c r="E54" s="10"/>
      <c r="F54" s="22"/>
      <c r="G54" s="12"/>
      <c r="H54" s="35">
        <f t="shared" si="5"/>
        <v>0</v>
      </c>
    </row>
    <row r="55" spans="1:11" ht="18" customHeight="1">
      <c r="A55" s="8"/>
      <c r="B55" s="34"/>
      <c r="C55" s="12"/>
      <c r="D55" s="4"/>
      <c r="E55" s="10"/>
      <c r="F55" s="22"/>
      <c r="G55" s="12"/>
      <c r="H55" s="35">
        <f t="shared" si="5"/>
        <v>0</v>
      </c>
    </row>
    <row r="56" spans="1:11" ht="18" customHeight="1">
      <c r="A56" s="8"/>
      <c r="B56" s="34"/>
      <c r="C56" s="12"/>
      <c r="D56" s="4"/>
      <c r="E56" s="10"/>
      <c r="F56" s="22"/>
      <c r="G56" s="12"/>
      <c r="H56" s="35">
        <f>SUM(H26:H46)</f>
        <v>483252.12</v>
      </c>
    </row>
    <row r="57" spans="1:11" ht="18" customHeight="1">
      <c r="A57" s="8"/>
      <c r="B57" s="33"/>
      <c r="C57" s="12"/>
      <c r="D57" s="4"/>
      <c r="E57" s="10"/>
      <c r="F57" s="56">
        <f>SUM(F26:F56)</f>
        <v>786353.39</v>
      </c>
      <c r="G57" s="4"/>
      <c r="H57" s="35">
        <v>-502923.99</v>
      </c>
    </row>
    <row r="58" spans="1:11">
      <c r="A58" s="8" t="s">
        <v>37</v>
      </c>
      <c r="B58" s="34"/>
      <c r="C58" s="30">
        <v>41150</v>
      </c>
      <c r="D58" s="4">
        <v>13190</v>
      </c>
      <c r="E58" s="10">
        <f>1190+1000</f>
        <v>2190</v>
      </c>
      <c r="F58" s="22">
        <f>D58-E58</f>
        <v>11000</v>
      </c>
      <c r="G58" s="12">
        <f>+C58+30</f>
        <v>41180</v>
      </c>
      <c r="H58" s="35">
        <f>-500-500-1000-1000</f>
        <v>-3000</v>
      </c>
    </row>
    <row r="59" spans="1:11">
      <c r="A59" s="8" t="s">
        <v>37</v>
      </c>
      <c r="B59" s="34"/>
      <c r="C59" s="30">
        <v>41181</v>
      </c>
      <c r="D59" s="4">
        <v>16350</v>
      </c>
      <c r="E59" s="10"/>
      <c r="F59" s="22">
        <f>D59-E59</f>
        <v>16350</v>
      </c>
      <c r="G59" s="12">
        <f>+C59+30</f>
        <v>41211</v>
      </c>
      <c r="H59" s="9"/>
    </row>
    <row r="60" spans="1:11">
      <c r="A60" s="8"/>
      <c r="B60" s="34"/>
      <c r="C60" s="12"/>
      <c r="D60" s="4"/>
      <c r="E60" s="10"/>
      <c r="F60" s="81">
        <f>SUM(F58:F59)</f>
        <v>27350</v>
      </c>
      <c r="G60" s="12"/>
      <c r="H60" s="9"/>
    </row>
    <row r="61" spans="1:11">
      <c r="A61" s="8" t="s">
        <v>15</v>
      </c>
      <c r="B61" s="33"/>
      <c r="C61" s="12"/>
      <c r="D61" s="4">
        <v>38000</v>
      </c>
      <c r="E61" s="10"/>
      <c r="F61" s="22">
        <f>D61-E61</f>
        <v>38000</v>
      </c>
      <c r="G61" s="12"/>
      <c r="H61" s="9"/>
    </row>
    <row r="62" spans="1:11">
      <c r="A62" s="8"/>
      <c r="B62" s="33"/>
      <c r="C62" s="12"/>
      <c r="D62" s="4"/>
      <c r="E62" s="10"/>
      <c r="F62" s="81">
        <f>SUM(F61:F61)</f>
        <v>38000</v>
      </c>
      <c r="G62" s="12"/>
      <c r="K62" s="35"/>
    </row>
    <row r="63" spans="1:11">
      <c r="A63" s="8"/>
      <c r="B63" s="33"/>
      <c r="C63" s="12"/>
      <c r="D63" s="4"/>
      <c r="E63" s="10"/>
      <c r="F63" s="22"/>
      <c r="G63" s="12"/>
      <c r="H63" s="35"/>
      <c r="K63" s="35"/>
    </row>
    <row r="64" spans="1:11">
      <c r="A64" s="8"/>
      <c r="B64" s="33"/>
      <c r="C64" s="12"/>
      <c r="D64" s="4"/>
      <c r="E64" s="10"/>
      <c r="F64" s="22">
        <f>D64-E64</f>
        <v>0</v>
      </c>
      <c r="G64" s="12"/>
      <c r="H64" s="35"/>
      <c r="K64" s="35"/>
    </row>
    <row r="65" spans="1:13">
      <c r="A65" s="8"/>
      <c r="B65" s="33"/>
      <c r="C65" s="12"/>
      <c r="D65" s="4"/>
      <c r="E65" s="10"/>
      <c r="F65" s="56">
        <f>SUM(F63:F64)</f>
        <v>0</v>
      </c>
      <c r="G65" s="12"/>
      <c r="K65" s="35"/>
    </row>
    <row r="66" spans="1:13">
      <c r="A66" s="8" t="s">
        <v>212</v>
      </c>
      <c r="B66" s="33"/>
      <c r="C66" s="12"/>
      <c r="D66" s="4">
        <v>9910</v>
      </c>
      <c r="E66" s="10">
        <v>4000</v>
      </c>
      <c r="F66" s="22">
        <f>D66-E66</f>
        <v>5910</v>
      </c>
      <c r="G66" s="12"/>
      <c r="H66" s="35"/>
      <c r="K66" s="35"/>
    </row>
    <row r="67" spans="1:13">
      <c r="A67" s="8" t="s">
        <v>217</v>
      </c>
      <c r="B67" s="33"/>
      <c r="C67" s="12"/>
      <c r="D67" s="4">
        <v>9065</v>
      </c>
      <c r="E67" s="10">
        <v>1660</v>
      </c>
      <c r="F67" s="22">
        <f>D67-E67</f>
        <v>7405</v>
      </c>
      <c r="G67" s="12"/>
      <c r="H67" s="35"/>
      <c r="K67" s="35"/>
    </row>
    <row r="68" spans="1:13">
      <c r="A68" s="8" t="s">
        <v>218</v>
      </c>
      <c r="B68" s="33"/>
      <c r="C68" s="12"/>
      <c r="D68" s="4">
        <v>8375</v>
      </c>
      <c r="E68" s="10">
        <f>4500+3475</f>
        <v>7975</v>
      </c>
      <c r="F68" s="22">
        <f>D68-E68</f>
        <v>400</v>
      </c>
      <c r="G68" s="12"/>
      <c r="H68" s="35"/>
      <c r="K68" s="35"/>
    </row>
    <row r="69" spans="1:13">
      <c r="A69" s="8"/>
      <c r="B69" s="33"/>
      <c r="C69" s="12"/>
      <c r="D69" s="4"/>
      <c r="E69" s="10"/>
      <c r="F69" s="56">
        <f>SUM(F66:F68)</f>
        <v>13715</v>
      </c>
      <c r="G69" s="12"/>
      <c r="K69" s="35"/>
    </row>
    <row r="70" spans="1:13">
      <c r="A70" s="89" t="s">
        <v>222</v>
      </c>
      <c r="B70" s="90"/>
      <c r="C70" s="91"/>
      <c r="D70" s="92">
        <v>29630</v>
      </c>
      <c r="E70" s="93">
        <f>18400+3000+8230</f>
        <v>29630</v>
      </c>
      <c r="F70" s="94">
        <f>D70-E70</f>
        <v>0</v>
      </c>
      <c r="G70" s="12"/>
      <c r="K70" s="35"/>
    </row>
    <row r="71" spans="1:13">
      <c r="A71" s="89" t="s">
        <v>222</v>
      </c>
      <c r="B71" s="90"/>
      <c r="C71" s="91"/>
      <c r="D71" s="92">
        <v>18960</v>
      </c>
      <c r="E71" s="93"/>
      <c r="F71" s="94">
        <f>D71-E71</f>
        <v>18960</v>
      </c>
      <c r="G71" s="12"/>
      <c r="K71" s="35"/>
    </row>
    <row r="72" spans="1:13">
      <c r="A72" s="8"/>
      <c r="B72" s="33"/>
      <c r="C72" s="12"/>
      <c r="D72" s="4"/>
      <c r="E72" s="10"/>
      <c r="F72" s="24"/>
      <c r="G72" s="12"/>
      <c r="H72" s="40"/>
      <c r="K72" s="35"/>
    </row>
    <row r="73" spans="1:13">
      <c r="A73" s="8"/>
      <c r="B73" s="33"/>
      <c r="C73" s="12"/>
      <c r="D73" s="4"/>
      <c r="E73" s="10"/>
      <c r="F73" s="22"/>
      <c r="G73" s="12"/>
      <c r="H73" s="40"/>
      <c r="K73" s="35">
        <v>500</v>
      </c>
      <c r="L73" s="61">
        <v>21</v>
      </c>
      <c r="M73" s="35">
        <f t="shared" ref="M73:M78" si="7">K73*L73</f>
        <v>10500</v>
      </c>
    </row>
    <row r="74" spans="1:13">
      <c r="A74" s="8"/>
      <c r="B74" s="33"/>
      <c r="C74" s="12"/>
      <c r="D74" s="4"/>
      <c r="E74" s="10"/>
      <c r="F74" s="24"/>
      <c r="G74" s="12"/>
      <c r="H74" s="40"/>
      <c r="K74" s="35">
        <v>200</v>
      </c>
      <c r="L74" s="61">
        <v>30</v>
      </c>
      <c r="M74" s="35">
        <f t="shared" si="7"/>
        <v>6000</v>
      </c>
    </row>
    <row r="75" spans="1:13">
      <c r="A75" s="96"/>
      <c r="B75" s="33"/>
      <c r="C75" s="12"/>
      <c r="D75" s="4"/>
      <c r="E75" s="10"/>
      <c r="F75" s="22"/>
      <c r="G75" s="12"/>
      <c r="K75" s="61">
        <v>100</v>
      </c>
      <c r="L75" s="61">
        <v>12</v>
      </c>
      <c r="M75" s="35">
        <f t="shared" si="7"/>
        <v>1200</v>
      </c>
    </row>
    <row r="76" spans="1:13">
      <c r="A76" s="108" t="s">
        <v>227</v>
      </c>
      <c r="B76" s="109"/>
      <c r="C76" s="105"/>
      <c r="D76" s="106">
        <v>10092</v>
      </c>
      <c r="E76" s="107">
        <v>10092</v>
      </c>
      <c r="F76" s="110">
        <f>D76-E76</f>
        <v>0</v>
      </c>
      <c r="G76" s="12"/>
      <c r="K76" s="35">
        <v>50</v>
      </c>
      <c r="L76" s="61">
        <v>3</v>
      </c>
      <c r="M76" s="35">
        <f t="shared" si="7"/>
        <v>150</v>
      </c>
    </row>
    <row r="77" spans="1:13">
      <c r="A77" s="104" t="s">
        <v>218</v>
      </c>
      <c r="B77" s="105"/>
      <c r="C77" s="105"/>
      <c r="D77" s="106">
        <v>15782</v>
      </c>
      <c r="E77" s="107">
        <v>15782</v>
      </c>
      <c r="F77" s="110">
        <f>D77-E77</f>
        <v>0</v>
      </c>
      <c r="G77" s="12"/>
      <c r="K77" s="35">
        <v>20</v>
      </c>
      <c r="L77" s="61">
        <v>2</v>
      </c>
      <c r="M77" s="35">
        <f t="shared" si="7"/>
        <v>40</v>
      </c>
    </row>
    <row r="78" spans="1:13">
      <c r="A78" s="96"/>
      <c r="B78" s="12"/>
      <c r="C78" s="12"/>
      <c r="D78" s="4"/>
      <c r="E78" s="10"/>
      <c r="F78" s="22"/>
      <c r="G78" s="12"/>
      <c r="K78" s="35">
        <v>1</v>
      </c>
      <c r="L78" s="61">
        <v>70</v>
      </c>
      <c r="M78" s="35">
        <f t="shared" si="7"/>
        <v>70</v>
      </c>
    </row>
    <row r="79" spans="1:13">
      <c r="A79" s="96"/>
      <c r="B79" s="33"/>
      <c r="C79" s="12"/>
      <c r="D79" s="4"/>
      <c r="E79" s="10"/>
      <c r="F79" s="22"/>
      <c r="G79" s="12"/>
    </row>
    <row r="80" spans="1:13">
      <c r="A80" s="96"/>
      <c r="B80" s="33"/>
      <c r="C80" s="12"/>
      <c r="D80" s="4"/>
      <c r="E80" s="10"/>
      <c r="F80" s="22"/>
      <c r="G80" s="12"/>
    </row>
    <row r="81" spans="1:7">
      <c r="A81" s="96"/>
      <c r="B81" s="33"/>
      <c r="C81" s="12"/>
      <c r="D81" s="4"/>
      <c r="E81" s="10"/>
      <c r="F81" s="22"/>
      <c r="G81" s="12"/>
    </row>
    <row r="82" spans="1:7">
      <c r="A82" s="96"/>
      <c r="B82" s="33"/>
      <c r="C82" s="12"/>
      <c r="D82" s="4"/>
      <c r="E82" s="10"/>
      <c r="F82" s="22"/>
      <c r="G82" s="12"/>
    </row>
    <row r="83" spans="1:7">
      <c r="A83" s="96"/>
      <c r="B83" s="33"/>
      <c r="C83" s="12"/>
      <c r="D83" s="4"/>
      <c r="E83" s="10"/>
      <c r="F83" s="22"/>
      <c r="G83" s="12"/>
    </row>
    <row r="84" spans="1:7">
      <c r="A84" s="96"/>
      <c r="B84" s="33"/>
      <c r="C84" s="12"/>
      <c r="D84" s="4"/>
      <c r="E84" s="10"/>
      <c r="F84" s="22"/>
      <c r="G84" s="12"/>
    </row>
    <row r="85" spans="1:7">
      <c r="A85" s="96"/>
      <c r="B85" s="33"/>
      <c r="C85" s="12"/>
      <c r="D85" s="4"/>
      <c r="E85" s="10"/>
      <c r="F85" s="22"/>
      <c r="G85" s="12"/>
    </row>
    <row r="86" spans="1:7">
      <c r="A86" s="96"/>
      <c r="B86" s="33"/>
      <c r="C86" s="12"/>
      <c r="D86" s="4"/>
      <c r="E86" s="10"/>
      <c r="F86" s="22"/>
      <c r="G86" s="12"/>
    </row>
    <row r="87" spans="1:7">
      <c r="A87" s="96"/>
      <c r="B87" s="33"/>
      <c r="C87" s="12"/>
      <c r="D87" s="4"/>
      <c r="E87" s="10"/>
      <c r="F87" s="22"/>
      <c r="G87" s="12"/>
    </row>
    <row r="88" spans="1:7">
      <c r="A88" s="96"/>
      <c r="B88" s="33"/>
      <c r="C88" s="12"/>
      <c r="D88" s="4"/>
      <c r="E88" s="10"/>
      <c r="F88" s="22"/>
      <c r="G88" s="12"/>
    </row>
    <row r="89" spans="1:7">
      <c r="A89" s="96"/>
      <c r="B89" s="33"/>
      <c r="C89" s="12"/>
      <c r="D89" s="4"/>
      <c r="E89" s="10"/>
      <c r="F89" s="22"/>
      <c r="G89" s="12"/>
    </row>
    <row r="90" spans="1:7">
      <c r="A90" s="96"/>
      <c r="B90" s="33"/>
      <c r="C90" s="12"/>
      <c r="D90" s="24"/>
      <c r="E90" s="24"/>
      <c r="F90" s="24"/>
      <c r="G90" s="12"/>
    </row>
    <row r="91" spans="1:7">
      <c r="A91" s="96"/>
      <c r="B91" s="33"/>
      <c r="C91" s="12"/>
      <c r="D91" s="4"/>
      <c r="E91" s="44"/>
      <c r="F91" s="43"/>
      <c r="G91" s="12"/>
    </row>
    <row r="92" spans="1:7">
      <c r="A92" s="96"/>
      <c r="B92" s="33"/>
      <c r="C92" s="12"/>
      <c r="D92" s="4"/>
      <c r="E92" s="10"/>
      <c r="F92" s="22"/>
      <c r="G92" s="12"/>
    </row>
    <row r="93" spans="1:7">
      <c r="A93" s="96"/>
      <c r="B93" s="33"/>
      <c r="C93" s="12"/>
      <c r="D93" s="4"/>
      <c r="E93" s="4"/>
      <c r="F93" s="22"/>
      <c r="G93" s="12"/>
    </row>
    <row r="94" spans="1:7">
      <c r="A94" s="96"/>
      <c r="B94" s="33"/>
      <c r="C94" s="12"/>
      <c r="D94" s="4"/>
      <c r="E94" s="10"/>
      <c r="F94" s="22"/>
      <c r="G94" s="12"/>
    </row>
    <row r="95" spans="1:7">
      <c r="A95" s="96"/>
      <c r="B95" s="33"/>
      <c r="C95" s="12"/>
      <c r="D95" s="4"/>
      <c r="E95" s="10"/>
      <c r="F95" s="22"/>
      <c r="G95" s="12"/>
    </row>
    <row r="96" spans="1:7">
      <c r="A96" s="96"/>
      <c r="B96" s="33"/>
      <c r="C96" s="12"/>
      <c r="D96" s="4"/>
      <c r="E96" s="10"/>
      <c r="F96" s="22"/>
      <c r="G96" s="12"/>
    </row>
    <row r="97" spans="1:8">
      <c r="A97" s="96"/>
      <c r="B97" s="33"/>
      <c r="C97" s="2"/>
      <c r="D97" s="3"/>
      <c r="E97" s="5"/>
      <c r="F97" s="22"/>
      <c r="G97" s="2"/>
    </row>
    <row r="98" spans="1:8">
      <c r="A98" s="96"/>
      <c r="B98" s="33"/>
      <c r="C98" s="2"/>
      <c r="D98" s="3"/>
      <c r="E98" s="5"/>
      <c r="F98" s="22"/>
      <c r="G98" s="2"/>
    </row>
    <row r="99" spans="1:8">
      <c r="A99" s="96"/>
      <c r="B99" s="33"/>
      <c r="C99" s="12"/>
      <c r="D99" s="4"/>
      <c r="E99" s="10"/>
      <c r="F99" s="22"/>
      <c r="G99" s="12"/>
      <c r="H99" s="9"/>
    </row>
    <row r="100" spans="1:8">
      <c r="A100" s="96"/>
      <c r="B100" s="33"/>
      <c r="C100" s="2"/>
      <c r="D100" s="3"/>
      <c r="E100" s="5"/>
      <c r="F100" s="22"/>
      <c r="G100" s="2"/>
      <c r="H100" s="9"/>
    </row>
    <row r="101" spans="1:8">
      <c r="A101" s="96"/>
      <c r="B101" s="33"/>
      <c r="C101" s="2"/>
      <c r="D101" s="3"/>
      <c r="E101" s="5"/>
      <c r="F101" s="22"/>
      <c r="G101" s="2"/>
      <c r="H101" s="9"/>
    </row>
    <row r="102" spans="1:8">
      <c r="A102" s="96"/>
      <c r="B102" s="33"/>
      <c r="C102" s="2"/>
      <c r="D102" s="3"/>
      <c r="E102" s="5"/>
      <c r="F102" s="22"/>
      <c r="G102" s="2"/>
      <c r="H102" s="9"/>
    </row>
    <row r="103" spans="1:8">
      <c r="A103" s="96"/>
      <c r="B103" s="33"/>
      <c r="C103" s="12"/>
      <c r="D103" s="4"/>
      <c r="E103" s="10"/>
      <c r="F103" s="22"/>
      <c r="G103" s="12"/>
      <c r="H103" s="9"/>
    </row>
    <row r="104" spans="1:8">
      <c r="A104" s="96"/>
      <c r="B104" s="33"/>
      <c r="C104" s="2"/>
      <c r="D104" s="3"/>
      <c r="E104" s="5"/>
      <c r="F104" s="22"/>
      <c r="G104" s="2"/>
    </row>
    <row r="105" spans="1:8">
      <c r="A105" s="96"/>
      <c r="B105" s="33"/>
      <c r="C105" s="12"/>
      <c r="D105" s="4"/>
      <c r="E105" s="10"/>
      <c r="F105" s="22"/>
      <c r="G105" s="12"/>
    </row>
    <row r="106" spans="1:8">
      <c r="A106" s="96"/>
      <c r="B106" s="12"/>
      <c r="C106" s="12"/>
      <c r="D106" s="4"/>
      <c r="E106" s="10"/>
      <c r="F106" s="22"/>
      <c r="G106" s="12"/>
    </row>
    <row r="107" spans="1:8">
      <c r="A107" s="96"/>
      <c r="B107" s="12"/>
      <c r="C107" s="12"/>
      <c r="D107" s="4"/>
      <c r="E107" s="10"/>
      <c r="F107" s="22"/>
      <c r="G107" s="12"/>
    </row>
    <row r="108" spans="1:8">
      <c r="A108" s="96"/>
      <c r="B108" s="8"/>
      <c r="C108" s="1"/>
      <c r="D108" s="1"/>
      <c r="E108" s="1"/>
      <c r="F108" s="101"/>
      <c r="G108" s="1"/>
    </row>
    <row r="109" spans="1:8">
      <c r="A109" s="96"/>
      <c r="B109" s="102"/>
      <c r="C109" s="103"/>
      <c r="D109" s="103"/>
      <c r="E109" s="1"/>
      <c r="F109" s="101"/>
      <c r="G109" s="1"/>
    </row>
    <row r="110" spans="1:8">
      <c r="A110" s="96"/>
      <c r="B110" s="8"/>
      <c r="C110" s="1"/>
      <c r="D110" s="1"/>
      <c r="E110" s="1"/>
      <c r="F110" s="101"/>
      <c r="G110" s="1"/>
    </row>
    <row r="111" spans="1:8">
      <c r="A111" s="96"/>
      <c r="B111" s="8"/>
      <c r="C111" s="1"/>
      <c r="D111" s="1"/>
      <c r="E111" s="1"/>
      <c r="F111" s="101"/>
      <c r="G111" s="1"/>
    </row>
    <row r="112" spans="1:8">
      <c r="A112" s="96"/>
      <c r="B112" s="8"/>
      <c r="C112" s="1"/>
      <c r="D112" s="1"/>
      <c r="E112" s="1"/>
      <c r="F112" s="101"/>
      <c r="G112" s="1"/>
    </row>
    <row r="113" spans="1:7">
      <c r="A113" s="96"/>
      <c r="B113" s="8"/>
      <c r="C113" s="1"/>
      <c r="D113" s="1"/>
      <c r="E113" s="1"/>
      <c r="F113" s="101"/>
      <c r="G113" s="1"/>
    </row>
    <row r="114" spans="1:7">
      <c r="A114" s="96"/>
      <c r="B114" s="8"/>
      <c r="C114" s="1"/>
      <c r="D114" s="1"/>
      <c r="E114" s="1"/>
      <c r="F114" s="101"/>
      <c r="G114" s="1"/>
    </row>
    <row r="115" spans="1:7">
      <c r="A115" s="96"/>
      <c r="B115" s="8"/>
      <c r="C115" s="1"/>
      <c r="D115" s="1"/>
      <c r="E115" s="1"/>
      <c r="F115" s="101"/>
      <c r="G115" s="1"/>
    </row>
    <row r="116" spans="1:7">
      <c r="A116" s="96"/>
      <c r="B116" s="8"/>
      <c r="C116" s="1"/>
      <c r="D116" s="1"/>
      <c r="E116" s="1"/>
      <c r="F116" s="101"/>
      <c r="G116" s="1"/>
    </row>
    <row r="117" spans="1:7">
      <c r="A117" s="96"/>
      <c r="B117" s="8"/>
      <c r="C117" s="1"/>
      <c r="D117" s="1"/>
      <c r="E117" s="1"/>
      <c r="F117" s="101"/>
      <c r="G117" s="1"/>
    </row>
    <row r="118" spans="1:7">
      <c r="A118" s="96"/>
      <c r="B118" s="8"/>
      <c r="C118" s="1"/>
      <c r="D118" s="1"/>
      <c r="E118" s="1"/>
      <c r="F118" s="101"/>
      <c r="G118" s="1"/>
    </row>
    <row r="119" spans="1:7">
      <c r="A119" s="96"/>
      <c r="B119" s="8"/>
      <c r="C119" s="1"/>
      <c r="D119" s="1"/>
      <c r="E119" s="1"/>
      <c r="F119" s="101"/>
      <c r="G119" s="1"/>
    </row>
    <row r="120" spans="1:7">
      <c r="A120" s="97" t="s">
        <v>103</v>
      </c>
      <c r="B120" s="33"/>
      <c r="C120" s="12"/>
      <c r="D120" s="4"/>
      <c r="E120" s="10"/>
      <c r="F120" s="22"/>
      <c r="G120" s="12"/>
    </row>
    <row r="121" spans="1:7">
      <c r="A121" s="98" t="s">
        <v>6</v>
      </c>
      <c r="B121" s="33"/>
      <c r="C121" s="12"/>
      <c r="D121" s="4"/>
      <c r="E121" s="10"/>
      <c r="F121" s="22"/>
      <c r="G121" s="12"/>
    </row>
    <row r="122" spans="1:7">
      <c r="A122" s="99" t="s">
        <v>34</v>
      </c>
      <c r="B122" s="12"/>
      <c r="C122" s="12"/>
      <c r="D122" s="4"/>
      <c r="E122" s="10"/>
      <c r="F122" s="22"/>
      <c r="G122" s="12"/>
    </row>
    <row r="123" spans="1:7">
      <c r="A123" s="96" t="s">
        <v>31</v>
      </c>
      <c r="B123" s="12"/>
      <c r="C123" s="12"/>
      <c r="D123" s="4"/>
      <c r="E123" s="10"/>
      <c r="F123" s="22"/>
      <c r="G123" s="12"/>
    </row>
    <row r="124" spans="1:7">
      <c r="A124" s="99" t="s">
        <v>114</v>
      </c>
      <c r="B124" s="33"/>
      <c r="C124" s="12"/>
      <c r="D124" s="4"/>
      <c r="E124" s="10"/>
      <c r="F124" s="22"/>
      <c r="G124" s="12"/>
    </row>
    <row r="125" spans="1:7">
      <c r="A125" s="99" t="s">
        <v>111</v>
      </c>
      <c r="B125" s="33"/>
      <c r="C125" s="12"/>
      <c r="D125" s="4"/>
      <c r="E125" s="10"/>
      <c r="F125" s="22"/>
      <c r="G125" s="12"/>
    </row>
    <row r="126" spans="1:7">
      <c r="A126" s="99" t="s">
        <v>108</v>
      </c>
      <c r="B126" s="33"/>
      <c r="C126" s="12"/>
      <c r="D126" s="4"/>
      <c r="E126" s="10"/>
      <c r="F126" s="22"/>
      <c r="G126" s="12"/>
    </row>
    <row r="127" spans="1:7">
      <c r="A127" s="96" t="s">
        <v>33</v>
      </c>
      <c r="B127" s="33"/>
      <c r="C127" s="12"/>
      <c r="D127" s="4"/>
      <c r="E127" s="10"/>
      <c r="F127" s="22"/>
      <c r="G127" s="12"/>
    </row>
    <row r="128" spans="1:7">
      <c r="A128" s="96" t="s">
        <v>36</v>
      </c>
      <c r="B128" s="33"/>
      <c r="C128" s="12"/>
      <c r="D128" s="4"/>
      <c r="E128" s="10"/>
      <c r="F128" s="22"/>
      <c r="G128" s="12"/>
    </row>
    <row r="129" spans="1:188">
      <c r="A129" s="96" t="s">
        <v>36</v>
      </c>
      <c r="B129" s="33"/>
      <c r="C129" s="12"/>
      <c r="D129" s="4"/>
      <c r="E129" s="10"/>
      <c r="F129" s="22"/>
      <c r="G129" s="12"/>
    </row>
    <row r="130" spans="1:188">
      <c r="A130" s="99" t="s">
        <v>35</v>
      </c>
      <c r="B130" s="33"/>
      <c r="C130" s="12"/>
      <c r="D130" s="4"/>
      <c r="E130" s="10"/>
      <c r="F130" s="22"/>
      <c r="G130" s="12"/>
    </row>
    <row r="131" spans="1:188">
      <c r="A131" s="96" t="s">
        <v>6</v>
      </c>
      <c r="B131" s="33"/>
      <c r="C131" s="12"/>
      <c r="D131" s="4"/>
      <c r="E131" s="10"/>
      <c r="F131" s="22"/>
      <c r="G131" s="12"/>
    </row>
    <row r="132" spans="1:188">
      <c r="A132" s="96" t="s">
        <v>113</v>
      </c>
      <c r="B132" s="33"/>
      <c r="C132" s="12"/>
      <c r="D132" s="4"/>
      <c r="E132" s="10"/>
      <c r="F132" s="22"/>
      <c r="G132" s="12"/>
    </row>
    <row r="133" spans="1:188">
      <c r="A133" s="96" t="s">
        <v>112</v>
      </c>
      <c r="B133" s="33"/>
      <c r="C133" s="12"/>
      <c r="D133" s="4"/>
      <c r="E133" s="10"/>
      <c r="F133" s="22"/>
      <c r="G133" s="12"/>
    </row>
    <row r="134" spans="1:188">
      <c r="A134" s="99" t="s">
        <v>115</v>
      </c>
      <c r="B134" s="33"/>
      <c r="C134" s="12"/>
      <c r="D134" s="4"/>
      <c r="E134" s="10"/>
      <c r="F134" s="22"/>
      <c r="G134" s="12"/>
    </row>
    <row r="135" spans="1:188">
      <c r="A135" s="96"/>
      <c r="B135" s="33"/>
      <c r="C135" s="12"/>
      <c r="D135" s="24"/>
      <c r="E135" s="24"/>
      <c r="F135" s="24"/>
      <c r="G135" s="12"/>
    </row>
    <row r="136" spans="1:188">
      <c r="A136" s="97" t="s">
        <v>38</v>
      </c>
      <c r="B136" s="33"/>
      <c r="C136" s="12"/>
      <c r="D136" s="4"/>
      <c r="E136" s="44"/>
      <c r="F136" s="43"/>
      <c r="G136" s="12"/>
    </row>
    <row r="137" spans="1:188">
      <c r="A137" s="96" t="s">
        <v>11</v>
      </c>
      <c r="B137" s="33"/>
      <c r="C137" s="12"/>
      <c r="D137" s="4"/>
      <c r="E137" s="10"/>
      <c r="F137" s="22"/>
      <c r="G137" s="12"/>
    </row>
    <row r="138" spans="1:188">
      <c r="A138" s="96" t="s">
        <v>36</v>
      </c>
      <c r="B138" s="33"/>
      <c r="C138" s="12"/>
      <c r="D138" s="4"/>
      <c r="E138" s="4"/>
      <c r="F138" s="22"/>
      <c r="G138" s="12"/>
    </row>
    <row r="139" spans="1:188">
      <c r="A139" s="96" t="s">
        <v>9</v>
      </c>
      <c r="B139" s="33"/>
      <c r="C139" s="12"/>
      <c r="D139" s="4"/>
      <c r="E139" s="10"/>
      <c r="F139" s="22"/>
      <c r="G139" s="12"/>
    </row>
    <row r="140" spans="1:188">
      <c r="A140" s="96" t="s">
        <v>8</v>
      </c>
      <c r="B140" s="33"/>
      <c r="C140" s="12"/>
      <c r="D140" s="4"/>
      <c r="E140" s="10"/>
      <c r="F140" s="22"/>
      <c r="G140" s="12"/>
      <c r="GD140" s="61" t="s">
        <v>26</v>
      </c>
      <c r="GF140" s="61" t="s">
        <v>27</v>
      </c>
    </row>
    <row r="141" spans="1:188">
      <c r="A141" s="100"/>
      <c r="B141" s="33"/>
      <c r="C141" s="12"/>
      <c r="D141" s="4"/>
      <c r="E141" s="10"/>
      <c r="F141" s="22"/>
      <c r="G141" s="12"/>
    </row>
    <row r="142" spans="1:188">
      <c r="A142" s="97" t="s">
        <v>13</v>
      </c>
      <c r="B142" s="33"/>
      <c r="C142" s="2"/>
      <c r="D142" s="3"/>
      <c r="E142" s="5"/>
      <c r="F142" s="22"/>
      <c r="G142" s="2"/>
    </row>
    <row r="143" spans="1:188">
      <c r="A143" s="96" t="s">
        <v>8</v>
      </c>
      <c r="B143" s="33"/>
      <c r="C143" s="2"/>
      <c r="D143" s="3"/>
      <c r="E143" s="5"/>
      <c r="F143" s="22"/>
      <c r="G143" s="2"/>
    </row>
    <row r="144" spans="1:188">
      <c r="A144" s="96" t="s">
        <v>14</v>
      </c>
      <c r="B144" s="33"/>
      <c r="C144" s="12"/>
      <c r="D144" s="4"/>
      <c r="E144" s="10"/>
      <c r="F144" s="22"/>
      <c r="G144" s="12"/>
    </row>
    <row r="145" spans="1:7">
      <c r="A145" s="96" t="s">
        <v>9</v>
      </c>
      <c r="B145" s="33"/>
      <c r="C145" s="2"/>
      <c r="D145" s="3"/>
      <c r="E145" s="5"/>
      <c r="F145" s="22"/>
      <c r="G145" s="2"/>
    </row>
    <row r="146" spans="1:7">
      <c r="A146" s="96" t="s">
        <v>7</v>
      </c>
      <c r="B146" s="33"/>
      <c r="C146" s="2"/>
      <c r="D146" s="3"/>
      <c r="E146" s="5"/>
      <c r="F146" s="22"/>
      <c r="G146" s="2"/>
    </row>
    <row r="147" spans="1:7">
      <c r="A147" s="96" t="s">
        <v>6</v>
      </c>
      <c r="B147" s="33"/>
      <c r="C147" s="2"/>
      <c r="D147" s="3"/>
      <c r="E147" s="5"/>
      <c r="F147" s="22"/>
      <c r="G147" s="2"/>
    </row>
    <row r="148" spans="1:7">
      <c r="A148" s="96" t="s">
        <v>29</v>
      </c>
      <c r="B148" s="33"/>
      <c r="C148" s="12"/>
      <c r="D148" s="4"/>
      <c r="E148" s="10"/>
      <c r="F148" s="22"/>
      <c r="G148" s="12"/>
    </row>
    <row r="149" spans="1:7">
      <c r="A149" s="96" t="s">
        <v>28</v>
      </c>
      <c r="B149" s="33"/>
      <c r="C149" s="2"/>
      <c r="D149" s="3"/>
      <c r="E149" s="5"/>
      <c r="F149" s="22"/>
      <c r="G149" s="2"/>
    </row>
    <row r="150" spans="1:7">
      <c r="A150" s="96" t="s">
        <v>11</v>
      </c>
      <c r="B150" s="33"/>
      <c r="C150" s="12"/>
      <c r="D150" s="4"/>
      <c r="E150" s="10"/>
      <c r="F150" s="22"/>
      <c r="G150" s="12"/>
    </row>
    <row r="151" spans="1:7">
      <c r="A151" s="96" t="s">
        <v>10</v>
      </c>
      <c r="B151" s="12"/>
      <c r="C151" s="12"/>
      <c r="D151" s="4"/>
      <c r="E151" s="10"/>
      <c r="F151" s="22"/>
      <c r="G151" s="12"/>
    </row>
    <row r="152" spans="1:7">
      <c r="A152" s="96"/>
      <c r="B152" s="12"/>
      <c r="C152" s="12"/>
      <c r="D152" s="4"/>
      <c r="E152" s="10"/>
      <c r="F152" s="22"/>
      <c r="G152" s="12"/>
    </row>
    <row r="153" spans="1:7">
      <c r="A153" s="6"/>
      <c r="B153" s="8"/>
      <c r="C153" s="1"/>
      <c r="D153" s="1"/>
      <c r="E153" s="1"/>
      <c r="F153" s="101"/>
      <c r="G153" s="1"/>
    </row>
    <row r="154" spans="1:7">
      <c r="A154" s="6"/>
      <c r="B154" s="102"/>
      <c r="C154" s="103"/>
      <c r="D154" s="103"/>
      <c r="E154" s="1"/>
      <c r="F154" s="101"/>
      <c r="G154" s="1"/>
    </row>
    <row r="155" spans="1:7">
      <c r="A155" s="15" t="s">
        <v>19</v>
      </c>
      <c r="B155" s="8"/>
      <c r="C155" s="1"/>
      <c r="D155" s="1"/>
      <c r="E155" s="1"/>
      <c r="F155" s="101"/>
      <c r="G155" s="1"/>
    </row>
    <row r="156" spans="1:7">
      <c r="A156" s="6" t="s">
        <v>18</v>
      </c>
      <c r="B156" s="8"/>
      <c r="C156" s="1"/>
      <c r="D156" s="1"/>
      <c r="E156" s="1"/>
      <c r="F156" s="101"/>
      <c r="G156" s="1"/>
    </row>
    <row r="157" spans="1:7">
      <c r="A157" s="15" t="s">
        <v>20</v>
      </c>
      <c r="B157" s="8"/>
      <c r="C157" s="1"/>
      <c r="D157" s="1"/>
      <c r="E157" s="1"/>
      <c r="F157" s="101"/>
      <c r="G157" s="1"/>
    </row>
    <row r="158" spans="1:7">
      <c r="A158" s="15" t="s">
        <v>21</v>
      </c>
      <c r="B158" s="8"/>
      <c r="C158" s="1"/>
      <c r="D158" s="1"/>
      <c r="E158" s="1"/>
      <c r="F158" s="101"/>
      <c r="G158" s="1"/>
    </row>
    <row r="159" spans="1:7">
      <c r="A159" s="15" t="s">
        <v>65</v>
      </c>
      <c r="B159" s="8"/>
      <c r="C159" s="1"/>
      <c r="D159" s="1"/>
      <c r="E159" s="1"/>
      <c r="F159" s="101"/>
      <c r="G159" s="1"/>
    </row>
    <row r="160" spans="1:7">
      <c r="A160" s="6"/>
      <c r="B160" s="8"/>
      <c r="C160" s="1"/>
      <c r="D160" s="1"/>
      <c r="E160" s="1"/>
      <c r="F160" s="101"/>
      <c r="G160" s="1"/>
    </row>
    <row r="161" spans="2:7">
      <c r="B161" s="8"/>
      <c r="C161" s="1"/>
      <c r="D161" s="1"/>
      <c r="E161" s="1"/>
      <c r="F161" s="101"/>
      <c r="G161" s="1"/>
    </row>
    <row r="199" spans="3:3">
      <c r="C199" s="61">
        <f>30515-1655-8000</f>
        <v>20860</v>
      </c>
    </row>
    <row r="276" spans="2:3">
      <c r="B276" s="32"/>
      <c r="C276" s="13"/>
    </row>
    <row r="643" spans="8:8">
      <c r="H643" s="61" t="s">
        <v>26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A18"/>
  <sheetViews>
    <sheetView workbookViewId="0">
      <selection activeCell="F20" sqref="F20"/>
    </sheetView>
  </sheetViews>
  <sheetFormatPr baseColWidth="10" defaultRowHeight="15"/>
  <sheetData>
    <row r="2" spans="1:1">
      <c r="A2" s="61" t="s">
        <v>233</v>
      </c>
    </row>
    <row r="3" spans="1:1">
      <c r="A3" s="61" t="s">
        <v>234</v>
      </c>
    </row>
    <row r="4" spans="1:1">
      <c r="A4" s="61" t="s">
        <v>235</v>
      </c>
    </row>
    <row r="5" spans="1:1">
      <c r="A5" s="61" t="s">
        <v>236</v>
      </c>
    </row>
    <row r="6" spans="1:1" s="61" customFormat="1"/>
    <row r="7" spans="1:1">
      <c r="A7" s="61" t="s">
        <v>239</v>
      </c>
    </row>
    <row r="8" spans="1:1">
      <c r="A8" s="61" t="s">
        <v>237</v>
      </c>
    </row>
    <row r="9" spans="1:1">
      <c r="A9" s="61" t="s">
        <v>238</v>
      </c>
    </row>
    <row r="10" spans="1:1">
      <c r="A10" s="61" t="s">
        <v>240</v>
      </c>
    </row>
    <row r="11" spans="1:1">
      <c r="A11" s="61" t="s">
        <v>241</v>
      </c>
    </row>
    <row r="12" spans="1:1">
      <c r="A12" s="61" t="s">
        <v>242</v>
      </c>
    </row>
    <row r="13" spans="1:1">
      <c r="A13" s="61" t="s">
        <v>243</v>
      </c>
    </row>
    <row r="15" spans="1:1">
      <c r="A15" s="61" t="s">
        <v>244</v>
      </c>
    </row>
    <row r="16" spans="1:1">
      <c r="A16" s="61" t="s">
        <v>245</v>
      </c>
    </row>
    <row r="17" spans="1:1">
      <c r="A17" s="61" t="s">
        <v>246</v>
      </c>
    </row>
    <row r="18" spans="1:1">
      <c r="A18" s="61" t="s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1"/>
  <sheetViews>
    <sheetView topLeftCell="A7" workbookViewId="0">
      <selection activeCell="F35" sqref="F35"/>
    </sheetView>
  </sheetViews>
  <sheetFormatPr baseColWidth="10" defaultRowHeight="15"/>
  <cols>
    <col min="1" max="16384" width="11.42578125" style="61"/>
  </cols>
  <sheetData>
    <row r="1" spans="1:7">
      <c r="A1" s="9">
        <v>41177</v>
      </c>
      <c r="B1" s="61" t="s">
        <v>301</v>
      </c>
      <c r="C1" s="61" t="s">
        <v>302</v>
      </c>
      <c r="D1" s="61" t="s">
        <v>303</v>
      </c>
      <c r="E1" s="61" t="s">
        <v>304</v>
      </c>
      <c r="F1" s="61" t="s">
        <v>326</v>
      </c>
      <c r="G1" s="61">
        <v>1000</v>
      </c>
    </row>
    <row r="2" spans="1:7">
      <c r="A2" s="9">
        <v>41213</v>
      </c>
      <c r="B2" s="61" t="s">
        <v>301</v>
      </c>
      <c r="C2" s="61" t="s">
        <v>302</v>
      </c>
      <c r="D2" s="61" t="s">
        <v>303</v>
      </c>
      <c r="E2" s="61" t="s">
        <v>304</v>
      </c>
      <c r="F2" s="61" t="s">
        <v>327</v>
      </c>
      <c r="G2" s="61">
        <v>1000</v>
      </c>
    </row>
    <row r="3" spans="1:7">
      <c r="A3" s="9">
        <v>41248</v>
      </c>
      <c r="B3" s="61" t="s">
        <v>301</v>
      </c>
      <c r="C3" s="61" t="s">
        <v>302</v>
      </c>
      <c r="D3" s="61" t="s">
        <v>303</v>
      </c>
      <c r="E3" s="61" t="s">
        <v>304</v>
      </c>
      <c r="F3" s="61" t="s">
        <v>328</v>
      </c>
      <c r="G3" s="61">
        <v>500</v>
      </c>
    </row>
    <row r="4" spans="1:7">
      <c r="A4" s="9">
        <v>41278</v>
      </c>
      <c r="B4" s="61" t="s">
        <v>301</v>
      </c>
      <c r="C4" s="61" t="s">
        <v>302</v>
      </c>
      <c r="D4" s="61" t="s">
        <v>303</v>
      </c>
      <c r="E4" s="61" t="s">
        <v>304</v>
      </c>
      <c r="F4" s="61" t="s">
        <v>305</v>
      </c>
      <c r="G4" s="61">
        <v>500</v>
      </c>
    </row>
    <row r="5" spans="1:7">
      <c r="A5" s="119">
        <v>41412</v>
      </c>
      <c r="B5" s="117" t="s">
        <v>301</v>
      </c>
      <c r="C5" s="117" t="s">
        <v>302</v>
      </c>
      <c r="D5" s="117" t="s">
        <v>303</v>
      </c>
      <c r="E5" s="117" t="s">
        <v>304</v>
      </c>
      <c r="F5" s="117" t="s">
        <v>306</v>
      </c>
      <c r="G5" s="117">
        <v>2000</v>
      </c>
    </row>
    <row r="6" spans="1:7">
      <c r="A6" s="9">
        <v>41422</v>
      </c>
      <c r="B6" s="61" t="s">
        <v>301</v>
      </c>
      <c r="C6" s="61" t="s">
        <v>302</v>
      </c>
      <c r="D6" s="61" t="s">
        <v>303</v>
      </c>
      <c r="E6" s="61" t="s">
        <v>304</v>
      </c>
      <c r="F6" s="61" t="s">
        <v>329</v>
      </c>
      <c r="G6" s="120">
        <v>890</v>
      </c>
    </row>
    <row r="7" spans="1:7">
      <c r="A7" s="9">
        <v>41445</v>
      </c>
      <c r="B7" s="61" t="s">
        <v>301</v>
      </c>
      <c r="C7" s="61" t="s">
        <v>302</v>
      </c>
      <c r="D7" s="61" t="s">
        <v>303</v>
      </c>
      <c r="E7" s="61" t="s">
        <v>304</v>
      </c>
      <c r="F7" s="61" t="s">
        <v>307</v>
      </c>
      <c r="G7" s="120">
        <v>1110</v>
      </c>
    </row>
    <row r="8" spans="1:7">
      <c r="A8" s="9">
        <v>41473</v>
      </c>
      <c r="B8" s="61" t="s">
        <v>301</v>
      </c>
      <c r="C8" s="61" t="s">
        <v>302</v>
      </c>
      <c r="D8" s="61" t="s">
        <v>303</v>
      </c>
      <c r="E8" s="61" t="s">
        <v>304</v>
      </c>
      <c r="F8" s="61" t="s">
        <v>308</v>
      </c>
      <c r="G8" s="121">
        <v>1000</v>
      </c>
    </row>
    <row r="9" spans="1:7">
      <c r="A9" s="9">
        <v>41473</v>
      </c>
      <c r="B9" s="61" t="s">
        <v>301</v>
      </c>
      <c r="C9" s="61" t="s">
        <v>302</v>
      </c>
      <c r="D9" s="61" t="s">
        <v>303</v>
      </c>
      <c r="E9" s="61" t="s">
        <v>304</v>
      </c>
      <c r="F9" s="61" t="s">
        <v>308</v>
      </c>
      <c r="G9" s="121">
        <v>1000</v>
      </c>
    </row>
    <row r="10" spans="1:7">
      <c r="A10" s="9">
        <v>41505</v>
      </c>
      <c r="B10" s="61" t="s">
        <v>301</v>
      </c>
      <c r="C10" s="61" t="s">
        <v>302</v>
      </c>
      <c r="D10" s="61" t="s">
        <v>303</v>
      </c>
      <c r="E10" s="61" t="s">
        <v>304</v>
      </c>
      <c r="F10" s="61" t="s">
        <v>309</v>
      </c>
      <c r="G10" s="61">
        <v>2000</v>
      </c>
    </row>
    <row r="11" spans="1:7">
      <c r="A11" s="9">
        <v>41537</v>
      </c>
      <c r="B11" s="61" t="s">
        <v>301</v>
      </c>
      <c r="C11" s="61" t="s">
        <v>302</v>
      </c>
      <c r="D11" s="61" t="s">
        <v>303</v>
      </c>
      <c r="E11" s="61" t="s">
        <v>304</v>
      </c>
      <c r="F11" s="61" t="s">
        <v>310</v>
      </c>
      <c r="G11" s="122">
        <v>1000</v>
      </c>
    </row>
    <row r="12" spans="1:7">
      <c r="A12" s="9">
        <v>41537</v>
      </c>
      <c r="B12" s="61" t="s">
        <v>301</v>
      </c>
      <c r="C12" s="61" t="s">
        <v>302</v>
      </c>
      <c r="D12" s="61" t="s">
        <v>303</v>
      </c>
      <c r="E12" s="61" t="s">
        <v>304</v>
      </c>
      <c r="F12" s="61" t="s">
        <v>310</v>
      </c>
      <c r="G12" s="122">
        <v>1000</v>
      </c>
    </row>
    <row r="13" spans="1:7">
      <c r="A13" s="9">
        <v>41566</v>
      </c>
      <c r="B13" s="61" t="s">
        <v>301</v>
      </c>
      <c r="C13" s="61" t="s">
        <v>302</v>
      </c>
      <c r="D13" s="61" t="s">
        <v>303</v>
      </c>
      <c r="E13" s="61" t="s">
        <v>304</v>
      </c>
      <c r="F13" s="61" t="s">
        <v>311</v>
      </c>
      <c r="G13" s="88">
        <v>1000</v>
      </c>
    </row>
    <row r="14" spans="1:7">
      <c r="A14" s="9">
        <v>41566</v>
      </c>
      <c r="B14" s="61" t="s">
        <v>301</v>
      </c>
      <c r="C14" s="61" t="s">
        <v>302</v>
      </c>
      <c r="D14" s="61" t="s">
        <v>303</v>
      </c>
      <c r="E14" s="61" t="s">
        <v>304</v>
      </c>
      <c r="F14" s="61" t="s">
        <v>311</v>
      </c>
      <c r="G14" s="88">
        <v>1000</v>
      </c>
    </row>
    <row r="15" spans="1:7">
      <c r="A15" s="9">
        <v>41600</v>
      </c>
      <c r="B15" s="61" t="s">
        <v>301</v>
      </c>
      <c r="C15" s="61" t="s">
        <v>302</v>
      </c>
      <c r="D15" s="61" t="s">
        <v>303</v>
      </c>
      <c r="E15" s="61" t="s">
        <v>304</v>
      </c>
      <c r="F15" s="61" t="s">
        <v>312</v>
      </c>
      <c r="G15" s="61">
        <v>2000</v>
      </c>
    </row>
    <row r="16" spans="1:7">
      <c r="A16" s="9">
        <v>41629</v>
      </c>
      <c r="B16" s="61" t="s">
        <v>301</v>
      </c>
      <c r="C16" s="61" t="s">
        <v>302</v>
      </c>
      <c r="D16" s="61" t="s">
        <v>303</v>
      </c>
      <c r="E16" s="61" t="s">
        <v>304</v>
      </c>
      <c r="F16" s="61" t="s">
        <v>313</v>
      </c>
      <c r="G16" s="61">
        <v>2000</v>
      </c>
    </row>
    <row r="17" spans="1:7">
      <c r="A17" s="9">
        <v>41657</v>
      </c>
      <c r="B17" s="61" t="s">
        <v>301</v>
      </c>
      <c r="C17" s="61" t="s">
        <v>302</v>
      </c>
      <c r="D17" s="61" t="s">
        <v>303</v>
      </c>
      <c r="E17" s="61" t="s">
        <v>304</v>
      </c>
      <c r="F17" s="61" t="s">
        <v>314</v>
      </c>
      <c r="G17" s="61">
        <v>2000</v>
      </c>
    </row>
    <row r="18" spans="1:7">
      <c r="A18" s="9">
        <v>41692</v>
      </c>
      <c r="B18" s="61" t="s">
        <v>301</v>
      </c>
      <c r="C18" s="61" t="s">
        <v>302</v>
      </c>
      <c r="D18" s="61" t="s">
        <v>303</v>
      </c>
      <c r="E18" s="61" t="s">
        <v>304</v>
      </c>
      <c r="F18" s="61" t="s">
        <v>330</v>
      </c>
      <c r="G18" s="61">
        <v>2000</v>
      </c>
    </row>
    <row r="19" spans="1:7">
      <c r="A19" s="9">
        <v>41719</v>
      </c>
      <c r="B19" s="61" t="s">
        <v>301</v>
      </c>
      <c r="C19" s="61" t="s">
        <v>302</v>
      </c>
      <c r="D19" s="61" t="s">
        <v>303</v>
      </c>
      <c r="E19" s="61" t="s">
        <v>304</v>
      </c>
      <c r="F19" s="61" t="s">
        <v>315</v>
      </c>
      <c r="G19" s="61">
        <v>2000</v>
      </c>
    </row>
    <row r="20" spans="1:7">
      <c r="A20" s="9">
        <v>41757</v>
      </c>
      <c r="B20" s="61" t="s">
        <v>301</v>
      </c>
      <c r="C20" s="61" t="s">
        <v>302</v>
      </c>
      <c r="D20" s="61" t="s">
        <v>303</v>
      </c>
      <c r="E20" s="61" t="s">
        <v>304</v>
      </c>
      <c r="F20" s="61" t="s">
        <v>331</v>
      </c>
      <c r="G20" s="61">
        <v>2000</v>
      </c>
    </row>
    <row r="21" spans="1:7">
      <c r="A21" s="9">
        <v>41778</v>
      </c>
      <c r="B21" s="61" t="s">
        <v>301</v>
      </c>
      <c r="C21" s="61" t="s">
        <v>302</v>
      </c>
      <c r="D21" s="61" t="s">
        <v>303</v>
      </c>
      <c r="E21" s="61" t="s">
        <v>304</v>
      </c>
      <c r="F21" s="61" t="s">
        <v>332</v>
      </c>
      <c r="G21" s="61">
        <v>2000</v>
      </c>
    </row>
    <row r="22" spans="1:7">
      <c r="A22" s="9">
        <v>41810</v>
      </c>
      <c r="B22" s="61" t="s">
        <v>301</v>
      </c>
      <c r="C22" s="61" t="s">
        <v>302</v>
      </c>
      <c r="D22" s="61" t="s">
        <v>303</v>
      </c>
      <c r="E22" s="61" t="s">
        <v>304</v>
      </c>
      <c r="F22" s="61" t="s">
        <v>333</v>
      </c>
      <c r="G22" s="61">
        <v>2000</v>
      </c>
    </row>
    <row r="23" spans="1:7">
      <c r="A23" s="9">
        <v>41842</v>
      </c>
      <c r="B23" s="61" t="s">
        <v>301</v>
      </c>
      <c r="C23" s="61" t="s">
        <v>302</v>
      </c>
      <c r="D23" s="61" t="s">
        <v>303</v>
      </c>
      <c r="E23" s="61" t="s">
        <v>304</v>
      </c>
      <c r="F23" s="61" t="s">
        <v>316</v>
      </c>
      <c r="G23" s="123">
        <v>1000</v>
      </c>
    </row>
    <row r="24" spans="1:7">
      <c r="A24" s="9">
        <v>41842</v>
      </c>
      <c r="B24" s="61" t="s">
        <v>301</v>
      </c>
      <c r="C24" s="61" t="s">
        <v>302</v>
      </c>
      <c r="D24" s="61" t="s">
        <v>303</v>
      </c>
      <c r="E24" s="61" t="s">
        <v>304</v>
      </c>
      <c r="F24" s="61" t="s">
        <v>316</v>
      </c>
      <c r="G24" s="123">
        <v>1000</v>
      </c>
    </row>
    <row r="25" spans="1:7">
      <c r="A25" s="9">
        <v>41881</v>
      </c>
      <c r="B25" s="61" t="s">
        <v>301</v>
      </c>
      <c r="C25" s="61" t="s">
        <v>302</v>
      </c>
      <c r="D25" s="61" t="s">
        <v>303</v>
      </c>
      <c r="E25" s="61" t="s">
        <v>304</v>
      </c>
      <c r="F25" s="61" t="s">
        <v>317</v>
      </c>
      <c r="G25" s="61">
        <v>2000</v>
      </c>
    </row>
    <row r="26" spans="1:7">
      <c r="A26" s="9">
        <v>41909</v>
      </c>
      <c r="B26" s="61" t="s">
        <v>301</v>
      </c>
      <c r="C26" s="61" t="s">
        <v>302</v>
      </c>
      <c r="D26" s="61" t="s">
        <v>303</v>
      </c>
      <c r="E26" s="61" t="s">
        <v>304</v>
      </c>
      <c r="F26" s="61" t="s">
        <v>334</v>
      </c>
      <c r="G26" s="61">
        <v>2000</v>
      </c>
    </row>
    <row r="27" spans="1:7">
      <c r="A27" s="9">
        <v>41930</v>
      </c>
      <c r="B27" s="61" t="s">
        <v>301</v>
      </c>
      <c r="C27" s="61" t="s">
        <v>302</v>
      </c>
      <c r="D27" s="61" t="s">
        <v>303</v>
      </c>
      <c r="E27" s="61" t="s">
        <v>304</v>
      </c>
      <c r="F27" s="61" t="s">
        <v>318</v>
      </c>
      <c r="G27" s="61">
        <v>2000</v>
      </c>
    </row>
    <row r="28" spans="1:7">
      <c r="A28" s="9">
        <v>41970</v>
      </c>
      <c r="B28" s="61" t="s">
        <v>301</v>
      </c>
      <c r="C28" s="61" t="s">
        <v>302</v>
      </c>
      <c r="D28" s="61" t="s">
        <v>303</v>
      </c>
      <c r="E28" s="61" t="s">
        <v>304</v>
      </c>
      <c r="F28" s="61" t="s">
        <v>335</v>
      </c>
      <c r="G28" s="61">
        <v>2000</v>
      </c>
    </row>
    <row r="29" spans="1:7">
      <c r="A29" s="9">
        <v>41995</v>
      </c>
      <c r="B29" s="61" t="s">
        <v>301</v>
      </c>
      <c r="C29" s="61" t="s">
        <v>302</v>
      </c>
      <c r="D29" s="61" t="s">
        <v>303</v>
      </c>
      <c r="E29" s="61" t="s">
        <v>304</v>
      </c>
      <c r="F29" s="61" t="s">
        <v>319</v>
      </c>
      <c r="G29" s="61">
        <v>2000</v>
      </c>
    </row>
    <row r="30" spans="1:7">
      <c r="A30" s="9">
        <v>42024</v>
      </c>
      <c r="B30" s="61" t="s">
        <v>301</v>
      </c>
      <c r="C30" s="61" t="s">
        <v>302</v>
      </c>
      <c r="D30" s="61" t="s">
        <v>303</v>
      </c>
      <c r="E30" s="61" t="s">
        <v>304</v>
      </c>
      <c r="F30" s="61" t="s">
        <v>320</v>
      </c>
      <c r="G30" s="61">
        <v>2000</v>
      </c>
    </row>
    <row r="31" spans="1:7">
      <c r="A31" s="126"/>
      <c r="B31" s="127"/>
      <c r="C31" s="127"/>
      <c r="D31" s="127"/>
      <c r="E31" s="127"/>
      <c r="F31" s="127" t="s">
        <v>336</v>
      </c>
      <c r="G31" s="127"/>
    </row>
    <row r="32" spans="1:7">
      <c r="A32" s="9">
        <v>42086</v>
      </c>
      <c r="B32" s="61" t="s">
        <v>301</v>
      </c>
      <c r="C32" s="61" t="s">
        <v>302</v>
      </c>
      <c r="D32" s="61" t="s">
        <v>303</v>
      </c>
      <c r="E32" s="61" t="s">
        <v>304</v>
      </c>
      <c r="F32" s="61" t="s">
        <v>321</v>
      </c>
      <c r="G32" s="61">
        <v>2300</v>
      </c>
    </row>
    <row r="33" spans="1:7">
      <c r="A33" s="126"/>
      <c r="B33" s="127"/>
      <c r="C33" s="127"/>
      <c r="D33" s="127"/>
      <c r="E33" s="127"/>
      <c r="F33" s="127" t="s">
        <v>337</v>
      </c>
      <c r="G33" s="127"/>
    </row>
    <row r="34" spans="1:7">
      <c r="A34" s="126"/>
      <c r="B34" s="127"/>
      <c r="C34" s="127"/>
      <c r="D34" s="127"/>
      <c r="E34" s="127"/>
      <c r="F34" s="127" t="s">
        <v>338</v>
      </c>
      <c r="G34" s="127"/>
    </row>
    <row r="35" spans="1:7">
      <c r="A35" s="9">
        <v>42179</v>
      </c>
      <c r="B35" s="61" t="s">
        <v>301</v>
      </c>
      <c r="C35" s="61" t="s">
        <v>302</v>
      </c>
      <c r="D35" s="61" t="s">
        <v>303</v>
      </c>
      <c r="E35" s="61" t="s">
        <v>304</v>
      </c>
      <c r="F35" s="61" t="s">
        <v>322</v>
      </c>
      <c r="G35" s="124">
        <v>1150</v>
      </c>
    </row>
    <row r="36" spans="1:7">
      <c r="A36" s="9">
        <v>42179</v>
      </c>
      <c r="B36" s="61" t="s">
        <v>301</v>
      </c>
      <c r="C36" s="61" t="s">
        <v>302</v>
      </c>
      <c r="D36" s="61" t="s">
        <v>303</v>
      </c>
      <c r="E36" s="61" t="s">
        <v>304</v>
      </c>
      <c r="F36" s="61" t="s">
        <v>322</v>
      </c>
      <c r="G36" s="124">
        <v>1150</v>
      </c>
    </row>
    <row r="37" spans="1:7">
      <c r="A37" s="9">
        <v>42213</v>
      </c>
      <c r="B37" s="61" t="s">
        <v>301</v>
      </c>
      <c r="C37" s="61" t="s">
        <v>302</v>
      </c>
      <c r="D37" s="61" t="s">
        <v>303</v>
      </c>
      <c r="E37" s="61" t="s">
        <v>304</v>
      </c>
      <c r="F37" s="61" t="s">
        <v>323</v>
      </c>
      <c r="G37" s="125">
        <v>1150</v>
      </c>
    </row>
    <row r="38" spans="1:7">
      <c r="A38" s="9">
        <v>42213</v>
      </c>
      <c r="B38" s="61" t="s">
        <v>301</v>
      </c>
      <c r="C38" s="61" t="s">
        <v>302</v>
      </c>
      <c r="D38" s="61" t="s">
        <v>303</v>
      </c>
      <c r="E38" s="61" t="s">
        <v>304</v>
      </c>
      <c r="F38" s="61" t="s">
        <v>323</v>
      </c>
      <c r="G38" s="125">
        <v>1150</v>
      </c>
    </row>
    <row r="39" spans="1:7">
      <c r="A39" s="9">
        <v>42233</v>
      </c>
      <c r="B39" s="61" t="s">
        <v>301</v>
      </c>
      <c r="C39" s="61" t="s">
        <v>302</v>
      </c>
      <c r="D39" s="61" t="s">
        <v>303</v>
      </c>
      <c r="E39" s="61" t="s">
        <v>304</v>
      </c>
      <c r="F39" s="61" t="s">
        <v>324</v>
      </c>
      <c r="G39" s="117">
        <v>1150</v>
      </c>
    </row>
    <row r="40" spans="1:7">
      <c r="A40" s="9">
        <v>42233</v>
      </c>
      <c r="B40" s="61" t="s">
        <v>301</v>
      </c>
      <c r="C40" s="61" t="s">
        <v>302</v>
      </c>
      <c r="D40" s="61" t="s">
        <v>303</v>
      </c>
      <c r="E40" s="61" t="s">
        <v>304</v>
      </c>
      <c r="F40" s="61" t="s">
        <v>324</v>
      </c>
      <c r="G40" s="117">
        <v>1150</v>
      </c>
    </row>
    <row r="41" spans="1:7">
      <c r="A41" s="9">
        <v>42237</v>
      </c>
      <c r="B41" s="61" t="s">
        <v>301</v>
      </c>
      <c r="C41" s="61" t="s">
        <v>302</v>
      </c>
      <c r="D41" s="61" t="s">
        <v>303</v>
      </c>
      <c r="E41" s="61" t="s">
        <v>304</v>
      </c>
      <c r="F41" s="61" t="s">
        <v>325</v>
      </c>
      <c r="G41" s="61">
        <v>1000</v>
      </c>
    </row>
  </sheetData>
  <sortState ref="A1:G37">
    <sortCondition ref="A1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NOTAS VILLA</vt:lpstr>
      <vt:lpstr>NOTAS ATRASADAS</vt:lpstr>
      <vt:lpstr>AUDIO</vt:lpstr>
      <vt:lpstr>Hoja1</vt:lpstr>
      <vt:lpstr>COMPRAS</vt:lpstr>
      <vt:lpstr>AUDIO (2)</vt:lpstr>
      <vt:lpstr>PENDIENTE</vt:lpstr>
      <vt:lpstr>Hoja2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hogar</dc:creator>
  <cp:lastModifiedBy>*</cp:lastModifiedBy>
  <cp:lastPrinted>2025-12-20T05:48:58Z</cp:lastPrinted>
  <dcterms:created xsi:type="dcterms:W3CDTF">2011-03-30T16:29:19Z</dcterms:created>
  <dcterms:modified xsi:type="dcterms:W3CDTF">2025-12-23T16:52:31Z</dcterms:modified>
</cp:coreProperties>
</file>