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20" yWindow="105" windowWidth="15135" windowHeight="7365" activeTab="1"/>
  </bookViews>
  <sheets>
    <sheet name="CEREMONIA" sheetId="3" r:id="rId1"/>
    <sheet name="PELUCHE" sheetId="4" r:id="rId2"/>
  </sheets>
  <externalReferences>
    <externalReference r:id="rId3"/>
  </externalReferences>
  <definedNames>
    <definedName name="_xlnm._FilterDatabase" localSheetId="1" hidden="1">PELUCHE!$B$28:$G$36</definedName>
    <definedName name="_xlnm.Print_Area" localSheetId="0">CEREMONIA!$A$1:$G$56</definedName>
    <definedName name="_xlnm.Print_Area" localSheetId="1">PELUCHE!$B$1:$G$62</definedName>
  </definedNames>
  <calcPr calcId="125725"/>
</workbook>
</file>

<file path=xl/calcChain.xml><?xml version="1.0" encoding="utf-8"?>
<calcChain xmlns="http://schemas.openxmlformats.org/spreadsheetml/2006/main">
  <c r="B47" i="4"/>
  <c r="C12" i="3" l="1"/>
  <c r="C11"/>
  <c r="C10"/>
  <c r="C9"/>
  <c r="C8"/>
  <c r="C7"/>
  <c r="D54" i="4" l="1"/>
  <c r="B54" l="1"/>
  <c r="F56" s="1"/>
  <c r="G49" l="1"/>
  <c r="B54" i="3" l="1"/>
  <c r="B53" l="1"/>
  <c r="B42" l="1"/>
  <c r="G34" l="1"/>
  <c r="G33"/>
  <c r="K32" l="1"/>
  <c r="G32"/>
  <c r="G31"/>
  <c r="G30"/>
  <c r="G29"/>
  <c r="G28"/>
  <c r="G27"/>
  <c r="G26"/>
  <c r="G25"/>
  <c r="G24"/>
  <c r="G23"/>
  <c r="G22"/>
  <c r="G21"/>
  <c r="G20"/>
  <c r="G19" l="1"/>
  <c r="G18"/>
  <c r="G17"/>
  <c r="G42" s="1"/>
  <c r="G45" s="1"/>
  <c r="J13" l="1"/>
  <c r="G5" l="1"/>
  <c r="D47" l="1"/>
  <c r="A47"/>
  <c r="D49" s="1"/>
</calcChain>
</file>

<file path=xl/sharedStrings.xml><?xml version="1.0" encoding="utf-8"?>
<sst xmlns="http://schemas.openxmlformats.org/spreadsheetml/2006/main" count="143" uniqueCount="71">
  <si>
    <t>FOLIO</t>
  </si>
  <si>
    <t>PEDIDO REMISIÓN</t>
  </si>
  <si>
    <t>NO. CLIENTE:</t>
  </si>
  <si>
    <t>NOMBRE:</t>
  </si>
  <si>
    <t>JOSE GARCIA</t>
  </si>
  <si>
    <t>CALLE</t>
  </si>
  <si>
    <t>COLONIA</t>
  </si>
  <si>
    <t>POBLACION</t>
  </si>
  <si>
    <t>C. P.</t>
  </si>
  <si>
    <t>TELÉFONO:</t>
  </si>
  <si>
    <t>VENDEDOR:</t>
  </si>
  <si>
    <t>PEDIDO</t>
  </si>
  <si>
    <t>CLAVE</t>
  </si>
  <si>
    <t>DESCRIPCIÓN</t>
  </si>
  <si>
    <t xml:space="preserve">Precio Unitario </t>
  </si>
  <si>
    <t>TOTAL</t>
  </si>
  <si>
    <t>Artículos fueron surtidos</t>
  </si>
  <si>
    <t>Lugar de expedicion</t>
  </si>
  <si>
    <t>PAGARE</t>
  </si>
  <si>
    <t>No.</t>
  </si>
  <si>
    <t>BUENO POR $</t>
  </si>
  <si>
    <t>a la orden de:</t>
  </si>
  <si>
    <t>MARIA TERESA RAZO VALENCIA</t>
  </si>
  <si>
    <t xml:space="preserve">La cantidad de </t>
  </si>
  <si>
    <r>
      <t>Valor recibido a mi (nuestra) entera satisfacción. Este pagaré forma parte de una serie numerada del 1 al</t>
    </r>
    <r>
      <rPr>
        <u/>
        <sz val="7.5"/>
        <rFont val="Arial"/>
        <family val="2"/>
      </rPr>
      <t xml:space="preserve">  1  </t>
    </r>
    <r>
      <rPr>
        <sz val="7.5"/>
        <rFont val="Arial"/>
        <family val="2"/>
      </rPr>
      <t>y todos están sujetos a la condición de que al no pagarse cualquiera de ellos a su vencimiento, serán exigibles todos los que le sigan en número, además de los ya vencidos, desde la fecha de vencimiento de este documento hasta el día de su liquidación, causará intereses moratorios al tipo de 3% mensual, pagadero en esta cuidad juntamente con el principal.</t>
    </r>
  </si>
  <si>
    <t>Nombre:</t>
  </si>
  <si>
    <t>Acepto(amos) y pagare(mos) a su vencimiento.</t>
  </si>
  <si>
    <t>Dirección.</t>
  </si>
  <si>
    <t>Firma</t>
  </si>
  <si>
    <t xml:space="preserve"> (427) 272-6715   CEL. (427) 112-0720</t>
  </si>
  <si>
    <t>ROPA Y ACCESORIOS PARA CEREMONIA</t>
  </si>
  <si>
    <t xml:space="preserve">MUÑECOS DE PELUCHE, GLOBOS, REGALOS </t>
  </si>
  <si>
    <t>Y ROPA PARA BABY SHOWER</t>
  </si>
  <si>
    <t>Lugar de expedición</t>
  </si>
  <si>
    <t xml:space="preserve">Debe(mos) y pagare(mos) incondicionalmente sin pretexto este pagaré en el lugar y fecha citadas donde elija el tenedor el día de su vencimiento </t>
  </si>
  <si>
    <t>1</t>
  </si>
  <si>
    <t>.</t>
  </si>
  <si>
    <t>………………………………………………………………………………………………………………………………………………………..</t>
  </si>
  <si>
    <t>CODIGO</t>
  </si>
  <si>
    <t>IVA</t>
  </si>
  <si>
    <t>BLANCO</t>
  </si>
  <si>
    <t>TALLA</t>
  </si>
  <si>
    <t>COLOR</t>
  </si>
  <si>
    <t>P</t>
  </si>
  <si>
    <t>CM013-2</t>
  </si>
  <si>
    <t>COORDINADO NIÑO 8-10 LISO</t>
  </si>
  <si>
    <t>8</t>
  </si>
  <si>
    <t>10</t>
  </si>
  <si>
    <t>CM013-3</t>
  </si>
  <si>
    <t>COORDINADO NIÑO 12-16 LISO</t>
  </si>
  <si>
    <t>12</t>
  </si>
  <si>
    <t>14</t>
  </si>
  <si>
    <t>CM003-2</t>
  </si>
  <si>
    <t>COORDINADO NIÑA 8-12 BORDADO</t>
  </si>
  <si>
    <t>CM003-3</t>
  </si>
  <si>
    <t>COORDINADO NIÑA CH-MD-GD BORDADO</t>
  </si>
  <si>
    <t>CM001</t>
  </si>
  <si>
    <t>PAÑALERO MANGA CORTA 1-3 BORDADO</t>
  </si>
  <si>
    <t>HUESO</t>
  </si>
  <si>
    <t>CM002</t>
  </si>
  <si>
    <t>PAÑALERO MANGA LARGA 1-3 BORDADO</t>
  </si>
  <si>
    <t>CM039-2</t>
  </si>
  <si>
    <t>CALCETIN LISO 0-0 / 0-2 / 1-3</t>
  </si>
  <si>
    <t>CM039-3</t>
  </si>
  <si>
    <t>CALCETIN LISO 3-5 / 6-8 / 9-12</t>
  </si>
  <si>
    <t>0-2</t>
  </si>
  <si>
    <t>1-3</t>
  </si>
  <si>
    <t>9-12</t>
  </si>
  <si>
    <t>(DOCE MIL TRESCIENTOS OCHENTA Y UN PESOS 00/100 M.N.)</t>
  </si>
  <si>
    <t>R-2077</t>
  </si>
  <si>
    <t>I-2573</t>
  </si>
</sst>
</file>

<file path=xl/styles.xml><?xml version="1.0" encoding="utf-8"?>
<styleSheet xmlns="http://schemas.openxmlformats.org/spreadsheetml/2006/main">
  <numFmts count="9">
    <numFmt numFmtId="8" formatCode="&quot;$&quot;#,##0.00;[Red]\-&quot;$&quot;#,##0.00"/>
    <numFmt numFmtId="41" formatCode="_-* #,##0_-;\-* #,##0_-;_-* &quot;-&quot;_-;_-@_-"/>
    <numFmt numFmtId="44" formatCode="_-&quot;$&quot;* #,##0.00_-;\-&quot;$&quot;* #,##0.00_-;_-&quot;$&quot;* &quot;-&quot;??_-;_-@_-"/>
    <numFmt numFmtId="43" formatCode="_-* #,##0.00_-;\-* #,##0.00_-;_-* &quot;-&quot;??_-;_-@_-"/>
    <numFmt numFmtId="164" formatCode="dd/mmm/yyyy"/>
    <numFmt numFmtId="165" formatCode="&quot;$&quot;#,##0.00"/>
    <numFmt numFmtId="166" formatCode="dd/mm/yy;@"/>
    <numFmt numFmtId="167" formatCode="_-* #,##0.00_-;\-* #,##0.00_-;_-* &quot;-&quot;_-;_-@_-"/>
    <numFmt numFmtId="168" formatCode="0.000000000000000"/>
  </numFmts>
  <fonts count="46">
    <font>
      <sz val="11"/>
      <color theme="1"/>
      <name val="Calibri"/>
      <family val="2"/>
      <scheme val="minor"/>
    </font>
    <font>
      <sz val="11"/>
      <color theme="1"/>
      <name val="Calibri"/>
      <family val="2"/>
      <scheme val="minor"/>
    </font>
    <font>
      <sz val="8"/>
      <name val="Arial"/>
      <family val="2"/>
    </font>
    <font>
      <sz val="18"/>
      <color indexed="8"/>
      <name val="Arial Black"/>
      <family val="2"/>
    </font>
    <font>
      <b/>
      <sz val="10"/>
      <color indexed="10"/>
      <name val="Arial"/>
      <family val="2"/>
    </font>
    <font>
      <b/>
      <sz val="10"/>
      <color indexed="8"/>
      <name val="Dungeon"/>
      <family val="5"/>
    </font>
    <font>
      <sz val="10"/>
      <name val="Arial"/>
      <family val="2"/>
    </font>
    <font>
      <b/>
      <sz val="8"/>
      <name val="Arial"/>
      <family val="2"/>
    </font>
    <font>
      <sz val="9"/>
      <name val="Arial"/>
      <family val="2"/>
    </font>
    <font>
      <b/>
      <sz val="9"/>
      <name val="Arial"/>
      <family val="2"/>
    </font>
    <font>
      <sz val="9"/>
      <color indexed="9"/>
      <name val="Arial"/>
      <family val="2"/>
    </font>
    <font>
      <b/>
      <sz val="10"/>
      <name val="Arial"/>
      <family val="2"/>
    </font>
    <font>
      <sz val="7"/>
      <name val="Arial"/>
      <family val="2"/>
    </font>
    <font>
      <sz val="7"/>
      <color indexed="9"/>
      <name val="Arial"/>
      <family val="2"/>
    </font>
    <font>
      <sz val="7.5"/>
      <name val="Arial"/>
      <family val="2"/>
    </font>
    <font>
      <u/>
      <sz val="7.5"/>
      <name val="Arial"/>
      <family val="2"/>
    </font>
    <font>
      <b/>
      <sz val="10"/>
      <color indexed="8"/>
      <name val="Verdana"/>
      <family val="2"/>
    </font>
    <font>
      <sz val="10"/>
      <name val="Times New Roman"/>
      <family val="1"/>
    </font>
    <font>
      <b/>
      <sz val="30"/>
      <color indexed="8"/>
      <name val="Magneto"/>
      <family val="5"/>
    </font>
    <font>
      <sz val="25"/>
      <color indexed="8"/>
      <name val="Calibri"/>
      <family val="2"/>
      <scheme val="minor"/>
    </font>
    <font>
      <b/>
      <sz val="10"/>
      <name val="BakerSignet BT"/>
    </font>
    <font>
      <sz val="10"/>
      <name val="BakerSignet BT"/>
    </font>
    <font>
      <sz val="10"/>
      <color indexed="8"/>
      <name val="Berlin Sans FB"/>
      <family val="2"/>
    </font>
    <font>
      <b/>
      <sz val="11"/>
      <color theme="1"/>
      <name val="Calibri"/>
      <family val="2"/>
      <scheme val="minor"/>
    </font>
    <font>
      <sz val="12"/>
      <name val="宋体"/>
      <family val="3"/>
      <charset val="134"/>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0"/>
      <color indexed="8"/>
      <name val="MS Sans Serif"/>
      <family val="2"/>
    </font>
    <font>
      <sz val="12"/>
      <name val="宋体"/>
      <charset val="134"/>
    </font>
    <font>
      <b/>
      <sz val="7.5"/>
      <name val="Arial"/>
      <family val="2"/>
    </font>
    <font>
      <sz val="9"/>
      <color theme="1"/>
      <name val="Arial Rounded MT Bold"/>
      <family val="2"/>
    </font>
    <font>
      <sz val="8"/>
      <color theme="1"/>
      <name val="Arial Rounded MT Bold"/>
      <family val="2"/>
    </font>
    <font>
      <sz val="10"/>
      <name val="Arial"/>
      <family val="2"/>
    </font>
  </fonts>
  <fills count="36">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2D050"/>
        <bgColor indexed="64"/>
      </patternFill>
    </fill>
  </fills>
  <borders count="48">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bottom/>
      <diagonal/>
    </border>
    <border>
      <left style="medium">
        <color indexed="64"/>
      </left>
      <right/>
      <top/>
      <bottom/>
      <diagonal/>
    </border>
    <border>
      <left style="thin">
        <color indexed="64"/>
      </left>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s>
  <cellStyleXfs count="112">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6" fillId="0" borderId="0"/>
    <xf numFmtId="0" fontId="24" fillId="0" borderId="0">
      <alignment vertical="center"/>
    </xf>
    <xf numFmtId="0" fontId="25" fillId="0" borderId="0" applyNumberFormat="0" applyFill="0" applyBorder="0" applyAlignment="0" applyProtection="0"/>
    <xf numFmtId="0" fontId="26" fillId="0" borderId="25" applyNumberFormat="0" applyFill="0" applyAlignment="0" applyProtection="0"/>
    <xf numFmtId="0" fontId="27" fillId="0" borderId="26" applyNumberFormat="0" applyFill="0" applyAlignment="0" applyProtection="0"/>
    <xf numFmtId="0" fontId="28" fillId="0" borderId="27" applyNumberFormat="0" applyFill="0" applyAlignment="0" applyProtection="0"/>
    <xf numFmtId="0" fontId="28" fillId="0" borderId="0" applyNumberFormat="0" applyFill="0" applyBorder="0" applyAlignment="0" applyProtection="0"/>
    <xf numFmtId="0" fontId="29" fillId="4" borderId="0" applyNumberFormat="0" applyBorder="0" applyAlignment="0" applyProtection="0"/>
    <xf numFmtId="0" fontId="30" fillId="5" borderId="0" applyNumberFormat="0" applyBorder="0" applyAlignment="0" applyProtection="0"/>
    <xf numFmtId="0" fontId="31" fillId="6" borderId="0" applyNumberFormat="0" applyBorder="0" applyAlignment="0" applyProtection="0"/>
    <xf numFmtId="0" fontId="32" fillId="7" borderId="28" applyNumberFormat="0" applyAlignment="0" applyProtection="0"/>
    <xf numFmtId="0" fontId="33" fillId="8" borderId="29" applyNumberFormat="0" applyAlignment="0" applyProtection="0"/>
    <xf numFmtId="0" fontId="34" fillId="8" borderId="28" applyNumberFormat="0" applyAlignment="0" applyProtection="0"/>
    <xf numFmtId="0" fontId="35" fillId="0" borderId="30" applyNumberFormat="0" applyFill="0" applyAlignment="0" applyProtection="0"/>
    <xf numFmtId="0" fontId="36" fillId="9" borderId="31" applyNumberFormat="0" applyAlignment="0" applyProtection="0"/>
    <xf numFmtId="0" fontId="37" fillId="0" borderId="0" applyNumberFormat="0" applyFill="0" applyBorder="0" applyAlignment="0" applyProtection="0"/>
    <xf numFmtId="0" fontId="38" fillId="0" borderId="0" applyNumberFormat="0" applyFill="0" applyBorder="0" applyAlignment="0" applyProtection="0"/>
    <xf numFmtId="0" fontId="23" fillId="0" borderId="33" applyNumberFormat="0" applyFill="0" applyAlignment="0" applyProtection="0"/>
    <xf numFmtId="0" fontId="39"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39" fillId="14" borderId="0" applyNumberFormat="0" applyBorder="0" applyAlignment="0" applyProtection="0"/>
    <xf numFmtId="0" fontId="39"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39" fillId="18" borderId="0" applyNumberFormat="0" applyBorder="0" applyAlignment="0" applyProtection="0"/>
    <xf numFmtId="0" fontId="39"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39" fillId="22" borderId="0" applyNumberFormat="0" applyBorder="0" applyAlignment="0" applyProtection="0"/>
    <xf numFmtId="0" fontId="39"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39" fillId="26" borderId="0" applyNumberFormat="0" applyBorder="0" applyAlignment="0" applyProtection="0"/>
    <xf numFmtId="0" fontId="39"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39" fillId="30" borderId="0" applyNumberFormat="0" applyBorder="0" applyAlignment="0" applyProtection="0"/>
    <xf numFmtId="0" fontId="39"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39" fillId="34" borderId="0" applyNumberFormat="0" applyBorder="0" applyAlignment="0" applyProtection="0"/>
    <xf numFmtId="0" fontId="40" fillId="0" borderId="0"/>
    <xf numFmtId="0" fontId="41" fillId="0" borderId="0"/>
    <xf numFmtId="0" fontId="1" fillId="0" borderId="0"/>
    <xf numFmtId="0" fontId="1" fillId="0" borderId="0"/>
    <xf numFmtId="0" fontId="41" fillId="0" borderId="0"/>
    <xf numFmtId="0" fontId="1" fillId="0" borderId="0"/>
    <xf numFmtId="0" fontId="1" fillId="0" borderId="0"/>
    <xf numFmtId="0" fontId="41" fillId="0" borderId="0"/>
    <xf numFmtId="0" fontId="1" fillId="0" borderId="0"/>
    <xf numFmtId="0" fontId="1" fillId="0" borderId="0"/>
    <xf numFmtId="0" fontId="41" fillId="0" borderId="0"/>
    <xf numFmtId="0" fontId="1" fillId="0" borderId="0"/>
    <xf numFmtId="0" fontId="1" fillId="0" borderId="0"/>
    <xf numFmtId="0" fontId="4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10" borderId="32" applyNumberFormat="0" applyFont="0" applyAlignment="0" applyProtection="0"/>
    <xf numFmtId="0" fontId="1" fillId="0" borderId="0"/>
    <xf numFmtId="0" fontId="41" fillId="0" borderId="0"/>
    <xf numFmtId="0" fontId="1" fillId="0" borderId="0"/>
    <xf numFmtId="0" fontId="1" fillId="0" borderId="0"/>
    <xf numFmtId="0" fontId="41" fillId="0" borderId="0"/>
    <xf numFmtId="0" fontId="40" fillId="0" borderId="0"/>
    <xf numFmtId="0" fontId="1" fillId="0" borderId="0"/>
    <xf numFmtId="0" fontId="1" fillId="0" borderId="0"/>
    <xf numFmtId="0" fontId="41" fillId="0" borderId="0"/>
    <xf numFmtId="0" fontId="1" fillId="0" borderId="0"/>
    <xf numFmtId="0" fontId="1" fillId="0" borderId="0"/>
    <xf numFmtId="0" fontId="41" fillId="0" borderId="0"/>
    <xf numFmtId="0" fontId="1" fillId="0" borderId="0"/>
    <xf numFmtId="0" fontId="1" fillId="0" borderId="0"/>
    <xf numFmtId="0" fontId="41" fillId="0" borderId="0"/>
    <xf numFmtId="0" fontId="40" fillId="0" borderId="0"/>
    <xf numFmtId="0" fontId="1" fillId="0" borderId="0"/>
    <xf numFmtId="0" fontId="1" fillId="0" borderId="0"/>
    <xf numFmtId="0" fontId="41" fillId="0" borderId="0"/>
    <xf numFmtId="0" fontId="40" fillId="0" borderId="0"/>
    <xf numFmtId="0" fontId="1" fillId="0" borderId="0"/>
    <xf numFmtId="0" fontId="1" fillId="0" borderId="0"/>
    <xf numFmtId="0" fontId="41" fillId="0" borderId="0"/>
    <xf numFmtId="0" fontId="40" fillId="0" borderId="0"/>
    <xf numFmtId="0" fontId="1" fillId="0" borderId="0"/>
    <xf numFmtId="0" fontId="1" fillId="0" borderId="0"/>
    <xf numFmtId="0" fontId="41" fillId="0" borderId="0"/>
    <xf numFmtId="0" fontId="40" fillId="0" borderId="0"/>
    <xf numFmtId="0" fontId="1" fillId="0" borderId="0"/>
    <xf numFmtId="0" fontId="40" fillId="0" borderId="0"/>
    <xf numFmtId="0" fontId="1" fillId="0" borderId="0"/>
    <xf numFmtId="0" fontId="40" fillId="0" borderId="0"/>
    <xf numFmtId="0" fontId="40" fillId="0" borderId="0"/>
    <xf numFmtId="0" fontId="40" fillId="0" borderId="0"/>
    <xf numFmtId="0" fontId="40" fillId="0" borderId="0"/>
    <xf numFmtId="0" fontId="40" fillId="0" borderId="0"/>
    <xf numFmtId="0" fontId="40" fillId="0" borderId="0"/>
    <xf numFmtId="43" fontId="6"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0" fontId="45" fillId="0" borderId="0"/>
    <xf numFmtId="43" fontId="45" fillId="0" borderId="0" applyFont="0" applyFill="0" applyBorder="0" applyAlignment="0" applyProtection="0"/>
    <xf numFmtId="44" fontId="45" fillId="0" borderId="0" applyFont="0" applyFill="0" applyBorder="0" applyAlignment="0" applyProtection="0"/>
  </cellStyleXfs>
  <cellXfs count="232">
    <xf numFmtId="0" fontId="0" fillId="0" borderId="0" xfId="0"/>
    <xf numFmtId="0" fontId="2" fillId="0" borderId="0" xfId="0" applyFont="1" applyAlignment="1">
      <alignment horizontal="center"/>
    </xf>
    <xf numFmtId="0" fontId="3" fillId="0" borderId="0" xfId="0" applyFont="1" applyFill="1" applyAlignment="1">
      <alignment horizontal="center"/>
    </xf>
    <xf numFmtId="49" fontId="4" fillId="0" borderId="0" xfId="0" applyNumberFormat="1" applyFont="1" applyAlignment="1">
      <alignment horizontal="center"/>
    </xf>
    <xf numFmtId="0" fontId="5" fillId="0" borderId="0" xfId="0" applyFont="1" applyFill="1" applyAlignment="1">
      <alignment horizontal="center"/>
    </xf>
    <xf numFmtId="0" fontId="7" fillId="0" borderId="0" xfId="0" applyFont="1" applyAlignment="1">
      <alignment horizontal="center"/>
    </xf>
    <xf numFmtId="164" fontId="8" fillId="0" borderId="0" xfId="0" applyNumberFormat="1" applyFont="1" applyAlignment="1">
      <alignment horizontal="center"/>
    </xf>
    <xf numFmtId="49" fontId="0" fillId="0" borderId="0" xfId="0" applyNumberFormat="1"/>
    <xf numFmtId="0" fontId="8" fillId="0" borderId="0" xfId="0" applyFont="1"/>
    <xf numFmtId="0" fontId="10" fillId="0" borderId="0" xfId="0" applyFont="1" applyAlignment="1">
      <alignment horizontal="center"/>
    </xf>
    <xf numFmtId="0" fontId="10" fillId="0" borderId="0" xfId="0" applyFont="1"/>
    <xf numFmtId="0" fontId="9" fillId="0" borderId="0" xfId="0" applyFont="1" applyFill="1" applyBorder="1" applyAlignment="1">
      <alignment horizontal="left"/>
    </xf>
    <xf numFmtId="0" fontId="0" fillId="0" borderId="0" xfId="0" applyNumberFormat="1"/>
    <xf numFmtId="49" fontId="0" fillId="0" borderId="0" xfId="0" applyNumberFormat="1" applyAlignment="1">
      <alignment horizontal="center"/>
    </xf>
    <xf numFmtId="41" fontId="0" fillId="0" borderId="0" xfId="0" applyNumberFormat="1"/>
    <xf numFmtId="0" fontId="0" fillId="0" borderId="0" xfId="0" applyBorder="1"/>
    <xf numFmtId="0" fontId="6" fillId="0" borderId="0" xfId="0" applyFont="1" applyBorder="1" applyAlignment="1">
      <alignment horizontal="center"/>
    </xf>
    <xf numFmtId="0" fontId="6" fillId="0" borderId="0" xfId="0" applyFont="1" applyFill="1" applyBorder="1" applyAlignment="1">
      <alignment horizontal="center"/>
    </xf>
    <xf numFmtId="49" fontId="8" fillId="0" borderId="0" xfId="0" applyNumberFormat="1" applyFont="1" applyBorder="1" applyAlignment="1">
      <alignment horizontal="left"/>
    </xf>
    <xf numFmtId="0" fontId="8" fillId="0" borderId="0" xfId="0" applyFont="1" applyBorder="1"/>
    <xf numFmtId="2" fontId="8" fillId="0" borderId="0" xfId="0" applyNumberFormat="1" applyFont="1" applyBorder="1"/>
    <xf numFmtId="9" fontId="8" fillId="0" borderId="0" xfId="0" applyNumberFormat="1" applyFont="1" applyBorder="1" applyAlignment="1">
      <alignment horizontal="center"/>
    </xf>
    <xf numFmtId="2" fontId="0" fillId="0" borderId="0" xfId="0" applyNumberFormat="1" applyBorder="1"/>
    <xf numFmtId="0" fontId="0" fillId="0" borderId="0" xfId="3" applyNumberFormat="1" applyFont="1" applyBorder="1"/>
    <xf numFmtId="0" fontId="0" fillId="0" borderId="1" xfId="0" applyBorder="1" applyAlignment="1">
      <alignment horizontal="center"/>
    </xf>
    <xf numFmtId="0" fontId="11" fillId="0" borderId="0" xfId="0" applyFont="1" applyBorder="1" applyAlignment="1">
      <alignment horizontal="center"/>
    </xf>
    <xf numFmtId="165" fontId="0" fillId="0" borderId="5" xfId="0" applyNumberFormat="1" applyBorder="1"/>
    <xf numFmtId="0" fontId="0" fillId="0" borderId="0" xfId="0" applyBorder="1" applyAlignment="1">
      <alignment horizontal="center"/>
    </xf>
    <xf numFmtId="165" fontId="0" fillId="0" borderId="0" xfId="0" applyNumberFormat="1" applyBorder="1"/>
    <xf numFmtId="0" fontId="12" fillId="0" borderId="0" xfId="0" applyFont="1" applyBorder="1" applyAlignment="1" applyProtection="1">
      <alignment horizontal="center"/>
    </xf>
    <xf numFmtId="0" fontId="0" fillId="0" borderId="7" xfId="0" applyBorder="1" applyProtection="1"/>
    <xf numFmtId="49" fontId="0" fillId="0" borderId="7" xfId="0" applyNumberFormat="1" applyBorder="1" applyProtection="1"/>
    <xf numFmtId="0" fontId="12" fillId="0" borderId="7" xfId="0" applyFont="1" applyBorder="1" applyAlignment="1" applyProtection="1">
      <alignment horizontal="left"/>
    </xf>
    <xf numFmtId="0" fontId="0" fillId="0" borderId="0" xfId="0" applyProtection="1"/>
    <xf numFmtId="0" fontId="6" fillId="0" borderId="0" xfId="0" applyFont="1" applyBorder="1" applyAlignment="1" applyProtection="1">
      <alignment vertical="center" shrinkToFit="1"/>
    </xf>
    <xf numFmtId="0" fontId="12" fillId="0" borderId="5" xfId="0" applyFont="1" applyBorder="1" applyAlignment="1" applyProtection="1">
      <alignment horizontal="center"/>
    </xf>
    <xf numFmtId="0" fontId="0" fillId="0" borderId="0" xfId="0" applyBorder="1" applyProtection="1"/>
    <xf numFmtId="0" fontId="13" fillId="0" borderId="0" xfId="0" applyFont="1" applyBorder="1" applyAlignment="1" applyProtection="1">
      <alignment horizontal="center"/>
    </xf>
    <xf numFmtId="0" fontId="2" fillId="0" borderId="0" xfId="0" applyFont="1" applyAlignment="1" applyProtection="1">
      <alignment horizontal="left"/>
    </xf>
    <xf numFmtId="0" fontId="0" fillId="0" borderId="4" xfId="0" applyNumberFormat="1" applyBorder="1" applyAlignment="1" applyProtection="1"/>
    <xf numFmtId="49" fontId="0" fillId="0" borderId="0" xfId="0" applyNumberFormat="1" applyBorder="1"/>
    <xf numFmtId="0" fontId="8" fillId="0" borderId="5" xfId="0" applyFont="1" applyBorder="1" applyAlignment="1">
      <alignment horizontal="left" vertical="center"/>
    </xf>
    <xf numFmtId="0" fontId="9" fillId="0" borderId="10" xfId="0" applyFont="1" applyBorder="1" applyAlignment="1">
      <alignment horizontal="center" vertical="center" wrapText="1"/>
    </xf>
    <xf numFmtId="0" fontId="9" fillId="0" borderId="9" xfId="0" applyFont="1" applyBorder="1" applyAlignment="1">
      <alignment horizontal="center" vertical="center" wrapText="1"/>
    </xf>
    <xf numFmtId="0" fontId="9" fillId="0" borderId="9" xfId="0" applyFont="1" applyBorder="1" applyAlignment="1">
      <alignment horizontal="center" vertical="center"/>
    </xf>
    <xf numFmtId="0" fontId="0" fillId="0" borderId="0" xfId="0" applyAlignment="1"/>
    <xf numFmtId="0" fontId="16" fillId="0" borderId="0" xfId="0" applyFont="1" applyFill="1" applyAlignment="1">
      <alignment vertical="center"/>
    </xf>
    <xf numFmtId="0" fontId="9" fillId="0" borderId="11" xfId="0" applyFont="1" applyBorder="1" applyAlignment="1">
      <alignment horizontal="center" vertical="center"/>
    </xf>
    <xf numFmtId="0" fontId="9" fillId="0" borderId="11" xfId="0" applyFont="1" applyBorder="1" applyAlignment="1">
      <alignment horizontal="center" vertical="center" wrapText="1"/>
    </xf>
    <xf numFmtId="0" fontId="9" fillId="0" borderId="12" xfId="0" applyFont="1" applyBorder="1" applyAlignment="1">
      <alignment horizontal="center" vertical="center" wrapText="1"/>
    </xf>
    <xf numFmtId="167" fontId="8" fillId="0" borderId="5" xfId="0" applyNumberFormat="1" applyFont="1" applyBorder="1" applyAlignment="1">
      <alignment horizontal="right" vertical="center" wrapText="1"/>
    </xf>
    <xf numFmtId="0" fontId="17" fillId="0" borderId="0" xfId="0" applyFont="1" applyBorder="1" applyAlignment="1">
      <alignment horizontal="center"/>
    </xf>
    <xf numFmtId="0" fontId="9" fillId="0" borderId="0" xfId="0" applyFont="1" applyBorder="1" applyAlignment="1">
      <alignment horizontal="left" vertical="center"/>
    </xf>
    <xf numFmtId="0" fontId="8" fillId="0" borderId="0" xfId="0" applyNumberFormat="1" applyFont="1" applyAlignment="1">
      <alignment horizontal="left" vertical="center"/>
    </xf>
    <xf numFmtId="0" fontId="9" fillId="0" borderId="0" xfId="0" applyFont="1" applyAlignment="1">
      <alignment vertical="center"/>
    </xf>
    <xf numFmtId="0" fontId="0" fillId="0" borderId="0" xfId="0" applyAlignment="1">
      <alignment vertical="center"/>
    </xf>
    <xf numFmtId="0" fontId="9" fillId="0" borderId="0" xfId="0" applyFont="1" applyFill="1" applyBorder="1" applyAlignment="1">
      <alignment horizontal="left" vertical="center"/>
    </xf>
    <xf numFmtId="49" fontId="8" fillId="0" borderId="0" xfId="0" applyNumberFormat="1" applyFont="1" applyAlignment="1">
      <alignment horizontal="left" vertical="center"/>
    </xf>
    <xf numFmtId="0" fontId="9" fillId="0" borderId="13" xfId="0" applyFont="1" applyBorder="1" applyAlignment="1">
      <alignment horizontal="center" vertical="center" wrapText="1"/>
    </xf>
    <xf numFmtId="0" fontId="8" fillId="0" borderId="14" xfId="0" applyFont="1" applyBorder="1" applyAlignment="1">
      <alignment horizontal="center" vertical="center" wrapText="1"/>
    </xf>
    <xf numFmtId="167" fontId="8" fillId="0" borderId="15" xfId="0" applyNumberFormat="1" applyFont="1" applyBorder="1" applyAlignment="1">
      <alignment horizontal="right" vertical="center" wrapText="1"/>
    </xf>
    <xf numFmtId="0" fontId="8" fillId="0" borderId="16" xfId="0" applyFont="1" applyBorder="1" applyAlignment="1">
      <alignment horizontal="center" vertical="center" wrapText="1"/>
    </xf>
    <xf numFmtId="0" fontId="8" fillId="0" borderId="17" xfId="0" applyNumberFormat="1" applyFont="1" applyBorder="1" applyAlignment="1">
      <alignment horizontal="center" vertical="center" wrapText="1"/>
    </xf>
    <xf numFmtId="0" fontId="8" fillId="0" borderId="17" xfId="0" applyFont="1" applyBorder="1" applyAlignment="1">
      <alignment horizontal="left" vertical="center"/>
    </xf>
    <xf numFmtId="167" fontId="8" fillId="0" borderId="17" xfId="0" applyNumberFormat="1" applyFont="1" applyBorder="1" applyAlignment="1">
      <alignment horizontal="right" vertical="center" wrapText="1"/>
    </xf>
    <xf numFmtId="167" fontId="8" fillId="0" borderId="18" xfId="0" applyNumberFormat="1" applyFont="1" applyBorder="1" applyAlignment="1">
      <alignment horizontal="right" vertical="center" wrapText="1"/>
    </xf>
    <xf numFmtId="0" fontId="0" fillId="0" borderId="0" xfId="0" applyFill="1" applyBorder="1" applyProtection="1"/>
    <xf numFmtId="0" fontId="0" fillId="0" borderId="0" xfId="0" applyBorder="1" applyAlignment="1">
      <alignment horizontal="left"/>
    </xf>
    <xf numFmtId="0" fontId="0" fillId="0" borderId="0" xfId="0" applyFill="1" applyBorder="1" applyAlignment="1">
      <alignment horizontal="center"/>
    </xf>
    <xf numFmtId="9" fontId="0" fillId="0" borderId="0" xfId="0" applyNumberFormat="1" applyBorder="1"/>
    <xf numFmtId="0" fontId="20" fillId="3" borderId="0" xfId="0" applyFont="1" applyFill="1" applyBorder="1" applyAlignment="1">
      <alignment horizontal="left" wrapText="1"/>
    </xf>
    <xf numFmtId="0" fontId="21" fillId="3" borderId="0" xfId="0" applyFont="1" applyFill="1" applyBorder="1" applyAlignment="1">
      <alignment horizontal="left" wrapText="1"/>
    </xf>
    <xf numFmtId="0" fontId="21" fillId="3" borderId="0" xfId="0" applyFont="1" applyFill="1" applyBorder="1" applyAlignment="1">
      <alignment horizontal="left" vertical="top" wrapText="1"/>
    </xf>
    <xf numFmtId="0" fontId="11" fillId="0" borderId="0" xfId="0" applyFont="1" applyBorder="1" applyAlignment="1">
      <alignment horizontal="center" vertical="center" wrapText="1"/>
    </xf>
    <xf numFmtId="0" fontId="11" fillId="0" borderId="0" xfId="0" applyFont="1" applyBorder="1" applyAlignment="1">
      <alignment horizontal="center" vertical="center"/>
    </xf>
    <xf numFmtId="0" fontId="11" fillId="0" borderId="0" xfId="0" applyFont="1" applyBorder="1"/>
    <xf numFmtId="0" fontId="0" fillId="3" borderId="0" xfId="0" applyFill="1" applyBorder="1" applyAlignment="1">
      <alignment horizontal="center"/>
    </xf>
    <xf numFmtId="0" fontId="0" fillId="3" borderId="0" xfId="0" applyFill="1" applyBorder="1"/>
    <xf numFmtId="0" fontId="9" fillId="0" borderId="0" xfId="0" applyFont="1" applyAlignment="1">
      <alignment horizontal="center"/>
    </xf>
    <xf numFmtId="168" fontId="0" fillId="0" borderId="0" xfId="0" applyNumberFormat="1"/>
    <xf numFmtId="2" fontId="8" fillId="0" borderId="17" xfId="0" applyNumberFormat="1" applyFont="1" applyBorder="1" applyAlignment="1">
      <alignment horizontal="right" vertical="center"/>
    </xf>
    <xf numFmtId="0" fontId="0" fillId="0" borderId="0" xfId="0" applyBorder="1" applyAlignment="1">
      <alignment horizontal="center"/>
    </xf>
    <xf numFmtId="0" fontId="8" fillId="0" borderId="0" xfId="0" applyNumberFormat="1" applyFont="1" applyFill="1" applyAlignment="1">
      <alignment horizontal="left" vertical="center"/>
    </xf>
    <xf numFmtId="2" fontId="8" fillId="0" borderId="22" xfId="0" applyNumberFormat="1" applyFont="1" applyBorder="1" applyAlignment="1">
      <alignment horizontal="right" vertical="center"/>
    </xf>
    <xf numFmtId="0" fontId="8" fillId="0" borderId="24" xfId="0" applyFont="1" applyBorder="1" applyAlignment="1">
      <alignment horizontal="center" vertical="center" wrapText="1"/>
    </xf>
    <xf numFmtId="167" fontId="8" fillId="0" borderId="23" xfId="0" applyNumberFormat="1" applyFont="1" applyBorder="1" applyAlignment="1">
      <alignment horizontal="right" vertical="center" wrapText="1"/>
    </xf>
    <xf numFmtId="0" fontId="6" fillId="0" borderId="20" xfId="0" applyFont="1" applyBorder="1" applyAlignment="1">
      <alignment horizontal="center"/>
    </xf>
    <xf numFmtId="2" fontId="8" fillId="0" borderId="19" xfId="0" applyNumberFormat="1" applyFont="1" applyBorder="1"/>
    <xf numFmtId="0" fontId="0" fillId="0" borderId="20" xfId="0" applyBorder="1"/>
    <xf numFmtId="0" fontId="9" fillId="0" borderId="0" xfId="0" applyFont="1" applyBorder="1" applyAlignment="1">
      <alignment horizontal="right"/>
    </xf>
    <xf numFmtId="2" fontId="0" fillId="0" borderId="19" xfId="0" applyNumberFormat="1" applyBorder="1"/>
    <xf numFmtId="0" fontId="0" fillId="0" borderId="34" xfId="0" applyBorder="1" applyProtection="1"/>
    <xf numFmtId="0" fontId="0" fillId="0" borderId="35" xfId="0" applyBorder="1" applyProtection="1"/>
    <xf numFmtId="0" fontId="11" fillId="2" borderId="20" xfId="0" applyFont="1" applyFill="1" applyBorder="1" applyAlignment="1" applyProtection="1">
      <alignment vertical="center" shrinkToFit="1"/>
    </xf>
    <xf numFmtId="0" fontId="12" fillId="0" borderId="20" xfId="0" applyFont="1" applyBorder="1" applyAlignment="1" applyProtection="1">
      <alignment horizontal="center"/>
    </xf>
    <xf numFmtId="0" fontId="0" fillId="0" borderId="19" xfId="0" applyBorder="1" applyProtection="1"/>
    <xf numFmtId="14" fontId="13" fillId="0" borderId="20" xfId="0" applyNumberFormat="1" applyFont="1" applyBorder="1" applyAlignment="1" applyProtection="1">
      <alignment horizontal="center"/>
    </xf>
    <xf numFmtId="0" fontId="14" fillId="0" borderId="20" xfId="0" applyFont="1" applyBorder="1" applyAlignment="1" applyProtection="1">
      <alignment horizontal="left"/>
    </xf>
    <xf numFmtId="0" fontId="2" fillId="0" borderId="34" xfId="0" applyFont="1" applyBorder="1" applyAlignment="1" applyProtection="1">
      <alignment horizontal="left" vertical="center" wrapText="1"/>
    </xf>
    <xf numFmtId="0" fontId="2" fillId="0" borderId="20" xfId="0" applyFont="1" applyBorder="1" applyAlignment="1" applyProtection="1">
      <alignment horizontal="left" vertical="center"/>
    </xf>
    <xf numFmtId="0" fontId="0" fillId="0" borderId="20" xfId="0" applyBorder="1" applyAlignment="1" applyProtection="1">
      <alignment horizontal="center"/>
    </xf>
    <xf numFmtId="0" fontId="0" fillId="0" borderId="36" xfId="0" applyNumberFormat="1" applyBorder="1" applyAlignment="1" applyProtection="1"/>
    <xf numFmtId="0" fontId="0" fillId="0" borderId="37" xfId="0" applyBorder="1" applyAlignment="1" applyProtection="1">
      <alignment horizontal="center"/>
    </xf>
    <xf numFmtId="0" fontId="8" fillId="0" borderId="14" xfId="0" applyFont="1" applyFill="1" applyBorder="1" applyAlignment="1">
      <alignment horizontal="center" vertical="center" wrapText="1"/>
    </xf>
    <xf numFmtId="43" fontId="0" fillId="0" borderId="0" xfId="0" applyNumberFormat="1"/>
    <xf numFmtId="0" fontId="9" fillId="0" borderId="10" xfId="0" applyFont="1" applyBorder="1" applyAlignment="1">
      <alignment horizontal="center" vertical="center" wrapText="1"/>
    </xf>
    <xf numFmtId="0" fontId="9" fillId="0" borderId="12" xfId="0" applyFont="1" applyBorder="1" applyAlignment="1">
      <alignment horizontal="center" vertical="center" wrapText="1"/>
    </xf>
    <xf numFmtId="0" fontId="0" fillId="0" borderId="12" xfId="0" applyBorder="1"/>
    <xf numFmtId="17" fontId="0" fillId="0" borderId="0" xfId="0" applyNumberFormat="1"/>
    <xf numFmtId="43" fontId="0" fillId="0" borderId="0" xfId="0" applyNumberFormat="1" applyProtection="1"/>
    <xf numFmtId="0" fontId="8" fillId="0" borderId="0" xfId="0" applyFont="1" applyAlignment="1">
      <alignment horizontal="center"/>
    </xf>
    <xf numFmtId="0" fontId="0" fillId="0" borderId="0" xfId="0" applyAlignment="1">
      <alignment horizontal="center"/>
    </xf>
    <xf numFmtId="0" fontId="9" fillId="0" borderId="0" xfId="0" applyFont="1" applyFill="1" applyBorder="1" applyAlignment="1">
      <alignment horizontal="center"/>
    </xf>
    <xf numFmtId="0" fontId="8" fillId="0" borderId="17" xfId="0" applyFont="1" applyBorder="1" applyAlignment="1">
      <alignment horizontal="center" vertical="center"/>
    </xf>
    <xf numFmtId="2" fontId="8" fillId="0" borderId="0" xfId="0" applyNumberFormat="1" applyFont="1" applyBorder="1" applyAlignment="1">
      <alignment horizontal="center"/>
    </xf>
    <xf numFmtId="0" fontId="0" fillId="0" borderId="0" xfId="0" applyNumberFormat="1" applyAlignment="1">
      <alignment horizontal="center"/>
    </xf>
    <xf numFmtId="0" fontId="0" fillId="0" borderId="42" xfId="0" applyBorder="1" applyProtection="1"/>
    <xf numFmtId="0" fontId="0" fillId="0" borderId="43" xfId="0" applyBorder="1" applyProtection="1"/>
    <xf numFmtId="0" fontId="12" fillId="0" borderId="43" xfId="0" applyFont="1" applyBorder="1" applyAlignment="1" applyProtection="1">
      <alignment horizontal="left"/>
    </xf>
    <xf numFmtId="0" fontId="0" fillId="0" borderId="43" xfId="0" applyBorder="1" applyAlignment="1" applyProtection="1">
      <alignment horizontal="center"/>
    </xf>
    <xf numFmtId="0" fontId="0" fillId="0" borderId="44" xfId="0" applyBorder="1" applyProtection="1"/>
    <xf numFmtId="165" fontId="6" fillId="0" borderId="15" xfId="0" applyNumberFormat="1" applyFont="1" applyBorder="1" applyAlignment="1" applyProtection="1">
      <alignment horizontal="center" shrinkToFit="1"/>
    </xf>
    <xf numFmtId="0" fontId="8" fillId="0" borderId="5" xfId="0" applyNumberFormat="1" applyFont="1" applyBorder="1" applyAlignment="1">
      <alignment horizontal="left" vertical="center" wrapText="1"/>
    </xf>
    <xf numFmtId="164" fontId="0" fillId="0" borderId="0" xfId="0" applyNumberFormat="1"/>
    <xf numFmtId="0" fontId="8" fillId="0" borderId="5" xfId="0" applyNumberFormat="1" applyFont="1" applyFill="1" applyBorder="1" applyAlignment="1">
      <alignment horizontal="left" vertical="center" wrapText="1"/>
    </xf>
    <xf numFmtId="44" fontId="11" fillId="0" borderId="15" xfId="2" applyNumberFormat="1" applyFont="1" applyBorder="1" applyAlignment="1" applyProtection="1">
      <alignment horizontal="center" shrinkToFit="1"/>
    </xf>
    <xf numFmtId="0" fontId="0" fillId="0" borderId="0" xfId="0" applyBorder="1" applyAlignment="1" applyProtection="1">
      <alignment horizontal="center"/>
    </xf>
    <xf numFmtId="0" fontId="23" fillId="0" borderId="37" xfId="0" applyFont="1" applyBorder="1" applyAlignment="1">
      <alignment horizontal="center"/>
    </xf>
    <xf numFmtId="49" fontId="2" fillId="0" borderId="5" xfId="0" applyNumberFormat="1" applyFont="1" applyBorder="1" applyAlignment="1">
      <alignment horizontal="center" vertical="center" wrapText="1"/>
    </xf>
    <xf numFmtId="0" fontId="12" fillId="0" borderId="0" xfId="0" applyFont="1" applyBorder="1" applyAlignment="1" applyProtection="1">
      <alignment horizontal="center" vertical="center"/>
    </xf>
    <xf numFmtId="0" fontId="13" fillId="0" borderId="0" xfId="0" applyFont="1" applyBorder="1" applyAlignment="1" applyProtection="1">
      <alignment horizontal="center" vertical="center"/>
    </xf>
    <xf numFmtId="0" fontId="0" fillId="0" borderId="0" xfId="0" applyBorder="1" applyAlignment="1" applyProtection="1">
      <alignment horizontal="center" vertical="center"/>
    </xf>
    <xf numFmtId="0" fontId="0" fillId="0" borderId="0" xfId="0" applyAlignment="1">
      <alignment horizontal="center" vertical="center"/>
    </xf>
    <xf numFmtId="0" fontId="8" fillId="0" borderId="0" xfId="0" applyFont="1" applyBorder="1" applyAlignment="1">
      <alignment horizontal="center" vertical="center"/>
    </xf>
    <xf numFmtId="0" fontId="0" fillId="0" borderId="0" xfId="0" applyBorder="1" applyAlignment="1">
      <alignment horizontal="center" vertical="center"/>
    </xf>
    <xf numFmtId="0" fontId="12" fillId="0" borderId="7" xfId="0" applyFont="1" applyBorder="1" applyAlignment="1" applyProtection="1">
      <alignment horizontal="center" vertical="center"/>
    </xf>
    <xf numFmtId="0" fontId="23" fillId="0" borderId="20" xfId="0" applyFont="1" applyBorder="1" applyAlignment="1">
      <alignment horizontal="center"/>
    </xf>
    <xf numFmtId="165" fontId="0" fillId="0" borderId="0" xfId="0" applyNumberFormat="1"/>
    <xf numFmtId="167" fontId="0" fillId="0" borderId="0" xfId="0" applyNumberFormat="1"/>
    <xf numFmtId="44" fontId="9" fillId="0" borderId="41" xfId="0" applyNumberFormat="1" applyFont="1" applyBorder="1" applyAlignment="1">
      <alignment horizontal="right" vertical="center" wrapText="1"/>
    </xf>
    <xf numFmtId="44" fontId="9" fillId="0" borderId="18" xfId="0" applyNumberFormat="1" applyFont="1" applyBorder="1" applyAlignment="1">
      <alignment horizontal="right" vertical="center" wrapText="1"/>
    </xf>
    <xf numFmtId="0" fontId="43" fillId="0" borderId="16" xfId="0" applyFont="1" applyFill="1" applyBorder="1" applyAlignment="1">
      <alignment horizontal="center" vertical="center"/>
    </xf>
    <xf numFmtId="0" fontId="43" fillId="0" borderId="24" xfId="0" applyFont="1" applyFill="1" applyBorder="1" applyAlignment="1">
      <alignment horizontal="center" vertical="center"/>
    </xf>
    <xf numFmtId="43" fontId="23" fillId="0" borderId="9" xfId="1" applyFont="1" applyBorder="1"/>
    <xf numFmtId="43" fontId="1" fillId="0" borderId="47" xfId="1" applyFont="1" applyBorder="1"/>
    <xf numFmtId="0" fontId="18" fillId="0" borderId="0" xfId="0" applyFont="1" applyFill="1" applyAlignment="1">
      <alignment horizontal="center"/>
    </xf>
    <xf numFmtId="0" fontId="16" fillId="0" borderId="0" xfId="0" applyFont="1" applyFill="1" applyAlignment="1">
      <alignment horizontal="right" vertical="center"/>
    </xf>
    <xf numFmtId="0" fontId="6" fillId="0" borderId="0" xfId="0" applyFont="1" applyAlignment="1">
      <alignment horizontal="center"/>
    </xf>
    <xf numFmtId="0" fontId="0" fillId="0" borderId="0" xfId="0" applyAlignment="1">
      <alignment horizontal="center" vertical="top"/>
    </xf>
    <xf numFmtId="0" fontId="0" fillId="0" borderId="0" xfId="0" applyBorder="1" applyAlignment="1" applyProtection="1">
      <alignment horizontal="center"/>
    </xf>
    <xf numFmtId="49" fontId="2" fillId="0" borderId="23" xfId="0" applyNumberFormat="1" applyFont="1" applyBorder="1" applyAlignment="1">
      <alignment horizontal="center" vertical="center" wrapText="1"/>
    </xf>
    <xf numFmtId="0" fontId="9" fillId="0" borderId="10" xfId="0" applyFont="1" applyBorder="1" applyAlignment="1">
      <alignment horizontal="center" vertical="center" wrapText="1"/>
    </xf>
    <xf numFmtId="0" fontId="5" fillId="0" borderId="0" xfId="0" applyFont="1" applyFill="1" applyBorder="1" applyAlignment="1">
      <alignment horizontal="center"/>
    </xf>
    <xf numFmtId="0" fontId="5" fillId="0" borderId="0" xfId="0" applyFont="1" applyFill="1" applyBorder="1" applyAlignment="1">
      <alignment horizontal="center" vertical="center"/>
    </xf>
    <xf numFmtId="0" fontId="8" fillId="0" borderId="0" xfId="0" applyNumberFormat="1" applyFont="1" applyBorder="1" applyAlignment="1">
      <alignment horizontal="left" vertical="center"/>
    </xf>
    <xf numFmtId="0" fontId="8" fillId="0" borderId="0" xfId="0" applyNumberFormat="1" applyFont="1" applyFill="1" applyBorder="1" applyAlignment="1">
      <alignment horizontal="left" vertical="center"/>
    </xf>
    <xf numFmtId="49" fontId="8" fillId="0" borderId="0" xfId="0" applyNumberFormat="1" applyFont="1" applyBorder="1" applyAlignment="1">
      <alignment horizontal="left" vertical="center"/>
    </xf>
    <xf numFmtId="0" fontId="9" fillId="0" borderId="0" xfId="0" applyFont="1" applyBorder="1"/>
    <xf numFmtId="0" fontId="9" fillId="0" borderId="0" xfId="0" applyFont="1" applyBorder="1" applyAlignment="1">
      <alignment horizontal="center"/>
    </xf>
    <xf numFmtId="0" fontId="9" fillId="0" borderId="0" xfId="0" applyFont="1" applyFill="1" applyBorder="1" applyAlignment="1">
      <alignment horizontal="left"/>
    </xf>
    <xf numFmtId="0" fontId="9" fillId="0" borderId="0" xfId="0" applyFont="1" applyBorder="1" applyAlignment="1">
      <alignment horizontal="left"/>
    </xf>
    <xf numFmtId="0" fontId="9" fillId="0" borderId="12" xfId="0" applyFont="1" applyBorder="1" applyAlignment="1">
      <alignment horizontal="center" vertical="center" wrapText="1"/>
    </xf>
    <xf numFmtId="0" fontId="18" fillId="0" borderId="0" xfId="0" applyFont="1" applyFill="1" applyBorder="1" applyAlignment="1"/>
    <xf numFmtId="0" fontId="18" fillId="0" borderId="0" xfId="0" applyFont="1" applyFill="1" applyBorder="1" applyAlignment="1">
      <alignment horizontal="center" vertical="center"/>
    </xf>
    <xf numFmtId="0" fontId="2" fillId="0" borderId="0" xfId="0" applyFont="1" applyBorder="1" applyAlignment="1">
      <alignment horizontal="center"/>
    </xf>
    <xf numFmtId="49" fontId="4" fillId="0" borderId="0" xfId="0" applyNumberFormat="1" applyFont="1" applyBorder="1" applyAlignment="1">
      <alignment horizontal="center"/>
    </xf>
    <xf numFmtId="0" fontId="7" fillId="0" borderId="0" xfId="0" applyFont="1" applyBorder="1" applyAlignment="1">
      <alignment horizontal="center"/>
    </xf>
    <xf numFmtId="164" fontId="8" fillId="0" borderId="0" xfId="0" applyNumberFormat="1" applyFont="1" applyBorder="1" applyAlignment="1">
      <alignment horizontal="center"/>
    </xf>
    <xf numFmtId="0" fontId="10" fillId="0" borderId="0" xfId="0" applyFont="1" applyBorder="1" applyAlignment="1">
      <alignment horizontal="center"/>
    </xf>
    <xf numFmtId="0" fontId="10" fillId="0" borderId="0" xfId="0" applyFont="1" applyBorder="1"/>
    <xf numFmtId="0" fontId="44" fillId="0" borderId="5" xfId="0" applyFont="1" applyFill="1" applyBorder="1" applyAlignment="1">
      <alignment vertical="center"/>
    </xf>
    <xf numFmtId="0" fontId="44" fillId="0" borderId="24" xfId="0" applyFont="1" applyFill="1" applyBorder="1" applyAlignment="1">
      <alignment horizontal="center" vertical="center"/>
    </xf>
    <xf numFmtId="0" fontId="44" fillId="0" borderId="5" xfId="0" applyFont="1" applyFill="1" applyBorder="1" applyAlignment="1">
      <alignment horizontal="left" vertical="center"/>
    </xf>
    <xf numFmtId="0" fontId="44" fillId="0" borderId="17" xfId="0" applyFont="1" applyFill="1" applyBorder="1" applyAlignment="1">
      <alignment vertical="center"/>
    </xf>
    <xf numFmtId="0" fontId="14" fillId="0" borderId="20" xfId="0" applyFont="1" applyBorder="1" applyAlignment="1" applyProtection="1">
      <alignment horizontal="center"/>
    </xf>
    <xf numFmtId="0" fontId="12" fillId="0" borderId="22" xfId="0" applyNumberFormat="1" applyFont="1" applyBorder="1" applyAlignment="1">
      <alignment horizontal="center" vertical="center" wrapText="1"/>
    </xf>
    <xf numFmtId="0" fontId="44" fillId="0" borderId="17" xfId="0" applyFont="1" applyFill="1" applyBorder="1" applyAlignment="1">
      <alignment horizontal="left" vertical="center"/>
    </xf>
    <xf numFmtId="0" fontId="0" fillId="35" borderId="0" xfId="0" applyFill="1"/>
    <xf numFmtId="0" fontId="12" fillId="0" borderId="17" xfId="0" applyNumberFormat="1" applyFont="1" applyBorder="1" applyAlignment="1">
      <alignment horizontal="center" vertical="center" wrapText="1"/>
    </xf>
    <xf numFmtId="43" fontId="1" fillId="0" borderId="15" xfId="1" applyFont="1" applyBorder="1"/>
    <xf numFmtId="8" fontId="0" fillId="0" borderId="0" xfId="0" applyNumberFormat="1" applyBorder="1"/>
    <xf numFmtId="0" fontId="0" fillId="0" borderId="45" xfId="0" applyNumberFormat="1" applyBorder="1" applyAlignment="1" applyProtection="1">
      <alignment horizontal="center"/>
    </xf>
    <xf numFmtId="0" fontId="0" fillId="0" borderId="46" xfId="0" applyNumberFormat="1" applyBorder="1" applyAlignment="1" applyProtection="1">
      <alignment horizontal="center"/>
    </xf>
    <xf numFmtId="166" fontId="2" fillId="0" borderId="0" xfId="0" applyNumberFormat="1" applyFont="1" applyBorder="1" applyAlignment="1" applyProtection="1">
      <alignment horizontal="center"/>
    </xf>
    <xf numFmtId="166" fontId="2" fillId="0" borderId="19" xfId="0" applyNumberFormat="1" applyFont="1" applyBorder="1" applyAlignment="1" applyProtection="1">
      <alignment horizontal="center"/>
    </xf>
    <xf numFmtId="0" fontId="14" fillId="0" borderId="20" xfId="0" applyFont="1" applyBorder="1" applyAlignment="1" applyProtection="1">
      <alignment horizontal="justify"/>
    </xf>
    <xf numFmtId="0" fontId="14" fillId="0" borderId="0" xfId="0" applyFont="1" applyBorder="1" applyAlignment="1" applyProtection="1">
      <alignment horizontal="justify"/>
    </xf>
    <xf numFmtId="0" fontId="14" fillId="0" borderId="19" xfId="0" applyFont="1" applyBorder="1" applyAlignment="1" applyProtection="1">
      <alignment horizontal="justify"/>
    </xf>
    <xf numFmtId="0" fontId="14" fillId="0" borderId="0" xfId="0" applyFont="1" applyBorder="1" applyAlignment="1" applyProtection="1">
      <alignment horizontal="center"/>
    </xf>
    <xf numFmtId="0" fontId="14" fillId="0" borderId="0" xfId="0" applyNumberFormat="1" applyFont="1" applyBorder="1" applyAlignment="1" applyProtection="1">
      <alignment horizontal="left"/>
    </xf>
    <xf numFmtId="0" fontId="14" fillId="0" borderId="19" xfId="0" applyNumberFormat="1" applyFont="1" applyBorder="1" applyAlignment="1" applyProtection="1">
      <alignment horizontal="left"/>
    </xf>
    <xf numFmtId="0" fontId="14" fillId="0" borderId="20" xfId="0" applyFont="1" applyBorder="1" applyAlignment="1" applyProtection="1">
      <alignment horizontal="center"/>
    </xf>
    <xf numFmtId="0" fontId="14" fillId="0" borderId="1" xfId="0" applyFont="1" applyBorder="1" applyAlignment="1" applyProtection="1">
      <alignment horizontal="center"/>
    </xf>
    <xf numFmtId="0" fontId="14" fillId="0" borderId="36" xfId="0" applyFont="1" applyBorder="1" applyAlignment="1" applyProtection="1">
      <alignment horizontal="center"/>
    </xf>
    <xf numFmtId="0" fontId="14" fillId="0" borderId="20" xfId="0" applyFont="1" applyFill="1" applyBorder="1" applyAlignment="1" applyProtection="1">
      <alignment horizontal="center" vertical="center" wrapText="1"/>
    </xf>
    <xf numFmtId="0" fontId="14" fillId="0" borderId="0" xfId="0" applyFont="1" applyFill="1" applyBorder="1" applyAlignment="1" applyProtection="1">
      <alignment horizontal="center" vertical="center" wrapText="1"/>
    </xf>
    <xf numFmtId="0" fontId="14" fillId="0" borderId="19" xfId="0" applyFont="1" applyFill="1" applyBorder="1" applyAlignment="1" applyProtection="1">
      <alignment horizontal="center" vertical="center" wrapText="1"/>
    </xf>
    <xf numFmtId="0" fontId="14" fillId="0" borderId="13" xfId="0" applyFont="1" applyFill="1" applyBorder="1" applyAlignment="1" applyProtection="1">
      <alignment horizontal="center" vertical="center" wrapText="1"/>
    </xf>
    <xf numFmtId="0" fontId="14" fillId="0" borderId="1" xfId="0" applyFont="1" applyFill="1" applyBorder="1" applyAlignment="1" applyProtection="1">
      <alignment horizontal="center" vertical="center" wrapText="1"/>
    </xf>
    <xf numFmtId="0" fontId="14" fillId="0" borderId="36" xfId="0" applyFont="1" applyFill="1" applyBorder="1" applyAlignment="1" applyProtection="1">
      <alignment horizontal="center" vertical="center" wrapText="1"/>
    </xf>
    <xf numFmtId="0" fontId="12" fillId="0" borderId="6" xfId="0" applyFont="1" applyBorder="1" applyAlignment="1" applyProtection="1">
      <alignment horizontal="center" vertical="top" wrapText="1"/>
    </xf>
    <xf numFmtId="0" fontId="12" fillId="0" borderId="35" xfId="0" applyFont="1" applyBorder="1" applyAlignment="1" applyProtection="1">
      <alignment horizontal="center" vertical="top" wrapText="1"/>
    </xf>
    <xf numFmtId="0" fontId="12" fillId="0" borderId="2" xfId="0" applyFont="1" applyBorder="1" applyAlignment="1" applyProtection="1">
      <alignment horizontal="center" vertical="top" wrapText="1"/>
    </xf>
    <xf numFmtId="0" fontId="12" fillId="0" borderId="19" xfId="0" applyFont="1" applyBorder="1" applyAlignment="1" applyProtection="1">
      <alignment horizontal="center" vertical="top" wrapText="1"/>
    </xf>
    <xf numFmtId="49" fontId="2" fillId="0" borderId="7" xfId="0" applyNumberFormat="1" applyFont="1" applyBorder="1" applyAlignment="1" applyProtection="1">
      <alignment horizontal="left" vertical="center" wrapText="1"/>
    </xf>
    <xf numFmtId="49" fontId="2" fillId="0" borderId="8" xfId="0" applyNumberFormat="1" applyFont="1" applyBorder="1" applyAlignment="1" applyProtection="1">
      <alignment horizontal="left" vertical="center" wrapText="1"/>
    </xf>
    <xf numFmtId="0" fontId="2" fillId="0" borderId="0" xfId="0" applyFont="1" applyBorder="1" applyAlignment="1" applyProtection="1">
      <alignment horizontal="left" vertical="top" wrapText="1"/>
    </xf>
    <xf numFmtId="0" fontId="2" fillId="0" borderId="3" xfId="0" applyFont="1" applyBorder="1" applyAlignment="1" applyProtection="1">
      <alignment horizontal="left" vertical="top" wrapText="1"/>
    </xf>
    <xf numFmtId="0" fontId="0" fillId="0" borderId="38" xfId="0" applyBorder="1" applyAlignment="1" applyProtection="1">
      <alignment horizontal="center"/>
    </xf>
    <xf numFmtId="0" fontId="0" fillId="0" borderId="39" xfId="0" applyBorder="1" applyAlignment="1" applyProtection="1">
      <alignment horizontal="center"/>
    </xf>
    <xf numFmtId="0" fontId="19" fillId="0" borderId="0" xfId="0" applyFont="1" applyFill="1" applyAlignment="1">
      <alignment horizontal="center"/>
    </xf>
    <xf numFmtId="0" fontId="9" fillId="0" borderId="0" xfId="0" applyFont="1" applyBorder="1" applyAlignment="1">
      <alignment horizontal="left" vertical="center"/>
    </xf>
    <xf numFmtId="0" fontId="18" fillId="0" borderId="0" xfId="0" applyFont="1" applyFill="1" applyAlignment="1">
      <alignment horizontal="center"/>
    </xf>
    <xf numFmtId="0" fontId="16" fillId="0" borderId="0" xfId="0" applyFont="1" applyFill="1" applyAlignment="1">
      <alignment horizontal="right" vertical="center"/>
    </xf>
    <xf numFmtId="0" fontId="6" fillId="0" borderId="0" xfId="0" applyFont="1" applyAlignment="1">
      <alignment horizontal="center"/>
    </xf>
    <xf numFmtId="0" fontId="0" fillId="0" borderId="0" xfId="0" applyAlignment="1">
      <alignment horizontal="center" vertical="top"/>
    </xf>
    <xf numFmtId="0" fontId="12" fillId="0" borderId="7" xfId="0" applyFont="1" applyBorder="1" applyAlignment="1" applyProtection="1">
      <alignment horizontal="center" vertical="top" wrapText="1"/>
    </xf>
    <xf numFmtId="0" fontId="12" fillId="0" borderId="0" xfId="0" applyFont="1" applyBorder="1" applyAlignment="1" applyProtection="1">
      <alignment horizontal="center" vertical="top" wrapText="1"/>
    </xf>
    <xf numFmtId="0" fontId="2" fillId="0" borderId="7" xfId="0" applyNumberFormat="1" applyFont="1" applyBorder="1" applyAlignment="1" applyProtection="1">
      <alignment horizontal="left" vertical="center" wrapText="1"/>
    </xf>
    <xf numFmtId="0" fontId="2" fillId="0" borderId="8" xfId="0" applyNumberFormat="1" applyFont="1" applyBorder="1" applyAlignment="1" applyProtection="1">
      <alignment horizontal="left" vertical="center" wrapText="1"/>
    </xf>
    <xf numFmtId="0" fontId="2" fillId="0" borderId="38" xfId="0" applyFont="1" applyBorder="1" applyAlignment="1" applyProtection="1">
      <alignment horizontal="left" vertical="top" wrapText="1"/>
    </xf>
    <xf numFmtId="0" fontId="2" fillId="0" borderId="39" xfId="0" applyFont="1" applyBorder="1" applyAlignment="1" applyProtection="1">
      <alignment horizontal="left" vertical="top" wrapText="1"/>
    </xf>
    <xf numFmtId="0" fontId="0" fillId="0" borderId="21" xfId="0" applyNumberFormat="1" applyBorder="1" applyAlignment="1" applyProtection="1">
      <alignment horizontal="center" vertical="center"/>
    </xf>
    <xf numFmtId="0" fontId="0" fillId="0" borderId="40" xfId="0" applyNumberFormat="1" applyBorder="1" applyAlignment="1" applyProtection="1">
      <alignment horizontal="center" vertical="center"/>
    </xf>
    <xf numFmtId="0" fontId="16" fillId="0" borderId="0" xfId="0" applyFont="1" applyFill="1" applyBorder="1" applyAlignment="1">
      <alignment horizontal="center" vertical="center"/>
    </xf>
    <xf numFmtId="0" fontId="6" fillId="0" borderId="0" xfId="0" applyFont="1" applyBorder="1" applyAlignment="1">
      <alignment horizontal="center"/>
    </xf>
    <xf numFmtId="0" fontId="14" fillId="0" borderId="20" xfId="0" applyFont="1" applyBorder="1" applyAlignment="1" applyProtection="1">
      <alignment horizontal="justify" vertical="center" wrapText="1"/>
    </xf>
    <xf numFmtId="0" fontId="0" fillId="0" borderId="0" xfId="0" applyBorder="1" applyAlignment="1" applyProtection="1">
      <alignment horizontal="justify" vertical="center" wrapText="1"/>
    </xf>
    <xf numFmtId="0" fontId="0" fillId="0" borderId="19" xfId="0" applyBorder="1" applyAlignment="1" applyProtection="1">
      <alignment horizontal="justify" vertical="center" wrapText="1"/>
    </xf>
    <xf numFmtId="0" fontId="0" fillId="0" borderId="20" xfId="0" applyBorder="1" applyAlignment="1" applyProtection="1">
      <alignment horizontal="justify" vertical="center" wrapText="1"/>
    </xf>
    <xf numFmtId="0" fontId="22" fillId="0" borderId="0" xfId="0" applyFont="1" applyFill="1" applyBorder="1" applyAlignment="1">
      <alignment horizontal="center" vertical="center"/>
    </xf>
    <xf numFmtId="0" fontId="42" fillId="0" borderId="0" xfId="0" applyFont="1" applyBorder="1" applyAlignment="1" applyProtection="1">
      <alignment horizontal="center"/>
    </xf>
  </cellXfs>
  <cellStyles count="112">
    <cellStyle name="20% - Énfasis1" xfId="23" builtinId="30" customBuiltin="1"/>
    <cellStyle name="20% - Énfasis2" xfId="27" builtinId="34" customBuiltin="1"/>
    <cellStyle name="20% - Énfasis3" xfId="31" builtinId="38" customBuiltin="1"/>
    <cellStyle name="20% - Énfasis4" xfId="35" builtinId="42" customBuiltin="1"/>
    <cellStyle name="20% - Énfasis5" xfId="39" builtinId="46" customBuiltin="1"/>
    <cellStyle name="20% - Énfasis6" xfId="43" builtinId="50" customBuiltin="1"/>
    <cellStyle name="40% - Énfasis1" xfId="24" builtinId="31" customBuiltin="1"/>
    <cellStyle name="40% - Énfasis2" xfId="28" builtinId="35" customBuiltin="1"/>
    <cellStyle name="40% - Énfasis3" xfId="32" builtinId="39" customBuiltin="1"/>
    <cellStyle name="40% - Énfasis4" xfId="36" builtinId="43" customBuiltin="1"/>
    <cellStyle name="40% - Énfasis5" xfId="40" builtinId="47" customBuiltin="1"/>
    <cellStyle name="40% - Énfasis6" xfId="44" builtinId="51" customBuiltin="1"/>
    <cellStyle name="60% - Énfasis1" xfId="25" builtinId="32" customBuiltin="1"/>
    <cellStyle name="60% - Énfasis2" xfId="29" builtinId="36" customBuiltin="1"/>
    <cellStyle name="60% - Énfasis3" xfId="33" builtinId="40" customBuiltin="1"/>
    <cellStyle name="60% - Énfasis4" xfId="37" builtinId="44" customBuiltin="1"/>
    <cellStyle name="60% - Énfasis5" xfId="41" builtinId="48" customBuiltin="1"/>
    <cellStyle name="60% - Énfasis6" xfId="45" builtinId="52" customBuiltin="1"/>
    <cellStyle name="Buena" xfId="11" builtinId="26" customBuiltin="1"/>
    <cellStyle name="Cálculo" xfId="16" builtinId="22" customBuiltin="1"/>
    <cellStyle name="Celda de comprobación" xfId="18" builtinId="23" customBuiltin="1"/>
    <cellStyle name="Celda vinculada" xfId="17" builtinId="24" customBuiltin="1"/>
    <cellStyle name="Encabezado 4" xfId="10" builtinId="19" customBuiltin="1"/>
    <cellStyle name="Énfasis1" xfId="22" builtinId="29" customBuiltin="1"/>
    <cellStyle name="Énfasis2" xfId="26" builtinId="33" customBuiltin="1"/>
    <cellStyle name="Énfasis3" xfId="30" builtinId="37" customBuiltin="1"/>
    <cellStyle name="Énfasis4" xfId="34" builtinId="41" customBuiltin="1"/>
    <cellStyle name="Énfasis5" xfId="38" builtinId="45" customBuiltin="1"/>
    <cellStyle name="Énfasis6" xfId="42" builtinId="49" customBuiltin="1"/>
    <cellStyle name="Entrada" xfId="14" builtinId="20" customBuiltin="1"/>
    <cellStyle name="Incorrecto" xfId="12" builtinId="27" customBuiltin="1"/>
    <cellStyle name="Millares" xfId="1" builtinId="3"/>
    <cellStyle name="Millares 2" xfId="107"/>
    <cellStyle name="Millares 3" xfId="106"/>
    <cellStyle name="Millares 4" xfId="110"/>
    <cellStyle name="Moneda" xfId="2" builtinId="4"/>
    <cellStyle name="Moneda 2" xfId="108"/>
    <cellStyle name="Moneda 3" xfId="111"/>
    <cellStyle name="Neutral" xfId="13" builtinId="28" customBuiltin="1"/>
    <cellStyle name="Normal" xfId="0" builtinId="0"/>
    <cellStyle name="Normal 10" xfId="101"/>
    <cellStyle name="Normal 11" xfId="102"/>
    <cellStyle name="Normal 12" xfId="103"/>
    <cellStyle name="Normal 13" xfId="104"/>
    <cellStyle name="Normal 14" xfId="105"/>
    <cellStyle name="Normal 15" xfId="109"/>
    <cellStyle name="Normal 2" xfId="46"/>
    <cellStyle name="Normal 2 10" xfId="48"/>
    <cellStyle name="Normal 2 11" xfId="55"/>
    <cellStyle name="Normal 2 12" xfId="76"/>
    <cellStyle name="Normal 2 13" xfId="69"/>
    <cellStyle name="Normal 2 14" xfId="79"/>
    <cellStyle name="Normal 2 15" xfId="72"/>
    <cellStyle name="Normal 2 16" xfId="82"/>
    <cellStyle name="Normal 2 17" xfId="86"/>
    <cellStyle name="Normal 2 18" xfId="90"/>
    <cellStyle name="Normal 2 19" xfId="94"/>
    <cellStyle name="Normal 2 2" xfId="58"/>
    <cellStyle name="Normal 2 2 10" xfId="73"/>
    <cellStyle name="Normal 2 2 11" xfId="83"/>
    <cellStyle name="Normal 2 2 12" xfId="87"/>
    <cellStyle name="Normal 2 2 13" xfId="91"/>
    <cellStyle name="Normal 2 2 14" xfId="95"/>
    <cellStyle name="Normal 2 2 2" xfId="59"/>
    <cellStyle name="Normal 2 2 2 10" xfId="85"/>
    <cellStyle name="Normal 2 2 2 11" xfId="89"/>
    <cellStyle name="Normal 2 2 2 12" xfId="93"/>
    <cellStyle name="Normal 2 2 2 13" xfId="97"/>
    <cellStyle name="Normal 2 2 2 14" xfId="99"/>
    <cellStyle name="Normal 2 2 2 2" xfId="60"/>
    <cellStyle name="Normal 2 2 2 3" xfId="49"/>
    <cellStyle name="Normal 2 2 2 4" xfId="54"/>
    <cellStyle name="Normal 2 2 2 5" xfId="75"/>
    <cellStyle name="Normal 2 2 2 6" xfId="57"/>
    <cellStyle name="Normal 2 2 2 7" xfId="78"/>
    <cellStyle name="Normal 2 2 2 8" xfId="71"/>
    <cellStyle name="Normal 2 2 2 9" xfId="81"/>
    <cellStyle name="Normal 2 2 3" xfId="50"/>
    <cellStyle name="Normal 2 2 4" xfId="53"/>
    <cellStyle name="Normal 2 2 5" xfId="47"/>
    <cellStyle name="Normal 2 2 6" xfId="56"/>
    <cellStyle name="Normal 2 2 7" xfId="77"/>
    <cellStyle name="Normal 2 2 8" xfId="70"/>
    <cellStyle name="Normal 2 2 9" xfId="80"/>
    <cellStyle name="Normal 2 3" xfId="61"/>
    <cellStyle name="Normal 2 4" xfId="62"/>
    <cellStyle name="Normal 2 5" xfId="63"/>
    <cellStyle name="Normal 2 6" xfId="64"/>
    <cellStyle name="Normal 2 7" xfId="65"/>
    <cellStyle name="Normal 2 8" xfId="51"/>
    <cellStyle name="Normal 2 9" xfId="52"/>
    <cellStyle name="Normal 20" xfId="66"/>
    <cellStyle name="Normal 20 2" xfId="67"/>
    <cellStyle name="Normal 3" xfId="74"/>
    <cellStyle name="Normal 38" xfId="4"/>
    <cellStyle name="Normal 4" xfId="84"/>
    <cellStyle name="Normal 5" xfId="88"/>
    <cellStyle name="Normal 6" xfId="92"/>
    <cellStyle name="Normal 7" xfId="96"/>
    <cellStyle name="Normal 8" xfId="98"/>
    <cellStyle name="Normal 9" xfId="100"/>
    <cellStyle name="Notas 2" xfId="68"/>
    <cellStyle name="Porcentual" xfId="3" builtinId="5"/>
    <cellStyle name="Salida" xfId="15" builtinId="21" customBuiltin="1"/>
    <cellStyle name="Texto de advertencia" xfId="19" builtinId="11" customBuiltin="1"/>
    <cellStyle name="Texto explicativo" xfId="20" builtinId="53" customBuiltin="1"/>
    <cellStyle name="Título" xfId="6" builtinId="15" customBuiltin="1"/>
    <cellStyle name="Título 1" xfId="7" builtinId="16" customBuiltin="1"/>
    <cellStyle name="Título 2" xfId="8" builtinId="17" customBuiltin="1"/>
    <cellStyle name="Título 3" xfId="9" builtinId="18" customBuiltin="1"/>
    <cellStyle name="Total" xfId="21" builtinId="25" customBuiltin="1"/>
    <cellStyle name="常规_合同附表" xfId="5"/>
  </cellStyles>
  <dxfs count="0"/>
  <tableStyles count="0" defaultTableStyle="TableStyleMedium9" defaultPivotStyle="PivotStyleLight16"/>
  <colors>
    <mruColors>
      <color rgb="FFFFFFCC"/>
    </mruColors>
  </colors>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28575</xdr:rowOff>
    </xdr:from>
    <xdr:to>
      <xdr:col>2</xdr:col>
      <xdr:colOff>219075</xdr:colOff>
      <xdr:row>4</xdr:row>
      <xdr:rowOff>171450</xdr:rowOff>
    </xdr:to>
    <xdr:pic>
      <xdr:nvPicPr>
        <xdr:cNvPr id="3" name="2 Imagen" descr="F:\RAZO LOGOTIPO FINAL .jpg"/>
        <xdr:cNvPicPr/>
      </xdr:nvPicPr>
      <xdr:blipFill>
        <a:blip xmlns:r="http://schemas.openxmlformats.org/officeDocument/2006/relationships" r:embed="rId1" cstate="print"/>
        <a:srcRect/>
        <a:stretch>
          <a:fillRect/>
        </a:stretch>
      </xdr:blipFill>
      <xdr:spPr bwMode="auto">
        <a:xfrm>
          <a:off x="9525" y="28575"/>
          <a:ext cx="1628775" cy="108585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38100</xdr:colOff>
      <xdr:row>5</xdr:row>
      <xdr:rowOff>38100</xdr:rowOff>
    </xdr:to>
    <xdr:pic>
      <xdr:nvPicPr>
        <xdr:cNvPr id="5" name="4 Imagen" descr="F:\RAZO LOGOTIPO FINAL .jpg"/>
        <xdr:cNvPicPr/>
      </xdr:nvPicPr>
      <xdr:blipFill>
        <a:blip xmlns:r="http://schemas.openxmlformats.org/officeDocument/2006/relationships" r:embed="rId1" cstate="print"/>
        <a:srcRect/>
        <a:stretch>
          <a:fillRect/>
        </a:stretch>
      </xdr:blipFill>
      <xdr:spPr bwMode="auto">
        <a:xfrm>
          <a:off x="9525" y="9525"/>
          <a:ext cx="1571625" cy="923925"/>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Documents%20and%20Settings\Compac%20Presario\Datos%20de%20programa\Microsoft\Excel\FACTURAS%202024.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FACTURAS"/>
      <sheetName val="COBRANZA"/>
      <sheetName val="CLIENTES"/>
      <sheetName val="PEDIDOS"/>
      <sheetName val="CATALOGO GASTOS"/>
      <sheetName val="FTO. GASTOS"/>
    </sheetNames>
    <sheetDataSet>
      <sheetData sheetId="0" refreshError="1"/>
      <sheetData sheetId="1" refreshError="1"/>
      <sheetData sheetId="2" refreshError="1">
        <row r="2">
          <cell r="A2">
            <v>1001</v>
          </cell>
          <cell r="B2" t="str">
            <v>ERNESTINA TOVAR MARQUEZ  (TEPEJI)</v>
          </cell>
          <cell r="C2" t="str">
            <v/>
          </cell>
          <cell r="D2" t="str">
            <v/>
          </cell>
          <cell r="E2" t="str">
            <v>TEPEJI DEL RIO, HGO.</v>
          </cell>
          <cell r="F2" t="str">
            <v/>
          </cell>
          <cell r="G2" t="str">
            <v/>
          </cell>
          <cell r="H2" t="str">
            <v/>
          </cell>
          <cell r="I2" t="str">
            <v/>
          </cell>
          <cell r="J2" t="str">
            <v>M04</v>
          </cell>
          <cell r="K2" t="str">
            <v/>
          </cell>
          <cell r="L2">
            <v>0</v>
          </cell>
          <cell r="M2">
            <v>1</v>
          </cell>
          <cell r="N2" t="str">
            <v>A</v>
          </cell>
          <cell r="O2">
            <v>41663</v>
          </cell>
          <cell r="P2" t="str">
            <v xml:space="preserve">    1</v>
          </cell>
          <cell r="Q2">
            <v>0</v>
          </cell>
          <cell r="R2">
            <v>0</v>
          </cell>
          <cell r="S2">
            <v>0</v>
          </cell>
          <cell r="T2">
            <v>10383</v>
          </cell>
          <cell r="U2">
            <v>0</v>
          </cell>
          <cell r="V2" t="str">
            <v/>
          </cell>
          <cell r="W2" t="str">
            <v/>
          </cell>
          <cell r="X2" t="str">
            <v/>
          </cell>
          <cell r="Y2" t="str">
            <v/>
          </cell>
          <cell r="Z2" t="str">
            <v/>
          </cell>
          <cell r="AA2" t="str">
            <v/>
          </cell>
          <cell r="AB2" t="str">
            <v xml:space="preserve">  DEV-141</v>
          </cell>
          <cell r="AC2" t="str">
            <v xml:space="preserve">  G0766</v>
          </cell>
          <cell r="AD2" t="str">
            <v/>
          </cell>
          <cell r="AE2" t="str">
            <v/>
          </cell>
          <cell r="AF2" t="str">
            <v/>
          </cell>
          <cell r="AG2">
            <v>41396</v>
          </cell>
          <cell r="AH2" t="str">
            <v>N</v>
          </cell>
          <cell r="AI2">
            <v>0</v>
          </cell>
          <cell r="AJ2">
            <v>0</v>
          </cell>
          <cell r="AK2">
            <v>0</v>
          </cell>
          <cell r="AL2">
            <v>-1414</v>
          </cell>
          <cell r="AM2">
            <v>200</v>
          </cell>
          <cell r="AN2">
            <v>0</v>
          </cell>
        </row>
        <row r="3">
          <cell r="A3">
            <v>1002</v>
          </cell>
          <cell r="B3" t="str">
            <v>ADRIANA CASTILLO SOTELO (TEPEJI)</v>
          </cell>
          <cell r="C3" t="str">
            <v/>
          </cell>
          <cell r="D3" t="str">
            <v>IGNACIO COMONFORT #14</v>
          </cell>
          <cell r="E3" t="str">
            <v>TEPEJI DEL RIO, HGO.</v>
          </cell>
          <cell r="F3" t="str">
            <v/>
          </cell>
          <cell r="G3" t="str">
            <v>(773) 733-2242</v>
          </cell>
          <cell r="H3" t="str">
            <v/>
          </cell>
          <cell r="I3" t="str">
            <v/>
          </cell>
          <cell r="J3" t="str">
            <v>BAJA</v>
          </cell>
          <cell r="K3" t="str">
            <v/>
          </cell>
          <cell r="L3">
            <v>0</v>
          </cell>
          <cell r="M3">
            <v>2</v>
          </cell>
          <cell r="N3" t="str">
            <v>S</v>
          </cell>
          <cell r="O3">
            <v>40681</v>
          </cell>
          <cell r="P3" t="str">
            <v xml:space="preserve">    1</v>
          </cell>
          <cell r="Q3">
            <v>0</v>
          </cell>
          <cell r="R3">
            <v>0</v>
          </cell>
          <cell r="S3">
            <v>0</v>
          </cell>
          <cell r="T3">
            <v>7049.5</v>
          </cell>
          <cell r="U3">
            <v>0</v>
          </cell>
          <cell r="V3" t="str">
            <v>NOXTONGO</v>
          </cell>
          <cell r="W3" t="str">
            <v/>
          </cell>
          <cell r="X3" t="str">
            <v/>
          </cell>
          <cell r="Y3" t="str">
            <v/>
          </cell>
          <cell r="Z3" t="str">
            <v/>
          </cell>
          <cell r="AA3" t="str">
            <v>(773) 733-2242</v>
          </cell>
          <cell r="AB3" t="str">
            <v/>
          </cell>
          <cell r="AC3" t="str">
            <v>5067A</v>
          </cell>
          <cell r="AD3" t="str">
            <v/>
          </cell>
          <cell r="AE3" t="str">
            <v/>
          </cell>
          <cell r="AF3" t="str">
            <v/>
          </cell>
          <cell r="AH3" t="str">
            <v>N</v>
          </cell>
          <cell r="AI3">
            <v>0</v>
          </cell>
          <cell r="AJ3">
            <v>0</v>
          </cell>
          <cell r="AK3">
            <v>0</v>
          </cell>
          <cell r="AL3">
            <v>0</v>
          </cell>
          <cell r="AM3">
            <v>172</v>
          </cell>
          <cell r="AN3">
            <v>0</v>
          </cell>
        </row>
        <row r="4">
          <cell r="A4">
            <v>1003</v>
          </cell>
          <cell r="B4" t="str">
            <v>MAGDALENA VELEZ FONTAINE (ROMERO)</v>
          </cell>
          <cell r="C4" t="str">
            <v/>
          </cell>
          <cell r="D4" t="str">
            <v>LOCAL MERCADO MUNICIPAL</v>
          </cell>
          <cell r="E4" t="str">
            <v>CUAUTITLAN, EDO. DE MEXICO</v>
          </cell>
          <cell r="F4" t="str">
            <v/>
          </cell>
          <cell r="G4" t="str">
            <v>(55) 3627-6333</v>
          </cell>
          <cell r="H4" t="str">
            <v/>
          </cell>
          <cell r="I4" t="str">
            <v/>
          </cell>
          <cell r="J4" t="str">
            <v>BAJA</v>
          </cell>
          <cell r="K4" t="str">
            <v/>
          </cell>
          <cell r="L4">
            <v>0</v>
          </cell>
          <cell r="M4">
            <v>3</v>
          </cell>
          <cell r="N4" t="str">
            <v>S</v>
          </cell>
          <cell r="O4">
            <v>41600</v>
          </cell>
          <cell r="P4" t="str">
            <v xml:space="preserve">    2</v>
          </cell>
          <cell r="Q4">
            <v>0</v>
          </cell>
          <cell r="R4">
            <v>0</v>
          </cell>
          <cell r="S4">
            <v>0</v>
          </cell>
          <cell r="T4">
            <v>48304</v>
          </cell>
          <cell r="U4">
            <v>0</v>
          </cell>
          <cell r="V4" t="str">
            <v>CENTRO</v>
          </cell>
          <cell r="W4" t="str">
            <v>62*304055*1</v>
          </cell>
          <cell r="X4" t="str">
            <v/>
          </cell>
          <cell r="Y4" t="str">
            <v/>
          </cell>
          <cell r="Z4" t="str">
            <v/>
          </cell>
          <cell r="AA4" t="str">
            <v>(55) 3627-6333</v>
          </cell>
          <cell r="AB4" t="str">
            <v xml:space="preserve">      DEV</v>
          </cell>
          <cell r="AC4" t="str">
            <v>M0697</v>
          </cell>
          <cell r="AD4" t="str">
            <v/>
          </cell>
          <cell r="AE4" t="str">
            <v/>
          </cell>
          <cell r="AF4" t="str">
            <v/>
          </cell>
          <cell r="AG4">
            <v>41395</v>
          </cell>
          <cell r="AH4" t="str">
            <v>N</v>
          </cell>
          <cell r="AI4">
            <v>0</v>
          </cell>
          <cell r="AJ4">
            <v>0</v>
          </cell>
          <cell r="AK4">
            <v>0</v>
          </cell>
          <cell r="AL4">
            <v>26</v>
          </cell>
          <cell r="AM4">
            <v>6696</v>
          </cell>
          <cell r="AN4">
            <v>0</v>
          </cell>
        </row>
        <row r="5">
          <cell r="A5">
            <v>1004</v>
          </cell>
          <cell r="B5" t="str">
            <v>CARLOS MORALES LOPEZ (C. IZCALLI)</v>
          </cell>
          <cell r="C5" t="str">
            <v/>
          </cell>
          <cell r="D5" t="str">
            <v>TEMOAYA #59 INTERIOR 9</v>
          </cell>
          <cell r="E5" t="str">
            <v>IZCALLI, EDO. DE MEXICO</v>
          </cell>
          <cell r="F5" t="str">
            <v>54700</v>
          </cell>
          <cell r="G5" t="str">
            <v>(55) 1676-5464</v>
          </cell>
          <cell r="H5" t="str">
            <v/>
          </cell>
          <cell r="I5" t="str">
            <v/>
          </cell>
          <cell r="J5" t="str">
            <v>BAJA</v>
          </cell>
          <cell r="K5" t="str">
            <v/>
          </cell>
          <cell r="L5">
            <v>0</v>
          </cell>
          <cell r="M5">
            <v>4</v>
          </cell>
          <cell r="N5" t="str">
            <v>S</v>
          </cell>
          <cell r="O5">
            <v>40743</v>
          </cell>
          <cell r="P5" t="str">
            <v xml:space="preserve">    1</v>
          </cell>
          <cell r="Q5">
            <v>0</v>
          </cell>
          <cell r="R5">
            <v>0</v>
          </cell>
          <cell r="S5">
            <v>0</v>
          </cell>
          <cell r="T5">
            <v>6718</v>
          </cell>
          <cell r="U5">
            <v>0</v>
          </cell>
          <cell r="V5" t="str">
            <v>CENTRO URBANO</v>
          </cell>
          <cell r="W5" t="str">
            <v/>
          </cell>
          <cell r="X5" t="str">
            <v>capancich@hotmail.com</v>
          </cell>
          <cell r="Y5" t="str">
            <v/>
          </cell>
          <cell r="Z5" t="str">
            <v/>
          </cell>
          <cell r="AA5" t="str">
            <v>(55) 1676-5464</v>
          </cell>
          <cell r="AB5" t="str">
            <v xml:space="preserve">  DEV-014</v>
          </cell>
          <cell r="AC5" t="str">
            <v xml:space="preserve">     14</v>
          </cell>
          <cell r="AD5" t="str">
            <v/>
          </cell>
          <cell r="AE5" t="str">
            <v/>
          </cell>
          <cell r="AF5" t="str">
            <v/>
          </cell>
          <cell r="AG5">
            <v>40743</v>
          </cell>
          <cell r="AH5" t="str">
            <v>N</v>
          </cell>
          <cell r="AI5">
            <v>0</v>
          </cell>
          <cell r="AJ5">
            <v>0</v>
          </cell>
          <cell r="AK5">
            <v>0</v>
          </cell>
          <cell r="AL5">
            <v>1533</v>
          </cell>
          <cell r="AM5">
            <v>1574</v>
          </cell>
          <cell r="AN5">
            <v>0</v>
          </cell>
        </row>
        <row r="6">
          <cell r="A6">
            <v>1005</v>
          </cell>
          <cell r="B6" t="str">
            <v>ESPERANZA SANCHEZ REYES (TULTEPEC)</v>
          </cell>
          <cell r="C6" t="str">
            <v/>
          </cell>
          <cell r="D6" t="str">
            <v>AV. JOAQUIN MONTENEGRO #6</v>
          </cell>
          <cell r="E6" t="str">
            <v>TULTEPEC, EDO. DE MEXICO</v>
          </cell>
          <cell r="F6" t="str">
            <v>54960</v>
          </cell>
          <cell r="G6" t="str">
            <v>(55) 5892-4618</v>
          </cell>
          <cell r="H6" t="str">
            <v/>
          </cell>
          <cell r="I6" t="str">
            <v/>
          </cell>
          <cell r="J6" t="str">
            <v>M01</v>
          </cell>
          <cell r="K6" t="str">
            <v/>
          </cell>
          <cell r="L6">
            <v>0</v>
          </cell>
          <cell r="M6">
            <v>5</v>
          </cell>
          <cell r="N6" t="str">
            <v>A</v>
          </cell>
          <cell r="O6">
            <v>41734</v>
          </cell>
          <cell r="P6" t="str">
            <v xml:space="preserve">    1</v>
          </cell>
          <cell r="Q6">
            <v>0</v>
          </cell>
          <cell r="R6">
            <v>0</v>
          </cell>
          <cell r="S6">
            <v>0</v>
          </cell>
          <cell r="T6">
            <v>70274.5</v>
          </cell>
          <cell r="U6">
            <v>0</v>
          </cell>
          <cell r="V6" t="str">
            <v>BARRIO SAN RAFAEL</v>
          </cell>
          <cell r="W6" t="str">
            <v/>
          </cell>
          <cell r="X6" t="str">
            <v/>
          </cell>
          <cell r="Y6" t="str">
            <v/>
          </cell>
          <cell r="Z6" t="str">
            <v/>
          </cell>
          <cell r="AA6" t="str">
            <v>(55) 5892-4618</v>
          </cell>
          <cell r="AB6" t="str">
            <v xml:space="preserve">   DEV-75</v>
          </cell>
          <cell r="AC6" t="str">
            <v>M0883</v>
          </cell>
          <cell r="AD6" t="str">
            <v/>
          </cell>
          <cell r="AE6" t="str">
            <v/>
          </cell>
          <cell r="AF6" t="str">
            <v/>
          </cell>
          <cell r="AG6">
            <v>41085</v>
          </cell>
          <cell r="AH6" t="str">
            <v>N</v>
          </cell>
          <cell r="AI6">
            <v>0</v>
          </cell>
          <cell r="AJ6">
            <v>0</v>
          </cell>
          <cell r="AK6">
            <v>0</v>
          </cell>
          <cell r="AL6">
            <v>951</v>
          </cell>
          <cell r="AM6">
            <v>6042</v>
          </cell>
          <cell r="AN6">
            <v>0</v>
          </cell>
        </row>
        <row r="7">
          <cell r="A7">
            <v>1006</v>
          </cell>
          <cell r="B7" t="str">
            <v>ROSARIO JIMENEZ CARMONA (ECATEPEC)</v>
          </cell>
          <cell r="C7" t="str">
            <v/>
          </cell>
          <cell r="D7" t="str">
            <v>MERCADO DE SAN CRISTOBAL LOCAL 87</v>
          </cell>
          <cell r="E7" t="str">
            <v>ECATEPEC, EDO. DE MEXICO</v>
          </cell>
          <cell r="F7" t="str">
            <v/>
          </cell>
          <cell r="G7" t="str">
            <v>(55) 5116-6443</v>
          </cell>
          <cell r="H7" t="str">
            <v/>
          </cell>
          <cell r="I7" t="str">
            <v/>
          </cell>
          <cell r="J7" t="str">
            <v>M03</v>
          </cell>
          <cell r="K7" t="str">
            <v/>
          </cell>
          <cell r="L7">
            <v>0</v>
          </cell>
          <cell r="M7">
            <v>6</v>
          </cell>
          <cell r="N7" t="str">
            <v>A</v>
          </cell>
          <cell r="O7">
            <v>42275</v>
          </cell>
          <cell r="P7" t="str">
            <v xml:space="preserve">    1</v>
          </cell>
          <cell r="Q7">
            <v>0</v>
          </cell>
          <cell r="R7">
            <v>0</v>
          </cell>
          <cell r="S7">
            <v>0</v>
          </cell>
          <cell r="T7">
            <v>69540.5</v>
          </cell>
          <cell r="U7">
            <v>0</v>
          </cell>
          <cell r="V7" t="str">
            <v>SAN CRISTOBAL</v>
          </cell>
          <cell r="W7" t="str">
            <v/>
          </cell>
          <cell r="X7" t="str">
            <v/>
          </cell>
          <cell r="Y7" t="str">
            <v/>
          </cell>
          <cell r="Z7" t="str">
            <v/>
          </cell>
          <cell r="AA7" t="str">
            <v>(55) 5116-6443</v>
          </cell>
          <cell r="AB7" t="str">
            <v/>
          </cell>
          <cell r="AC7" t="str">
            <v>I10340</v>
          </cell>
          <cell r="AD7" t="str">
            <v/>
          </cell>
          <cell r="AE7" t="str">
            <v/>
          </cell>
          <cell r="AF7" t="str">
            <v/>
          </cell>
          <cell r="AH7" t="str">
            <v>N</v>
          </cell>
          <cell r="AI7">
            <v>0</v>
          </cell>
          <cell r="AJ7">
            <v>0</v>
          </cell>
          <cell r="AK7">
            <v>0</v>
          </cell>
          <cell r="AL7">
            <v>0</v>
          </cell>
          <cell r="AM7">
            <v>945</v>
          </cell>
          <cell r="AN7">
            <v>0</v>
          </cell>
        </row>
        <row r="8">
          <cell r="A8">
            <v>1007</v>
          </cell>
          <cell r="B8" t="str">
            <v>SILVIA PEREZ LOPEZ (BOSQUES)</v>
          </cell>
          <cell r="C8" t="str">
            <v/>
          </cell>
          <cell r="D8" t="str">
            <v>BOULEVARD DE BOSQUES CENTRAL # 88-A</v>
          </cell>
          <cell r="E8" t="str">
            <v>COACALCO, EDO. DE MEXICO</v>
          </cell>
          <cell r="F8" t="str">
            <v/>
          </cell>
          <cell r="G8" t="str">
            <v>(55) 1358-4502 CEL</v>
          </cell>
          <cell r="H8" t="str">
            <v/>
          </cell>
          <cell r="I8" t="str">
            <v/>
          </cell>
          <cell r="J8" t="str">
            <v>BAJA</v>
          </cell>
          <cell r="K8" t="str">
            <v/>
          </cell>
          <cell r="L8">
            <v>0</v>
          </cell>
          <cell r="M8">
            <v>7</v>
          </cell>
          <cell r="N8" t="str">
            <v>S</v>
          </cell>
          <cell r="O8">
            <v>40954</v>
          </cell>
          <cell r="P8" t="str">
            <v xml:space="preserve">    1</v>
          </cell>
          <cell r="Q8">
            <v>0</v>
          </cell>
          <cell r="R8">
            <v>0</v>
          </cell>
          <cell r="S8">
            <v>0</v>
          </cell>
          <cell r="T8">
            <v>21454</v>
          </cell>
          <cell r="U8">
            <v>0</v>
          </cell>
          <cell r="V8" t="str">
            <v>BOSQUES DEL VALLE</v>
          </cell>
          <cell r="W8" t="str">
            <v/>
          </cell>
          <cell r="X8" t="str">
            <v/>
          </cell>
          <cell r="Y8" t="str">
            <v/>
          </cell>
          <cell r="Z8" t="str">
            <v/>
          </cell>
          <cell r="AA8" t="str">
            <v>(55) 1358-4502 CEL</v>
          </cell>
          <cell r="AB8" t="str">
            <v xml:space="preserve">   DEV-46</v>
          </cell>
          <cell r="AC8" t="str">
            <v xml:space="preserve">     57</v>
          </cell>
          <cell r="AD8" t="str">
            <v/>
          </cell>
          <cell r="AE8" t="str">
            <v/>
          </cell>
          <cell r="AF8" t="str">
            <v/>
          </cell>
          <cell r="AG8">
            <v>40898</v>
          </cell>
          <cell r="AH8" t="str">
            <v>N</v>
          </cell>
          <cell r="AI8">
            <v>0</v>
          </cell>
          <cell r="AJ8">
            <v>0</v>
          </cell>
          <cell r="AK8">
            <v>0</v>
          </cell>
          <cell r="AL8">
            <v>765</v>
          </cell>
          <cell r="AM8">
            <v>1545</v>
          </cell>
          <cell r="AN8">
            <v>0</v>
          </cell>
        </row>
        <row r="9">
          <cell r="A9">
            <v>1008</v>
          </cell>
          <cell r="B9" t="str">
            <v>LEONOR GONZALEZ MONDRAGON (VILLA)</v>
          </cell>
          <cell r="C9" t="str">
            <v/>
          </cell>
          <cell r="D9" t="str">
            <v>CONJUNTO COMERCIAL HARIMOSAS L-</v>
          </cell>
          <cell r="E9" t="str">
            <v>COACALCO, EDO. DE MEXICO</v>
          </cell>
          <cell r="F9" t="str">
            <v/>
          </cell>
          <cell r="G9" t="str">
            <v>(55) 3490-9196</v>
          </cell>
          <cell r="H9" t="str">
            <v/>
          </cell>
          <cell r="I9" t="str">
            <v/>
          </cell>
          <cell r="J9" t="str">
            <v>BAJA</v>
          </cell>
          <cell r="K9" t="str">
            <v/>
          </cell>
          <cell r="L9">
            <v>0</v>
          </cell>
          <cell r="M9">
            <v>8</v>
          </cell>
          <cell r="N9" t="str">
            <v>S</v>
          </cell>
          <cell r="O9">
            <v>40620</v>
          </cell>
          <cell r="P9" t="str">
            <v xml:space="preserve">    1</v>
          </cell>
          <cell r="Q9">
            <v>0</v>
          </cell>
          <cell r="R9">
            <v>0</v>
          </cell>
          <cell r="S9">
            <v>0</v>
          </cell>
          <cell r="T9">
            <v>2165</v>
          </cell>
          <cell r="U9">
            <v>0</v>
          </cell>
          <cell r="V9" t="str">
            <v>VILLA DE LAS FLORES</v>
          </cell>
          <cell r="W9" t="str">
            <v/>
          </cell>
          <cell r="X9" t="str">
            <v/>
          </cell>
          <cell r="Y9" t="str">
            <v/>
          </cell>
          <cell r="Z9" t="str">
            <v/>
          </cell>
          <cell r="AA9" t="str">
            <v>(55) 3490-9196</v>
          </cell>
          <cell r="AB9" t="str">
            <v/>
          </cell>
          <cell r="AC9" t="str">
            <v xml:space="preserve">   4868</v>
          </cell>
          <cell r="AD9" t="str">
            <v/>
          </cell>
          <cell r="AE9" t="str">
            <v/>
          </cell>
          <cell r="AF9" t="str">
            <v/>
          </cell>
          <cell r="AH9" t="str">
            <v>N</v>
          </cell>
          <cell r="AI9">
            <v>0</v>
          </cell>
          <cell r="AJ9">
            <v>0</v>
          </cell>
          <cell r="AK9">
            <v>0</v>
          </cell>
          <cell r="AL9">
            <v>0</v>
          </cell>
          <cell r="AM9">
            <v>296</v>
          </cell>
          <cell r="AN9">
            <v>0</v>
          </cell>
        </row>
        <row r="10">
          <cell r="A10">
            <v>1009</v>
          </cell>
          <cell r="B10" t="str">
            <v>MARIELA RIOS LOPEZ (VILLA)</v>
          </cell>
          <cell r="C10" t="str">
            <v/>
          </cell>
          <cell r="D10" t="str">
            <v>BOULEVARD COACALCO # 404</v>
          </cell>
          <cell r="E10" t="str">
            <v>COACALCO, EDO. DE MEXICO</v>
          </cell>
          <cell r="F10" t="str">
            <v/>
          </cell>
          <cell r="G10" t="str">
            <v>(55) 3911-3022</v>
          </cell>
          <cell r="H10" t="str">
            <v/>
          </cell>
          <cell r="I10" t="str">
            <v/>
          </cell>
          <cell r="J10" t="str">
            <v>BAJA</v>
          </cell>
          <cell r="K10" t="str">
            <v/>
          </cell>
          <cell r="L10">
            <v>0</v>
          </cell>
          <cell r="M10">
            <v>9</v>
          </cell>
          <cell r="N10" t="str">
            <v>S</v>
          </cell>
          <cell r="O10">
            <v>41023</v>
          </cell>
          <cell r="P10" t="str">
            <v xml:space="preserve">    1</v>
          </cell>
          <cell r="Q10">
            <v>0</v>
          </cell>
          <cell r="R10">
            <v>0</v>
          </cell>
          <cell r="S10">
            <v>0</v>
          </cell>
          <cell r="T10">
            <v>3948</v>
          </cell>
          <cell r="U10">
            <v>0</v>
          </cell>
          <cell r="V10" t="str">
            <v>VILLA DE LAS FLORES</v>
          </cell>
          <cell r="W10" t="str">
            <v/>
          </cell>
          <cell r="X10" t="str">
            <v/>
          </cell>
          <cell r="Y10" t="str">
            <v/>
          </cell>
          <cell r="Z10" t="str">
            <v/>
          </cell>
          <cell r="AA10" t="str">
            <v>(55) 3911-3022</v>
          </cell>
          <cell r="AB10" t="str">
            <v xml:space="preserve">      DEV</v>
          </cell>
          <cell r="AC10" t="str">
            <v xml:space="preserve">   7674</v>
          </cell>
          <cell r="AD10" t="str">
            <v/>
          </cell>
          <cell r="AE10" t="str">
            <v/>
          </cell>
          <cell r="AF10" t="str">
            <v/>
          </cell>
          <cell r="AG10">
            <v>40757</v>
          </cell>
          <cell r="AH10" t="str">
            <v>N</v>
          </cell>
          <cell r="AI10">
            <v>0</v>
          </cell>
          <cell r="AJ10">
            <v>0</v>
          </cell>
          <cell r="AK10">
            <v>0</v>
          </cell>
          <cell r="AL10">
            <v>173</v>
          </cell>
          <cell r="AM10">
            <v>2483</v>
          </cell>
          <cell r="AN10">
            <v>0</v>
          </cell>
        </row>
        <row r="11">
          <cell r="A11">
            <v>1010</v>
          </cell>
          <cell r="B11" t="str">
            <v>JOSEFINA VELAZQUEZ HERNANDEZ (VILLA)</v>
          </cell>
          <cell r="C11" t="str">
            <v/>
          </cell>
          <cell r="D11" t="str">
            <v>MERCADO DE VILLA LOCAL 66</v>
          </cell>
          <cell r="E11" t="str">
            <v>COACALCO, EDO. DE MEXICO</v>
          </cell>
          <cell r="F11" t="str">
            <v/>
          </cell>
          <cell r="G11" t="str">
            <v>(55) 5879-1542</v>
          </cell>
          <cell r="H11" t="str">
            <v>JOSEFINA VELAZQUEZ</v>
          </cell>
          <cell r="I11" t="str">
            <v>JOSEFINA VELAZQUEZ</v>
          </cell>
          <cell r="J11" t="str">
            <v>M01</v>
          </cell>
          <cell r="K11" t="str">
            <v/>
          </cell>
          <cell r="L11">
            <v>0</v>
          </cell>
          <cell r="M11">
            <v>10</v>
          </cell>
          <cell r="N11" t="str">
            <v>A</v>
          </cell>
          <cell r="O11">
            <v>42461</v>
          </cell>
          <cell r="P11" t="str">
            <v xml:space="preserve">    1</v>
          </cell>
          <cell r="Q11">
            <v>0</v>
          </cell>
          <cell r="R11">
            <v>0</v>
          </cell>
          <cell r="S11">
            <v>5672</v>
          </cell>
          <cell r="T11">
            <v>127204</v>
          </cell>
          <cell r="U11">
            <v>0</v>
          </cell>
          <cell r="V11" t="str">
            <v>VILLA DE LAS FLORES</v>
          </cell>
          <cell r="W11" t="str">
            <v/>
          </cell>
          <cell r="X11" t="str">
            <v/>
          </cell>
          <cell r="Y11" t="str">
            <v/>
          </cell>
          <cell r="Z11" t="str">
            <v/>
          </cell>
          <cell r="AA11" t="str">
            <v>(55) 5879-1542</v>
          </cell>
          <cell r="AB11" t="str">
            <v/>
          </cell>
          <cell r="AC11" t="str">
            <v>M942823</v>
          </cell>
          <cell r="AD11" t="str">
            <v/>
          </cell>
          <cell r="AE11" t="str">
            <v/>
          </cell>
          <cell r="AF11" t="str">
            <v/>
          </cell>
          <cell r="AH11" t="str">
            <v>N</v>
          </cell>
          <cell r="AI11">
            <v>0</v>
          </cell>
          <cell r="AJ11">
            <v>0</v>
          </cell>
          <cell r="AK11">
            <v>0</v>
          </cell>
          <cell r="AL11">
            <v>0</v>
          </cell>
          <cell r="AM11">
            <v>2135</v>
          </cell>
          <cell r="AN11">
            <v>0</v>
          </cell>
        </row>
        <row r="12">
          <cell r="A12">
            <v>1011</v>
          </cell>
          <cell r="B12" t="str">
            <v>MONICA CHAVEZ GOMEZ (ATIZAPAN)</v>
          </cell>
          <cell r="C12" t="str">
            <v>TABITAS</v>
          </cell>
          <cell r="D12" t="str">
            <v>MOCTEZUMA #12</v>
          </cell>
          <cell r="E12" t="str">
            <v>ATIZAPAN, EDO. DE MEXICO</v>
          </cell>
          <cell r="F12" t="str">
            <v/>
          </cell>
          <cell r="G12" t="str">
            <v>(55) 5884-2988</v>
          </cell>
          <cell r="H12" t="str">
            <v/>
          </cell>
          <cell r="I12" t="str">
            <v/>
          </cell>
          <cell r="J12" t="str">
            <v>M02</v>
          </cell>
          <cell r="K12" t="str">
            <v/>
          </cell>
          <cell r="L12">
            <v>0</v>
          </cell>
          <cell r="M12">
            <v>11</v>
          </cell>
          <cell r="N12" t="str">
            <v>A</v>
          </cell>
          <cell r="O12">
            <v>42275</v>
          </cell>
          <cell r="P12" t="str">
            <v xml:space="preserve">    1</v>
          </cell>
          <cell r="Q12">
            <v>0</v>
          </cell>
          <cell r="R12">
            <v>0</v>
          </cell>
          <cell r="S12">
            <v>2619</v>
          </cell>
          <cell r="T12">
            <v>104006</v>
          </cell>
          <cell r="U12">
            <v>0</v>
          </cell>
          <cell r="V12" t="str">
            <v>SN MIGUEL XOCHIMANGA</v>
          </cell>
          <cell r="W12" t="str">
            <v>(55) 5311-0590 CASA</v>
          </cell>
          <cell r="X12" t="str">
            <v/>
          </cell>
          <cell r="Y12" t="str">
            <v/>
          </cell>
          <cell r="Z12" t="str">
            <v/>
          </cell>
          <cell r="AA12" t="str">
            <v>(55) 5884-2988</v>
          </cell>
          <cell r="AB12" t="str">
            <v/>
          </cell>
          <cell r="AC12" t="str">
            <v>I10341</v>
          </cell>
          <cell r="AD12" t="str">
            <v/>
          </cell>
          <cell r="AE12" t="str">
            <v/>
          </cell>
          <cell r="AF12" t="str">
            <v/>
          </cell>
          <cell r="AH12" t="str">
            <v>N</v>
          </cell>
          <cell r="AI12">
            <v>0</v>
          </cell>
          <cell r="AJ12">
            <v>0</v>
          </cell>
          <cell r="AK12">
            <v>0</v>
          </cell>
          <cell r="AL12">
            <v>0</v>
          </cell>
          <cell r="AM12">
            <v>2415</v>
          </cell>
          <cell r="AN12">
            <v>0</v>
          </cell>
        </row>
        <row r="13">
          <cell r="A13">
            <v>1012</v>
          </cell>
          <cell r="B13" t="str">
            <v>JOSEFINA CARMEN CONTRERAS MARTINEZ (MELCHOR OC</v>
          </cell>
          <cell r="C13" t="str">
            <v/>
          </cell>
          <cell r="D13" t="str">
            <v>BLVD. CENTENARIO HIMNO NACIONAL #2 L-C</v>
          </cell>
          <cell r="E13" t="str">
            <v>MELCHOR OCAMPO, EDO. DE MEXICO</v>
          </cell>
          <cell r="F13" t="str">
            <v/>
          </cell>
          <cell r="G13" t="str">
            <v>(55) 5878-4267</v>
          </cell>
          <cell r="H13" t="str">
            <v/>
          </cell>
          <cell r="I13" t="str">
            <v/>
          </cell>
          <cell r="J13" t="str">
            <v>BAJA</v>
          </cell>
          <cell r="K13" t="str">
            <v/>
          </cell>
          <cell r="L13">
            <v>0</v>
          </cell>
          <cell r="M13">
            <v>12</v>
          </cell>
          <cell r="N13" t="str">
            <v>S</v>
          </cell>
          <cell r="O13">
            <v>41390</v>
          </cell>
          <cell r="P13" t="str">
            <v xml:space="preserve">    1</v>
          </cell>
          <cell r="Q13">
            <v>0</v>
          </cell>
          <cell r="R13">
            <v>0</v>
          </cell>
          <cell r="S13">
            <v>0</v>
          </cell>
          <cell r="T13">
            <v>18409</v>
          </cell>
          <cell r="U13">
            <v>0</v>
          </cell>
          <cell r="V13" t="str">
            <v>CENTRO</v>
          </cell>
          <cell r="W13" t="str">
            <v/>
          </cell>
          <cell r="X13" t="str">
            <v/>
          </cell>
          <cell r="Y13" t="str">
            <v/>
          </cell>
          <cell r="Z13" t="str">
            <v/>
          </cell>
          <cell r="AA13" t="str">
            <v>(55) 5878-4267</v>
          </cell>
          <cell r="AB13" t="str">
            <v/>
          </cell>
          <cell r="AC13" t="str">
            <v>M0454</v>
          </cell>
          <cell r="AD13" t="str">
            <v/>
          </cell>
          <cell r="AE13" t="str">
            <v/>
          </cell>
          <cell r="AF13" t="str">
            <v/>
          </cell>
          <cell r="AH13" t="str">
            <v>N</v>
          </cell>
          <cell r="AI13">
            <v>0</v>
          </cell>
          <cell r="AJ13">
            <v>0</v>
          </cell>
          <cell r="AK13">
            <v>0</v>
          </cell>
          <cell r="AL13">
            <v>0</v>
          </cell>
          <cell r="AM13">
            <v>7504</v>
          </cell>
          <cell r="AN13">
            <v>0</v>
          </cell>
        </row>
        <row r="14">
          <cell r="A14">
            <v>1013</v>
          </cell>
          <cell r="B14" t="str">
            <v>ESTELA CASAS REYES (TEOLOYUCAN)</v>
          </cell>
          <cell r="C14" t="str">
            <v/>
          </cell>
          <cell r="D14" t="str">
            <v>AV. 5 DE MAYO # 5</v>
          </cell>
          <cell r="E14" t="str">
            <v>TEOLOYUCAN, EDO. DE MEXICO</v>
          </cell>
          <cell r="F14" t="str">
            <v/>
          </cell>
          <cell r="G14" t="str">
            <v>(55) 2093-8829 CEL</v>
          </cell>
          <cell r="H14" t="str">
            <v/>
          </cell>
          <cell r="I14" t="str">
            <v/>
          </cell>
          <cell r="J14" t="str">
            <v>M01</v>
          </cell>
          <cell r="K14" t="str">
            <v/>
          </cell>
          <cell r="L14">
            <v>0</v>
          </cell>
          <cell r="M14">
            <v>13</v>
          </cell>
          <cell r="N14" t="str">
            <v>A</v>
          </cell>
          <cell r="O14">
            <v>42460</v>
          </cell>
          <cell r="P14" t="str">
            <v xml:space="preserve">    1</v>
          </cell>
          <cell r="Q14">
            <v>0</v>
          </cell>
          <cell r="R14">
            <v>0</v>
          </cell>
          <cell r="S14">
            <v>3422</v>
          </cell>
          <cell r="T14">
            <v>167915.30000000002</v>
          </cell>
          <cell r="U14">
            <v>0</v>
          </cell>
          <cell r="V14" t="str">
            <v>BARRIO DE CUAXOXOCA</v>
          </cell>
          <cell r="W14" t="str">
            <v/>
          </cell>
          <cell r="X14" t="str">
            <v/>
          </cell>
          <cell r="Y14" t="str">
            <v/>
          </cell>
          <cell r="Z14" t="str">
            <v/>
          </cell>
          <cell r="AA14" t="str">
            <v>(55) 2093-8829 CEL</v>
          </cell>
          <cell r="AB14" t="str">
            <v xml:space="preserve">      DEV</v>
          </cell>
          <cell r="AC14" t="str">
            <v>M942820</v>
          </cell>
          <cell r="AD14" t="str">
            <v/>
          </cell>
          <cell r="AE14" t="str">
            <v/>
          </cell>
          <cell r="AF14" t="str">
            <v/>
          </cell>
          <cell r="AG14">
            <v>40693</v>
          </cell>
          <cell r="AH14" t="str">
            <v>N</v>
          </cell>
          <cell r="AI14">
            <v>0</v>
          </cell>
          <cell r="AJ14">
            <v>0</v>
          </cell>
          <cell r="AK14">
            <v>0</v>
          </cell>
          <cell r="AL14">
            <v>115</v>
          </cell>
          <cell r="AM14">
            <v>3229</v>
          </cell>
          <cell r="AN14">
            <v>0</v>
          </cell>
        </row>
        <row r="15">
          <cell r="A15">
            <v>1014</v>
          </cell>
          <cell r="B15" t="str">
            <v>CARINA EUGENIA CRUZ MAGAÑA (TEOLOYUCAN)</v>
          </cell>
          <cell r="C15" t="str">
            <v/>
          </cell>
          <cell r="D15" t="str">
            <v>AV. MORELIA # (PLAZA MAYECA)</v>
          </cell>
          <cell r="E15" t="str">
            <v>TEOLOYUCAN, EDO. DE MEXICO</v>
          </cell>
          <cell r="F15" t="str">
            <v/>
          </cell>
          <cell r="G15" t="str">
            <v>(55) 4609-9956 NXT</v>
          </cell>
          <cell r="H15" t="str">
            <v/>
          </cell>
          <cell r="I15" t="str">
            <v/>
          </cell>
          <cell r="J15" t="str">
            <v>BAJA</v>
          </cell>
          <cell r="K15" t="str">
            <v/>
          </cell>
          <cell r="L15">
            <v>0</v>
          </cell>
          <cell r="M15">
            <v>14</v>
          </cell>
          <cell r="N15" t="str">
            <v>S</v>
          </cell>
          <cell r="O15">
            <v>40686</v>
          </cell>
          <cell r="P15" t="str">
            <v xml:space="preserve">    1</v>
          </cell>
          <cell r="Q15">
            <v>0</v>
          </cell>
          <cell r="R15">
            <v>0</v>
          </cell>
          <cell r="S15">
            <v>0</v>
          </cell>
          <cell r="T15">
            <v>1322</v>
          </cell>
          <cell r="U15">
            <v>0</v>
          </cell>
          <cell r="V15" t="str">
            <v>BARRIO DE ZIMAPAN</v>
          </cell>
          <cell r="W15" t="str">
            <v>(55) 3980-7349 CEL</v>
          </cell>
          <cell r="X15" t="str">
            <v/>
          </cell>
          <cell r="Y15" t="str">
            <v/>
          </cell>
          <cell r="Z15" t="str">
            <v/>
          </cell>
          <cell r="AA15" t="str">
            <v>(55) 4609-9956 NXT</v>
          </cell>
          <cell r="AB15" t="str">
            <v xml:space="preserve">      N/C</v>
          </cell>
          <cell r="AC15" t="str">
            <v xml:space="preserve">      7</v>
          </cell>
          <cell r="AD15" t="str">
            <v/>
          </cell>
          <cell r="AE15" t="str">
            <v/>
          </cell>
          <cell r="AF15" t="str">
            <v/>
          </cell>
          <cell r="AG15">
            <v>40693</v>
          </cell>
          <cell r="AH15" t="str">
            <v>N</v>
          </cell>
          <cell r="AI15">
            <v>0</v>
          </cell>
          <cell r="AJ15">
            <v>0</v>
          </cell>
          <cell r="AK15">
            <v>0</v>
          </cell>
          <cell r="AL15">
            <v>12</v>
          </cell>
          <cell r="AM15">
            <v>952</v>
          </cell>
          <cell r="AN15">
            <v>0</v>
          </cell>
        </row>
        <row r="16">
          <cell r="A16">
            <v>1015</v>
          </cell>
          <cell r="B16" t="str">
            <v>RAQUEL HERNANDEZ MARTINEZ (APAXCO)</v>
          </cell>
          <cell r="C16" t="str">
            <v/>
          </cell>
          <cell r="D16" t="str">
            <v>ESTRELLA # 8</v>
          </cell>
          <cell r="E16" t="str">
            <v>APAXCO, EDO. DE MEXICO</v>
          </cell>
          <cell r="F16" t="str">
            <v/>
          </cell>
          <cell r="G16" t="str">
            <v>(55) 5998-0452</v>
          </cell>
          <cell r="H16" t="str">
            <v/>
          </cell>
          <cell r="I16" t="str">
            <v/>
          </cell>
          <cell r="J16" t="str">
            <v>BAJA</v>
          </cell>
          <cell r="K16" t="str">
            <v/>
          </cell>
          <cell r="L16">
            <v>0</v>
          </cell>
          <cell r="M16">
            <v>15</v>
          </cell>
          <cell r="N16" t="str">
            <v>S</v>
          </cell>
          <cell r="O16">
            <v>40609</v>
          </cell>
          <cell r="P16" t="str">
            <v xml:space="preserve">    1</v>
          </cell>
          <cell r="Q16">
            <v>0</v>
          </cell>
          <cell r="R16">
            <v>0</v>
          </cell>
          <cell r="S16">
            <v>0</v>
          </cell>
          <cell r="T16">
            <v>1990</v>
          </cell>
          <cell r="U16">
            <v>0</v>
          </cell>
          <cell r="V16" t="str">
            <v>CENTRO</v>
          </cell>
          <cell r="W16" t="str">
            <v/>
          </cell>
          <cell r="X16" t="str">
            <v/>
          </cell>
          <cell r="Y16" t="str">
            <v/>
          </cell>
          <cell r="Z16" t="str">
            <v/>
          </cell>
          <cell r="AA16" t="str">
            <v>(55) 5998-0452</v>
          </cell>
          <cell r="AB16" t="str">
            <v/>
          </cell>
          <cell r="AC16" t="str">
            <v>3225A</v>
          </cell>
          <cell r="AD16" t="str">
            <v/>
          </cell>
          <cell r="AE16" t="str">
            <v/>
          </cell>
          <cell r="AF16" t="str">
            <v/>
          </cell>
          <cell r="AH16" t="str">
            <v>N</v>
          </cell>
          <cell r="AI16">
            <v>0</v>
          </cell>
          <cell r="AJ16">
            <v>0</v>
          </cell>
          <cell r="AK16">
            <v>0</v>
          </cell>
          <cell r="AL16">
            <v>0</v>
          </cell>
          <cell r="AM16">
            <v>1990</v>
          </cell>
          <cell r="AN16">
            <v>0</v>
          </cell>
        </row>
        <row r="17">
          <cell r="A17">
            <v>1016</v>
          </cell>
          <cell r="B17" t="str">
            <v>ROSALINDA SAENZ SANCHEZ (POLOTITLAN)</v>
          </cell>
          <cell r="C17" t="str">
            <v/>
          </cell>
          <cell r="D17" t="str">
            <v>ZARAGOZA #20</v>
          </cell>
          <cell r="E17" t="str">
            <v>POLOTITLAN, EDO. DE MEXICO</v>
          </cell>
          <cell r="F17" t="str">
            <v>54200</v>
          </cell>
          <cell r="G17" t="str">
            <v/>
          </cell>
          <cell r="H17" t="str">
            <v/>
          </cell>
          <cell r="I17" t="str">
            <v/>
          </cell>
          <cell r="J17" t="str">
            <v>BAJA</v>
          </cell>
          <cell r="K17" t="str">
            <v/>
          </cell>
          <cell r="L17">
            <v>0</v>
          </cell>
          <cell r="M17">
            <v>16</v>
          </cell>
          <cell r="N17" t="str">
            <v>S</v>
          </cell>
          <cell r="O17">
            <v>40611</v>
          </cell>
          <cell r="P17" t="str">
            <v xml:space="preserve">    1</v>
          </cell>
          <cell r="Q17">
            <v>0</v>
          </cell>
          <cell r="R17">
            <v>0</v>
          </cell>
          <cell r="S17">
            <v>0</v>
          </cell>
          <cell r="T17">
            <v>279</v>
          </cell>
          <cell r="U17">
            <v>0</v>
          </cell>
          <cell r="V17" t="str">
            <v>CENTRO</v>
          </cell>
          <cell r="W17" t="str">
            <v/>
          </cell>
          <cell r="X17" t="str">
            <v/>
          </cell>
          <cell r="Y17" t="str">
            <v/>
          </cell>
          <cell r="Z17" t="str">
            <v/>
          </cell>
          <cell r="AA17" t="str">
            <v/>
          </cell>
          <cell r="AB17" t="str">
            <v/>
          </cell>
          <cell r="AC17" t="str">
            <v xml:space="preserve">   4851</v>
          </cell>
          <cell r="AD17" t="str">
            <v/>
          </cell>
          <cell r="AE17" t="str">
            <v/>
          </cell>
          <cell r="AF17" t="str">
            <v/>
          </cell>
          <cell r="AH17" t="str">
            <v>N</v>
          </cell>
          <cell r="AI17">
            <v>0</v>
          </cell>
          <cell r="AJ17">
            <v>0</v>
          </cell>
          <cell r="AK17">
            <v>0</v>
          </cell>
          <cell r="AL17">
            <v>0</v>
          </cell>
          <cell r="AM17">
            <v>279</v>
          </cell>
          <cell r="AN17">
            <v>0</v>
          </cell>
        </row>
        <row r="18">
          <cell r="A18">
            <v>1017</v>
          </cell>
          <cell r="B18" t="str">
            <v>YOLANDA MARTINEZ OLVERA (POLOTITLAN)</v>
          </cell>
          <cell r="C18" t="str">
            <v/>
          </cell>
          <cell r="D18" t="str">
            <v>MOCTEZUMA # 12</v>
          </cell>
          <cell r="E18" t="str">
            <v>POLOTITLAN, EDO. DE MEXICO</v>
          </cell>
          <cell r="F18" t="str">
            <v>54200</v>
          </cell>
          <cell r="G18" t="str">
            <v>(427) 266-0729</v>
          </cell>
          <cell r="H18" t="str">
            <v/>
          </cell>
          <cell r="I18" t="str">
            <v/>
          </cell>
          <cell r="J18" t="str">
            <v>F02</v>
          </cell>
          <cell r="K18" t="str">
            <v/>
          </cell>
          <cell r="L18">
            <v>0</v>
          </cell>
          <cell r="M18">
            <v>17</v>
          </cell>
          <cell r="N18" t="str">
            <v>A</v>
          </cell>
          <cell r="O18">
            <v>42268</v>
          </cell>
          <cell r="P18" t="str">
            <v xml:space="preserve">    1</v>
          </cell>
          <cell r="Q18">
            <v>0</v>
          </cell>
          <cell r="R18">
            <v>0</v>
          </cell>
          <cell r="S18">
            <v>0</v>
          </cell>
          <cell r="T18">
            <v>58136</v>
          </cell>
          <cell r="U18">
            <v>0</v>
          </cell>
          <cell r="V18" t="str">
            <v>CENTRO</v>
          </cell>
          <cell r="W18" t="str">
            <v>72*146565*2</v>
          </cell>
          <cell r="X18" t="str">
            <v/>
          </cell>
          <cell r="Y18" t="str">
            <v/>
          </cell>
          <cell r="Z18" t="str">
            <v/>
          </cell>
          <cell r="AA18" t="str">
            <v>(427) 266-0729</v>
          </cell>
          <cell r="AB18" t="str">
            <v/>
          </cell>
          <cell r="AC18" t="str">
            <v>F388</v>
          </cell>
          <cell r="AD18" t="str">
            <v/>
          </cell>
          <cell r="AE18" t="str">
            <v/>
          </cell>
          <cell r="AF18" t="str">
            <v/>
          </cell>
          <cell r="AH18" t="str">
            <v>N</v>
          </cell>
          <cell r="AI18">
            <v>0</v>
          </cell>
          <cell r="AJ18">
            <v>0</v>
          </cell>
          <cell r="AK18">
            <v>0</v>
          </cell>
          <cell r="AL18">
            <v>0</v>
          </cell>
          <cell r="AM18">
            <v>3225</v>
          </cell>
          <cell r="AN18">
            <v>0</v>
          </cell>
        </row>
        <row r="19">
          <cell r="A19">
            <v>1018</v>
          </cell>
          <cell r="B19" t="str">
            <v>MARIA DE LA LUZ CRUZ ARROYO (SAN LORENZO)</v>
          </cell>
          <cell r="C19" t="str">
            <v/>
          </cell>
          <cell r="D19" t="str">
            <v>INDEPENDENCIA # 19</v>
          </cell>
          <cell r="E19" t="str">
            <v>COACALCO, EDO. DE MEXICO</v>
          </cell>
          <cell r="F19" t="str">
            <v/>
          </cell>
          <cell r="G19" t="str">
            <v>(55) 5865-2666</v>
          </cell>
          <cell r="H19" t="str">
            <v/>
          </cell>
          <cell r="I19" t="str">
            <v/>
          </cell>
          <cell r="J19" t="str">
            <v>M01</v>
          </cell>
          <cell r="K19" t="str">
            <v/>
          </cell>
          <cell r="L19">
            <v>0</v>
          </cell>
          <cell r="M19">
            <v>23</v>
          </cell>
          <cell r="N19" t="str">
            <v>A</v>
          </cell>
          <cell r="O19">
            <v>42431</v>
          </cell>
          <cell r="P19" t="str">
            <v xml:space="preserve">    5</v>
          </cell>
          <cell r="Q19">
            <v>0</v>
          </cell>
          <cell r="R19">
            <v>0</v>
          </cell>
          <cell r="S19">
            <v>477</v>
          </cell>
          <cell r="T19">
            <v>82987.5</v>
          </cell>
          <cell r="U19">
            <v>0</v>
          </cell>
          <cell r="V19" t="str">
            <v>SAN LORENZO</v>
          </cell>
          <cell r="W19" t="str">
            <v>(55) 3156-9144 CEL</v>
          </cell>
          <cell r="X19" t="str">
            <v/>
          </cell>
          <cell r="Y19" t="str">
            <v/>
          </cell>
          <cell r="Z19" t="str">
            <v/>
          </cell>
          <cell r="AA19" t="str">
            <v>(55) 5865-2666</v>
          </cell>
          <cell r="AB19" t="str">
            <v xml:space="preserve">  DEV-326</v>
          </cell>
          <cell r="AC19" t="str">
            <v>M0112</v>
          </cell>
          <cell r="AD19" t="str">
            <v/>
          </cell>
          <cell r="AE19" t="str">
            <v/>
          </cell>
          <cell r="AF19" t="str">
            <v/>
          </cell>
          <cell r="AG19">
            <v>42395</v>
          </cell>
          <cell r="AH19" t="str">
            <v>N</v>
          </cell>
          <cell r="AI19">
            <v>0</v>
          </cell>
          <cell r="AJ19">
            <v>0</v>
          </cell>
          <cell r="AK19">
            <v>0</v>
          </cell>
          <cell r="AL19">
            <v>550</v>
          </cell>
          <cell r="AM19">
            <v>2477</v>
          </cell>
          <cell r="AN19">
            <v>0</v>
          </cell>
        </row>
        <row r="20">
          <cell r="A20">
            <v>1019</v>
          </cell>
          <cell r="B20" t="str">
            <v>LORENA MORALES CHAVEZ (SAN LORENZO)</v>
          </cell>
          <cell r="C20" t="str">
            <v/>
          </cell>
          <cell r="D20" t="str">
            <v>ABAZO # 58</v>
          </cell>
          <cell r="E20" t="str">
            <v>COACALCO, EDO. DE MEXICO</v>
          </cell>
          <cell r="F20" t="str">
            <v/>
          </cell>
          <cell r="G20" t="str">
            <v>(55) 2600-6086</v>
          </cell>
          <cell r="H20" t="str">
            <v/>
          </cell>
          <cell r="I20" t="str">
            <v/>
          </cell>
          <cell r="J20" t="str">
            <v>M01</v>
          </cell>
          <cell r="K20" t="str">
            <v/>
          </cell>
          <cell r="L20">
            <v>0</v>
          </cell>
          <cell r="M20">
            <v>24</v>
          </cell>
          <cell r="N20" t="str">
            <v>A</v>
          </cell>
          <cell r="O20">
            <v>42111</v>
          </cell>
          <cell r="P20" t="str">
            <v xml:space="preserve">    5</v>
          </cell>
          <cell r="Q20">
            <v>0</v>
          </cell>
          <cell r="R20">
            <v>0</v>
          </cell>
          <cell r="S20">
            <v>0</v>
          </cell>
          <cell r="T20">
            <v>64213</v>
          </cell>
          <cell r="U20">
            <v>0</v>
          </cell>
          <cell r="V20" t="str">
            <v>SAN LORENZO</v>
          </cell>
          <cell r="W20" t="str">
            <v/>
          </cell>
          <cell r="X20" t="str">
            <v/>
          </cell>
          <cell r="Y20" t="str">
            <v/>
          </cell>
          <cell r="Z20" t="str">
            <v/>
          </cell>
          <cell r="AA20" t="str">
            <v>(55) 2600-6086</v>
          </cell>
          <cell r="AB20" t="str">
            <v/>
          </cell>
          <cell r="AC20" t="str">
            <v>M223</v>
          </cell>
          <cell r="AD20" t="str">
            <v/>
          </cell>
          <cell r="AE20" t="str">
            <v/>
          </cell>
          <cell r="AF20" t="str">
            <v/>
          </cell>
          <cell r="AH20" t="str">
            <v>N</v>
          </cell>
          <cell r="AI20">
            <v>0</v>
          </cell>
          <cell r="AJ20">
            <v>0</v>
          </cell>
          <cell r="AK20">
            <v>0</v>
          </cell>
          <cell r="AL20">
            <v>0</v>
          </cell>
          <cell r="AM20">
            <v>1827</v>
          </cell>
          <cell r="AN20">
            <v>0</v>
          </cell>
        </row>
        <row r="21">
          <cell r="A21">
            <v>1020</v>
          </cell>
          <cell r="B21" t="str">
            <v>ISABEL GARCIA GARCIA (COYOTEPEC)</v>
          </cell>
          <cell r="C21" t="str">
            <v/>
          </cell>
          <cell r="D21" t="str">
            <v>MERCADO MUNICIPAL DE COYOTEPEC L-43</v>
          </cell>
          <cell r="E21" t="str">
            <v>COYOTEPEC, EDO. DE MEXICO</v>
          </cell>
          <cell r="F21" t="str">
            <v/>
          </cell>
          <cell r="G21" t="str">
            <v>(55) 4492-2180 CEL</v>
          </cell>
          <cell r="H21" t="str">
            <v/>
          </cell>
          <cell r="I21" t="str">
            <v/>
          </cell>
          <cell r="J21" t="str">
            <v>M01</v>
          </cell>
          <cell r="K21" t="str">
            <v/>
          </cell>
          <cell r="L21">
            <v>0</v>
          </cell>
          <cell r="M21">
            <v>25</v>
          </cell>
          <cell r="N21" t="str">
            <v>A</v>
          </cell>
          <cell r="O21">
            <v>42497</v>
          </cell>
          <cell r="P21" t="str">
            <v xml:space="preserve">    5</v>
          </cell>
          <cell r="Q21">
            <v>0</v>
          </cell>
          <cell r="R21">
            <v>0</v>
          </cell>
          <cell r="S21">
            <v>8120</v>
          </cell>
          <cell r="T21">
            <v>368741.23</v>
          </cell>
          <cell r="U21">
            <v>0</v>
          </cell>
          <cell r="V21" t="str">
            <v>CENTRO</v>
          </cell>
          <cell r="W21" t="str">
            <v>(55) 3191-3642 CEL MAMA</v>
          </cell>
          <cell r="X21" t="str">
            <v>(55) 4828-5605 LUPITA</v>
          </cell>
          <cell r="Y21" t="str">
            <v/>
          </cell>
          <cell r="Z21" t="str">
            <v/>
          </cell>
          <cell r="AA21" t="str">
            <v>(55) 4492-2180 CEL</v>
          </cell>
          <cell r="AB21" t="str">
            <v xml:space="preserve">  DEV-319</v>
          </cell>
          <cell r="AC21" t="str">
            <v>M111122</v>
          </cell>
          <cell r="AD21" t="str">
            <v/>
          </cell>
          <cell r="AE21" t="str">
            <v/>
          </cell>
          <cell r="AF21" t="str">
            <v/>
          </cell>
          <cell r="AG21">
            <v>42347</v>
          </cell>
          <cell r="AH21" t="str">
            <v>N</v>
          </cell>
          <cell r="AI21">
            <v>0</v>
          </cell>
          <cell r="AJ21">
            <v>0</v>
          </cell>
          <cell r="AK21">
            <v>0</v>
          </cell>
          <cell r="AL21">
            <v>405</v>
          </cell>
          <cell r="AM21">
            <v>1770</v>
          </cell>
          <cell r="AN21">
            <v>0</v>
          </cell>
        </row>
        <row r="22">
          <cell r="A22">
            <v>1021</v>
          </cell>
          <cell r="B22" t="str">
            <v>JOVITA SANDOVAL CHICO (COACALCO)</v>
          </cell>
          <cell r="C22" t="str">
            <v/>
          </cell>
          <cell r="D22" t="str">
            <v>IXTLEMEMELIXTLE S/N</v>
          </cell>
          <cell r="E22" t="str">
            <v>COACALCO, EDO. DE MEXICO</v>
          </cell>
          <cell r="F22" t="str">
            <v/>
          </cell>
          <cell r="G22" t="str">
            <v>55 1542 0817</v>
          </cell>
          <cell r="H22" t="str">
            <v/>
          </cell>
          <cell r="I22" t="str">
            <v/>
          </cell>
          <cell r="J22" t="str">
            <v>BAJA</v>
          </cell>
          <cell r="K22" t="str">
            <v/>
          </cell>
          <cell r="L22">
            <v>0</v>
          </cell>
          <cell r="M22">
            <v>26</v>
          </cell>
          <cell r="N22" t="str">
            <v>S</v>
          </cell>
          <cell r="O22">
            <v>40616</v>
          </cell>
          <cell r="P22" t="str">
            <v xml:space="preserve">    5</v>
          </cell>
          <cell r="Q22">
            <v>0</v>
          </cell>
          <cell r="R22">
            <v>0</v>
          </cell>
          <cell r="S22">
            <v>0</v>
          </cell>
          <cell r="T22">
            <v>247</v>
          </cell>
          <cell r="U22">
            <v>0</v>
          </cell>
          <cell r="V22" t="str">
            <v/>
          </cell>
          <cell r="W22" t="str">
            <v/>
          </cell>
          <cell r="X22" t="str">
            <v/>
          </cell>
          <cell r="Y22" t="str">
            <v/>
          </cell>
          <cell r="Z22" t="str">
            <v/>
          </cell>
          <cell r="AA22" t="str">
            <v>55 1542 0817</v>
          </cell>
          <cell r="AB22" t="str">
            <v/>
          </cell>
          <cell r="AC22" t="str">
            <v xml:space="preserve">   3229</v>
          </cell>
          <cell r="AD22" t="str">
            <v/>
          </cell>
          <cell r="AE22" t="str">
            <v/>
          </cell>
          <cell r="AF22" t="str">
            <v/>
          </cell>
          <cell r="AH22" t="str">
            <v>N</v>
          </cell>
          <cell r="AI22">
            <v>0</v>
          </cell>
          <cell r="AJ22">
            <v>0</v>
          </cell>
          <cell r="AK22">
            <v>0</v>
          </cell>
          <cell r="AL22">
            <v>0</v>
          </cell>
          <cell r="AM22">
            <v>247</v>
          </cell>
          <cell r="AN22">
            <v>0</v>
          </cell>
        </row>
        <row r="23">
          <cell r="A23">
            <v>1022</v>
          </cell>
          <cell r="B23" t="str">
            <v>FILEMON DE LA CRUZ SANTOS (HUEHUETOCA)</v>
          </cell>
          <cell r="C23" t="str">
            <v/>
          </cell>
          <cell r="D23" t="str">
            <v>DE LA RIVIERA S/N</v>
          </cell>
          <cell r="E23" t="str">
            <v>HUEHUETOCA, EDO. DE MEXICO</v>
          </cell>
          <cell r="F23" t="str">
            <v/>
          </cell>
          <cell r="G23" t="str">
            <v>(55) 1367-3340</v>
          </cell>
          <cell r="H23" t="str">
            <v/>
          </cell>
          <cell r="I23" t="str">
            <v/>
          </cell>
          <cell r="J23" t="str">
            <v>BAJA</v>
          </cell>
          <cell r="K23" t="str">
            <v/>
          </cell>
          <cell r="L23">
            <v>0</v>
          </cell>
          <cell r="M23">
            <v>27</v>
          </cell>
          <cell r="N23" t="str">
            <v>S</v>
          </cell>
          <cell r="O23">
            <v>40684</v>
          </cell>
          <cell r="P23" t="str">
            <v xml:space="preserve">    5</v>
          </cell>
          <cell r="Q23">
            <v>0</v>
          </cell>
          <cell r="R23">
            <v>0</v>
          </cell>
          <cell r="S23">
            <v>0</v>
          </cell>
          <cell r="T23">
            <v>8675.5</v>
          </cell>
          <cell r="U23">
            <v>0</v>
          </cell>
          <cell r="V23" t="str">
            <v>CENTRO</v>
          </cell>
          <cell r="W23" t="str">
            <v/>
          </cell>
          <cell r="X23" t="str">
            <v/>
          </cell>
          <cell r="Y23" t="str">
            <v/>
          </cell>
          <cell r="Z23" t="str">
            <v/>
          </cell>
          <cell r="AA23" t="str">
            <v>(55) 1367-3340</v>
          </cell>
          <cell r="AB23" t="str">
            <v/>
          </cell>
          <cell r="AC23" t="str">
            <v xml:space="preserve">   5074</v>
          </cell>
          <cell r="AD23" t="str">
            <v/>
          </cell>
          <cell r="AE23" t="str">
            <v/>
          </cell>
          <cell r="AF23" t="str">
            <v/>
          </cell>
          <cell r="AH23" t="str">
            <v>N</v>
          </cell>
          <cell r="AI23">
            <v>0</v>
          </cell>
          <cell r="AJ23">
            <v>0</v>
          </cell>
          <cell r="AK23">
            <v>0</v>
          </cell>
          <cell r="AL23">
            <v>0</v>
          </cell>
          <cell r="AM23">
            <v>1443.5</v>
          </cell>
          <cell r="AN23">
            <v>0</v>
          </cell>
        </row>
        <row r="24">
          <cell r="A24">
            <v>1023</v>
          </cell>
          <cell r="B24" t="str">
            <v>FABIOLA NUÑEZ CRUZ (ATIZAPAN)</v>
          </cell>
          <cell r="C24" t="str">
            <v/>
          </cell>
          <cell r="D24" t="str">
            <v>PASEO SAN FCO. #179 ESQ. PASEO ATIZAPAN</v>
          </cell>
          <cell r="E24" t="str">
            <v>ATIZAPAN, EDO. DE MEXICO</v>
          </cell>
          <cell r="F24" t="str">
            <v/>
          </cell>
          <cell r="G24" t="str">
            <v>(55) 5825-4525</v>
          </cell>
          <cell r="H24" t="str">
            <v/>
          </cell>
          <cell r="I24" t="str">
            <v/>
          </cell>
          <cell r="J24" t="str">
            <v>BAJA</v>
          </cell>
          <cell r="K24" t="str">
            <v/>
          </cell>
          <cell r="L24">
            <v>0</v>
          </cell>
          <cell r="M24">
            <v>28</v>
          </cell>
          <cell r="N24" t="str">
            <v>S</v>
          </cell>
          <cell r="O24">
            <v>41437</v>
          </cell>
          <cell r="P24" t="str">
            <v xml:space="preserve">    5</v>
          </cell>
          <cell r="Q24">
            <v>0</v>
          </cell>
          <cell r="R24">
            <v>0</v>
          </cell>
          <cell r="S24">
            <v>0</v>
          </cell>
          <cell r="T24">
            <v>129938.75</v>
          </cell>
          <cell r="U24">
            <v>1</v>
          </cell>
          <cell r="V24" t="str">
            <v>PASEO DE ATIZAPAN</v>
          </cell>
          <cell r="W24" t="str">
            <v>044 55 1850-8741</v>
          </cell>
          <cell r="X24" t="str">
            <v/>
          </cell>
          <cell r="Y24" t="str">
            <v/>
          </cell>
          <cell r="Z24" t="str">
            <v/>
          </cell>
          <cell r="AA24" t="str">
            <v>(55) 5825-4525</v>
          </cell>
          <cell r="AB24" t="str">
            <v xml:space="preserve">     DESC</v>
          </cell>
          <cell r="AC24" t="str">
            <v>M0500</v>
          </cell>
          <cell r="AD24" t="str">
            <v/>
          </cell>
          <cell r="AE24" t="str">
            <v/>
          </cell>
          <cell r="AF24" t="str">
            <v/>
          </cell>
          <cell r="AG24">
            <v>41641</v>
          </cell>
          <cell r="AH24" t="str">
            <v>N</v>
          </cell>
          <cell r="AI24">
            <v>0</v>
          </cell>
          <cell r="AJ24">
            <v>0</v>
          </cell>
          <cell r="AK24">
            <v>0</v>
          </cell>
          <cell r="AL24">
            <v>236</v>
          </cell>
          <cell r="AM24">
            <v>2809</v>
          </cell>
          <cell r="AN24">
            <v>0</v>
          </cell>
        </row>
        <row r="25">
          <cell r="A25">
            <v>1024</v>
          </cell>
          <cell r="B25" t="str">
            <v>CLAUDIA LOPEZ RAMOS (SALAMANCA)</v>
          </cell>
          <cell r="C25" t="str">
            <v/>
          </cell>
          <cell r="D25" t="str">
            <v>SANCHEZ TORRADO # 311</v>
          </cell>
          <cell r="E25" t="str">
            <v>SALAMANCA, GTO.</v>
          </cell>
          <cell r="F25" t="str">
            <v>36700</v>
          </cell>
          <cell r="G25" t="str">
            <v>464 648 6571</v>
          </cell>
          <cell r="H25" t="str">
            <v/>
          </cell>
          <cell r="I25" t="str">
            <v/>
          </cell>
          <cell r="J25" t="str">
            <v>BAJA</v>
          </cell>
          <cell r="K25" t="str">
            <v/>
          </cell>
          <cell r="L25">
            <v>0</v>
          </cell>
          <cell r="M25">
            <v>18</v>
          </cell>
          <cell r="N25" t="str">
            <v>S</v>
          </cell>
          <cell r="O25">
            <v>40815</v>
          </cell>
          <cell r="P25" t="str">
            <v xml:space="preserve">    1</v>
          </cell>
          <cell r="Q25">
            <v>0</v>
          </cell>
          <cell r="R25">
            <v>0</v>
          </cell>
          <cell r="S25">
            <v>0</v>
          </cell>
          <cell r="T25">
            <v>3462</v>
          </cell>
          <cell r="U25">
            <v>0</v>
          </cell>
          <cell r="V25" t="str">
            <v>CENTRO</v>
          </cell>
          <cell r="W25" t="str">
            <v/>
          </cell>
          <cell r="X25" t="str">
            <v/>
          </cell>
          <cell r="Y25" t="str">
            <v/>
          </cell>
          <cell r="Z25" t="str">
            <v/>
          </cell>
          <cell r="AA25" t="str">
            <v>464 648 6571</v>
          </cell>
          <cell r="AB25" t="str">
            <v/>
          </cell>
          <cell r="AC25" t="str">
            <v>G028</v>
          </cell>
          <cell r="AD25" t="str">
            <v/>
          </cell>
          <cell r="AE25" t="str">
            <v/>
          </cell>
          <cell r="AF25" t="str">
            <v/>
          </cell>
          <cell r="AH25" t="str">
            <v>N</v>
          </cell>
          <cell r="AI25">
            <v>0</v>
          </cell>
          <cell r="AJ25">
            <v>0</v>
          </cell>
          <cell r="AK25">
            <v>0</v>
          </cell>
          <cell r="AL25">
            <v>0</v>
          </cell>
          <cell r="AM25">
            <v>1269</v>
          </cell>
          <cell r="AN25">
            <v>0</v>
          </cell>
        </row>
        <row r="26">
          <cell r="A26">
            <v>1025</v>
          </cell>
          <cell r="B26" t="str">
            <v>CECILIA AGUIRRE MACIAS (CUERAMARO)</v>
          </cell>
          <cell r="C26" t="str">
            <v/>
          </cell>
          <cell r="D26" t="str">
            <v>FRANCISCO I. MADERO # 111</v>
          </cell>
          <cell r="E26" t="str">
            <v>CUERAMARO, GTO.</v>
          </cell>
          <cell r="F26" t="str">
            <v>36960</v>
          </cell>
          <cell r="G26" t="str">
            <v>429 694 1720</v>
          </cell>
          <cell r="H26" t="str">
            <v/>
          </cell>
          <cell r="I26" t="str">
            <v/>
          </cell>
          <cell r="J26" t="str">
            <v>BAJA</v>
          </cell>
          <cell r="K26" t="str">
            <v/>
          </cell>
          <cell r="L26">
            <v>0</v>
          </cell>
          <cell r="M26">
            <v>19</v>
          </cell>
          <cell r="N26" t="str">
            <v>S</v>
          </cell>
          <cell r="O26">
            <v>40662</v>
          </cell>
          <cell r="P26" t="str">
            <v xml:space="preserve">    1</v>
          </cell>
          <cell r="Q26">
            <v>0</v>
          </cell>
          <cell r="R26">
            <v>0</v>
          </cell>
          <cell r="S26">
            <v>0</v>
          </cell>
          <cell r="T26">
            <v>5165</v>
          </cell>
          <cell r="U26">
            <v>0</v>
          </cell>
          <cell r="V26" t="str">
            <v>CENTRO</v>
          </cell>
          <cell r="W26" t="str">
            <v>045 429 102 5601</v>
          </cell>
          <cell r="X26" t="str">
            <v/>
          </cell>
          <cell r="Y26" t="str">
            <v/>
          </cell>
          <cell r="Z26" t="str">
            <v/>
          </cell>
          <cell r="AA26" t="str">
            <v>429 694 1720</v>
          </cell>
          <cell r="AB26" t="str">
            <v/>
          </cell>
          <cell r="AC26" t="str">
            <v xml:space="preserve">   4954</v>
          </cell>
          <cell r="AD26" t="str">
            <v/>
          </cell>
          <cell r="AE26" t="str">
            <v/>
          </cell>
          <cell r="AF26" t="str">
            <v/>
          </cell>
          <cell r="AH26" t="str">
            <v>N</v>
          </cell>
          <cell r="AI26">
            <v>0</v>
          </cell>
          <cell r="AJ26">
            <v>0</v>
          </cell>
          <cell r="AK26">
            <v>0</v>
          </cell>
          <cell r="AL26">
            <v>0</v>
          </cell>
          <cell r="AM26">
            <v>1862</v>
          </cell>
          <cell r="AN26">
            <v>0</v>
          </cell>
        </row>
        <row r="27">
          <cell r="A27">
            <v>1026</v>
          </cell>
          <cell r="B27" t="str">
            <v>BEATRIZ CORONA ZAMORA (CUERAMARO)</v>
          </cell>
          <cell r="C27" t="str">
            <v/>
          </cell>
          <cell r="D27" t="str">
            <v>GALEANA S/N</v>
          </cell>
          <cell r="E27" t="str">
            <v>CUERAMARO, GTO.</v>
          </cell>
          <cell r="F27" t="str">
            <v>36960</v>
          </cell>
          <cell r="G27" t="str">
            <v>429 693 8090</v>
          </cell>
          <cell r="H27" t="str">
            <v/>
          </cell>
          <cell r="I27" t="str">
            <v/>
          </cell>
          <cell r="J27" t="str">
            <v>BAJA</v>
          </cell>
          <cell r="K27" t="str">
            <v/>
          </cell>
          <cell r="L27">
            <v>0</v>
          </cell>
          <cell r="M27">
            <v>20</v>
          </cell>
          <cell r="N27" t="str">
            <v>S</v>
          </cell>
          <cell r="O27">
            <v>40635</v>
          </cell>
          <cell r="P27" t="str">
            <v xml:space="preserve">    1</v>
          </cell>
          <cell r="Q27">
            <v>0</v>
          </cell>
          <cell r="R27">
            <v>0</v>
          </cell>
          <cell r="S27">
            <v>0</v>
          </cell>
          <cell r="T27">
            <v>4344</v>
          </cell>
          <cell r="U27">
            <v>0</v>
          </cell>
          <cell r="V27" t="str">
            <v>CENTRO</v>
          </cell>
          <cell r="W27" t="str">
            <v>045 429 697 1162</v>
          </cell>
          <cell r="X27" t="str">
            <v/>
          </cell>
          <cell r="Y27" t="str">
            <v/>
          </cell>
          <cell r="Z27" t="str">
            <v/>
          </cell>
          <cell r="AA27" t="str">
            <v>429 693 8090</v>
          </cell>
          <cell r="AB27" t="str">
            <v/>
          </cell>
          <cell r="AC27" t="str">
            <v xml:space="preserve">   4898</v>
          </cell>
          <cell r="AD27" t="str">
            <v/>
          </cell>
          <cell r="AE27" t="str">
            <v/>
          </cell>
          <cell r="AF27" t="str">
            <v/>
          </cell>
          <cell r="AH27" t="str">
            <v>N</v>
          </cell>
          <cell r="AI27">
            <v>0</v>
          </cell>
          <cell r="AJ27">
            <v>0</v>
          </cell>
          <cell r="AK27">
            <v>0</v>
          </cell>
          <cell r="AL27">
            <v>0</v>
          </cell>
          <cell r="AM27">
            <v>3059</v>
          </cell>
          <cell r="AN27">
            <v>0</v>
          </cell>
        </row>
        <row r="28">
          <cell r="A28">
            <v>1027</v>
          </cell>
          <cell r="B28" t="str">
            <v>LINDA ROJAS CARDIEL (COACALCO)</v>
          </cell>
          <cell r="C28" t="str">
            <v/>
          </cell>
          <cell r="D28" t="str">
            <v>PROV. NORTE ESQ. SAN ANTONIO</v>
          </cell>
          <cell r="E28" t="str">
            <v>COACALCO, EDO. DE MEXICO</v>
          </cell>
          <cell r="F28" t="str">
            <v/>
          </cell>
          <cell r="G28" t="str">
            <v>(55) 3735-6186</v>
          </cell>
          <cell r="H28" t="str">
            <v/>
          </cell>
          <cell r="I28" t="str">
            <v/>
          </cell>
          <cell r="J28" t="str">
            <v>M01</v>
          </cell>
          <cell r="K28" t="str">
            <v/>
          </cell>
          <cell r="L28">
            <v>0</v>
          </cell>
          <cell r="M28">
            <v>21</v>
          </cell>
          <cell r="N28" t="str">
            <v>A</v>
          </cell>
          <cell r="O28">
            <v>42291</v>
          </cell>
          <cell r="P28" t="str">
            <v xml:space="preserve">    5</v>
          </cell>
          <cell r="Q28">
            <v>0</v>
          </cell>
          <cell r="R28">
            <v>0</v>
          </cell>
          <cell r="S28">
            <v>0</v>
          </cell>
          <cell r="T28">
            <v>4093</v>
          </cell>
          <cell r="U28">
            <v>0</v>
          </cell>
          <cell r="V28" t="str">
            <v>VILLA D LAS MANZANAS</v>
          </cell>
          <cell r="W28" t="str">
            <v/>
          </cell>
          <cell r="X28" t="str">
            <v/>
          </cell>
          <cell r="Y28" t="str">
            <v/>
          </cell>
          <cell r="Z28" t="str">
            <v/>
          </cell>
          <cell r="AA28" t="str">
            <v>(55) 3735-6186</v>
          </cell>
          <cell r="AB28" t="str">
            <v/>
          </cell>
          <cell r="AC28" t="str">
            <v>M451</v>
          </cell>
          <cell r="AD28" t="str">
            <v/>
          </cell>
          <cell r="AE28" t="str">
            <v/>
          </cell>
          <cell r="AF28" t="str">
            <v/>
          </cell>
          <cell r="AH28" t="str">
            <v>N</v>
          </cell>
          <cell r="AI28">
            <v>0</v>
          </cell>
          <cell r="AJ28">
            <v>0</v>
          </cell>
          <cell r="AK28">
            <v>0</v>
          </cell>
          <cell r="AL28">
            <v>0</v>
          </cell>
          <cell r="AM28">
            <v>2071</v>
          </cell>
          <cell r="AN28">
            <v>0</v>
          </cell>
        </row>
        <row r="29">
          <cell r="A29">
            <v>1028</v>
          </cell>
          <cell r="B29" t="str">
            <v>ADRIANA MARTINEZ RIOS (ABASOLO)</v>
          </cell>
          <cell r="C29" t="str">
            <v/>
          </cell>
          <cell r="D29" t="str">
            <v>JARDIN # 201</v>
          </cell>
          <cell r="E29" t="str">
            <v>ABASOLO, GTO.</v>
          </cell>
          <cell r="F29" t="str">
            <v>36970</v>
          </cell>
          <cell r="G29" t="str">
            <v>429 693 6466</v>
          </cell>
          <cell r="H29" t="str">
            <v/>
          </cell>
          <cell r="I29" t="str">
            <v/>
          </cell>
          <cell r="J29" t="str">
            <v>BAJA</v>
          </cell>
          <cell r="K29" t="str">
            <v/>
          </cell>
          <cell r="L29">
            <v>0</v>
          </cell>
          <cell r="M29">
            <v>22</v>
          </cell>
          <cell r="N29" t="str">
            <v>S</v>
          </cell>
          <cell r="O29">
            <v>40616</v>
          </cell>
          <cell r="P29" t="str">
            <v xml:space="preserve">    1</v>
          </cell>
          <cell r="Q29">
            <v>0</v>
          </cell>
          <cell r="R29">
            <v>0</v>
          </cell>
          <cell r="S29">
            <v>0</v>
          </cell>
          <cell r="T29">
            <v>287</v>
          </cell>
          <cell r="U29">
            <v>0</v>
          </cell>
          <cell r="V29" t="str">
            <v>CENTRO</v>
          </cell>
          <cell r="W29" t="str">
            <v/>
          </cell>
          <cell r="X29" t="str">
            <v/>
          </cell>
          <cell r="Y29" t="str">
            <v/>
          </cell>
          <cell r="Z29" t="str">
            <v/>
          </cell>
          <cell r="AA29" t="str">
            <v>429 693 6466</v>
          </cell>
          <cell r="AB29" t="str">
            <v/>
          </cell>
          <cell r="AC29" t="str">
            <v xml:space="preserve">   4858</v>
          </cell>
          <cell r="AD29" t="str">
            <v/>
          </cell>
          <cell r="AE29" t="str">
            <v/>
          </cell>
          <cell r="AF29" t="str">
            <v/>
          </cell>
          <cell r="AH29" t="str">
            <v>N</v>
          </cell>
          <cell r="AI29">
            <v>0</v>
          </cell>
          <cell r="AJ29">
            <v>0</v>
          </cell>
          <cell r="AK29">
            <v>0</v>
          </cell>
          <cell r="AL29">
            <v>0</v>
          </cell>
          <cell r="AM29">
            <v>287</v>
          </cell>
          <cell r="AN29">
            <v>0</v>
          </cell>
        </row>
        <row r="30">
          <cell r="A30">
            <v>1029</v>
          </cell>
          <cell r="B30" t="str">
            <v>MARIA IRENE LARA LARA (ACULCO)</v>
          </cell>
          <cell r="C30" t="str">
            <v/>
          </cell>
          <cell r="D30" t="str">
            <v>ARROYO ZARCO S/N</v>
          </cell>
          <cell r="E30" t="str">
            <v>ACULCO, EDO. DE MEXICO</v>
          </cell>
          <cell r="F30" t="str">
            <v>50380</v>
          </cell>
          <cell r="G30" t="str">
            <v>(718) 111-7070</v>
          </cell>
          <cell r="H30" t="str">
            <v/>
          </cell>
          <cell r="I30" t="str">
            <v/>
          </cell>
          <cell r="J30" t="str">
            <v>BAJA</v>
          </cell>
          <cell r="K30" t="str">
            <v/>
          </cell>
          <cell r="L30">
            <v>0</v>
          </cell>
          <cell r="M30">
            <v>29</v>
          </cell>
          <cell r="N30" t="str">
            <v>S</v>
          </cell>
          <cell r="O30">
            <v>40970</v>
          </cell>
          <cell r="P30" t="str">
            <v xml:space="preserve">    1</v>
          </cell>
          <cell r="Q30">
            <v>0</v>
          </cell>
          <cell r="R30">
            <v>0</v>
          </cell>
          <cell r="S30">
            <v>0</v>
          </cell>
          <cell r="T30">
            <v>10558</v>
          </cell>
          <cell r="U30">
            <v>0</v>
          </cell>
          <cell r="V30" t="str">
            <v>CENTRO</v>
          </cell>
          <cell r="W30" t="str">
            <v/>
          </cell>
          <cell r="X30" t="str">
            <v/>
          </cell>
          <cell r="Y30" t="str">
            <v/>
          </cell>
          <cell r="Z30" t="str">
            <v/>
          </cell>
          <cell r="AA30" t="str">
            <v>(718) 111-7070</v>
          </cell>
          <cell r="AB30" t="str">
            <v>DEVOLUCIO</v>
          </cell>
          <cell r="AC30" t="str">
            <v xml:space="preserve">   7653</v>
          </cell>
          <cell r="AD30" t="str">
            <v/>
          </cell>
          <cell r="AE30" t="str">
            <v/>
          </cell>
          <cell r="AF30" t="str">
            <v/>
          </cell>
          <cell r="AG30">
            <v>41144</v>
          </cell>
          <cell r="AH30" t="str">
            <v>N</v>
          </cell>
          <cell r="AI30">
            <v>0</v>
          </cell>
          <cell r="AJ30">
            <v>0</v>
          </cell>
          <cell r="AK30">
            <v>0</v>
          </cell>
          <cell r="AL30">
            <v>561</v>
          </cell>
          <cell r="AM30">
            <v>636</v>
          </cell>
          <cell r="AN30">
            <v>0</v>
          </cell>
        </row>
        <row r="31">
          <cell r="A31">
            <v>1030</v>
          </cell>
          <cell r="B31" t="str">
            <v>REYNA ROSAURA FULGENCIO PAREDES (ROMERO)</v>
          </cell>
          <cell r="C31" t="str">
            <v/>
          </cell>
          <cell r="D31" t="str">
            <v>LOCAL 48 MERCADO MUNICIPAL DE CUAUTITLAN</v>
          </cell>
          <cell r="E31" t="str">
            <v>CUAUTITLAN, EDO. DE MEXICO</v>
          </cell>
          <cell r="F31" t="str">
            <v/>
          </cell>
          <cell r="G31" t="str">
            <v>55 5870 5726</v>
          </cell>
          <cell r="H31" t="str">
            <v/>
          </cell>
          <cell r="I31" t="str">
            <v/>
          </cell>
          <cell r="J31" t="str">
            <v>BAJA</v>
          </cell>
          <cell r="K31" t="str">
            <v/>
          </cell>
          <cell r="L31">
            <v>0</v>
          </cell>
          <cell r="M31">
            <v>30</v>
          </cell>
          <cell r="N31" t="str">
            <v>S</v>
          </cell>
          <cell r="O31">
            <v>40712</v>
          </cell>
          <cell r="P31" t="str">
            <v xml:space="preserve">    3</v>
          </cell>
          <cell r="Q31">
            <v>0</v>
          </cell>
          <cell r="R31">
            <v>0</v>
          </cell>
          <cell r="S31">
            <v>0</v>
          </cell>
          <cell r="T31">
            <v>5981</v>
          </cell>
          <cell r="U31">
            <v>0</v>
          </cell>
          <cell r="V31" t="str">
            <v>ROMERO RUBIO</v>
          </cell>
          <cell r="W31" t="str">
            <v/>
          </cell>
          <cell r="X31" t="str">
            <v/>
          </cell>
          <cell r="Y31" t="str">
            <v/>
          </cell>
          <cell r="Z31" t="str">
            <v/>
          </cell>
          <cell r="AA31" t="str">
            <v>55 5870 5726</v>
          </cell>
          <cell r="AB31" t="str">
            <v/>
          </cell>
          <cell r="AC31" t="str">
            <v xml:space="preserve">  R0002</v>
          </cell>
          <cell r="AD31" t="str">
            <v/>
          </cell>
          <cell r="AE31" t="str">
            <v/>
          </cell>
          <cell r="AF31" t="str">
            <v/>
          </cell>
          <cell r="AH31" t="str">
            <v>N</v>
          </cell>
          <cell r="AI31">
            <v>0</v>
          </cell>
          <cell r="AJ31">
            <v>0</v>
          </cell>
          <cell r="AK31">
            <v>0</v>
          </cell>
          <cell r="AL31">
            <v>0</v>
          </cell>
          <cell r="AM31">
            <v>188</v>
          </cell>
          <cell r="AN31">
            <v>0</v>
          </cell>
        </row>
        <row r="32">
          <cell r="A32">
            <v>1031</v>
          </cell>
          <cell r="B32" t="str">
            <v>VERONICA PINEDA SOLANO (TEYAHUALCO)</v>
          </cell>
          <cell r="C32" t="str">
            <v/>
          </cell>
          <cell r="D32" t="str">
            <v>10 DE JUNIO ESQ. MATAMOROS</v>
          </cell>
          <cell r="E32" t="str">
            <v>TEYAHUALCO, EDO. DE MEXICO</v>
          </cell>
          <cell r="F32" t="str">
            <v/>
          </cell>
          <cell r="G32" t="str">
            <v>(55) 3349-9880 CEL</v>
          </cell>
          <cell r="H32" t="str">
            <v>VERONICA PINEDA S.</v>
          </cell>
          <cell r="I32" t="str">
            <v>VERONICA PINEDA S.</v>
          </cell>
          <cell r="J32" t="str">
            <v>BAJA</v>
          </cell>
          <cell r="K32" t="str">
            <v/>
          </cell>
          <cell r="L32">
            <v>0</v>
          </cell>
          <cell r="M32">
            <v>31</v>
          </cell>
          <cell r="N32" t="str">
            <v>S</v>
          </cell>
          <cell r="O32">
            <v>40907</v>
          </cell>
          <cell r="P32" t="str">
            <v xml:space="preserve">    2</v>
          </cell>
          <cell r="Q32">
            <v>0</v>
          </cell>
          <cell r="R32">
            <v>0</v>
          </cell>
          <cell r="S32">
            <v>0</v>
          </cell>
          <cell r="T32">
            <v>3528</v>
          </cell>
          <cell r="U32">
            <v>0</v>
          </cell>
          <cell r="V32" t="str">
            <v>SANTIAGO TEYAHUALCO</v>
          </cell>
          <cell r="W32" t="str">
            <v/>
          </cell>
          <cell r="X32" t="str">
            <v/>
          </cell>
          <cell r="Y32" t="str">
            <v/>
          </cell>
          <cell r="Z32" t="str">
            <v/>
          </cell>
          <cell r="AA32" t="str">
            <v>(55) 3349-9880 CEL</v>
          </cell>
          <cell r="AB32" t="str">
            <v xml:space="preserve">   DEV-49</v>
          </cell>
          <cell r="AC32" t="str">
            <v xml:space="preserve">     49</v>
          </cell>
          <cell r="AD32" t="str">
            <v/>
          </cell>
          <cell r="AE32" t="str">
            <v/>
          </cell>
          <cell r="AF32" t="str">
            <v/>
          </cell>
          <cell r="AG32">
            <v>40907</v>
          </cell>
          <cell r="AH32" t="str">
            <v>N</v>
          </cell>
          <cell r="AI32">
            <v>0</v>
          </cell>
          <cell r="AJ32">
            <v>0</v>
          </cell>
          <cell r="AK32">
            <v>0</v>
          </cell>
          <cell r="AL32">
            <v>544</v>
          </cell>
          <cell r="AM32">
            <v>1641</v>
          </cell>
          <cell r="AN32">
            <v>0</v>
          </cell>
        </row>
        <row r="33">
          <cell r="A33">
            <v>1032</v>
          </cell>
          <cell r="B33" t="str">
            <v>SILVIA PINEDA MANZANO (TEOLOYUCAN)</v>
          </cell>
          <cell r="C33" t="str">
            <v/>
          </cell>
          <cell r="D33" t="str">
            <v>MATAMOROS ESQ. CALLEJON TOLUCA</v>
          </cell>
          <cell r="E33" t="str">
            <v>TEOLOYUCAN, EDO. DE MEXICO</v>
          </cell>
          <cell r="F33" t="str">
            <v>54770</v>
          </cell>
          <cell r="G33" t="str">
            <v>(593) 914-0453</v>
          </cell>
          <cell r="H33" t="str">
            <v/>
          </cell>
          <cell r="I33" t="str">
            <v/>
          </cell>
          <cell r="J33" t="str">
            <v>M01</v>
          </cell>
          <cell r="K33" t="str">
            <v/>
          </cell>
          <cell r="L33">
            <v>0</v>
          </cell>
          <cell r="M33">
            <v>32</v>
          </cell>
          <cell r="N33" t="str">
            <v>A</v>
          </cell>
          <cell r="O33">
            <v>42516</v>
          </cell>
          <cell r="P33" t="str">
            <v xml:space="preserve">    2</v>
          </cell>
          <cell r="Q33">
            <v>0</v>
          </cell>
          <cell r="R33">
            <v>0</v>
          </cell>
          <cell r="S33">
            <v>9297</v>
          </cell>
          <cell r="T33">
            <v>97757</v>
          </cell>
          <cell r="U33">
            <v>0</v>
          </cell>
          <cell r="V33" t="str">
            <v/>
          </cell>
          <cell r="W33" t="str">
            <v>(55) 8506-5727 CEL</v>
          </cell>
          <cell r="X33" t="str">
            <v/>
          </cell>
          <cell r="Y33" t="str">
            <v/>
          </cell>
          <cell r="Z33" t="str">
            <v/>
          </cell>
          <cell r="AA33" t="str">
            <v>(593) 914-0453</v>
          </cell>
          <cell r="AB33" t="str">
            <v xml:space="preserve">  DEV-268</v>
          </cell>
          <cell r="AC33" t="str">
            <v>M612</v>
          </cell>
          <cell r="AD33" t="str">
            <v/>
          </cell>
          <cell r="AE33" t="str">
            <v/>
          </cell>
          <cell r="AF33" t="str">
            <v/>
          </cell>
          <cell r="AG33">
            <v>42096</v>
          </cell>
          <cell r="AH33" t="str">
            <v>N</v>
          </cell>
          <cell r="AI33">
            <v>0</v>
          </cell>
          <cell r="AJ33">
            <v>0</v>
          </cell>
          <cell r="AK33">
            <v>0</v>
          </cell>
          <cell r="AL33">
            <v>220</v>
          </cell>
          <cell r="AM33">
            <v>4385</v>
          </cell>
          <cell r="AN33">
            <v>0</v>
          </cell>
        </row>
        <row r="34">
          <cell r="A34">
            <v>1033</v>
          </cell>
          <cell r="B34" t="str">
            <v>MA. DOLORES ARCHUNDIA RICO (CELAYA)</v>
          </cell>
          <cell r="C34" t="str">
            <v/>
          </cell>
          <cell r="D34" t="str">
            <v>EXTERIOR MERCADO MORELOS LOCAL 86</v>
          </cell>
          <cell r="E34" t="str">
            <v>CELAYA, GTO.</v>
          </cell>
          <cell r="F34" t="str">
            <v>38000</v>
          </cell>
          <cell r="G34" t="str">
            <v>(461) 610-329</v>
          </cell>
          <cell r="H34" t="str">
            <v>MARIA DOLORES A.</v>
          </cell>
          <cell r="I34" t="str">
            <v>MARIA DOLORES A.</v>
          </cell>
          <cell r="J34" t="str">
            <v>BAJA</v>
          </cell>
          <cell r="K34" t="str">
            <v/>
          </cell>
          <cell r="L34">
            <v>0</v>
          </cell>
          <cell r="M34">
            <v>34</v>
          </cell>
          <cell r="N34" t="str">
            <v>S</v>
          </cell>
          <cell r="O34">
            <v>40623</v>
          </cell>
          <cell r="P34" t="str">
            <v xml:space="preserve">    1</v>
          </cell>
          <cell r="Q34">
            <v>0</v>
          </cell>
          <cell r="R34">
            <v>0</v>
          </cell>
          <cell r="S34">
            <v>0</v>
          </cell>
          <cell r="T34">
            <v>692</v>
          </cell>
          <cell r="U34">
            <v>0</v>
          </cell>
          <cell r="V34" t="str">
            <v>CENTRO</v>
          </cell>
          <cell r="W34" t="str">
            <v/>
          </cell>
          <cell r="X34" t="str">
            <v/>
          </cell>
          <cell r="Y34" t="str">
            <v/>
          </cell>
          <cell r="Z34" t="str">
            <v/>
          </cell>
          <cell r="AA34" t="str">
            <v>(461) 610-329</v>
          </cell>
          <cell r="AB34" t="str">
            <v/>
          </cell>
          <cell r="AC34" t="str">
            <v xml:space="preserve">   4872</v>
          </cell>
          <cell r="AD34" t="str">
            <v/>
          </cell>
          <cell r="AE34" t="str">
            <v/>
          </cell>
          <cell r="AF34" t="str">
            <v/>
          </cell>
          <cell r="AH34" t="str">
            <v>N</v>
          </cell>
          <cell r="AI34">
            <v>0</v>
          </cell>
          <cell r="AJ34">
            <v>0</v>
          </cell>
          <cell r="AK34">
            <v>0</v>
          </cell>
          <cell r="AL34">
            <v>0</v>
          </cell>
          <cell r="AM34">
            <v>692</v>
          </cell>
          <cell r="AN34">
            <v>0</v>
          </cell>
        </row>
        <row r="35">
          <cell r="A35">
            <v>1034</v>
          </cell>
          <cell r="B35" t="str">
            <v>VERONICA GALVAN GUERRERO (CELAYA)</v>
          </cell>
          <cell r="C35" t="str">
            <v/>
          </cell>
          <cell r="D35" t="str">
            <v>LIBERTAD #123-A</v>
          </cell>
          <cell r="E35" t="str">
            <v>CELAYA, GTO.</v>
          </cell>
          <cell r="F35" t="str">
            <v>38000</v>
          </cell>
          <cell r="G35" t="str">
            <v>044 461-206-5084</v>
          </cell>
          <cell r="H35" t="str">
            <v>VERONICA GALVAN</v>
          </cell>
          <cell r="I35" t="str">
            <v>VERONICA GALVAN</v>
          </cell>
          <cell r="J35" t="str">
            <v>BAJA</v>
          </cell>
          <cell r="K35" t="str">
            <v/>
          </cell>
          <cell r="L35">
            <v>0</v>
          </cell>
          <cell r="M35">
            <v>35</v>
          </cell>
          <cell r="N35" t="str">
            <v>S</v>
          </cell>
          <cell r="O35">
            <v>40623</v>
          </cell>
          <cell r="P35" t="str">
            <v xml:space="preserve">    1</v>
          </cell>
          <cell r="Q35">
            <v>0</v>
          </cell>
          <cell r="R35">
            <v>0</v>
          </cell>
          <cell r="S35">
            <v>0</v>
          </cell>
          <cell r="T35">
            <v>1584</v>
          </cell>
          <cell r="U35">
            <v>0</v>
          </cell>
          <cell r="V35" t="str">
            <v>CENTRO</v>
          </cell>
          <cell r="W35" t="str">
            <v/>
          </cell>
          <cell r="X35" t="str">
            <v/>
          </cell>
          <cell r="Y35" t="str">
            <v/>
          </cell>
          <cell r="Z35" t="str">
            <v/>
          </cell>
          <cell r="AA35" t="str">
            <v>044 461-206-5084</v>
          </cell>
          <cell r="AB35" t="str">
            <v/>
          </cell>
          <cell r="AC35" t="str">
            <v xml:space="preserve">   4873</v>
          </cell>
          <cell r="AD35" t="str">
            <v/>
          </cell>
          <cell r="AE35" t="str">
            <v/>
          </cell>
          <cell r="AF35" t="str">
            <v/>
          </cell>
          <cell r="AH35" t="str">
            <v>N</v>
          </cell>
          <cell r="AI35">
            <v>0</v>
          </cell>
          <cell r="AJ35">
            <v>0</v>
          </cell>
          <cell r="AK35">
            <v>0</v>
          </cell>
          <cell r="AL35">
            <v>0</v>
          </cell>
          <cell r="AM35">
            <v>1584</v>
          </cell>
          <cell r="AN35">
            <v>0</v>
          </cell>
        </row>
        <row r="36">
          <cell r="A36">
            <v>1035</v>
          </cell>
          <cell r="B36" t="str">
            <v>ALFREDO ROBELLADA (ROMERO)</v>
          </cell>
          <cell r="C36" t="str">
            <v/>
          </cell>
          <cell r="D36" t="str">
            <v>TRANQUILINO SALGADO #101 LOCAL-C</v>
          </cell>
          <cell r="E36" t="str">
            <v>CUAUTITLAN, EDO. DE MEXICO</v>
          </cell>
          <cell r="F36" t="str">
            <v/>
          </cell>
          <cell r="G36" t="str">
            <v>(55) 2620-1430</v>
          </cell>
          <cell r="H36" t="str">
            <v>ALFREDO ROBELLADA</v>
          </cell>
          <cell r="I36" t="str">
            <v>ALFREDO ROBELLADA</v>
          </cell>
          <cell r="J36" t="str">
            <v>M01</v>
          </cell>
          <cell r="K36" t="str">
            <v/>
          </cell>
          <cell r="L36">
            <v>0</v>
          </cell>
          <cell r="M36">
            <v>36</v>
          </cell>
          <cell r="N36" t="str">
            <v>A</v>
          </cell>
          <cell r="O36">
            <v>41788</v>
          </cell>
          <cell r="P36" t="str">
            <v xml:space="preserve">    2</v>
          </cell>
          <cell r="Q36">
            <v>0</v>
          </cell>
          <cell r="R36">
            <v>0</v>
          </cell>
          <cell r="S36">
            <v>0</v>
          </cell>
          <cell r="T36">
            <v>1077</v>
          </cell>
          <cell r="U36">
            <v>0</v>
          </cell>
          <cell r="V36" t="str">
            <v>ROMERO RUBIO</v>
          </cell>
          <cell r="W36" t="str">
            <v/>
          </cell>
          <cell r="X36" t="str">
            <v/>
          </cell>
          <cell r="Y36" t="str">
            <v/>
          </cell>
          <cell r="Z36" t="str">
            <v/>
          </cell>
          <cell r="AA36" t="str">
            <v>(55) 2620-1430</v>
          </cell>
          <cell r="AB36" t="str">
            <v/>
          </cell>
          <cell r="AC36" t="str">
            <v>M2587</v>
          </cell>
          <cell r="AD36" t="str">
            <v/>
          </cell>
          <cell r="AE36" t="str">
            <v/>
          </cell>
          <cell r="AF36" t="str">
            <v/>
          </cell>
          <cell r="AH36" t="str">
            <v>N</v>
          </cell>
          <cell r="AI36">
            <v>0</v>
          </cell>
          <cell r="AJ36">
            <v>0</v>
          </cell>
          <cell r="AK36">
            <v>0</v>
          </cell>
          <cell r="AL36">
            <v>0</v>
          </cell>
          <cell r="AM36">
            <v>530</v>
          </cell>
          <cell r="AN36">
            <v>0</v>
          </cell>
        </row>
        <row r="37">
          <cell r="A37">
            <v>1036</v>
          </cell>
          <cell r="B37" t="str">
            <v>RICARDO SANCHEZ (TLALNEPANTLA)</v>
          </cell>
          <cell r="C37" t="str">
            <v/>
          </cell>
          <cell r="D37" t="str">
            <v>PASAJE SAN JAVIER #236 LOCAL-B</v>
          </cell>
          <cell r="E37" t="str">
            <v>TLALNEPANTLA, EDO. DE MEXICO</v>
          </cell>
          <cell r="F37" t="str">
            <v/>
          </cell>
          <cell r="G37" t="str">
            <v>(55) 5565-7068</v>
          </cell>
          <cell r="H37" t="str">
            <v>RICARDO SANCHEZ</v>
          </cell>
          <cell r="I37" t="str">
            <v>RICARDO SANCHEZ</v>
          </cell>
          <cell r="J37" t="str">
            <v>BAJA</v>
          </cell>
          <cell r="K37" t="str">
            <v/>
          </cell>
          <cell r="L37">
            <v>0</v>
          </cell>
          <cell r="M37">
            <v>37</v>
          </cell>
          <cell r="N37" t="str">
            <v>S</v>
          </cell>
          <cell r="O37">
            <v>40626</v>
          </cell>
          <cell r="P37" t="str">
            <v xml:space="preserve">    2</v>
          </cell>
          <cell r="Q37">
            <v>0</v>
          </cell>
          <cell r="R37">
            <v>0</v>
          </cell>
          <cell r="S37">
            <v>0</v>
          </cell>
          <cell r="T37">
            <v>383</v>
          </cell>
          <cell r="U37">
            <v>0</v>
          </cell>
          <cell r="V37" t="str">
            <v/>
          </cell>
          <cell r="W37" t="str">
            <v/>
          </cell>
          <cell r="X37" t="str">
            <v/>
          </cell>
          <cell r="Y37" t="str">
            <v/>
          </cell>
          <cell r="Z37" t="str">
            <v/>
          </cell>
          <cell r="AA37" t="str">
            <v>(55) 5565-7068</v>
          </cell>
          <cell r="AB37" t="str">
            <v/>
          </cell>
          <cell r="AC37" t="str">
            <v xml:space="preserve">   3241</v>
          </cell>
          <cell r="AD37" t="str">
            <v/>
          </cell>
          <cell r="AE37" t="str">
            <v/>
          </cell>
          <cell r="AF37" t="str">
            <v/>
          </cell>
          <cell r="AH37" t="str">
            <v>N</v>
          </cell>
          <cell r="AI37">
            <v>0</v>
          </cell>
          <cell r="AJ37">
            <v>0</v>
          </cell>
          <cell r="AK37">
            <v>0</v>
          </cell>
          <cell r="AL37">
            <v>0</v>
          </cell>
          <cell r="AM37">
            <v>383</v>
          </cell>
          <cell r="AN37">
            <v>0</v>
          </cell>
        </row>
        <row r="38">
          <cell r="A38">
            <v>1037</v>
          </cell>
          <cell r="B38" t="str">
            <v>VIRGINIA ALFARO RODRIGUEZ (SALAMANCA)</v>
          </cell>
          <cell r="C38" t="str">
            <v/>
          </cell>
          <cell r="D38" t="str">
            <v>SANCHEZ TORNADO #427-A</v>
          </cell>
          <cell r="E38" t="str">
            <v>SALAMANCA, GTO.</v>
          </cell>
          <cell r="F38" t="str">
            <v/>
          </cell>
          <cell r="G38" t="str">
            <v>(464) 641-1582</v>
          </cell>
          <cell r="H38" t="str">
            <v>VIRGINIA ALFARO</v>
          </cell>
          <cell r="I38" t="str">
            <v>VIRGINIA ALFARO</v>
          </cell>
          <cell r="J38" t="str">
            <v>BAJA</v>
          </cell>
          <cell r="K38" t="str">
            <v/>
          </cell>
          <cell r="L38">
            <v>0</v>
          </cell>
          <cell r="M38">
            <v>38</v>
          </cell>
          <cell r="N38" t="str">
            <v>S</v>
          </cell>
          <cell r="O38">
            <v>40626</v>
          </cell>
          <cell r="P38" t="str">
            <v xml:space="preserve">    1</v>
          </cell>
          <cell r="Q38">
            <v>0</v>
          </cell>
          <cell r="R38">
            <v>0</v>
          </cell>
          <cell r="S38">
            <v>0</v>
          </cell>
          <cell r="T38">
            <v>2285</v>
          </cell>
          <cell r="U38">
            <v>0</v>
          </cell>
          <cell r="V38" t="str">
            <v>CENTRO</v>
          </cell>
          <cell r="W38" t="str">
            <v/>
          </cell>
          <cell r="X38" t="str">
            <v/>
          </cell>
          <cell r="Y38" t="str">
            <v/>
          </cell>
          <cell r="Z38" t="str">
            <v/>
          </cell>
          <cell r="AA38" t="str">
            <v>(464) 641-1582</v>
          </cell>
          <cell r="AB38" t="str">
            <v/>
          </cell>
          <cell r="AC38" t="str">
            <v xml:space="preserve">   4874</v>
          </cell>
          <cell r="AD38" t="str">
            <v/>
          </cell>
          <cell r="AE38" t="str">
            <v/>
          </cell>
          <cell r="AF38" t="str">
            <v/>
          </cell>
          <cell r="AH38" t="str">
            <v>N</v>
          </cell>
          <cell r="AI38">
            <v>0</v>
          </cell>
          <cell r="AJ38">
            <v>0</v>
          </cell>
          <cell r="AK38">
            <v>0</v>
          </cell>
          <cell r="AL38">
            <v>0</v>
          </cell>
          <cell r="AM38">
            <v>2285</v>
          </cell>
          <cell r="AN38">
            <v>0</v>
          </cell>
        </row>
        <row r="39">
          <cell r="A39">
            <v>1038</v>
          </cell>
          <cell r="B39" t="str">
            <v>OBDULIA RIVERA MENDOZA (IRAPUATO)</v>
          </cell>
          <cell r="C39" t="str">
            <v/>
          </cell>
          <cell r="D39" t="str">
            <v>LAGUNILLA #1223</v>
          </cell>
          <cell r="E39" t="str">
            <v>IRAPUATO, GTO.</v>
          </cell>
          <cell r="F39" t="str">
            <v>36570</v>
          </cell>
          <cell r="G39" t="str">
            <v>(462)-114-1266</v>
          </cell>
          <cell r="H39" t="str">
            <v>OBDULIA RIVERA</v>
          </cell>
          <cell r="I39" t="str">
            <v>OBDULIA RIVERA</v>
          </cell>
          <cell r="J39" t="str">
            <v>BAJA</v>
          </cell>
          <cell r="K39" t="str">
            <v/>
          </cell>
          <cell r="L39">
            <v>0</v>
          </cell>
          <cell r="M39">
            <v>39</v>
          </cell>
          <cell r="N39" t="str">
            <v>S</v>
          </cell>
          <cell r="O39">
            <v>40626</v>
          </cell>
          <cell r="P39" t="str">
            <v xml:space="preserve">    1</v>
          </cell>
          <cell r="Q39">
            <v>0</v>
          </cell>
          <cell r="R39">
            <v>0</v>
          </cell>
          <cell r="S39">
            <v>0</v>
          </cell>
          <cell r="T39">
            <v>559</v>
          </cell>
          <cell r="U39">
            <v>0</v>
          </cell>
          <cell r="V39" t="str">
            <v>12 DE DICIEMBRE</v>
          </cell>
          <cell r="W39" t="str">
            <v/>
          </cell>
          <cell r="X39" t="str">
            <v/>
          </cell>
          <cell r="Y39" t="str">
            <v/>
          </cell>
          <cell r="Z39" t="str">
            <v/>
          </cell>
          <cell r="AA39" t="str">
            <v>044 462-114-1266</v>
          </cell>
          <cell r="AB39" t="str">
            <v/>
          </cell>
          <cell r="AC39" t="str">
            <v xml:space="preserve">   4875</v>
          </cell>
          <cell r="AD39" t="str">
            <v/>
          </cell>
          <cell r="AE39" t="str">
            <v/>
          </cell>
          <cell r="AF39" t="str">
            <v/>
          </cell>
          <cell r="AH39" t="str">
            <v>N</v>
          </cell>
          <cell r="AI39">
            <v>0</v>
          </cell>
          <cell r="AJ39">
            <v>0</v>
          </cell>
          <cell r="AK39">
            <v>0</v>
          </cell>
          <cell r="AL39">
            <v>0</v>
          </cell>
          <cell r="AM39">
            <v>559</v>
          </cell>
          <cell r="AN39">
            <v>0</v>
          </cell>
        </row>
        <row r="40">
          <cell r="A40">
            <v>1039</v>
          </cell>
          <cell r="B40" t="str">
            <v>ADRIANA RIVERA GONZALEZ (IRAPUATO)</v>
          </cell>
          <cell r="C40" t="str">
            <v/>
          </cell>
          <cell r="D40" t="str">
            <v>INT. MERCADO HIDALGO #159-B</v>
          </cell>
          <cell r="E40" t="str">
            <v>IRAPUATO, GTO.</v>
          </cell>
          <cell r="F40" t="str">
            <v/>
          </cell>
          <cell r="G40" t="str">
            <v>(462) 626-0218</v>
          </cell>
          <cell r="H40" t="str">
            <v>ADRIANA RIVERA</v>
          </cell>
          <cell r="I40" t="str">
            <v>ADRIANA RIVERA</v>
          </cell>
          <cell r="J40" t="str">
            <v>BAJA</v>
          </cell>
          <cell r="K40" t="str">
            <v/>
          </cell>
          <cell r="L40">
            <v>0</v>
          </cell>
          <cell r="M40">
            <v>40</v>
          </cell>
          <cell r="N40" t="str">
            <v>S</v>
          </cell>
          <cell r="O40">
            <v>40626</v>
          </cell>
          <cell r="P40" t="str">
            <v xml:space="preserve">    1</v>
          </cell>
          <cell r="Q40">
            <v>0</v>
          </cell>
          <cell r="R40">
            <v>0</v>
          </cell>
          <cell r="S40">
            <v>0</v>
          </cell>
          <cell r="T40">
            <v>6158</v>
          </cell>
          <cell r="U40">
            <v>0</v>
          </cell>
          <cell r="V40" t="str">
            <v>CENTRO</v>
          </cell>
          <cell r="W40" t="str">
            <v>(462) 626-5003 CASA</v>
          </cell>
          <cell r="X40" t="str">
            <v/>
          </cell>
          <cell r="Y40" t="str">
            <v/>
          </cell>
          <cell r="Z40" t="str">
            <v/>
          </cell>
          <cell r="AA40" t="str">
            <v>(462) 626-0218</v>
          </cell>
          <cell r="AB40" t="str">
            <v/>
          </cell>
          <cell r="AC40" t="str">
            <v xml:space="preserve">   4876</v>
          </cell>
          <cell r="AD40" t="str">
            <v/>
          </cell>
          <cell r="AE40" t="str">
            <v/>
          </cell>
          <cell r="AF40" t="str">
            <v/>
          </cell>
          <cell r="AH40" t="str">
            <v>N</v>
          </cell>
          <cell r="AI40">
            <v>0</v>
          </cell>
          <cell r="AJ40">
            <v>0</v>
          </cell>
          <cell r="AK40">
            <v>0</v>
          </cell>
          <cell r="AL40">
            <v>0</v>
          </cell>
          <cell r="AM40">
            <v>6158</v>
          </cell>
          <cell r="AN40">
            <v>0</v>
          </cell>
        </row>
        <row r="41">
          <cell r="A41">
            <v>1040</v>
          </cell>
          <cell r="B41" t="str">
            <v>BEGONIA VARELA SERRANO (IRAPUATO)</v>
          </cell>
          <cell r="C41" t="str">
            <v/>
          </cell>
          <cell r="D41" t="str">
            <v>EJERCITO NACIONAL #1687</v>
          </cell>
          <cell r="E41" t="str">
            <v>IRAPUATO, GTO.</v>
          </cell>
          <cell r="F41" t="str">
            <v>36630</v>
          </cell>
          <cell r="G41" t="str">
            <v>(462) 624-5284</v>
          </cell>
          <cell r="H41" t="str">
            <v>BEGONIA VARELA S.</v>
          </cell>
          <cell r="I41" t="str">
            <v>BEGONIA VARELA S.</v>
          </cell>
          <cell r="J41" t="str">
            <v>BAJA</v>
          </cell>
          <cell r="K41" t="str">
            <v/>
          </cell>
          <cell r="L41">
            <v>0</v>
          </cell>
          <cell r="M41">
            <v>41</v>
          </cell>
          <cell r="N41" t="str">
            <v>A</v>
          </cell>
          <cell r="O41">
            <v>40662</v>
          </cell>
          <cell r="P41" t="str">
            <v xml:space="preserve">    1</v>
          </cell>
          <cell r="Q41">
            <v>0</v>
          </cell>
          <cell r="R41">
            <v>0</v>
          </cell>
          <cell r="S41">
            <v>0</v>
          </cell>
          <cell r="T41">
            <v>1161</v>
          </cell>
          <cell r="U41">
            <v>0</v>
          </cell>
          <cell r="V41" t="str">
            <v>LA PRADERA</v>
          </cell>
          <cell r="W41" t="str">
            <v>(462) 139-1471 NXT</v>
          </cell>
          <cell r="X41" t="str">
            <v/>
          </cell>
          <cell r="Y41" t="str">
            <v/>
          </cell>
          <cell r="Z41" t="str">
            <v/>
          </cell>
          <cell r="AA41" t="str">
            <v>(462) 624-5284</v>
          </cell>
          <cell r="AB41" t="str">
            <v/>
          </cell>
          <cell r="AC41" t="str">
            <v xml:space="preserve">   4953</v>
          </cell>
          <cell r="AD41" t="str">
            <v/>
          </cell>
          <cell r="AE41" t="str">
            <v/>
          </cell>
          <cell r="AF41" t="str">
            <v/>
          </cell>
          <cell r="AH41" t="str">
            <v>N</v>
          </cell>
          <cell r="AI41">
            <v>0</v>
          </cell>
          <cell r="AJ41">
            <v>0</v>
          </cell>
          <cell r="AK41">
            <v>0</v>
          </cell>
          <cell r="AL41">
            <v>0</v>
          </cell>
          <cell r="AM41">
            <v>550</v>
          </cell>
          <cell r="AN41">
            <v>0</v>
          </cell>
        </row>
        <row r="42">
          <cell r="A42">
            <v>1041</v>
          </cell>
          <cell r="B42" t="str">
            <v>CONSUELO LOZANO ROMERO (IRAPUATO)</v>
          </cell>
          <cell r="C42" t="str">
            <v/>
          </cell>
          <cell r="D42" t="str">
            <v>BLVD. DIAZ ORDAZ #1377</v>
          </cell>
          <cell r="E42" t="str">
            <v>IRAPUATO, GTO.</v>
          </cell>
          <cell r="F42" t="str">
            <v>36660</v>
          </cell>
          <cell r="G42" t="str">
            <v>(462) 625-4045</v>
          </cell>
          <cell r="H42" t="str">
            <v>CONSUELO LOZANO R.</v>
          </cell>
          <cell r="I42" t="str">
            <v>CONSUELO LOZANO R.</v>
          </cell>
          <cell r="J42" t="str">
            <v>INCO</v>
          </cell>
          <cell r="K42" t="str">
            <v/>
          </cell>
          <cell r="L42">
            <v>0</v>
          </cell>
          <cell r="M42">
            <v>42</v>
          </cell>
          <cell r="N42" t="str">
            <v>S</v>
          </cell>
          <cell r="O42">
            <v>40662</v>
          </cell>
          <cell r="P42" t="str">
            <v xml:space="preserve">    1</v>
          </cell>
          <cell r="Q42">
            <v>0</v>
          </cell>
          <cell r="R42">
            <v>0</v>
          </cell>
          <cell r="S42">
            <v>0</v>
          </cell>
          <cell r="T42">
            <v>7036</v>
          </cell>
          <cell r="U42">
            <v>0</v>
          </cell>
          <cell r="V42" t="str">
            <v>LAS REYNAS</v>
          </cell>
          <cell r="W42" t="str">
            <v/>
          </cell>
          <cell r="X42" t="str">
            <v/>
          </cell>
          <cell r="Y42" t="str">
            <v/>
          </cell>
          <cell r="Z42" t="str">
            <v/>
          </cell>
          <cell r="AA42" t="str">
            <v>(462) 625-4045</v>
          </cell>
          <cell r="AB42" t="str">
            <v xml:space="preserve">     INCO</v>
          </cell>
          <cell r="AC42" t="str">
            <v xml:space="preserve">   4952</v>
          </cell>
          <cell r="AD42" t="str">
            <v/>
          </cell>
          <cell r="AE42" t="str">
            <v/>
          </cell>
          <cell r="AF42" t="str">
            <v/>
          </cell>
          <cell r="AG42">
            <v>42185</v>
          </cell>
          <cell r="AH42" t="str">
            <v>N</v>
          </cell>
          <cell r="AI42">
            <v>0</v>
          </cell>
          <cell r="AJ42">
            <v>0</v>
          </cell>
          <cell r="AK42">
            <v>0</v>
          </cell>
          <cell r="AL42">
            <v>1694</v>
          </cell>
          <cell r="AM42">
            <v>1694</v>
          </cell>
          <cell r="AN42">
            <v>0</v>
          </cell>
        </row>
        <row r="43">
          <cell r="A43">
            <v>1042</v>
          </cell>
          <cell r="B43" t="str">
            <v>LETICIA ESPITIA CABRERA  (ABASOLO)</v>
          </cell>
          <cell r="C43" t="str">
            <v/>
          </cell>
          <cell r="D43" t="str">
            <v>PORTAL HIDALGO #131</v>
          </cell>
          <cell r="E43" t="str">
            <v>ABASOLO, GTO.</v>
          </cell>
          <cell r="F43" t="str">
            <v>36970</v>
          </cell>
          <cell r="G43" t="str">
            <v>(429) 103-5772</v>
          </cell>
          <cell r="H43" t="str">
            <v>LETICIA ESPITIA C.</v>
          </cell>
          <cell r="I43" t="str">
            <v>LETICIA ESPITIA C.</v>
          </cell>
          <cell r="J43" t="str">
            <v>BAJA</v>
          </cell>
          <cell r="K43" t="str">
            <v/>
          </cell>
          <cell r="L43">
            <v>0</v>
          </cell>
          <cell r="M43">
            <v>43</v>
          </cell>
          <cell r="N43" t="str">
            <v>A</v>
          </cell>
          <cell r="O43">
            <v>40815</v>
          </cell>
          <cell r="P43" t="str">
            <v xml:space="preserve">    1</v>
          </cell>
          <cell r="Q43">
            <v>0</v>
          </cell>
          <cell r="R43">
            <v>0</v>
          </cell>
          <cell r="S43">
            <v>0</v>
          </cell>
          <cell r="T43">
            <v>2369</v>
          </cell>
          <cell r="U43">
            <v>0</v>
          </cell>
          <cell r="V43" t="str">
            <v>CENTRO</v>
          </cell>
          <cell r="W43" t="str">
            <v/>
          </cell>
          <cell r="X43" t="str">
            <v/>
          </cell>
          <cell r="Y43" t="str">
            <v/>
          </cell>
          <cell r="Z43" t="str">
            <v/>
          </cell>
          <cell r="AA43" t="str">
            <v>044 429-103-5772</v>
          </cell>
          <cell r="AB43" t="str">
            <v/>
          </cell>
          <cell r="AC43" t="str">
            <v>G027</v>
          </cell>
          <cell r="AD43" t="str">
            <v/>
          </cell>
          <cell r="AE43" t="str">
            <v/>
          </cell>
          <cell r="AF43" t="str">
            <v/>
          </cell>
          <cell r="AH43" t="str">
            <v>N</v>
          </cell>
          <cell r="AI43">
            <v>0</v>
          </cell>
          <cell r="AJ43">
            <v>0</v>
          </cell>
          <cell r="AK43">
            <v>0</v>
          </cell>
          <cell r="AL43">
            <v>0</v>
          </cell>
          <cell r="AM43">
            <v>600</v>
          </cell>
          <cell r="AN43">
            <v>0</v>
          </cell>
        </row>
        <row r="44">
          <cell r="A44">
            <v>1043</v>
          </cell>
          <cell r="B44" t="str">
            <v>AVELINA MARTINEZ MARTINEZ (ABASOLO)</v>
          </cell>
          <cell r="C44" t="str">
            <v/>
          </cell>
          <cell r="D44" t="str">
            <v>PLAZA PRINCIPAL #206</v>
          </cell>
          <cell r="E44" t="str">
            <v>ABASOLO, GTO.</v>
          </cell>
          <cell r="F44" t="str">
            <v>36970</v>
          </cell>
          <cell r="G44" t="str">
            <v>(429) 693-0174</v>
          </cell>
          <cell r="H44" t="str">
            <v>AVELINA MARTINEZ M.</v>
          </cell>
          <cell r="I44" t="str">
            <v>AVELINA MARTINEZ M.</v>
          </cell>
          <cell r="J44" t="str">
            <v>BAJA</v>
          </cell>
          <cell r="K44" t="str">
            <v/>
          </cell>
          <cell r="L44">
            <v>0</v>
          </cell>
          <cell r="M44">
            <v>44</v>
          </cell>
          <cell r="N44" t="str">
            <v>A</v>
          </cell>
          <cell r="O44">
            <v>40626</v>
          </cell>
          <cell r="P44" t="str">
            <v xml:space="preserve">    1</v>
          </cell>
          <cell r="Q44">
            <v>0</v>
          </cell>
          <cell r="R44">
            <v>0</v>
          </cell>
          <cell r="S44">
            <v>0</v>
          </cell>
          <cell r="T44">
            <v>2878</v>
          </cell>
          <cell r="U44">
            <v>0</v>
          </cell>
          <cell r="V44" t="str">
            <v>CENTRO</v>
          </cell>
          <cell r="W44" t="str">
            <v/>
          </cell>
          <cell r="X44" t="str">
            <v/>
          </cell>
          <cell r="Y44" t="str">
            <v/>
          </cell>
          <cell r="Z44" t="str">
            <v/>
          </cell>
          <cell r="AA44" t="str">
            <v>(429) 693-0174</v>
          </cell>
          <cell r="AB44" t="str">
            <v/>
          </cell>
          <cell r="AC44" t="str">
            <v xml:space="preserve">   4882</v>
          </cell>
          <cell r="AD44" t="str">
            <v/>
          </cell>
          <cell r="AE44" t="str">
            <v/>
          </cell>
          <cell r="AF44" t="str">
            <v/>
          </cell>
          <cell r="AH44" t="str">
            <v>N</v>
          </cell>
          <cell r="AI44">
            <v>0</v>
          </cell>
          <cell r="AJ44">
            <v>0</v>
          </cell>
          <cell r="AK44">
            <v>0</v>
          </cell>
          <cell r="AL44">
            <v>0</v>
          </cell>
          <cell r="AM44">
            <v>1432</v>
          </cell>
          <cell r="AN44">
            <v>0</v>
          </cell>
        </row>
        <row r="45">
          <cell r="A45">
            <v>1044</v>
          </cell>
          <cell r="B45" t="str">
            <v>TANIA MIRELES GONZALEZ (COYOTEPEC)</v>
          </cell>
          <cell r="C45" t="str">
            <v/>
          </cell>
          <cell r="D45" t="str">
            <v>VICENTE GUERRERO S/N LOCAL 13</v>
          </cell>
          <cell r="E45" t="str">
            <v>COYOTEPEC, EDO. DE MEXICO</v>
          </cell>
          <cell r="F45" t="str">
            <v/>
          </cell>
          <cell r="G45" t="str">
            <v>(55) 5190-3708</v>
          </cell>
          <cell r="H45" t="str">
            <v>TANIA MIRELES G.</v>
          </cell>
          <cell r="I45" t="str">
            <v>TANIA MIRELES G.</v>
          </cell>
          <cell r="J45" t="str">
            <v>BAJA</v>
          </cell>
          <cell r="K45" t="str">
            <v/>
          </cell>
          <cell r="L45">
            <v>0</v>
          </cell>
          <cell r="M45">
            <v>45</v>
          </cell>
          <cell r="N45" t="str">
            <v>A</v>
          </cell>
          <cell r="O45">
            <v>40631</v>
          </cell>
          <cell r="P45" t="str">
            <v xml:space="preserve">    3</v>
          </cell>
          <cell r="Q45">
            <v>0</v>
          </cell>
          <cell r="R45">
            <v>0</v>
          </cell>
          <cell r="S45">
            <v>0</v>
          </cell>
          <cell r="T45">
            <v>353</v>
          </cell>
          <cell r="U45">
            <v>0</v>
          </cell>
          <cell r="V45" t="str">
            <v/>
          </cell>
          <cell r="W45" t="str">
            <v/>
          </cell>
          <cell r="X45" t="str">
            <v/>
          </cell>
          <cell r="Y45" t="str">
            <v/>
          </cell>
          <cell r="Z45" t="str">
            <v/>
          </cell>
          <cell r="AA45" t="str">
            <v>(55) 5190-3708</v>
          </cell>
          <cell r="AB45" t="str">
            <v/>
          </cell>
          <cell r="AC45" t="str">
            <v xml:space="preserve">   4889</v>
          </cell>
          <cell r="AD45" t="str">
            <v/>
          </cell>
          <cell r="AE45" t="str">
            <v/>
          </cell>
          <cell r="AF45" t="str">
            <v/>
          </cell>
          <cell r="AH45" t="str">
            <v>N</v>
          </cell>
          <cell r="AI45">
            <v>0</v>
          </cell>
          <cell r="AJ45">
            <v>0</v>
          </cell>
          <cell r="AK45">
            <v>0</v>
          </cell>
          <cell r="AL45">
            <v>0</v>
          </cell>
          <cell r="AM45">
            <v>353</v>
          </cell>
          <cell r="AN45">
            <v>0</v>
          </cell>
        </row>
        <row r="46">
          <cell r="A46">
            <v>1045</v>
          </cell>
          <cell r="B46" t="str">
            <v>IRMA CANO VALERIA (COYOTEPEC)</v>
          </cell>
          <cell r="C46" t="str">
            <v/>
          </cell>
          <cell r="D46" t="str">
            <v>DOMINGO CASTRO #4</v>
          </cell>
          <cell r="E46" t="str">
            <v>COYOTEPEC, EDO. DE MEXICO</v>
          </cell>
          <cell r="F46" t="str">
            <v/>
          </cell>
          <cell r="G46" t="str">
            <v>(593) 915-2825</v>
          </cell>
          <cell r="H46" t="str">
            <v>IRMA CANO VALERIA</v>
          </cell>
          <cell r="I46" t="str">
            <v>IRMA CANO VALERIA</v>
          </cell>
          <cell r="J46" t="str">
            <v>BAJA</v>
          </cell>
          <cell r="K46" t="str">
            <v/>
          </cell>
          <cell r="L46">
            <v>0</v>
          </cell>
          <cell r="M46">
            <v>46</v>
          </cell>
          <cell r="N46" t="str">
            <v>A</v>
          </cell>
          <cell r="O46">
            <v>40631</v>
          </cell>
          <cell r="P46" t="str">
            <v xml:space="preserve">    3</v>
          </cell>
          <cell r="Q46">
            <v>0</v>
          </cell>
          <cell r="R46">
            <v>0</v>
          </cell>
          <cell r="S46">
            <v>0</v>
          </cell>
          <cell r="T46">
            <v>357</v>
          </cell>
          <cell r="U46">
            <v>0</v>
          </cell>
          <cell r="V46" t="str">
            <v>BARRIO REYES CENTRO</v>
          </cell>
          <cell r="W46" t="str">
            <v/>
          </cell>
          <cell r="X46" t="str">
            <v/>
          </cell>
          <cell r="Y46" t="str">
            <v/>
          </cell>
          <cell r="Z46" t="str">
            <v/>
          </cell>
          <cell r="AA46" t="str">
            <v>(593) 915-2825</v>
          </cell>
          <cell r="AB46" t="str">
            <v/>
          </cell>
          <cell r="AC46" t="str">
            <v xml:space="preserve">   4891</v>
          </cell>
          <cell r="AD46" t="str">
            <v/>
          </cell>
          <cell r="AE46" t="str">
            <v/>
          </cell>
          <cell r="AF46" t="str">
            <v/>
          </cell>
          <cell r="AH46" t="str">
            <v>N</v>
          </cell>
          <cell r="AI46">
            <v>0</v>
          </cell>
          <cell r="AJ46">
            <v>0</v>
          </cell>
          <cell r="AK46">
            <v>0</v>
          </cell>
          <cell r="AL46">
            <v>0</v>
          </cell>
          <cell r="AM46">
            <v>357</v>
          </cell>
          <cell r="AN46">
            <v>0</v>
          </cell>
        </row>
        <row r="47">
          <cell r="A47">
            <v>1046</v>
          </cell>
          <cell r="B47" t="str">
            <v>LOURDES BAEZ (TULTITLAN)</v>
          </cell>
          <cell r="C47" t="str">
            <v/>
          </cell>
          <cell r="D47" t="str">
            <v/>
          </cell>
          <cell r="E47" t="str">
            <v>TULTITLAN, EDO. DE MEXICO</v>
          </cell>
          <cell r="F47" t="str">
            <v/>
          </cell>
          <cell r="G47" t="str">
            <v>(55) 4249-2463 CEL</v>
          </cell>
          <cell r="H47" t="str">
            <v>LOURDES BAEZ</v>
          </cell>
          <cell r="I47" t="str">
            <v>LOURDES BAEZ</v>
          </cell>
          <cell r="J47" t="str">
            <v>M01</v>
          </cell>
          <cell r="K47" t="str">
            <v/>
          </cell>
          <cell r="L47">
            <v>0</v>
          </cell>
          <cell r="M47">
            <v>47</v>
          </cell>
          <cell r="N47" t="str">
            <v>A</v>
          </cell>
          <cell r="O47">
            <v>42367</v>
          </cell>
          <cell r="P47" t="str">
            <v xml:space="preserve">    2</v>
          </cell>
          <cell r="Q47">
            <v>0</v>
          </cell>
          <cell r="R47">
            <v>0</v>
          </cell>
          <cell r="S47">
            <v>352</v>
          </cell>
          <cell r="T47">
            <v>129274</v>
          </cell>
          <cell r="U47">
            <v>0</v>
          </cell>
          <cell r="V47" t="str">
            <v/>
          </cell>
          <cell r="W47" t="str">
            <v>(55) 3137-3024</v>
          </cell>
          <cell r="X47" t="str">
            <v/>
          </cell>
          <cell r="Y47" t="str">
            <v/>
          </cell>
          <cell r="Z47" t="str">
            <v/>
          </cell>
          <cell r="AA47" t="str">
            <v>(55) 4249-2463 CEL</v>
          </cell>
          <cell r="AB47" t="str">
            <v xml:space="preserve">  DEV-323</v>
          </cell>
          <cell r="AC47" t="str">
            <v>M568</v>
          </cell>
          <cell r="AD47" t="str">
            <v/>
          </cell>
          <cell r="AE47" t="str">
            <v/>
          </cell>
          <cell r="AF47" t="str">
            <v/>
          </cell>
          <cell r="AG47">
            <v>42359</v>
          </cell>
          <cell r="AH47" t="str">
            <v>N</v>
          </cell>
          <cell r="AI47">
            <v>0</v>
          </cell>
          <cell r="AJ47">
            <v>0</v>
          </cell>
          <cell r="AK47">
            <v>0</v>
          </cell>
          <cell r="AL47">
            <v>651</v>
          </cell>
          <cell r="AM47">
            <v>3725</v>
          </cell>
          <cell r="AN47">
            <v>0</v>
          </cell>
        </row>
        <row r="48">
          <cell r="A48">
            <v>1047</v>
          </cell>
          <cell r="B48" t="str">
            <v>ALLEN DOMINGUEZ HERNANDEZ (TIZAYUCA)</v>
          </cell>
          <cell r="C48" t="str">
            <v/>
          </cell>
          <cell r="D48" t="str">
            <v>5 DE MAYO S/N ESQ. JUAREZ</v>
          </cell>
          <cell r="E48" t="str">
            <v>TIZAYUCA, HGO.</v>
          </cell>
          <cell r="F48" t="str">
            <v>43800</v>
          </cell>
          <cell r="G48" t="str">
            <v>(779) 796-3618</v>
          </cell>
          <cell r="H48" t="str">
            <v>ALLEN DOMINGUEZ H.</v>
          </cell>
          <cell r="I48" t="str">
            <v>ALLEN DOMINGUEZ H.</v>
          </cell>
          <cell r="J48" t="str">
            <v>BAJA</v>
          </cell>
          <cell r="K48" t="str">
            <v/>
          </cell>
          <cell r="L48">
            <v>0</v>
          </cell>
          <cell r="M48">
            <v>48</v>
          </cell>
          <cell r="N48" t="str">
            <v>S</v>
          </cell>
          <cell r="O48">
            <v>40638</v>
          </cell>
          <cell r="P48" t="str">
            <v xml:space="preserve">    3</v>
          </cell>
          <cell r="Q48">
            <v>0</v>
          </cell>
          <cell r="R48">
            <v>0</v>
          </cell>
          <cell r="S48">
            <v>0</v>
          </cell>
          <cell r="T48">
            <v>3153</v>
          </cell>
          <cell r="U48">
            <v>0</v>
          </cell>
          <cell r="V48" t="str">
            <v>CENTRO</v>
          </cell>
          <cell r="W48" t="str">
            <v/>
          </cell>
          <cell r="X48" t="str">
            <v/>
          </cell>
          <cell r="Y48" t="str">
            <v/>
          </cell>
          <cell r="Z48" t="str">
            <v/>
          </cell>
          <cell r="AA48" t="str">
            <v>(779) 796-3618</v>
          </cell>
          <cell r="AB48" t="str">
            <v/>
          </cell>
          <cell r="AC48" t="str">
            <v xml:space="preserve">   3244</v>
          </cell>
          <cell r="AD48" t="str">
            <v/>
          </cell>
          <cell r="AE48" t="str">
            <v/>
          </cell>
          <cell r="AF48" t="str">
            <v/>
          </cell>
          <cell r="AH48" t="str">
            <v>N</v>
          </cell>
          <cell r="AI48">
            <v>0</v>
          </cell>
          <cell r="AJ48">
            <v>0</v>
          </cell>
          <cell r="AK48">
            <v>0</v>
          </cell>
          <cell r="AL48">
            <v>0</v>
          </cell>
          <cell r="AM48">
            <v>1467</v>
          </cell>
          <cell r="AN48">
            <v>0</v>
          </cell>
        </row>
        <row r="49">
          <cell r="A49">
            <v>1048</v>
          </cell>
          <cell r="B49" t="str">
            <v>ELENA AVALOS PIÑA (EL PUEBLITO)</v>
          </cell>
          <cell r="C49" t="str">
            <v/>
          </cell>
          <cell r="D49" t="str">
            <v>PEDRO URTEGA #1</v>
          </cell>
          <cell r="E49" t="str">
            <v>EL PUEBLITO, QRO.</v>
          </cell>
          <cell r="F49" t="str">
            <v>76900</v>
          </cell>
          <cell r="G49" t="str">
            <v>(442) 225-0457</v>
          </cell>
          <cell r="H49" t="str">
            <v>ELENA AVALOS PIÑA</v>
          </cell>
          <cell r="I49" t="str">
            <v>ELENA AVALOS PIÑA</v>
          </cell>
          <cell r="J49" t="str">
            <v>BAJA</v>
          </cell>
          <cell r="K49" t="str">
            <v/>
          </cell>
          <cell r="L49">
            <v>0</v>
          </cell>
          <cell r="M49">
            <v>50</v>
          </cell>
          <cell r="N49" t="str">
            <v>A</v>
          </cell>
          <cell r="O49">
            <v>40633</v>
          </cell>
          <cell r="P49" t="str">
            <v xml:space="preserve">    1</v>
          </cell>
          <cell r="Q49">
            <v>0</v>
          </cell>
          <cell r="R49">
            <v>0</v>
          </cell>
          <cell r="S49">
            <v>0</v>
          </cell>
          <cell r="T49">
            <v>2498</v>
          </cell>
          <cell r="U49">
            <v>0</v>
          </cell>
          <cell r="V49" t="str">
            <v>CENTRO</v>
          </cell>
          <cell r="W49" t="str">
            <v/>
          </cell>
          <cell r="X49" t="str">
            <v/>
          </cell>
          <cell r="Y49" t="str">
            <v/>
          </cell>
          <cell r="Z49" t="str">
            <v/>
          </cell>
          <cell r="AA49" t="str">
            <v>(442) 225-0457</v>
          </cell>
          <cell r="AB49" t="str">
            <v/>
          </cell>
          <cell r="AC49" t="str">
            <v xml:space="preserve">   4895</v>
          </cell>
          <cell r="AD49" t="str">
            <v/>
          </cell>
          <cell r="AE49" t="str">
            <v/>
          </cell>
          <cell r="AF49" t="str">
            <v/>
          </cell>
          <cell r="AH49" t="str">
            <v>N</v>
          </cell>
          <cell r="AI49">
            <v>0</v>
          </cell>
          <cell r="AJ49">
            <v>0</v>
          </cell>
          <cell r="AK49">
            <v>0</v>
          </cell>
          <cell r="AL49">
            <v>0</v>
          </cell>
          <cell r="AM49">
            <v>2498</v>
          </cell>
          <cell r="AN49">
            <v>0</v>
          </cell>
        </row>
        <row r="50">
          <cell r="A50">
            <v>1049</v>
          </cell>
          <cell r="B50" t="str">
            <v>MA. LETICIA MANRIQUE BARAJAS (CUERAMARO)</v>
          </cell>
          <cell r="C50" t="str">
            <v/>
          </cell>
          <cell r="D50" t="str">
            <v>MORELOS #114</v>
          </cell>
          <cell r="E50" t="str">
            <v>CUERAMARO, GTO.</v>
          </cell>
          <cell r="F50" t="str">
            <v>36960</v>
          </cell>
          <cell r="G50" t="str">
            <v>(429) 694-0730</v>
          </cell>
          <cell r="H50" t="str">
            <v>MA. LETICIA MANRIQUE</v>
          </cell>
          <cell r="I50" t="str">
            <v>MA. LETICIA MANRIQUE</v>
          </cell>
          <cell r="J50" t="str">
            <v>BAJA</v>
          </cell>
          <cell r="K50" t="str">
            <v/>
          </cell>
          <cell r="L50">
            <v>0</v>
          </cell>
          <cell r="M50">
            <v>51</v>
          </cell>
          <cell r="N50" t="str">
            <v>A</v>
          </cell>
          <cell r="O50">
            <v>40635</v>
          </cell>
          <cell r="P50" t="str">
            <v xml:space="preserve">    1</v>
          </cell>
          <cell r="Q50">
            <v>0</v>
          </cell>
          <cell r="R50">
            <v>0</v>
          </cell>
          <cell r="S50">
            <v>0</v>
          </cell>
          <cell r="T50">
            <v>6973</v>
          </cell>
          <cell r="U50">
            <v>0</v>
          </cell>
          <cell r="V50" t="str">
            <v>CENTRO</v>
          </cell>
          <cell r="W50" t="str">
            <v/>
          </cell>
          <cell r="X50" t="str">
            <v/>
          </cell>
          <cell r="Y50" t="str">
            <v/>
          </cell>
          <cell r="Z50" t="str">
            <v/>
          </cell>
          <cell r="AA50" t="str">
            <v>(429) 694-0730</v>
          </cell>
          <cell r="AB50" t="str">
            <v xml:space="preserve">     DESC</v>
          </cell>
          <cell r="AC50" t="str">
            <v xml:space="preserve">   4899</v>
          </cell>
          <cell r="AD50" t="str">
            <v/>
          </cell>
          <cell r="AE50" t="str">
            <v/>
          </cell>
          <cell r="AF50" t="str">
            <v/>
          </cell>
          <cell r="AG50">
            <v>40747</v>
          </cell>
          <cell r="AH50" t="str">
            <v>N</v>
          </cell>
          <cell r="AI50">
            <v>0</v>
          </cell>
          <cell r="AJ50">
            <v>0</v>
          </cell>
          <cell r="AK50">
            <v>0</v>
          </cell>
          <cell r="AL50">
            <v>75</v>
          </cell>
          <cell r="AM50">
            <v>6973</v>
          </cell>
          <cell r="AN50">
            <v>0</v>
          </cell>
        </row>
        <row r="51">
          <cell r="A51">
            <v>1050</v>
          </cell>
          <cell r="B51" t="str">
            <v>RAUL PADILLA ESPINOSA (TULTEPEC)</v>
          </cell>
          <cell r="C51" t="str">
            <v/>
          </cell>
          <cell r="D51" t="str">
            <v>AV. 2 DE MARZO LOCAL 7</v>
          </cell>
          <cell r="E51" t="str">
            <v>TULTEPEC, EDO. DE MEXICO</v>
          </cell>
          <cell r="F51" t="str">
            <v/>
          </cell>
          <cell r="G51" t="str">
            <v>(55) 2329-0233</v>
          </cell>
          <cell r="H51" t="str">
            <v>RAUL PADILLA E.</v>
          </cell>
          <cell r="I51" t="str">
            <v>RAUL PADILLA E.</v>
          </cell>
          <cell r="J51" t="str">
            <v>BAJA</v>
          </cell>
          <cell r="K51" t="str">
            <v/>
          </cell>
          <cell r="L51">
            <v>0</v>
          </cell>
          <cell r="M51">
            <v>52</v>
          </cell>
          <cell r="N51" t="str">
            <v>A</v>
          </cell>
          <cell r="O51">
            <v>40641</v>
          </cell>
          <cell r="P51" t="str">
            <v xml:space="preserve">    3</v>
          </cell>
          <cell r="Q51">
            <v>0</v>
          </cell>
          <cell r="R51">
            <v>0</v>
          </cell>
          <cell r="S51">
            <v>0</v>
          </cell>
          <cell r="T51">
            <v>478</v>
          </cell>
          <cell r="U51">
            <v>0</v>
          </cell>
          <cell r="V51" t="str">
            <v/>
          </cell>
          <cell r="W51" t="str">
            <v/>
          </cell>
          <cell r="X51" t="str">
            <v/>
          </cell>
          <cell r="Y51" t="str">
            <v/>
          </cell>
          <cell r="Z51" t="str">
            <v/>
          </cell>
          <cell r="AA51" t="str">
            <v>(55) 2329-0233</v>
          </cell>
          <cell r="AB51" t="str">
            <v/>
          </cell>
          <cell r="AC51" t="str">
            <v xml:space="preserve">   3246</v>
          </cell>
          <cell r="AD51" t="str">
            <v/>
          </cell>
          <cell r="AE51" t="str">
            <v/>
          </cell>
          <cell r="AF51" t="str">
            <v/>
          </cell>
          <cell r="AH51" t="str">
            <v>N</v>
          </cell>
          <cell r="AI51">
            <v>0</v>
          </cell>
          <cell r="AJ51">
            <v>0</v>
          </cell>
          <cell r="AK51">
            <v>0</v>
          </cell>
          <cell r="AL51">
            <v>0</v>
          </cell>
          <cell r="AM51">
            <v>478</v>
          </cell>
          <cell r="AN51">
            <v>0</v>
          </cell>
        </row>
        <row r="52">
          <cell r="A52">
            <v>1051</v>
          </cell>
          <cell r="B52" t="str">
            <v>CARMEN CURIEL AYALA (TEOLOYUCAN)</v>
          </cell>
          <cell r="C52" t="str">
            <v/>
          </cell>
          <cell r="D52" t="str">
            <v>AV. MORELIA #5</v>
          </cell>
          <cell r="E52" t="str">
            <v>TEOLOYUCAN, EDO. DE MEXICO</v>
          </cell>
          <cell r="F52" t="str">
            <v>54770</v>
          </cell>
          <cell r="G52" t="str">
            <v/>
          </cell>
          <cell r="H52" t="str">
            <v>CARMEN CURIEL AYALA</v>
          </cell>
          <cell r="I52" t="str">
            <v>CARMEN CURIEL AYALA</v>
          </cell>
          <cell r="J52" t="str">
            <v>BAJA</v>
          </cell>
          <cell r="K52" t="str">
            <v/>
          </cell>
          <cell r="L52">
            <v>0</v>
          </cell>
          <cell r="M52">
            <v>53</v>
          </cell>
          <cell r="N52" t="str">
            <v>A</v>
          </cell>
          <cell r="O52">
            <v>40700</v>
          </cell>
          <cell r="P52" t="str">
            <v xml:space="preserve">    3</v>
          </cell>
          <cell r="Q52">
            <v>0</v>
          </cell>
          <cell r="R52">
            <v>0</v>
          </cell>
          <cell r="S52">
            <v>0</v>
          </cell>
          <cell r="T52">
            <v>2394</v>
          </cell>
          <cell r="U52">
            <v>0</v>
          </cell>
          <cell r="V52" t="str">
            <v>BARRIO DE ZIMAPAN</v>
          </cell>
          <cell r="W52" t="str">
            <v/>
          </cell>
          <cell r="X52" t="str">
            <v/>
          </cell>
          <cell r="Y52" t="str">
            <v/>
          </cell>
          <cell r="Z52" t="str">
            <v/>
          </cell>
          <cell r="AA52" t="str">
            <v/>
          </cell>
          <cell r="AB52" t="str">
            <v/>
          </cell>
          <cell r="AC52" t="str">
            <v xml:space="preserve">   5099</v>
          </cell>
          <cell r="AD52" t="str">
            <v/>
          </cell>
          <cell r="AE52" t="str">
            <v/>
          </cell>
          <cell r="AF52" t="str">
            <v/>
          </cell>
          <cell r="AH52" t="str">
            <v>N</v>
          </cell>
          <cell r="AI52">
            <v>0</v>
          </cell>
          <cell r="AJ52">
            <v>0</v>
          </cell>
          <cell r="AK52">
            <v>0</v>
          </cell>
          <cell r="AL52">
            <v>0</v>
          </cell>
          <cell r="AM52">
            <v>1368</v>
          </cell>
          <cell r="AN52">
            <v>0</v>
          </cell>
        </row>
        <row r="53">
          <cell r="A53">
            <v>1052</v>
          </cell>
          <cell r="B53" t="str">
            <v>EDITH ROJAS ZUÑIGA (TULTEPEC)</v>
          </cell>
          <cell r="C53" t="str">
            <v/>
          </cell>
          <cell r="D53" t="str">
            <v>AV. 16 DE SEPTIEMBRE #60</v>
          </cell>
          <cell r="E53" t="str">
            <v>TULTEPEC, EDO. DE MEXICO</v>
          </cell>
          <cell r="F53" t="str">
            <v>54960</v>
          </cell>
          <cell r="G53" t="str">
            <v>(55) 2460-0359 CASA</v>
          </cell>
          <cell r="H53" t="str">
            <v>EDITH ROJAS ZUÑIGA</v>
          </cell>
          <cell r="I53" t="str">
            <v>EDITH ROJAS ZUÑIGA</v>
          </cell>
          <cell r="J53" t="str">
            <v>M02</v>
          </cell>
          <cell r="K53" t="str">
            <v/>
          </cell>
          <cell r="L53">
            <v>0</v>
          </cell>
          <cell r="M53">
            <v>54</v>
          </cell>
          <cell r="N53" t="str">
            <v>A</v>
          </cell>
          <cell r="O53">
            <v>42198</v>
          </cell>
          <cell r="P53" t="str">
            <v xml:space="preserve">    3</v>
          </cell>
          <cell r="Q53">
            <v>0</v>
          </cell>
          <cell r="R53">
            <v>0</v>
          </cell>
          <cell r="S53">
            <v>0</v>
          </cell>
          <cell r="T53">
            <v>32740</v>
          </cell>
          <cell r="U53">
            <v>0</v>
          </cell>
          <cell r="V53" t="str">
            <v>BARRIO SAN JUAN</v>
          </cell>
          <cell r="W53" t="str">
            <v/>
          </cell>
          <cell r="X53" t="str">
            <v>M01</v>
          </cell>
          <cell r="Y53" t="str">
            <v/>
          </cell>
          <cell r="Z53" t="str">
            <v/>
          </cell>
          <cell r="AA53" t="str">
            <v>(55) 2460-0359 CASA</v>
          </cell>
          <cell r="AB53" t="str">
            <v xml:space="preserve">     INCO</v>
          </cell>
          <cell r="AC53" t="str">
            <v>M-0850</v>
          </cell>
          <cell r="AD53" t="str">
            <v/>
          </cell>
          <cell r="AE53" t="str">
            <v/>
          </cell>
          <cell r="AF53" t="str">
            <v/>
          </cell>
          <cell r="AG53">
            <v>41760</v>
          </cell>
          <cell r="AH53" t="str">
            <v>N</v>
          </cell>
          <cell r="AI53">
            <v>0</v>
          </cell>
          <cell r="AJ53">
            <v>0</v>
          </cell>
          <cell r="AK53">
            <v>0</v>
          </cell>
          <cell r="AL53">
            <v>300</v>
          </cell>
          <cell r="AM53">
            <v>775</v>
          </cell>
          <cell r="AN53">
            <v>0</v>
          </cell>
        </row>
        <row r="54">
          <cell r="A54">
            <v>1053</v>
          </cell>
          <cell r="B54" t="str">
            <v>MARIBEL RODRIGUEZ  (TEOLOYUCAN)</v>
          </cell>
          <cell r="C54" t="str">
            <v/>
          </cell>
          <cell r="D54" t="str">
            <v>AV. DOLORES #4</v>
          </cell>
          <cell r="E54" t="str">
            <v>TEOLOYUCAN, EDO. DE MEXICO</v>
          </cell>
          <cell r="F54" t="str">
            <v/>
          </cell>
          <cell r="G54" t="str">
            <v>(59) 3914-0095</v>
          </cell>
          <cell r="H54" t="str">
            <v>MARIBEL RODRIGUEZ</v>
          </cell>
          <cell r="I54" t="str">
            <v>MARIBEL RODRIGUEZ</v>
          </cell>
          <cell r="J54" t="str">
            <v>BAJA</v>
          </cell>
          <cell r="K54" t="str">
            <v/>
          </cell>
          <cell r="L54">
            <v>0</v>
          </cell>
          <cell r="M54">
            <v>55</v>
          </cell>
          <cell r="N54" t="str">
            <v>A</v>
          </cell>
          <cell r="O54">
            <v>41159</v>
          </cell>
          <cell r="P54" t="str">
            <v xml:space="preserve">    3</v>
          </cell>
          <cell r="Q54">
            <v>0</v>
          </cell>
          <cell r="R54">
            <v>0</v>
          </cell>
          <cell r="S54">
            <v>0</v>
          </cell>
          <cell r="T54">
            <v>5610</v>
          </cell>
          <cell r="U54">
            <v>0</v>
          </cell>
          <cell r="V54" t="str">
            <v>BARRIO TLATILCO</v>
          </cell>
          <cell r="W54" t="str">
            <v/>
          </cell>
          <cell r="X54" t="str">
            <v/>
          </cell>
          <cell r="Y54" t="str">
            <v/>
          </cell>
          <cell r="Z54" t="str">
            <v/>
          </cell>
          <cell r="AA54" t="str">
            <v>(59) 3914-0095</v>
          </cell>
          <cell r="AB54" t="str">
            <v/>
          </cell>
          <cell r="AC54" t="str">
            <v>C541</v>
          </cell>
          <cell r="AD54" t="str">
            <v/>
          </cell>
          <cell r="AE54" t="str">
            <v/>
          </cell>
          <cell r="AF54" t="str">
            <v/>
          </cell>
          <cell r="AH54" t="str">
            <v>N</v>
          </cell>
          <cell r="AI54">
            <v>0</v>
          </cell>
          <cell r="AJ54">
            <v>0</v>
          </cell>
          <cell r="AK54">
            <v>0</v>
          </cell>
          <cell r="AL54">
            <v>0</v>
          </cell>
          <cell r="AM54">
            <v>518</v>
          </cell>
          <cell r="AN54">
            <v>0</v>
          </cell>
        </row>
        <row r="55">
          <cell r="A55">
            <v>1054</v>
          </cell>
          <cell r="B55" t="str">
            <v>NORMA VIQUEZ ARELLANO (SAN LORENZO)</v>
          </cell>
          <cell r="C55">
            <v>0</v>
          </cell>
          <cell r="D55" t="str">
            <v xml:space="preserve">INDEPENDENCIA #6                        </v>
          </cell>
          <cell r="E55" t="str">
            <v>COACALCO, EDO. DE MEXICO</v>
          </cell>
          <cell r="F55">
            <v>0</v>
          </cell>
          <cell r="G55" t="str">
            <v>(55) 2968-3241</v>
          </cell>
          <cell r="H55" t="str">
            <v>NORMA VIQUEZ A.</v>
          </cell>
          <cell r="I55" t="str">
            <v>NORMA VIQUEZ A.</v>
          </cell>
          <cell r="J55" t="str">
            <v>BAJA</v>
          </cell>
          <cell r="K55" t="str">
            <v/>
          </cell>
          <cell r="L55">
            <v>0</v>
          </cell>
          <cell r="M55">
            <v>56</v>
          </cell>
          <cell r="N55" t="str">
            <v>A</v>
          </cell>
          <cell r="O55">
            <v>40865</v>
          </cell>
          <cell r="P55" t="str">
            <v xml:space="preserve">    3</v>
          </cell>
          <cell r="Q55">
            <v>0</v>
          </cell>
          <cell r="R55">
            <v>0</v>
          </cell>
          <cell r="S55">
            <v>0</v>
          </cell>
          <cell r="T55">
            <v>4491</v>
          </cell>
          <cell r="U55">
            <v>0</v>
          </cell>
          <cell r="V55" t="str">
            <v>SAN LORENZO</v>
          </cell>
          <cell r="W55" t="str">
            <v/>
          </cell>
          <cell r="X55" t="str">
            <v/>
          </cell>
          <cell r="Y55" t="str">
            <v/>
          </cell>
          <cell r="Z55" t="str">
            <v/>
          </cell>
          <cell r="AA55" t="str">
            <v>(55) 2968-3241</v>
          </cell>
          <cell r="AB55" t="str">
            <v/>
          </cell>
          <cell r="AC55" t="str">
            <v xml:space="preserve">     38</v>
          </cell>
          <cell r="AD55" t="str">
            <v/>
          </cell>
          <cell r="AE55" t="str">
            <v/>
          </cell>
          <cell r="AF55" t="str">
            <v/>
          </cell>
          <cell r="AH55" t="str">
            <v>N</v>
          </cell>
          <cell r="AI55">
            <v>0</v>
          </cell>
          <cell r="AJ55">
            <v>0</v>
          </cell>
          <cell r="AK55">
            <v>0</v>
          </cell>
          <cell r="AL55">
            <v>0</v>
          </cell>
          <cell r="AM55">
            <v>309</v>
          </cell>
          <cell r="AN55">
            <v>0</v>
          </cell>
        </row>
        <row r="56">
          <cell r="A56">
            <v>1055</v>
          </cell>
          <cell r="B56" t="str">
            <v xml:space="preserve">RICARDO VARGAS JAIMES (NICOLAS ROMERO)                      </v>
          </cell>
          <cell r="C56">
            <v>0</v>
          </cell>
          <cell r="D56" t="str">
            <v xml:space="preserve">GUILLERMO PRIETO #2                     </v>
          </cell>
          <cell r="E56" t="str">
            <v>NICOLAS ROMERO, EDO. DE MEXICO</v>
          </cell>
          <cell r="F56">
            <v>0</v>
          </cell>
          <cell r="G56" t="str">
            <v>(55) 3697-4561</v>
          </cell>
          <cell r="H56" t="str">
            <v>RICARDO VARGAS J.</v>
          </cell>
          <cell r="I56" t="str">
            <v>RICARDO VARGAS J.</v>
          </cell>
          <cell r="J56" t="str">
            <v>BAJA</v>
          </cell>
          <cell r="K56" t="str">
            <v/>
          </cell>
          <cell r="L56">
            <v>0</v>
          </cell>
          <cell r="M56">
            <v>57</v>
          </cell>
          <cell r="N56" t="str">
            <v>A</v>
          </cell>
          <cell r="O56">
            <v>40659</v>
          </cell>
          <cell r="P56" t="str">
            <v xml:space="preserve">    3</v>
          </cell>
          <cell r="Q56">
            <v>0</v>
          </cell>
          <cell r="R56">
            <v>0</v>
          </cell>
          <cell r="S56">
            <v>0</v>
          </cell>
          <cell r="T56">
            <v>1397</v>
          </cell>
          <cell r="U56">
            <v>0</v>
          </cell>
          <cell r="V56" t="str">
            <v>SAN PEDRO CENTRO</v>
          </cell>
          <cell r="W56" t="str">
            <v>(55) 5828-6987 CASA</v>
          </cell>
          <cell r="X56" t="str">
            <v/>
          </cell>
          <cell r="Y56" t="str">
            <v/>
          </cell>
          <cell r="Z56" t="str">
            <v/>
          </cell>
          <cell r="AA56" t="str">
            <v>(55) 3697-4561</v>
          </cell>
          <cell r="AB56" t="str">
            <v/>
          </cell>
          <cell r="AC56" t="str">
            <v xml:space="preserve">   4978</v>
          </cell>
          <cell r="AD56" t="str">
            <v/>
          </cell>
          <cell r="AE56" t="str">
            <v/>
          </cell>
          <cell r="AF56" t="str">
            <v/>
          </cell>
          <cell r="AH56" t="str">
            <v>N</v>
          </cell>
          <cell r="AI56">
            <v>0</v>
          </cell>
          <cell r="AJ56">
            <v>0</v>
          </cell>
          <cell r="AK56">
            <v>0</v>
          </cell>
          <cell r="AL56">
            <v>0</v>
          </cell>
          <cell r="AM56">
            <v>1397</v>
          </cell>
          <cell r="AN56">
            <v>0</v>
          </cell>
        </row>
        <row r="57">
          <cell r="A57">
            <v>1056</v>
          </cell>
          <cell r="B57" t="str">
            <v>MARIBEL RAMIREZ BAZAN (IZCALLI)</v>
          </cell>
          <cell r="C57" t="str">
            <v/>
          </cell>
          <cell r="D57">
            <v>0</v>
          </cell>
          <cell r="E57">
            <v>0</v>
          </cell>
          <cell r="F57" t="str">
            <v/>
          </cell>
          <cell r="G57" t="str">
            <v>(55) 4972-3997</v>
          </cell>
          <cell r="H57" t="str">
            <v>MARIBEL RAMIREZ B.</v>
          </cell>
          <cell r="I57" t="str">
            <v>MARIBEL RAMIREZ B.</v>
          </cell>
          <cell r="J57" t="str">
            <v>BAJA</v>
          </cell>
          <cell r="K57" t="str">
            <v/>
          </cell>
          <cell r="L57">
            <v>0</v>
          </cell>
          <cell r="M57">
            <v>58</v>
          </cell>
          <cell r="N57" t="str">
            <v>A</v>
          </cell>
          <cell r="O57">
            <v>40849</v>
          </cell>
          <cell r="P57" t="str">
            <v xml:space="preserve">    3</v>
          </cell>
          <cell r="Q57">
            <v>0</v>
          </cell>
          <cell r="R57">
            <v>0</v>
          </cell>
          <cell r="S57">
            <v>0</v>
          </cell>
          <cell r="T57">
            <v>8415</v>
          </cell>
          <cell r="U57">
            <v>2</v>
          </cell>
          <cell r="V57" t="str">
            <v>CENTRO URBANO</v>
          </cell>
          <cell r="W57" t="str">
            <v>(55) 2822-0503 CEL</v>
          </cell>
          <cell r="X57" t="str">
            <v/>
          </cell>
          <cell r="Y57" t="str">
            <v/>
          </cell>
          <cell r="Z57" t="str">
            <v/>
          </cell>
          <cell r="AA57" t="str">
            <v>(55) 4972-3997</v>
          </cell>
          <cell r="AB57" t="str">
            <v xml:space="preserve">   818240</v>
          </cell>
          <cell r="AC57" t="str">
            <v>C246</v>
          </cell>
          <cell r="AD57" t="str">
            <v/>
          </cell>
          <cell r="AE57" t="str">
            <v/>
          </cell>
          <cell r="AF57" t="str">
            <v/>
          </cell>
          <cell r="AG57">
            <v>41253</v>
          </cell>
          <cell r="AH57" t="str">
            <v>N</v>
          </cell>
          <cell r="AI57">
            <v>0</v>
          </cell>
          <cell r="AJ57">
            <v>0</v>
          </cell>
          <cell r="AK57">
            <v>0</v>
          </cell>
          <cell r="AL57">
            <v>700</v>
          </cell>
          <cell r="AM57">
            <v>1110</v>
          </cell>
          <cell r="AN57">
            <v>0</v>
          </cell>
        </row>
        <row r="58">
          <cell r="A58">
            <v>1057</v>
          </cell>
          <cell r="B58" t="str">
            <v>ENRIQUETA ESTEVES (ECATEPEC)</v>
          </cell>
          <cell r="C58" t="str">
            <v/>
          </cell>
          <cell r="D58">
            <v>0</v>
          </cell>
          <cell r="E58">
            <v>0</v>
          </cell>
          <cell r="F58" t="str">
            <v/>
          </cell>
          <cell r="G58" t="str">
            <v/>
          </cell>
          <cell r="H58" t="str">
            <v>ENRIQUETA ESTEVES</v>
          </cell>
          <cell r="I58" t="str">
            <v>ENRIQUETA ESTEVES</v>
          </cell>
          <cell r="J58" t="str">
            <v>BAJA</v>
          </cell>
          <cell r="K58" t="str">
            <v/>
          </cell>
          <cell r="L58">
            <v>0</v>
          </cell>
          <cell r="M58">
            <v>59</v>
          </cell>
          <cell r="N58" t="str">
            <v>A</v>
          </cell>
          <cell r="O58">
            <v>41449</v>
          </cell>
          <cell r="P58" t="str">
            <v xml:space="preserve">    3</v>
          </cell>
          <cell r="Q58">
            <v>0</v>
          </cell>
          <cell r="R58">
            <v>0</v>
          </cell>
          <cell r="S58">
            <v>0</v>
          </cell>
          <cell r="T58">
            <v>1881</v>
          </cell>
          <cell r="U58">
            <v>0</v>
          </cell>
          <cell r="V58" t="str">
            <v>SAN CRISTOBAL CENTRO</v>
          </cell>
          <cell r="W58" t="str">
            <v/>
          </cell>
          <cell r="X58" t="str">
            <v/>
          </cell>
          <cell r="Y58" t="str">
            <v/>
          </cell>
          <cell r="Z58" t="str">
            <v/>
          </cell>
          <cell r="AA58" t="str">
            <v/>
          </cell>
          <cell r="AB58" t="str">
            <v/>
          </cell>
          <cell r="AC58" t="str">
            <v>M-013</v>
          </cell>
          <cell r="AD58" t="str">
            <v/>
          </cell>
          <cell r="AE58" t="str">
            <v/>
          </cell>
          <cell r="AF58" t="str">
            <v/>
          </cell>
          <cell r="AH58" t="str">
            <v>N</v>
          </cell>
          <cell r="AI58">
            <v>0</v>
          </cell>
          <cell r="AJ58">
            <v>0</v>
          </cell>
          <cell r="AK58">
            <v>0</v>
          </cell>
          <cell r="AL58">
            <v>0</v>
          </cell>
          <cell r="AM58">
            <v>561</v>
          </cell>
          <cell r="AN58">
            <v>0</v>
          </cell>
        </row>
        <row r="59">
          <cell r="A59">
            <v>1058</v>
          </cell>
          <cell r="B59" t="str">
            <v>JORGE IGNACIO LUJANO MENDOZA (JUVENTINO ROSAS)</v>
          </cell>
          <cell r="C59">
            <v>0</v>
          </cell>
          <cell r="D59" t="str">
            <v>BELIZARIO DOMINGUEZ #208</v>
          </cell>
          <cell r="E59" t="str">
            <v>JUVENTINO ROSAS, GTO.</v>
          </cell>
          <cell r="F59" t="str">
            <v/>
          </cell>
          <cell r="G59" t="str">
            <v>(412) 157-2208</v>
          </cell>
          <cell r="H59" t="str">
            <v>JOSE IGNACIO LUJANO</v>
          </cell>
          <cell r="I59" t="str">
            <v>JOSE IGNACIO LUJANO</v>
          </cell>
          <cell r="J59" t="str">
            <v>F04</v>
          </cell>
          <cell r="K59" t="str">
            <v/>
          </cell>
          <cell r="L59">
            <v>0</v>
          </cell>
          <cell r="M59">
            <v>60</v>
          </cell>
          <cell r="N59" t="str">
            <v>A</v>
          </cell>
          <cell r="O59">
            <v>42469</v>
          </cell>
          <cell r="P59" t="str">
            <v xml:space="preserve">    1</v>
          </cell>
          <cell r="Q59">
            <v>0</v>
          </cell>
          <cell r="R59">
            <v>0</v>
          </cell>
          <cell r="S59">
            <v>500</v>
          </cell>
          <cell r="T59">
            <v>62340.5</v>
          </cell>
          <cell r="U59">
            <v>0</v>
          </cell>
          <cell r="V59" t="str">
            <v>CENTRO</v>
          </cell>
          <cell r="W59" t="str">
            <v/>
          </cell>
          <cell r="X59" t="str">
            <v/>
          </cell>
          <cell r="Y59" t="str">
            <v/>
          </cell>
          <cell r="Z59" t="str">
            <v/>
          </cell>
          <cell r="AA59" t="str">
            <v>(412) 157-2208</v>
          </cell>
          <cell r="AB59" t="str">
            <v xml:space="preserve"> BMX TERE</v>
          </cell>
          <cell r="AC59" t="str">
            <v>F0305</v>
          </cell>
          <cell r="AD59" t="str">
            <v/>
          </cell>
          <cell r="AE59" t="str">
            <v/>
          </cell>
          <cell r="AF59" t="str">
            <v/>
          </cell>
          <cell r="AG59">
            <v>41395</v>
          </cell>
          <cell r="AH59" t="str">
            <v>N</v>
          </cell>
          <cell r="AI59">
            <v>0</v>
          </cell>
          <cell r="AJ59">
            <v>0</v>
          </cell>
          <cell r="AK59">
            <v>0</v>
          </cell>
          <cell r="AL59">
            <v>2000</v>
          </cell>
          <cell r="AM59">
            <v>5128</v>
          </cell>
          <cell r="AN59">
            <v>0</v>
          </cell>
        </row>
        <row r="60">
          <cell r="A60">
            <v>1059</v>
          </cell>
          <cell r="B60" t="str">
            <v>TERE PERUSQUIA (AMEALCO)</v>
          </cell>
          <cell r="C60" t="str">
            <v/>
          </cell>
          <cell r="D60">
            <v>0</v>
          </cell>
          <cell r="E60" t="str">
            <v>AMEALCO, QRO.</v>
          </cell>
          <cell r="F60" t="str">
            <v/>
          </cell>
          <cell r="G60" t="str">
            <v>(448) 169-5016 CEL</v>
          </cell>
          <cell r="H60" t="str">
            <v>TERE PERUSQUIA</v>
          </cell>
          <cell r="I60" t="str">
            <v>TERE PERUSQUIA</v>
          </cell>
          <cell r="J60" t="str">
            <v>L06</v>
          </cell>
          <cell r="K60" t="str">
            <v/>
          </cell>
          <cell r="L60">
            <v>0</v>
          </cell>
          <cell r="M60">
            <v>61</v>
          </cell>
          <cell r="N60" t="str">
            <v>A</v>
          </cell>
          <cell r="O60">
            <v>42480</v>
          </cell>
          <cell r="P60" t="str">
            <v xml:space="preserve">   97</v>
          </cell>
          <cell r="Q60">
            <v>0</v>
          </cell>
          <cell r="R60">
            <v>0</v>
          </cell>
          <cell r="S60">
            <v>3611</v>
          </cell>
          <cell r="T60">
            <v>116504</v>
          </cell>
          <cell r="U60">
            <v>0</v>
          </cell>
          <cell r="V60" t="str">
            <v/>
          </cell>
          <cell r="W60" t="str">
            <v/>
          </cell>
          <cell r="X60" t="str">
            <v/>
          </cell>
          <cell r="Y60" t="str">
            <v/>
          </cell>
          <cell r="Z60" t="str">
            <v/>
          </cell>
          <cell r="AA60" t="str">
            <v>(448) 169-5016 CEL</v>
          </cell>
          <cell r="AB60" t="str">
            <v xml:space="preserve">  DEV-330</v>
          </cell>
          <cell r="AC60" t="str">
            <v xml:space="preserve">    337</v>
          </cell>
          <cell r="AD60" t="str">
            <v/>
          </cell>
          <cell r="AE60" t="str">
            <v/>
          </cell>
          <cell r="AF60" t="str">
            <v/>
          </cell>
          <cell r="AG60">
            <v>42426</v>
          </cell>
          <cell r="AH60" t="str">
            <v>N</v>
          </cell>
          <cell r="AI60">
            <v>0</v>
          </cell>
          <cell r="AJ60">
            <v>0</v>
          </cell>
          <cell r="AK60">
            <v>0</v>
          </cell>
          <cell r="AL60">
            <v>298</v>
          </cell>
          <cell r="AM60">
            <v>100</v>
          </cell>
          <cell r="AN60">
            <v>0</v>
          </cell>
        </row>
        <row r="61">
          <cell r="A61">
            <v>1060</v>
          </cell>
          <cell r="B61" t="str">
            <v>AZUCENA ARIAS RODRIGUEZ (AMEALCO)</v>
          </cell>
          <cell r="C61" t="str">
            <v/>
          </cell>
          <cell r="D61" t="str">
            <v>AV. JUAREZ #106</v>
          </cell>
          <cell r="E61" t="str">
            <v>AMEALCO, QRO.</v>
          </cell>
          <cell r="F61" t="str">
            <v>76850</v>
          </cell>
          <cell r="G61" t="str">
            <v>(448) 278-9432</v>
          </cell>
          <cell r="H61" t="str">
            <v>AZUCENA ARIAS R.</v>
          </cell>
          <cell r="I61" t="str">
            <v>AZUCENA ARIAS R.</v>
          </cell>
          <cell r="J61" t="str">
            <v>L06</v>
          </cell>
          <cell r="K61" t="str">
            <v/>
          </cell>
          <cell r="L61">
            <v>0</v>
          </cell>
          <cell r="M61">
            <v>62</v>
          </cell>
          <cell r="N61" t="str">
            <v>A</v>
          </cell>
          <cell r="O61">
            <v>42487</v>
          </cell>
          <cell r="P61" t="str">
            <v xml:space="preserve">    1</v>
          </cell>
          <cell r="Q61">
            <v>0</v>
          </cell>
          <cell r="R61">
            <v>0</v>
          </cell>
          <cell r="S61">
            <v>13845</v>
          </cell>
          <cell r="T61">
            <v>254184.5</v>
          </cell>
          <cell r="U61">
            <v>0</v>
          </cell>
          <cell r="V61" t="str">
            <v>CENTRO</v>
          </cell>
          <cell r="W61" t="str">
            <v/>
          </cell>
          <cell r="X61" t="str">
            <v/>
          </cell>
          <cell r="Y61" t="str">
            <v/>
          </cell>
          <cell r="Z61" t="str">
            <v/>
          </cell>
          <cell r="AA61" t="str">
            <v>(448) 278-9432</v>
          </cell>
          <cell r="AB61" t="str">
            <v xml:space="preserve">     DESC</v>
          </cell>
          <cell r="AC61" t="str">
            <v>R-1065</v>
          </cell>
          <cell r="AD61" t="str">
            <v/>
          </cell>
          <cell r="AE61" t="str">
            <v/>
          </cell>
          <cell r="AF61" t="str">
            <v/>
          </cell>
          <cell r="AG61">
            <v>41393</v>
          </cell>
          <cell r="AH61" t="str">
            <v>N</v>
          </cell>
          <cell r="AI61">
            <v>0</v>
          </cell>
          <cell r="AJ61">
            <v>0</v>
          </cell>
          <cell r="AK61">
            <v>0</v>
          </cell>
          <cell r="AL61">
            <v>100</v>
          </cell>
          <cell r="AM61">
            <v>948</v>
          </cell>
          <cell r="AN61">
            <v>0</v>
          </cell>
        </row>
        <row r="62">
          <cell r="A62">
            <v>1061</v>
          </cell>
          <cell r="B62" t="str">
            <v>SUSANA ARIAS (AMEALCO)</v>
          </cell>
          <cell r="C62" t="str">
            <v/>
          </cell>
          <cell r="D62" t="str">
            <v/>
          </cell>
          <cell r="E62" t="str">
            <v>AMEALCO, QRO.</v>
          </cell>
          <cell r="F62" t="str">
            <v/>
          </cell>
          <cell r="G62" t="str">
            <v>(448) 210-0635</v>
          </cell>
          <cell r="H62" t="str">
            <v>GENOVEVA RETANA G.</v>
          </cell>
          <cell r="I62" t="str">
            <v>GENOVEVA RETANA G.</v>
          </cell>
          <cell r="J62" t="str">
            <v>L06</v>
          </cell>
          <cell r="K62" t="str">
            <v/>
          </cell>
          <cell r="L62">
            <v>0</v>
          </cell>
          <cell r="M62">
            <v>63</v>
          </cell>
          <cell r="N62" t="str">
            <v>A</v>
          </cell>
          <cell r="O62">
            <v>42426</v>
          </cell>
          <cell r="P62" t="str">
            <v xml:space="preserve">    1</v>
          </cell>
          <cell r="Q62">
            <v>0</v>
          </cell>
          <cell r="R62">
            <v>0</v>
          </cell>
          <cell r="S62">
            <v>0</v>
          </cell>
          <cell r="T62">
            <v>25872</v>
          </cell>
          <cell r="U62">
            <v>0</v>
          </cell>
          <cell r="V62" t="str">
            <v/>
          </cell>
          <cell r="W62" t="str">
            <v/>
          </cell>
          <cell r="X62" t="str">
            <v/>
          </cell>
          <cell r="Y62" t="str">
            <v/>
          </cell>
          <cell r="Z62" t="str">
            <v/>
          </cell>
          <cell r="AA62" t="str">
            <v/>
          </cell>
          <cell r="AB62" t="str">
            <v/>
          </cell>
          <cell r="AC62" t="str">
            <v>L841422</v>
          </cell>
          <cell r="AD62" t="str">
            <v/>
          </cell>
          <cell r="AE62" t="str">
            <v/>
          </cell>
          <cell r="AF62" t="str">
            <v/>
          </cell>
          <cell r="AH62" t="str">
            <v>N</v>
          </cell>
          <cell r="AI62">
            <v>0</v>
          </cell>
          <cell r="AJ62">
            <v>0</v>
          </cell>
          <cell r="AK62">
            <v>0</v>
          </cell>
          <cell r="AL62">
            <v>0</v>
          </cell>
          <cell r="AM62">
            <v>700</v>
          </cell>
          <cell r="AN62">
            <v>0</v>
          </cell>
        </row>
        <row r="63">
          <cell r="A63">
            <v>1062</v>
          </cell>
          <cell r="B63" t="str">
            <v>ELIZABETH ARIAS RODRIGUEZ (AMEALCO)</v>
          </cell>
          <cell r="C63" t="str">
            <v/>
          </cell>
          <cell r="D63" t="str">
            <v>INTERIOR MERCADO LOCAL-59</v>
          </cell>
          <cell r="E63" t="str">
            <v>AMEALCO, QRO.</v>
          </cell>
          <cell r="F63" t="str">
            <v/>
          </cell>
          <cell r="G63" t="str">
            <v>(448) 105-6178 CEL EMPLEA</v>
          </cell>
          <cell r="H63" t="str">
            <v>ELIZABETH ARIAS R.</v>
          </cell>
          <cell r="I63" t="str">
            <v>ELIZABETH ARIAS R.</v>
          </cell>
          <cell r="J63" t="str">
            <v>L06</v>
          </cell>
          <cell r="K63" t="str">
            <v/>
          </cell>
          <cell r="L63">
            <v>0</v>
          </cell>
          <cell r="M63">
            <v>64</v>
          </cell>
          <cell r="N63" t="str">
            <v>A</v>
          </cell>
          <cell r="O63">
            <v>42487</v>
          </cell>
          <cell r="P63" t="str">
            <v xml:space="preserve">    1</v>
          </cell>
          <cell r="Q63">
            <v>0</v>
          </cell>
          <cell r="R63">
            <v>0</v>
          </cell>
          <cell r="S63">
            <v>13685</v>
          </cell>
          <cell r="T63">
            <v>447454</v>
          </cell>
          <cell r="U63">
            <v>0</v>
          </cell>
          <cell r="V63" t="str">
            <v/>
          </cell>
          <cell r="W63" t="str">
            <v/>
          </cell>
          <cell r="X63" t="str">
            <v>(448) 278-9432</v>
          </cell>
          <cell r="Y63" t="str">
            <v/>
          </cell>
          <cell r="Z63" t="str">
            <v/>
          </cell>
          <cell r="AA63" t="str">
            <v>(448) 105-6178 CEL EMPLEADA</v>
          </cell>
          <cell r="AB63" t="str">
            <v/>
          </cell>
          <cell r="AC63" t="str">
            <v>R-1066</v>
          </cell>
          <cell r="AD63" t="str">
            <v/>
          </cell>
          <cell r="AE63" t="str">
            <v/>
          </cell>
          <cell r="AF63" t="str">
            <v/>
          </cell>
          <cell r="AH63" t="str">
            <v>N</v>
          </cell>
          <cell r="AI63">
            <v>0</v>
          </cell>
          <cell r="AJ63">
            <v>0</v>
          </cell>
          <cell r="AK63">
            <v>0</v>
          </cell>
          <cell r="AL63">
            <v>0</v>
          </cell>
          <cell r="AM63">
            <v>1908</v>
          </cell>
          <cell r="AN63">
            <v>0</v>
          </cell>
        </row>
        <row r="64">
          <cell r="A64">
            <v>1063</v>
          </cell>
          <cell r="B64" t="str">
            <v>GUADALUPE MORALES MONROY (EPITACIO HUERTA)</v>
          </cell>
          <cell r="C64" t="str">
            <v/>
          </cell>
          <cell r="D64" t="str">
            <v>MORELOS #1</v>
          </cell>
          <cell r="E64" t="str">
            <v>EPITACIO HUERTA, MICH.</v>
          </cell>
          <cell r="F64" t="str">
            <v/>
          </cell>
          <cell r="G64" t="str">
            <v>(421) 454-0125 CASA</v>
          </cell>
          <cell r="H64" t="str">
            <v>GUADALUPE MORALES M.</v>
          </cell>
          <cell r="I64" t="str">
            <v>GUADALUPE MORALES M.</v>
          </cell>
          <cell r="J64" t="str">
            <v>BAJA</v>
          </cell>
          <cell r="K64" t="str">
            <v/>
          </cell>
          <cell r="L64">
            <v>0</v>
          </cell>
          <cell r="M64">
            <v>65</v>
          </cell>
          <cell r="N64" t="str">
            <v>A</v>
          </cell>
          <cell r="O64">
            <v>40668</v>
          </cell>
          <cell r="P64" t="str">
            <v xml:space="preserve">    1</v>
          </cell>
          <cell r="Q64">
            <v>0</v>
          </cell>
          <cell r="R64">
            <v>0</v>
          </cell>
          <cell r="S64">
            <v>0</v>
          </cell>
          <cell r="T64">
            <v>426</v>
          </cell>
          <cell r="U64">
            <v>0</v>
          </cell>
          <cell r="V64" t="str">
            <v>CENTRO</v>
          </cell>
          <cell r="W64" t="str">
            <v/>
          </cell>
          <cell r="X64" t="str">
            <v/>
          </cell>
          <cell r="Y64" t="str">
            <v/>
          </cell>
          <cell r="Z64" t="str">
            <v/>
          </cell>
          <cell r="AA64" t="str">
            <v>(421) 454-0125 CASA</v>
          </cell>
          <cell r="AB64" t="str">
            <v/>
          </cell>
          <cell r="AC64" t="str">
            <v xml:space="preserve">   4991</v>
          </cell>
          <cell r="AD64" t="str">
            <v/>
          </cell>
          <cell r="AE64" t="str">
            <v/>
          </cell>
          <cell r="AF64" t="str">
            <v/>
          </cell>
          <cell r="AH64" t="str">
            <v>N</v>
          </cell>
          <cell r="AI64">
            <v>0</v>
          </cell>
          <cell r="AJ64">
            <v>0</v>
          </cell>
          <cell r="AK64">
            <v>0</v>
          </cell>
          <cell r="AL64">
            <v>0</v>
          </cell>
          <cell r="AM64">
            <v>426</v>
          </cell>
          <cell r="AN64">
            <v>0</v>
          </cell>
        </row>
        <row r="65">
          <cell r="A65">
            <v>1064</v>
          </cell>
          <cell r="B65" t="str">
            <v>IRMA RAMOS GONZALEZ (CORONEO)</v>
          </cell>
          <cell r="C65" t="str">
            <v/>
          </cell>
          <cell r="D65" t="str">
            <v>INTERIOR MERCADO LOCAL-3</v>
          </cell>
          <cell r="E65" t="str">
            <v>CORONEO, GTO.</v>
          </cell>
          <cell r="F65" t="str">
            <v/>
          </cell>
          <cell r="G65" t="str">
            <v>(421) 473-0307</v>
          </cell>
          <cell r="H65" t="str">
            <v>IRMA RAMOS GONZALEZ</v>
          </cell>
          <cell r="I65" t="str">
            <v>IRMA RAMOS GONZALEZ</v>
          </cell>
          <cell r="J65" t="str">
            <v>BAJA</v>
          </cell>
          <cell r="K65" t="str">
            <v/>
          </cell>
          <cell r="L65">
            <v>0</v>
          </cell>
          <cell r="M65">
            <v>66</v>
          </cell>
          <cell r="N65" t="str">
            <v>A</v>
          </cell>
          <cell r="O65">
            <v>40926</v>
          </cell>
          <cell r="P65" t="str">
            <v xml:space="preserve">    1</v>
          </cell>
          <cell r="Q65">
            <v>0</v>
          </cell>
          <cell r="R65">
            <v>0</v>
          </cell>
          <cell r="S65">
            <v>0</v>
          </cell>
          <cell r="T65">
            <v>11383</v>
          </cell>
          <cell r="U65">
            <v>0</v>
          </cell>
          <cell r="V65" t="str">
            <v/>
          </cell>
          <cell r="W65" t="str">
            <v/>
          </cell>
          <cell r="X65" t="str">
            <v/>
          </cell>
          <cell r="Y65" t="str">
            <v/>
          </cell>
          <cell r="Z65" t="str">
            <v/>
          </cell>
          <cell r="AA65" t="str">
            <v>(421) 473-0307</v>
          </cell>
          <cell r="AB65" t="str">
            <v/>
          </cell>
          <cell r="AC65" t="str">
            <v xml:space="preserve">   0159</v>
          </cell>
          <cell r="AD65" t="str">
            <v/>
          </cell>
          <cell r="AE65" t="str">
            <v/>
          </cell>
          <cell r="AF65" t="str">
            <v/>
          </cell>
          <cell r="AH65" t="str">
            <v>N</v>
          </cell>
          <cell r="AI65">
            <v>0</v>
          </cell>
          <cell r="AJ65">
            <v>0</v>
          </cell>
          <cell r="AK65">
            <v>0</v>
          </cell>
          <cell r="AL65">
            <v>0</v>
          </cell>
          <cell r="AM65">
            <v>1557</v>
          </cell>
          <cell r="AN65">
            <v>0</v>
          </cell>
        </row>
        <row r="66">
          <cell r="A66">
            <v>1065</v>
          </cell>
          <cell r="B66" t="str">
            <v>J. JESUS TORREZ PATIÑO (JERECUARO)</v>
          </cell>
          <cell r="C66" t="str">
            <v/>
          </cell>
          <cell r="D66" t="str">
            <v>MANUEL DOBLADO #14</v>
          </cell>
          <cell r="E66" t="str">
            <v>JERECUARO, GTO.</v>
          </cell>
          <cell r="F66" t="str">
            <v/>
          </cell>
          <cell r="G66" t="str">
            <v>(421) 476-0156 CEL</v>
          </cell>
          <cell r="H66" t="str">
            <v>J. JESUS TORREZ P.</v>
          </cell>
          <cell r="I66" t="str">
            <v>J. JESUS TORREZ P.</v>
          </cell>
          <cell r="J66" t="str">
            <v>J06</v>
          </cell>
          <cell r="K66" t="str">
            <v/>
          </cell>
          <cell r="L66">
            <v>0</v>
          </cell>
          <cell r="M66">
            <v>67</v>
          </cell>
          <cell r="N66" t="str">
            <v>A</v>
          </cell>
          <cell r="O66">
            <v>41779</v>
          </cell>
          <cell r="P66" t="str">
            <v xml:space="preserve">    1</v>
          </cell>
          <cell r="Q66">
            <v>0</v>
          </cell>
          <cell r="R66">
            <v>0</v>
          </cell>
          <cell r="S66">
            <v>0</v>
          </cell>
          <cell r="T66">
            <v>15513</v>
          </cell>
          <cell r="U66">
            <v>0</v>
          </cell>
          <cell r="V66" t="str">
            <v>CENTRO</v>
          </cell>
          <cell r="W66" t="str">
            <v/>
          </cell>
          <cell r="X66" t="str">
            <v/>
          </cell>
          <cell r="Y66" t="str">
            <v/>
          </cell>
          <cell r="Z66" t="str">
            <v/>
          </cell>
          <cell r="AA66" t="str">
            <v>(421) 476-0156 CEL</v>
          </cell>
          <cell r="AB66" t="str">
            <v/>
          </cell>
          <cell r="AC66" t="str">
            <v>F-0300</v>
          </cell>
          <cell r="AD66" t="str">
            <v/>
          </cell>
          <cell r="AE66" t="str">
            <v/>
          </cell>
          <cell r="AF66" t="str">
            <v/>
          </cell>
          <cell r="AH66" t="str">
            <v>N</v>
          </cell>
          <cell r="AI66">
            <v>0</v>
          </cell>
          <cell r="AJ66">
            <v>0</v>
          </cell>
          <cell r="AK66">
            <v>0</v>
          </cell>
          <cell r="AL66">
            <v>0</v>
          </cell>
          <cell r="AM66">
            <v>957</v>
          </cell>
          <cell r="AN66">
            <v>0</v>
          </cell>
        </row>
        <row r="67">
          <cell r="A67">
            <v>1066</v>
          </cell>
          <cell r="B67" t="str">
            <v>LAURA DURAN GORDILLO (ACAMBARO)</v>
          </cell>
          <cell r="C67" t="str">
            <v/>
          </cell>
          <cell r="D67" t="str">
            <v>GUERRERO #1-A</v>
          </cell>
          <cell r="E67" t="str">
            <v>ACAMBARO, GTO.</v>
          </cell>
          <cell r="F67" t="str">
            <v/>
          </cell>
          <cell r="G67" t="str">
            <v>(417) 108-4416 CEL</v>
          </cell>
          <cell r="H67" t="str">
            <v>LAURA DURAN GORDILLO</v>
          </cell>
          <cell r="I67" t="str">
            <v>LAURA DURAN GORDILLO</v>
          </cell>
          <cell r="J67" t="str">
            <v>J06</v>
          </cell>
          <cell r="K67" t="str">
            <v/>
          </cell>
          <cell r="L67">
            <v>0</v>
          </cell>
          <cell r="M67">
            <v>68</v>
          </cell>
          <cell r="N67" t="str">
            <v>A</v>
          </cell>
          <cell r="O67">
            <v>42490</v>
          </cell>
          <cell r="P67" t="str">
            <v xml:space="preserve">    1</v>
          </cell>
          <cell r="Q67">
            <v>0</v>
          </cell>
          <cell r="R67">
            <v>0</v>
          </cell>
          <cell r="S67">
            <v>1236</v>
          </cell>
          <cell r="T67">
            <v>30115.5</v>
          </cell>
          <cell r="U67">
            <v>0</v>
          </cell>
          <cell r="V67" t="str">
            <v>CENTRO</v>
          </cell>
          <cell r="W67" t="str">
            <v/>
          </cell>
          <cell r="X67" t="str">
            <v/>
          </cell>
          <cell r="Y67" t="str">
            <v/>
          </cell>
          <cell r="Z67" t="str">
            <v/>
          </cell>
          <cell r="AA67" t="str">
            <v>(417) 108-4416 CEL</v>
          </cell>
          <cell r="AB67" t="str">
            <v xml:space="preserve">  DEV-297</v>
          </cell>
          <cell r="AC67" t="str">
            <v>J0371</v>
          </cell>
          <cell r="AD67" t="str">
            <v/>
          </cell>
          <cell r="AE67" t="str">
            <v/>
          </cell>
          <cell r="AF67" t="str">
            <v/>
          </cell>
          <cell r="AG67">
            <v>42258</v>
          </cell>
          <cell r="AH67" t="str">
            <v>N</v>
          </cell>
          <cell r="AI67">
            <v>0</v>
          </cell>
          <cell r="AJ67">
            <v>0</v>
          </cell>
          <cell r="AK67">
            <v>0</v>
          </cell>
          <cell r="AL67">
            <v>165</v>
          </cell>
          <cell r="AM67">
            <v>1068</v>
          </cell>
          <cell r="AN67">
            <v>0</v>
          </cell>
        </row>
        <row r="68">
          <cell r="A68">
            <v>1067</v>
          </cell>
          <cell r="B68" t="str">
            <v>MA. DE LOURDES ESCALONA (ZUMPANGO)</v>
          </cell>
          <cell r="C68" t="str">
            <v/>
          </cell>
          <cell r="D68" t="str">
            <v>MERCADO ZUMPANGO LOCAL 116 Y 117</v>
          </cell>
          <cell r="E68" t="str">
            <v>ZUMPANGO, EDO. DE MEXICO</v>
          </cell>
          <cell r="F68" t="str">
            <v/>
          </cell>
          <cell r="G68" t="str">
            <v>(591) 917-5450</v>
          </cell>
          <cell r="H68" t="str">
            <v>MA. DE LOURDES E.</v>
          </cell>
          <cell r="I68" t="str">
            <v>MA. DE LOURDES E.</v>
          </cell>
          <cell r="J68" t="str">
            <v>M01</v>
          </cell>
          <cell r="K68" t="str">
            <v/>
          </cell>
          <cell r="L68">
            <v>0</v>
          </cell>
          <cell r="M68">
            <v>69</v>
          </cell>
          <cell r="N68" t="str">
            <v>A</v>
          </cell>
          <cell r="O68">
            <v>42518</v>
          </cell>
          <cell r="P68" t="str">
            <v xml:space="preserve">    2</v>
          </cell>
          <cell r="Q68">
            <v>0</v>
          </cell>
          <cell r="R68">
            <v>0</v>
          </cell>
          <cell r="S68">
            <v>9186</v>
          </cell>
          <cell r="T68">
            <v>118294</v>
          </cell>
          <cell r="U68">
            <v>0</v>
          </cell>
          <cell r="V68" t="str">
            <v/>
          </cell>
          <cell r="W68" t="str">
            <v/>
          </cell>
          <cell r="X68" t="str">
            <v/>
          </cell>
          <cell r="Y68" t="str">
            <v/>
          </cell>
          <cell r="Z68" t="str">
            <v/>
          </cell>
          <cell r="AA68" t="str">
            <v>(591) 917-5450</v>
          </cell>
          <cell r="AB68" t="str">
            <v xml:space="preserve">  DEV-208</v>
          </cell>
          <cell r="AC68" t="str">
            <v>M614</v>
          </cell>
          <cell r="AD68" t="str">
            <v/>
          </cell>
          <cell r="AE68" t="str">
            <v/>
          </cell>
          <cell r="AF68" t="str">
            <v/>
          </cell>
          <cell r="AG68">
            <v>41776</v>
          </cell>
          <cell r="AH68" t="str">
            <v>N</v>
          </cell>
          <cell r="AI68">
            <v>0</v>
          </cell>
          <cell r="AJ68">
            <v>0</v>
          </cell>
          <cell r="AK68">
            <v>0</v>
          </cell>
          <cell r="AL68">
            <v>495</v>
          </cell>
          <cell r="AM68">
            <v>7755</v>
          </cell>
          <cell r="AN68">
            <v>0</v>
          </cell>
        </row>
        <row r="69">
          <cell r="A69">
            <v>1068</v>
          </cell>
          <cell r="B69" t="str">
            <v>GUADALUPE GOMEZ (ZUMPANGO)</v>
          </cell>
          <cell r="C69" t="str">
            <v/>
          </cell>
          <cell r="D69" t="str">
            <v>JESUS CARRANZA #4</v>
          </cell>
          <cell r="E69" t="str">
            <v>ZUMPANGO, EDO. DE MEXICO</v>
          </cell>
          <cell r="F69" t="str">
            <v>55600</v>
          </cell>
          <cell r="G69" t="str">
            <v>(591) 100-0893</v>
          </cell>
          <cell r="H69" t="str">
            <v>PAULA MARQUEZ H.</v>
          </cell>
          <cell r="I69" t="str">
            <v>PAULA MARQUEZ H.</v>
          </cell>
          <cell r="J69" t="str">
            <v>BAJA</v>
          </cell>
          <cell r="K69" t="str">
            <v/>
          </cell>
          <cell r="L69">
            <v>0</v>
          </cell>
          <cell r="M69">
            <v>70</v>
          </cell>
          <cell r="N69" t="str">
            <v>A</v>
          </cell>
          <cell r="O69">
            <v>41013</v>
          </cell>
          <cell r="P69" t="str">
            <v xml:space="preserve">    3</v>
          </cell>
          <cell r="Q69">
            <v>0</v>
          </cell>
          <cell r="R69">
            <v>0</v>
          </cell>
          <cell r="S69">
            <v>0</v>
          </cell>
          <cell r="T69">
            <v>8290</v>
          </cell>
          <cell r="U69">
            <v>0</v>
          </cell>
          <cell r="V69" t="str">
            <v>CENTRO</v>
          </cell>
          <cell r="W69" t="str">
            <v/>
          </cell>
          <cell r="X69" t="str">
            <v/>
          </cell>
          <cell r="Y69" t="str">
            <v/>
          </cell>
          <cell r="Z69" t="str">
            <v/>
          </cell>
          <cell r="AA69" t="str">
            <v>(591) 100-0893</v>
          </cell>
          <cell r="AB69" t="str">
            <v/>
          </cell>
          <cell r="AC69" t="str">
            <v xml:space="preserve">   0958</v>
          </cell>
          <cell r="AD69" t="str">
            <v/>
          </cell>
          <cell r="AE69" t="str">
            <v/>
          </cell>
          <cell r="AF69" t="str">
            <v/>
          </cell>
          <cell r="AH69" t="str">
            <v>N</v>
          </cell>
          <cell r="AI69">
            <v>0</v>
          </cell>
          <cell r="AJ69">
            <v>0</v>
          </cell>
          <cell r="AK69">
            <v>0</v>
          </cell>
          <cell r="AL69">
            <v>0</v>
          </cell>
          <cell r="AM69">
            <v>914</v>
          </cell>
          <cell r="AN69">
            <v>0</v>
          </cell>
        </row>
        <row r="70">
          <cell r="A70">
            <v>1069</v>
          </cell>
          <cell r="B70" t="str">
            <v>CARMEN TORICES SANCHEZ (ROMERO)</v>
          </cell>
          <cell r="C70" t="str">
            <v/>
          </cell>
          <cell r="D70" t="str">
            <v>TRANQUILINO SALGADO #117</v>
          </cell>
          <cell r="E70" t="str">
            <v>CUAUTITLAN, EDO. DE MEXICO</v>
          </cell>
          <cell r="F70" t="str">
            <v/>
          </cell>
          <cell r="G70" t="str">
            <v>(55) 5892-4208</v>
          </cell>
          <cell r="H70" t="str">
            <v>CARMEN TORICES S.</v>
          </cell>
          <cell r="I70" t="str">
            <v>CARMEN TORICES S.</v>
          </cell>
          <cell r="J70" t="str">
            <v>M01</v>
          </cell>
          <cell r="K70" t="str">
            <v/>
          </cell>
          <cell r="L70">
            <v>0</v>
          </cell>
          <cell r="M70">
            <v>71</v>
          </cell>
          <cell r="N70" t="str">
            <v>A</v>
          </cell>
          <cell r="O70">
            <v>42478</v>
          </cell>
          <cell r="P70" t="str">
            <v xml:space="preserve">    3</v>
          </cell>
          <cell r="Q70">
            <v>0</v>
          </cell>
          <cell r="R70">
            <v>0</v>
          </cell>
          <cell r="S70">
            <v>9241</v>
          </cell>
          <cell r="T70">
            <v>116556.5</v>
          </cell>
          <cell r="U70">
            <v>0</v>
          </cell>
          <cell r="V70" t="str">
            <v>ROMERO RUBIO</v>
          </cell>
          <cell r="W70" t="str">
            <v>(55) 3577-6328 CEL</v>
          </cell>
          <cell r="X70" t="str">
            <v/>
          </cell>
          <cell r="Y70" t="str">
            <v/>
          </cell>
          <cell r="Z70" t="str">
            <v/>
          </cell>
          <cell r="AA70" t="str">
            <v>(55) 5892-4208</v>
          </cell>
          <cell r="AB70" t="str">
            <v xml:space="preserve">  DEV-306</v>
          </cell>
          <cell r="AC70" t="str">
            <v>M942847</v>
          </cell>
          <cell r="AD70" t="str">
            <v/>
          </cell>
          <cell r="AE70" t="str">
            <v/>
          </cell>
          <cell r="AF70" t="str">
            <v/>
          </cell>
          <cell r="AG70">
            <v>42292</v>
          </cell>
          <cell r="AH70" t="str">
            <v>N</v>
          </cell>
          <cell r="AI70">
            <v>0</v>
          </cell>
          <cell r="AJ70">
            <v>0</v>
          </cell>
          <cell r="AK70">
            <v>0</v>
          </cell>
          <cell r="AL70">
            <v>795</v>
          </cell>
          <cell r="AM70">
            <v>3920</v>
          </cell>
          <cell r="AN70">
            <v>0</v>
          </cell>
        </row>
        <row r="71">
          <cell r="A71">
            <v>1070</v>
          </cell>
          <cell r="B71" t="str">
            <v>CRUZ SAVIÑON JARDINES (TEPOZOTLAN)</v>
          </cell>
          <cell r="C71" t="str">
            <v/>
          </cell>
          <cell r="D71" t="str">
            <v>AMPLIACION MERCADO DE TEPOZOTLAN LOC. 15</v>
          </cell>
          <cell r="E71" t="str">
            <v>TEPOTZOTLAN, EDO. DE MEXICO</v>
          </cell>
          <cell r="F71" t="str">
            <v/>
          </cell>
          <cell r="G71" t="str">
            <v>(55) 5876-8700 CASA</v>
          </cell>
          <cell r="H71" t="str">
            <v>CRUZ SAVIÑON J.</v>
          </cell>
          <cell r="I71" t="str">
            <v>CRUZ SAVIÑON J.</v>
          </cell>
          <cell r="J71" t="str">
            <v>M01</v>
          </cell>
          <cell r="K71" t="str">
            <v/>
          </cell>
          <cell r="L71">
            <v>0</v>
          </cell>
          <cell r="M71">
            <v>72</v>
          </cell>
          <cell r="N71" t="str">
            <v>A</v>
          </cell>
          <cell r="O71">
            <v>42487</v>
          </cell>
          <cell r="P71" t="str">
            <v xml:space="preserve">    3</v>
          </cell>
          <cell r="Q71">
            <v>0</v>
          </cell>
          <cell r="R71">
            <v>0</v>
          </cell>
          <cell r="S71">
            <v>3499</v>
          </cell>
          <cell r="T71">
            <v>96297.5</v>
          </cell>
          <cell r="U71">
            <v>0</v>
          </cell>
          <cell r="V71" t="str">
            <v>CENTRO</v>
          </cell>
          <cell r="W71" t="str">
            <v>(55) 3651-2149 CEL</v>
          </cell>
          <cell r="X71" t="str">
            <v/>
          </cell>
          <cell r="Y71" t="str">
            <v/>
          </cell>
          <cell r="Z71" t="str">
            <v/>
          </cell>
          <cell r="AA71" t="str">
            <v>(55) 5876-8700 CASA</v>
          </cell>
          <cell r="AB71" t="str">
            <v xml:space="preserve">     desc</v>
          </cell>
          <cell r="AC71" t="str">
            <v>M111104</v>
          </cell>
          <cell r="AD71" t="str">
            <v/>
          </cell>
          <cell r="AE71" t="str">
            <v/>
          </cell>
          <cell r="AF71" t="str">
            <v/>
          </cell>
          <cell r="AG71">
            <v>41625</v>
          </cell>
          <cell r="AH71" t="str">
            <v>N</v>
          </cell>
          <cell r="AI71">
            <v>0</v>
          </cell>
          <cell r="AJ71">
            <v>0</v>
          </cell>
          <cell r="AK71">
            <v>0</v>
          </cell>
          <cell r="AL71">
            <v>4</v>
          </cell>
          <cell r="AM71">
            <v>3499</v>
          </cell>
          <cell r="AN71">
            <v>0</v>
          </cell>
        </row>
        <row r="72">
          <cell r="A72">
            <v>1071</v>
          </cell>
          <cell r="B72" t="str">
            <v>YANIRA SALINAS GONZALEZ (ECATEPEC)</v>
          </cell>
          <cell r="C72" t="str">
            <v/>
          </cell>
          <cell r="D72" t="str">
            <v>AV. MORELOS #49 ORIENTE</v>
          </cell>
          <cell r="E72" t="str">
            <v>ECATEPEC, EDO. DE MEXICO</v>
          </cell>
          <cell r="F72" t="str">
            <v>55000</v>
          </cell>
          <cell r="G72" t="str">
            <v>(55) 5116-8975</v>
          </cell>
          <cell r="H72" t="str">
            <v>YANIRA SALINAS G.</v>
          </cell>
          <cell r="I72" t="str">
            <v>YANIRA SALINAS G.</v>
          </cell>
          <cell r="J72" t="str">
            <v>BAJA</v>
          </cell>
          <cell r="K72" t="str">
            <v/>
          </cell>
          <cell r="L72">
            <v>0</v>
          </cell>
          <cell r="M72">
            <v>73</v>
          </cell>
          <cell r="N72" t="str">
            <v>A</v>
          </cell>
          <cell r="O72">
            <v>40821</v>
          </cell>
          <cell r="P72" t="str">
            <v xml:space="preserve">    3</v>
          </cell>
          <cell r="Q72">
            <v>0</v>
          </cell>
          <cell r="R72">
            <v>0</v>
          </cell>
          <cell r="S72">
            <v>0</v>
          </cell>
          <cell r="T72">
            <v>3627</v>
          </cell>
          <cell r="U72">
            <v>0</v>
          </cell>
          <cell r="V72" t="str">
            <v>SAN CRISTOBAL CENTRO</v>
          </cell>
          <cell r="W72" t="str">
            <v/>
          </cell>
          <cell r="X72" t="str">
            <v/>
          </cell>
          <cell r="Y72" t="str">
            <v/>
          </cell>
          <cell r="Z72" t="str">
            <v/>
          </cell>
          <cell r="AA72" t="str">
            <v>(55) 5116-8975</v>
          </cell>
          <cell r="AB72" t="str">
            <v xml:space="preserve">  DEV-020</v>
          </cell>
          <cell r="AC72" t="str">
            <v xml:space="preserve">     20</v>
          </cell>
          <cell r="AD72" t="str">
            <v/>
          </cell>
          <cell r="AE72" t="str">
            <v/>
          </cell>
          <cell r="AF72" t="str">
            <v/>
          </cell>
          <cell r="AG72">
            <v>40821</v>
          </cell>
          <cell r="AH72" t="str">
            <v>N</v>
          </cell>
          <cell r="AI72">
            <v>0</v>
          </cell>
          <cell r="AJ72">
            <v>0</v>
          </cell>
          <cell r="AK72">
            <v>0</v>
          </cell>
          <cell r="AL72">
            <v>719</v>
          </cell>
          <cell r="AM72">
            <v>2001</v>
          </cell>
          <cell r="AN72">
            <v>0</v>
          </cell>
        </row>
        <row r="73">
          <cell r="A73">
            <v>1072</v>
          </cell>
          <cell r="B73" t="str">
            <v>MANUEL ORTEGA LOPEZ (ECATEPEC)</v>
          </cell>
          <cell r="C73" t="str">
            <v/>
          </cell>
          <cell r="D73" t="str">
            <v>AV. MORELOS #129</v>
          </cell>
          <cell r="E73" t="str">
            <v>ECATEPEC, EDO. DE MEXICO</v>
          </cell>
          <cell r="F73" t="str">
            <v/>
          </cell>
          <cell r="G73" t="str">
            <v>(55) 5116-3058</v>
          </cell>
          <cell r="H73" t="str">
            <v>MANUEL ORTEGA LOPEZ</v>
          </cell>
          <cell r="I73" t="str">
            <v>MANUEL ORTEGA LOPEZ</v>
          </cell>
          <cell r="J73" t="str">
            <v>M03</v>
          </cell>
          <cell r="K73" t="str">
            <v/>
          </cell>
          <cell r="L73">
            <v>0</v>
          </cell>
          <cell r="M73">
            <v>74</v>
          </cell>
          <cell r="N73" t="str">
            <v>A</v>
          </cell>
          <cell r="O73">
            <v>42514</v>
          </cell>
          <cell r="P73" t="str">
            <v xml:space="preserve">    3</v>
          </cell>
          <cell r="Q73">
            <v>0</v>
          </cell>
          <cell r="R73">
            <v>0</v>
          </cell>
          <cell r="S73">
            <v>2481</v>
          </cell>
          <cell r="T73">
            <v>95617</v>
          </cell>
          <cell r="U73">
            <v>0</v>
          </cell>
          <cell r="V73" t="str">
            <v>SAN CRISTOBAL CENTRO</v>
          </cell>
          <cell r="W73" t="str">
            <v/>
          </cell>
          <cell r="X73" t="str">
            <v/>
          </cell>
          <cell r="Y73" t="str">
            <v/>
          </cell>
          <cell r="Z73" t="str">
            <v/>
          </cell>
          <cell r="AA73" t="str">
            <v>(55) 5116-3058</v>
          </cell>
          <cell r="AB73" t="str">
            <v/>
          </cell>
          <cell r="AC73" t="str">
            <v>M111147</v>
          </cell>
          <cell r="AD73" t="str">
            <v/>
          </cell>
          <cell r="AE73" t="str">
            <v/>
          </cell>
          <cell r="AF73" t="str">
            <v/>
          </cell>
          <cell r="AH73" t="str">
            <v>N</v>
          </cell>
          <cell r="AI73">
            <v>0</v>
          </cell>
          <cell r="AJ73">
            <v>0</v>
          </cell>
          <cell r="AK73">
            <v>0</v>
          </cell>
          <cell r="AL73">
            <v>0</v>
          </cell>
          <cell r="AM73">
            <v>1450</v>
          </cell>
          <cell r="AN73">
            <v>0</v>
          </cell>
        </row>
        <row r="74">
          <cell r="A74">
            <v>1073</v>
          </cell>
          <cell r="B74" t="str">
            <v>GRACIELA BODAJAS ACEVES "GREY" (TULTEPEC)</v>
          </cell>
          <cell r="C74" t="str">
            <v/>
          </cell>
          <cell r="D74" t="str">
            <v/>
          </cell>
          <cell r="E74" t="str">
            <v xml:space="preserve">TULTEPEC, EDO. DE MEXICO      </v>
          </cell>
          <cell r="F74" t="str">
            <v/>
          </cell>
          <cell r="G74" t="str">
            <v>(55) 2532-5073</v>
          </cell>
          <cell r="H74" t="str">
            <v>GRACIELA DOMINGUEZ</v>
          </cell>
          <cell r="I74" t="str">
            <v>GRACIELA DOMINGUEZ</v>
          </cell>
          <cell r="J74" t="str">
            <v>F02A</v>
          </cell>
          <cell r="K74" t="str">
            <v/>
          </cell>
          <cell r="L74">
            <v>0</v>
          </cell>
          <cell r="M74">
            <v>75</v>
          </cell>
          <cell r="N74" t="str">
            <v>A</v>
          </cell>
          <cell r="O74">
            <v>40676</v>
          </cell>
          <cell r="P74" t="str">
            <v xml:space="preserve">    3</v>
          </cell>
          <cell r="Q74">
            <v>0</v>
          </cell>
          <cell r="R74">
            <v>0</v>
          </cell>
          <cell r="S74">
            <v>0</v>
          </cell>
          <cell r="T74">
            <v>1987</v>
          </cell>
          <cell r="U74">
            <v>0</v>
          </cell>
          <cell r="V74" t="str">
            <v/>
          </cell>
          <cell r="W74" t="str">
            <v/>
          </cell>
          <cell r="X74" t="str">
            <v/>
          </cell>
          <cell r="Y74" t="str">
            <v/>
          </cell>
          <cell r="Z74" t="str">
            <v/>
          </cell>
          <cell r="AA74" t="str">
            <v/>
          </cell>
          <cell r="AB74" t="str">
            <v/>
          </cell>
          <cell r="AC74" t="str">
            <v xml:space="preserve">   5061</v>
          </cell>
          <cell r="AD74" t="str">
            <v/>
          </cell>
          <cell r="AE74" t="str">
            <v/>
          </cell>
          <cell r="AF74" t="str">
            <v/>
          </cell>
          <cell r="AH74" t="str">
            <v>N</v>
          </cell>
          <cell r="AI74">
            <v>0</v>
          </cell>
          <cell r="AJ74">
            <v>0</v>
          </cell>
          <cell r="AK74">
            <v>0</v>
          </cell>
          <cell r="AL74">
            <v>0</v>
          </cell>
          <cell r="AM74">
            <v>1987</v>
          </cell>
          <cell r="AN74">
            <v>0</v>
          </cell>
        </row>
        <row r="75">
          <cell r="A75">
            <v>1074</v>
          </cell>
          <cell r="B75" t="str">
            <v>CAROLINA MORALES GUZMAN (ACULCO)</v>
          </cell>
          <cell r="C75" t="str">
            <v/>
          </cell>
          <cell r="D75" t="str">
            <v>AV. HANK GONZALEZ S/N</v>
          </cell>
          <cell r="E75" t="str">
            <v>ACULCO, EDO. DE MEXICO</v>
          </cell>
          <cell r="F75" t="str">
            <v/>
          </cell>
          <cell r="G75" t="str">
            <v/>
          </cell>
          <cell r="H75" t="str">
            <v>CAROLINA MORALES G.</v>
          </cell>
          <cell r="I75" t="str">
            <v>CAROLINA MORALES G.</v>
          </cell>
          <cell r="J75" t="str">
            <v>BAJA</v>
          </cell>
          <cell r="K75" t="str">
            <v/>
          </cell>
          <cell r="L75">
            <v>0</v>
          </cell>
          <cell r="M75">
            <v>76</v>
          </cell>
          <cell r="N75" t="str">
            <v>S</v>
          </cell>
          <cell r="O75">
            <v>41049</v>
          </cell>
          <cell r="P75" t="str">
            <v xml:space="preserve">    3</v>
          </cell>
          <cell r="Q75">
            <v>0</v>
          </cell>
          <cell r="R75">
            <v>0</v>
          </cell>
          <cell r="S75">
            <v>0</v>
          </cell>
          <cell r="T75">
            <v>4788</v>
          </cell>
          <cell r="U75">
            <v>0</v>
          </cell>
          <cell r="V75" t="str">
            <v>ARROYO ZARCO</v>
          </cell>
          <cell r="W75" t="str">
            <v/>
          </cell>
          <cell r="X75" t="str">
            <v/>
          </cell>
          <cell r="Y75" t="str">
            <v/>
          </cell>
          <cell r="Z75" t="str">
            <v/>
          </cell>
          <cell r="AA75" t="str">
            <v/>
          </cell>
          <cell r="AB75" t="str">
            <v/>
          </cell>
          <cell r="AC75" t="str">
            <v xml:space="preserve">   7383</v>
          </cell>
          <cell r="AD75" t="str">
            <v/>
          </cell>
          <cell r="AE75" t="str">
            <v/>
          </cell>
          <cell r="AF75" t="str">
            <v/>
          </cell>
          <cell r="AH75" t="str">
            <v>N</v>
          </cell>
          <cell r="AI75">
            <v>0</v>
          </cell>
          <cell r="AJ75">
            <v>0</v>
          </cell>
          <cell r="AK75">
            <v>0</v>
          </cell>
          <cell r="AL75">
            <v>0</v>
          </cell>
          <cell r="AM75">
            <v>181</v>
          </cell>
          <cell r="AN75">
            <v>0</v>
          </cell>
        </row>
        <row r="76">
          <cell r="A76">
            <v>1075</v>
          </cell>
          <cell r="B76" t="str">
            <v>LAURA RODRIGUEZ ROSALES (ZITLALTEPEC)</v>
          </cell>
          <cell r="C76" t="str">
            <v/>
          </cell>
          <cell r="D76" t="str">
            <v>AV. 16 DE SEPTIEMBRE S/N</v>
          </cell>
          <cell r="E76" t="str">
            <v>SN JUAN ZITLALTEPEC, EDO. MEX.</v>
          </cell>
          <cell r="F76" t="str">
            <v/>
          </cell>
          <cell r="G76" t="str">
            <v>(55) 3805-5293 CEL</v>
          </cell>
          <cell r="H76" t="str">
            <v>LAURA RODRIGUEZ R.</v>
          </cell>
          <cell r="I76" t="str">
            <v>LAURA RODRIGUEZ R.</v>
          </cell>
          <cell r="J76" t="str">
            <v>M01</v>
          </cell>
          <cell r="K76" t="str">
            <v/>
          </cell>
          <cell r="L76">
            <v>0</v>
          </cell>
          <cell r="M76">
            <v>77</v>
          </cell>
          <cell r="N76" t="str">
            <v>A</v>
          </cell>
          <cell r="O76">
            <v>41877</v>
          </cell>
          <cell r="P76" t="str">
            <v xml:space="preserve">    3</v>
          </cell>
          <cell r="Q76">
            <v>0</v>
          </cell>
          <cell r="R76">
            <v>0</v>
          </cell>
          <cell r="S76">
            <v>0</v>
          </cell>
          <cell r="T76">
            <v>23294</v>
          </cell>
          <cell r="U76">
            <v>0</v>
          </cell>
          <cell r="V76" t="str">
            <v/>
          </cell>
          <cell r="W76" t="str">
            <v>(591) 911-0876 MAMA</v>
          </cell>
          <cell r="X76" t="str">
            <v/>
          </cell>
          <cell r="Y76" t="str">
            <v/>
          </cell>
          <cell r="Z76" t="str">
            <v/>
          </cell>
          <cell r="AA76" t="str">
            <v>(55) 3805-5293 CEL</v>
          </cell>
          <cell r="AB76" t="str">
            <v/>
          </cell>
          <cell r="AC76" t="str">
            <v>M100</v>
          </cell>
          <cell r="AD76" t="str">
            <v/>
          </cell>
          <cell r="AE76" t="str">
            <v/>
          </cell>
          <cell r="AF76" t="str">
            <v/>
          </cell>
          <cell r="AH76" t="str">
            <v>N</v>
          </cell>
          <cell r="AI76">
            <v>0</v>
          </cell>
          <cell r="AJ76">
            <v>0</v>
          </cell>
          <cell r="AK76">
            <v>0</v>
          </cell>
          <cell r="AL76">
            <v>0</v>
          </cell>
          <cell r="AM76">
            <v>1000</v>
          </cell>
          <cell r="AN76">
            <v>0</v>
          </cell>
        </row>
        <row r="77">
          <cell r="A77">
            <v>1076</v>
          </cell>
          <cell r="B77" t="str">
            <v>ANGELICA GONZALEZ POBLANO (ZUMPANGO)</v>
          </cell>
          <cell r="C77" t="str">
            <v/>
          </cell>
          <cell r="D77" t="str">
            <v>MERCADO MUNICIPAL LOCAL #14</v>
          </cell>
          <cell r="E77" t="str">
            <v>ZUMPANGO, EDO. DE MEXICO</v>
          </cell>
          <cell r="F77" t="str">
            <v/>
          </cell>
          <cell r="G77" t="str">
            <v>(55) 1171-6884 CEL</v>
          </cell>
          <cell r="H77" t="str">
            <v>ANGELICA GONZALEZ P.</v>
          </cell>
          <cell r="I77" t="str">
            <v>ANGELICA GONZALEZ P.</v>
          </cell>
          <cell r="J77" t="str">
            <v>M01</v>
          </cell>
          <cell r="K77" t="str">
            <v/>
          </cell>
          <cell r="L77">
            <v>0</v>
          </cell>
          <cell r="M77">
            <v>78</v>
          </cell>
          <cell r="N77" t="str">
            <v>A</v>
          </cell>
          <cell r="O77">
            <v>42459</v>
          </cell>
          <cell r="P77" t="str">
            <v xml:space="preserve">    3</v>
          </cell>
          <cell r="Q77">
            <v>0</v>
          </cell>
          <cell r="R77">
            <v>0</v>
          </cell>
          <cell r="S77">
            <v>4588</v>
          </cell>
          <cell r="T77">
            <v>70712</v>
          </cell>
          <cell r="U77">
            <v>0</v>
          </cell>
          <cell r="V77" t="str">
            <v>CENTRO</v>
          </cell>
          <cell r="W77" t="str">
            <v/>
          </cell>
          <cell r="X77" t="str">
            <v/>
          </cell>
          <cell r="Y77" t="str">
            <v/>
          </cell>
          <cell r="Z77" t="str">
            <v/>
          </cell>
          <cell r="AA77" t="str">
            <v>(55) 1171-6884 CEL</v>
          </cell>
          <cell r="AB77" t="str">
            <v/>
          </cell>
          <cell r="AC77" t="str">
            <v>M942819</v>
          </cell>
          <cell r="AD77" t="str">
            <v/>
          </cell>
          <cell r="AE77" t="str">
            <v/>
          </cell>
          <cell r="AF77" t="str">
            <v/>
          </cell>
          <cell r="AH77" t="str">
            <v>N</v>
          </cell>
          <cell r="AI77">
            <v>0</v>
          </cell>
          <cell r="AJ77">
            <v>0</v>
          </cell>
          <cell r="AK77">
            <v>0</v>
          </cell>
          <cell r="AL77">
            <v>0</v>
          </cell>
          <cell r="AM77">
            <v>5640</v>
          </cell>
          <cell r="AN77">
            <v>0</v>
          </cell>
        </row>
        <row r="78">
          <cell r="A78">
            <v>1077</v>
          </cell>
          <cell r="B78" t="str">
            <v>BEATRIZ AVILA AVILA (VILLA)</v>
          </cell>
          <cell r="C78" t="str">
            <v/>
          </cell>
          <cell r="D78" t="str">
            <v>ALAMOS</v>
          </cell>
          <cell r="E78" t="str">
            <v>COACALCO, EDO. DE MEXICO</v>
          </cell>
          <cell r="F78" t="str">
            <v/>
          </cell>
          <cell r="G78" t="str">
            <v/>
          </cell>
          <cell r="H78" t="str">
            <v/>
          </cell>
          <cell r="I78" t="str">
            <v/>
          </cell>
          <cell r="J78" t="str">
            <v>M01</v>
          </cell>
          <cell r="K78" t="str">
            <v/>
          </cell>
          <cell r="L78">
            <v>0</v>
          </cell>
          <cell r="M78">
            <v>79</v>
          </cell>
          <cell r="N78" t="str">
            <v>A</v>
          </cell>
          <cell r="O78">
            <v>42081</v>
          </cell>
          <cell r="P78" t="str">
            <v/>
          </cell>
          <cell r="Q78">
            <v>0</v>
          </cell>
          <cell r="R78">
            <v>0</v>
          </cell>
          <cell r="S78">
            <v>0</v>
          </cell>
          <cell r="T78">
            <v>3140</v>
          </cell>
          <cell r="U78">
            <v>0</v>
          </cell>
          <cell r="V78" t="str">
            <v>VILLA DE LAS FLORES</v>
          </cell>
          <cell r="W78" t="str">
            <v/>
          </cell>
          <cell r="X78" t="str">
            <v/>
          </cell>
          <cell r="Y78" t="str">
            <v/>
          </cell>
          <cell r="Z78" t="str">
            <v/>
          </cell>
          <cell r="AA78" t="str">
            <v/>
          </cell>
          <cell r="AB78" t="str">
            <v/>
          </cell>
          <cell r="AC78" t="str">
            <v>M-I9537</v>
          </cell>
          <cell r="AD78" t="str">
            <v/>
          </cell>
          <cell r="AE78" t="str">
            <v/>
          </cell>
          <cell r="AF78" t="str">
            <v/>
          </cell>
          <cell r="AH78" t="str">
            <v>N</v>
          </cell>
          <cell r="AI78">
            <v>0</v>
          </cell>
          <cell r="AJ78">
            <v>0</v>
          </cell>
          <cell r="AK78">
            <v>0</v>
          </cell>
          <cell r="AL78">
            <v>0</v>
          </cell>
          <cell r="AM78">
            <v>765</v>
          </cell>
          <cell r="AN78">
            <v>0</v>
          </cell>
        </row>
        <row r="79">
          <cell r="A79">
            <v>1078</v>
          </cell>
          <cell r="B79" t="str">
            <v>MA. DE LOURDES MARTINEZ GONZALEZ (EPITACIO HUERTA)</v>
          </cell>
          <cell r="C79" t="str">
            <v/>
          </cell>
          <cell r="D79" t="str">
            <v>MORELOS S/N</v>
          </cell>
          <cell r="E79" t="str">
            <v>EPITACIO HUERTA, MICH.</v>
          </cell>
          <cell r="F79" t="str">
            <v/>
          </cell>
          <cell r="G79" t="str">
            <v>(447) 109-4122 CEL</v>
          </cell>
          <cell r="H79" t="str">
            <v>MA. DE LOURDES MTZ.</v>
          </cell>
          <cell r="I79" t="str">
            <v>MA. DE LOURDES MTZ.</v>
          </cell>
          <cell r="J79" t="str">
            <v>BAJA</v>
          </cell>
          <cell r="K79" t="str">
            <v/>
          </cell>
          <cell r="L79">
            <v>0</v>
          </cell>
          <cell r="M79">
            <v>80</v>
          </cell>
          <cell r="N79" t="str">
            <v>A</v>
          </cell>
          <cell r="O79">
            <v>40691</v>
          </cell>
          <cell r="P79" t="str">
            <v xml:space="preserve">    1</v>
          </cell>
          <cell r="Q79">
            <v>0</v>
          </cell>
          <cell r="R79">
            <v>0</v>
          </cell>
          <cell r="S79">
            <v>0</v>
          </cell>
          <cell r="T79">
            <v>2137</v>
          </cell>
          <cell r="U79">
            <v>0</v>
          </cell>
          <cell r="V79" t="str">
            <v>CENTRO</v>
          </cell>
          <cell r="W79" t="str">
            <v/>
          </cell>
          <cell r="X79" t="str">
            <v/>
          </cell>
          <cell r="Y79" t="str">
            <v/>
          </cell>
          <cell r="Z79" t="str">
            <v/>
          </cell>
          <cell r="AA79" t="str">
            <v>(447) 109-4122 CEL</v>
          </cell>
          <cell r="AB79" t="str">
            <v/>
          </cell>
          <cell r="AC79" t="str">
            <v xml:space="preserve">   5086</v>
          </cell>
          <cell r="AD79" t="str">
            <v/>
          </cell>
          <cell r="AE79" t="str">
            <v/>
          </cell>
          <cell r="AF79" t="str">
            <v/>
          </cell>
          <cell r="AH79" t="str">
            <v>N</v>
          </cell>
          <cell r="AI79">
            <v>0</v>
          </cell>
          <cell r="AJ79">
            <v>0</v>
          </cell>
          <cell r="AK79">
            <v>0</v>
          </cell>
          <cell r="AL79">
            <v>0</v>
          </cell>
          <cell r="AM79">
            <v>1467</v>
          </cell>
          <cell r="AN79">
            <v>0</v>
          </cell>
        </row>
        <row r="80">
          <cell r="A80">
            <v>1079</v>
          </cell>
          <cell r="B80" t="str">
            <v>JESUS MARIA SILVA HERNANDEZ (ZINAPECUARO)</v>
          </cell>
          <cell r="C80" t="str">
            <v/>
          </cell>
          <cell r="D80" t="str">
            <v>MORELOS #13</v>
          </cell>
          <cell r="E80" t="str">
            <v>ZINAPECUARO, MICH.</v>
          </cell>
          <cell r="F80" t="str">
            <v/>
          </cell>
          <cell r="G80" t="str">
            <v>(451) 355-2755</v>
          </cell>
          <cell r="H80" t="str">
            <v>JESUS SILVA HDZ.</v>
          </cell>
          <cell r="I80" t="str">
            <v>JESUS SILVA HDZ.</v>
          </cell>
          <cell r="J80" t="str">
            <v>J06</v>
          </cell>
          <cell r="K80" t="str">
            <v/>
          </cell>
          <cell r="L80">
            <v>0</v>
          </cell>
          <cell r="M80">
            <v>81</v>
          </cell>
          <cell r="N80" t="str">
            <v>A</v>
          </cell>
          <cell r="O80">
            <v>41852</v>
          </cell>
          <cell r="P80" t="str">
            <v xml:space="preserve">    1</v>
          </cell>
          <cell r="Q80">
            <v>0</v>
          </cell>
          <cell r="R80">
            <v>0</v>
          </cell>
          <cell r="S80">
            <v>1130</v>
          </cell>
          <cell r="T80">
            <v>36814</v>
          </cell>
          <cell r="U80">
            <v>0</v>
          </cell>
          <cell r="V80" t="str">
            <v>CENTRO</v>
          </cell>
          <cell r="W80" t="str">
            <v>(451) 100-1761 CEL</v>
          </cell>
          <cell r="X80" t="str">
            <v/>
          </cell>
          <cell r="Y80" t="str">
            <v/>
          </cell>
          <cell r="Z80" t="str">
            <v/>
          </cell>
          <cell r="AA80" t="str">
            <v>(451) 355-2755</v>
          </cell>
          <cell r="AB80" t="str">
            <v xml:space="preserve">  DEV-125</v>
          </cell>
          <cell r="AC80" t="str">
            <v>R-0702</v>
          </cell>
          <cell r="AD80" t="str">
            <v/>
          </cell>
          <cell r="AE80" t="str">
            <v/>
          </cell>
          <cell r="AF80" t="str">
            <v/>
          </cell>
          <cell r="AG80">
            <v>41310</v>
          </cell>
          <cell r="AH80" t="str">
            <v>N</v>
          </cell>
          <cell r="AI80">
            <v>0</v>
          </cell>
          <cell r="AJ80">
            <v>0</v>
          </cell>
          <cell r="AK80">
            <v>0</v>
          </cell>
          <cell r="AL80">
            <v>3040</v>
          </cell>
          <cell r="AM80">
            <v>2130</v>
          </cell>
          <cell r="AN80">
            <v>0</v>
          </cell>
        </row>
        <row r="81">
          <cell r="A81">
            <v>1080</v>
          </cell>
          <cell r="B81" t="str">
            <v>BENITA ESPINO PIÑA (TEPEJI)</v>
          </cell>
          <cell r="C81" t="str">
            <v/>
          </cell>
          <cell r="D81" t="str">
            <v>NARDO #4, D</v>
          </cell>
          <cell r="E81" t="str">
            <v>TEPEJI DEL RIO, HGO.</v>
          </cell>
          <cell r="F81" t="str">
            <v/>
          </cell>
          <cell r="G81" t="str">
            <v>(593) 915-0924 CASA</v>
          </cell>
          <cell r="H81" t="str">
            <v>BENITA ESPINO PIÑA</v>
          </cell>
          <cell r="I81" t="str">
            <v>BENITA ESPINO PIÑA</v>
          </cell>
          <cell r="J81" t="str">
            <v>BAJA</v>
          </cell>
          <cell r="K81" t="str">
            <v/>
          </cell>
          <cell r="L81">
            <v>0</v>
          </cell>
          <cell r="M81">
            <v>82</v>
          </cell>
          <cell r="N81" t="str">
            <v>S</v>
          </cell>
          <cell r="O81">
            <v>41227</v>
          </cell>
          <cell r="P81" t="str">
            <v xml:space="preserve">    3</v>
          </cell>
          <cell r="Q81">
            <v>0</v>
          </cell>
          <cell r="R81">
            <v>0</v>
          </cell>
          <cell r="S81">
            <v>0</v>
          </cell>
          <cell r="T81">
            <v>35716</v>
          </cell>
          <cell r="U81">
            <v>0</v>
          </cell>
          <cell r="V81" t="str">
            <v>EL EDEN</v>
          </cell>
          <cell r="W81" t="str">
            <v>(773)  102-4108 CEL</v>
          </cell>
          <cell r="X81" t="str">
            <v/>
          </cell>
          <cell r="Y81" t="str">
            <v/>
          </cell>
          <cell r="Z81" t="str">
            <v/>
          </cell>
          <cell r="AA81" t="str">
            <v>(593) 915-0924 CASA</v>
          </cell>
          <cell r="AB81" t="str">
            <v xml:space="preserve">     INCO</v>
          </cell>
          <cell r="AC81" t="str">
            <v xml:space="preserve">   0711</v>
          </cell>
          <cell r="AD81" t="str">
            <v/>
          </cell>
          <cell r="AE81" t="str">
            <v/>
          </cell>
          <cell r="AF81" t="str">
            <v/>
          </cell>
          <cell r="AG81">
            <v>41641</v>
          </cell>
          <cell r="AH81" t="str">
            <v>N</v>
          </cell>
          <cell r="AI81">
            <v>0</v>
          </cell>
          <cell r="AJ81">
            <v>0</v>
          </cell>
          <cell r="AK81">
            <v>0</v>
          </cell>
          <cell r="AL81">
            <v>720</v>
          </cell>
          <cell r="AM81">
            <v>455</v>
          </cell>
          <cell r="AN81">
            <v>0</v>
          </cell>
        </row>
        <row r="82">
          <cell r="A82">
            <v>1081</v>
          </cell>
          <cell r="B82" t="str">
            <v>MIGUEL HERNANDEZ GOMEZ (APAXCO)</v>
          </cell>
          <cell r="C82" t="str">
            <v/>
          </cell>
          <cell r="D82" t="str">
            <v>ABASOLO S/N</v>
          </cell>
          <cell r="E82" t="str">
            <v>APAXCO, EDO. DE MEXICO</v>
          </cell>
          <cell r="F82" t="str">
            <v/>
          </cell>
          <cell r="G82" t="str">
            <v>(55) 3645-5916</v>
          </cell>
          <cell r="H82" t="str">
            <v>PATRICIA GARDUÑO</v>
          </cell>
          <cell r="I82" t="str">
            <v>PATRICIA GARDUÑO</v>
          </cell>
          <cell r="J82" t="str">
            <v>BAJA</v>
          </cell>
          <cell r="K82" t="str">
            <v/>
          </cell>
          <cell r="L82">
            <v>0</v>
          </cell>
          <cell r="M82">
            <v>83</v>
          </cell>
          <cell r="N82" t="str">
            <v>A</v>
          </cell>
          <cell r="O82">
            <v>40774</v>
          </cell>
          <cell r="P82" t="str">
            <v xml:space="preserve">    3</v>
          </cell>
          <cell r="Q82">
            <v>0</v>
          </cell>
          <cell r="R82">
            <v>0</v>
          </cell>
          <cell r="S82">
            <v>0</v>
          </cell>
          <cell r="T82">
            <v>1513</v>
          </cell>
          <cell r="U82">
            <v>0</v>
          </cell>
          <cell r="V82" t="str">
            <v>CENTRO</v>
          </cell>
          <cell r="W82" t="str">
            <v>(55) 3566-8309</v>
          </cell>
          <cell r="X82" t="str">
            <v/>
          </cell>
          <cell r="Y82" t="str">
            <v/>
          </cell>
          <cell r="Z82" t="str">
            <v/>
          </cell>
          <cell r="AA82" t="str">
            <v>(55) 3645-5916</v>
          </cell>
          <cell r="AB82" t="str">
            <v/>
          </cell>
          <cell r="AC82" t="str">
            <v xml:space="preserve">   0222</v>
          </cell>
          <cell r="AD82" t="str">
            <v/>
          </cell>
          <cell r="AE82" t="str">
            <v/>
          </cell>
          <cell r="AF82" t="str">
            <v/>
          </cell>
          <cell r="AH82" t="str">
            <v>N</v>
          </cell>
          <cell r="AI82">
            <v>0</v>
          </cell>
          <cell r="AJ82">
            <v>0</v>
          </cell>
          <cell r="AK82">
            <v>0</v>
          </cell>
          <cell r="AL82">
            <v>0</v>
          </cell>
          <cell r="AM82">
            <v>464</v>
          </cell>
          <cell r="AN82">
            <v>0</v>
          </cell>
        </row>
        <row r="83">
          <cell r="A83">
            <v>1082</v>
          </cell>
          <cell r="B83" t="str">
            <v>ROCIO DIAZ NAVARRO (TEPOTZOTLAN)</v>
          </cell>
          <cell r="C83" t="str">
            <v/>
          </cell>
          <cell r="D83" t="str">
            <v>JUAREZ #5</v>
          </cell>
          <cell r="E83" t="str">
            <v>TEPOTZOTLAN, EDO. DE MEXICO</v>
          </cell>
          <cell r="F83" t="str">
            <v/>
          </cell>
          <cell r="G83" t="str">
            <v>(55) 5876-3091</v>
          </cell>
          <cell r="H83" t="str">
            <v>ROCIO DIAZ NAVARRO</v>
          </cell>
          <cell r="I83" t="str">
            <v>ROCIO DIAZ NAVARRO</v>
          </cell>
          <cell r="J83" t="str">
            <v>BAJA</v>
          </cell>
          <cell r="K83" t="str">
            <v/>
          </cell>
          <cell r="L83">
            <v>0</v>
          </cell>
          <cell r="M83">
            <v>84</v>
          </cell>
          <cell r="N83" t="str">
            <v>A</v>
          </cell>
          <cell r="O83">
            <v>40701</v>
          </cell>
          <cell r="P83" t="str">
            <v xml:space="preserve">    3</v>
          </cell>
          <cell r="Q83">
            <v>0</v>
          </cell>
          <cell r="R83">
            <v>0</v>
          </cell>
          <cell r="S83">
            <v>0</v>
          </cell>
          <cell r="T83">
            <v>1050</v>
          </cell>
          <cell r="U83">
            <v>0</v>
          </cell>
          <cell r="V83" t="str">
            <v>BARRIO DE SAN MARTIN</v>
          </cell>
          <cell r="W83" t="str">
            <v>(55) 4611-3610</v>
          </cell>
          <cell r="X83" t="str">
            <v/>
          </cell>
          <cell r="Y83" t="str">
            <v/>
          </cell>
          <cell r="Z83" t="str">
            <v/>
          </cell>
          <cell r="AA83" t="str">
            <v>(55) 5876-3091</v>
          </cell>
          <cell r="AB83" t="str">
            <v/>
          </cell>
          <cell r="AC83" t="str">
            <v xml:space="preserve">   7057</v>
          </cell>
          <cell r="AD83" t="str">
            <v/>
          </cell>
          <cell r="AE83" t="str">
            <v/>
          </cell>
          <cell r="AF83" t="str">
            <v/>
          </cell>
          <cell r="AH83" t="str">
            <v>N</v>
          </cell>
          <cell r="AI83">
            <v>0</v>
          </cell>
          <cell r="AJ83">
            <v>0</v>
          </cell>
          <cell r="AK83">
            <v>0</v>
          </cell>
          <cell r="AL83">
            <v>0</v>
          </cell>
          <cell r="AM83">
            <v>1050</v>
          </cell>
          <cell r="AN83">
            <v>0</v>
          </cell>
        </row>
        <row r="84">
          <cell r="A84">
            <v>1083</v>
          </cell>
          <cell r="B84" t="str">
            <v>LUZ MERCEDES ANDA VARGAS (PIRAMIDES)</v>
          </cell>
          <cell r="C84" t="str">
            <v/>
          </cell>
          <cell r="D84" t="str">
            <v>AV. 16 DE SEPTIEMBRE S/N, PLAZA LUNA</v>
          </cell>
          <cell r="E84" t="str">
            <v>SAN MARTN PIRAMIDES, EDO. MEX.</v>
          </cell>
          <cell r="F84" t="str">
            <v/>
          </cell>
          <cell r="G84" t="str">
            <v>(594) 958-7098</v>
          </cell>
          <cell r="H84" t="str">
            <v>LUZ ANGELICA ANDA V.</v>
          </cell>
          <cell r="I84" t="str">
            <v>LUZ ANGELICA ANDA V.</v>
          </cell>
          <cell r="J84" t="str">
            <v>BAJA</v>
          </cell>
          <cell r="K84" t="str">
            <v/>
          </cell>
          <cell r="L84">
            <v>0</v>
          </cell>
          <cell r="M84">
            <v>85</v>
          </cell>
          <cell r="N84" t="str">
            <v>A</v>
          </cell>
          <cell r="O84">
            <v>41537</v>
          </cell>
          <cell r="P84" t="str">
            <v xml:space="preserve">    3</v>
          </cell>
          <cell r="Q84">
            <v>0</v>
          </cell>
          <cell r="R84">
            <v>0</v>
          </cell>
          <cell r="S84">
            <v>0</v>
          </cell>
          <cell r="T84">
            <v>60327</v>
          </cell>
          <cell r="U84">
            <v>0</v>
          </cell>
          <cell r="V84" t="str">
            <v>CENTRO</v>
          </cell>
          <cell r="W84" t="str">
            <v>(55) 1155-8702</v>
          </cell>
          <cell r="X84" t="str">
            <v/>
          </cell>
          <cell r="Y84" t="str">
            <v/>
          </cell>
          <cell r="Z84" t="str">
            <v/>
          </cell>
          <cell r="AA84" t="str">
            <v>(594) 958-7098</v>
          </cell>
          <cell r="AB84" t="str">
            <v xml:space="preserve">  DEV-101</v>
          </cell>
          <cell r="AC84" t="str">
            <v xml:space="preserve">  M0619</v>
          </cell>
          <cell r="AD84" t="str">
            <v/>
          </cell>
          <cell r="AE84" t="str">
            <v/>
          </cell>
          <cell r="AF84" t="str">
            <v/>
          </cell>
          <cell r="AG84">
            <v>41157</v>
          </cell>
          <cell r="AH84" t="str">
            <v>N</v>
          </cell>
          <cell r="AI84">
            <v>0</v>
          </cell>
          <cell r="AJ84">
            <v>0</v>
          </cell>
          <cell r="AK84">
            <v>0</v>
          </cell>
          <cell r="AL84">
            <v>211</v>
          </cell>
          <cell r="AM84">
            <v>660</v>
          </cell>
          <cell r="AN84">
            <v>0</v>
          </cell>
        </row>
        <row r="85">
          <cell r="A85">
            <v>1084</v>
          </cell>
          <cell r="B85" t="str">
            <v>SAUL TORREZ GAONA (QUERETARO)</v>
          </cell>
          <cell r="C85" t="str">
            <v/>
          </cell>
          <cell r="D85" t="str">
            <v>AV. JUAREZ SUR #32 Y 34</v>
          </cell>
          <cell r="E85" t="str">
            <v>QUERETARO, QRO.</v>
          </cell>
          <cell r="F85" t="str">
            <v>76000</v>
          </cell>
          <cell r="G85" t="str">
            <v>52*189675*2</v>
          </cell>
          <cell r="H85" t="str">
            <v>SALVADOR TORREZ G.</v>
          </cell>
          <cell r="I85" t="str">
            <v>SALVADOR TORREZ G.</v>
          </cell>
          <cell r="J85" t="str">
            <v>BAJA</v>
          </cell>
          <cell r="K85" t="str">
            <v/>
          </cell>
          <cell r="L85">
            <v>0</v>
          </cell>
          <cell r="M85">
            <v>86</v>
          </cell>
          <cell r="N85" t="str">
            <v>A</v>
          </cell>
          <cell r="O85">
            <v>40760</v>
          </cell>
          <cell r="P85" t="str">
            <v xml:space="preserve">    1</v>
          </cell>
          <cell r="Q85">
            <v>0</v>
          </cell>
          <cell r="R85">
            <v>0</v>
          </cell>
          <cell r="S85">
            <v>0</v>
          </cell>
          <cell r="T85">
            <v>24524</v>
          </cell>
          <cell r="U85">
            <v>0</v>
          </cell>
          <cell r="V85" t="str">
            <v>CENTRO</v>
          </cell>
          <cell r="W85" t="str">
            <v>(442) 140-1231</v>
          </cell>
          <cell r="X85" t="str">
            <v/>
          </cell>
          <cell r="Y85" t="str">
            <v/>
          </cell>
          <cell r="Z85" t="str">
            <v/>
          </cell>
          <cell r="AA85" t="str">
            <v>52*189675*2</v>
          </cell>
          <cell r="AB85" t="str">
            <v/>
          </cell>
          <cell r="AC85" t="str">
            <v xml:space="preserve">   7099</v>
          </cell>
          <cell r="AD85" t="str">
            <v/>
          </cell>
          <cell r="AE85" t="str">
            <v/>
          </cell>
          <cell r="AF85" t="str">
            <v/>
          </cell>
          <cell r="AH85" t="str">
            <v>N</v>
          </cell>
          <cell r="AI85">
            <v>0</v>
          </cell>
          <cell r="AJ85">
            <v>0</v>
          </cell>
          <cell r="AK85">
            <v>0</v>
          </cell>
          <cell r="AL85">
            <v>0</v>
          </cell>
          <cell r="AM85">
            <v>1738</v>
          </cell>
          <cell r="AN85">
            <v>0</v>
          </cell>
        </row>
        <row r="86">
          <cell r="A86">
            <v>1085</v>
          </cell>
          <cell r="B86" t="str">
            <v>FABIOLA JIMENEZ CRUZ (HUEHUETOCA)</v>
          </cell>
          <cell r="C86" t="str">
            <v/>
          </cell>
          <cell r="D86" t="str">
            <v>AV. JORGE JIMENEZ CANTU S/N</v>
          </cell>
          <cell r="E86" t="str">
            <v>HUEHUETOCA, EDO. DE MEXICO</v>
          </cell>
          <cell r="F86" t="str">
            <v/>
          </cell>
          <cell r="G86" t="str">
            <v/>
          </cell>
          <cell r="H86" t="str">
            <v>FABIOLA JIMENEZ CRUZ</v>
          </cell>
          <cell r="I86" t="str">
            <v>FABIOLA JIMENEZ CRUZ</v>
          </cell>
          <cell r="J86" t="str">
            <v>BAJA</v>
          </cell>
          <cell r="K86" t="str">
            <v/>
          </cell>
          <cell r="L86">
            <v>0</v>
          </cell>
          <cell r="M86">
            <v>87</v>
          </cell>
          <cell r="N86" t="str">
            <v>S</v>
          </cell>
          <cell r="O86">
            <v>41318</v>
          </cell>
          <cell r="P86" t="str">
            <v xml:space="preserve">    7</v>
          </cell>
          <cell r="Q86">
            <v>0</v>
          </cell>
          <cell r="R86">
            <v>0</v>
          </cell>
          <cell r="S86">
            <v>0</v>
          </cell>
          <cell r="T86">
            <v>238</v>
          </cell>
          <cell r="U86">
            <v>0</v>
          </cell>
          <cell r="V86" t="str">
            <v>CABECERA MUNICIPAL</v>
          </cell>
          <cell r="W86" t="str">
            <v/>
          </cell>
          <cell r="X86" t="str">
            <v/>
          </cell>
          <cell r="Y86" t="str">
            <v/>
          </cell>
          <cell r="Z86" t="str">
            <v/>
          </cell>
          <cell r="AA86" t="str">
            <v/>
          </cell>
          <cell r="AB86" t="str">
            <v/>
          </cell>
          <cell r="AC86" t="str">
            <v>C626</v>
          </cell>
          <cell r="AD86" t="str">
            <v/>
          </cell>
          <cell r="AE86" t="str">
            <v/>
          </cell>
          <cell r="AF86" t="str">
            <v/>
          </cell>
          <cell r="AH86" t="str">
            <v>N</v>
          </cell>
          <cell r="AI86">
            <v>0</v>
          </cell>
          <cell r="AJ86">
            <v>0</v>
          </cell>
          <cell r="AK86">
            <v>0</v>
          </cell>
          <cell r="AL86">
            <v>0</v>
          </cell>
          <cell r="AM86">
            <v>2024</v>
          </cell>
          <cell r="AN86">
            <v>0</v>
          </cell>
        </row>
        <row r="87">
          <cell r="A87">
            <v>1086</v>
          </cell>
          <cell r="B87" t="str">
            <v>ROSA REYNA AGUILAR (TEOLOYUCAN)</v>
          </cell>
          <cell r="C87" t="str">
            <v/>
          </cell>
          <cell r="D87" t="str">
            <v>AV. CAPULINES O CAMINO REAL ESQ MORELIA</v>
          </cell>
          <cell r="E87" t="str">
            <v>TEOLOYUCAN, EDO. DE MEXICO</v>
          </cell>
          <cell r="F87" t="str">
            <v/>
          </cell>
          <cell r="G87" t="str">
            <v>044 55-4529-9218</v>
          </cell>
          <cell r="H87" t="str">
            <v>VICTOR MANUEL LEON R</v>
          </cell>
          <cell r="I87" t="str">
            <v>VICTOR MANUEL LEON R</v>
          </cell>
          <cell r="J87" t="str">
            <v>BAJA</v>
          </cell>
          <cell r="K87" t="str">
            <v/>
          </cell>
          <cell r="L87">
            <v>0</v>
          </cell>
          <cell r="M87">
            <v>88</v>
          </cell>
          <cell r="N87" t="str">
            <v>A</v>
          </cell>
          <cell r="O87">
            <v>40999</v>
          </cell>
          <cell r="P87" t="str">
            <v xml:space="preserve">    7</v>
          </cell>
          <cell r="Q87">
            <v>0</v>
          </cell>
          <cell r="R87">
            <v>0</v>
          </cell>
          <cell r="S87">
            <v>0</v>
          </cell>
          <cell r="T87">
            <v>2590</v>
          </cell>
          <cell r="U87">
            <v>0</v>
          </cell>
          <cell r="V87" t="str">
            <v>BARRIO ZIMAPAN</v>
          </cell>
          <cell r="W87" t="str">
            <v/>
          </cell>
          <cell r="X87" t="str">
            <v/>
          </cell>
          <cell r="Y87" t="str">
            <v/>
          </cell>
          <cell r="Z87" t="str">
            <v/>
          </cell>
          <cell r="AA87" t="str">
            <v>044 55-4529-9218</v>
          </cell>
          <cell r="AB87" t="str">
            <v xml:space="preserve">  DEV-013</v>
          </cell>
          <cell r="AC87" t="str">
            <v>A-0433</v>
          </cell>
          <cell r="AD87" t="str">
            <v/>
          </cell>
          <cell r="AE87" t="str">
            <v/>
          </cell>
          <cell r="AF87" t="str">
            <v/>
          </cell>
          <cell r="AG87">
            <v>40738</v>
          </cell>
          <cell r="AH87" t="str">
            <v>N</v>
          </cell>
          <cell r="AI87">
            <v>0</v>
          </cell>
          <cell r="AJ87">
            <v>0</v>
          </cell>
          <cell r="AK87">
            <v>0</v>
          </cell>
          <cell r="AL87">
            <v>541</v>
          </cell>
          <cell r="AM87">
            <v>281</v>
          </cell>
          <cell r="AN87">
            <v>0</v>
          </cell>
        </row>
        <row r="88">
          <cell r="A88">
            <v>1087</v>
          </cell>
          <cell r="B88" t="str">
            <v>JUANA VAZQUEZ RIOS (MELCHOR OCAMPO)</v>
          </cell>
          <cell r="C88" t="str">
            <v/>
          </cell>
          <cell r="D88" t="str">
            <v>CRISPIN PEREZ S/N</v>
          </cell>
          <cell r="E88" t="str">
            <v>MELCHOR OCAMPO, EDO. DE MEXICO</v>
          </cell>
          <cell r="F88" t="str">
            <v/>
          </cell>
          <cell r="G88" t="str">
            <v>(55) 5878-1071</v>
          </cell>
          <cell r="H88" t="str">
            <v>JUANA VAZQUEZ RIOS</v>
          </cell>
          <cell r="I88" t="str">
            <v>JUANA VAZQUEZ RIOS</v>
          </cell>
          <cell r="J88" t="str">
            <v>M01</v>
          </cell>
          <cell r="K88" t="str">
            <v/>
          </cell>
          <cell r="L88">
            <v>0</v>
          </cell>
          <cell r="M88">
            <v>89</v>
          </cell>
          <cell r="N88" t="str">
            <v>A</v>
          </cell>
          <cell r="O88">
            <v>42328</v>
          </cell>
          <cell r="P88" t="str">
            <v xml:space="preserve">    7</v>
          </cell>
          <cell r="Q88">
            <v>0</v>
          </cell>
          <cell r="R88">
            <v>0</v>
          </cell>
          <cell r="S88">
            <v>1241</v>
          </cell>
          <cell r="T88">
            <v>102097</v>
          </cell>
          <cell r="U88">
            <v>0</v>
          </cell>
          <cell r="V88" t="str">
            <v>CENTRO</v>
          </cell>
          <cell r="W88" t="str">
            <v>(55) 6570-2925</v>
          </cell>
          <cell r="X88" t="str">
            <v/>
          </cell>
          <cell r="Y88" t="str">
            <v/>
          </cell>
          <cell r="Z88" t="str">
            <v/>
          </cell>
          <cell r="AA88" t="str">
            <v>(55) 5878-1071</v>
          </cell>
          <cell r="AB88" t="str">
            <v xml:space="preserve">  BMX ALE</v>
          </cell>
          <cell r="AC88" t="str">
            <v>M505</v>
          </cell>
          <cell r="AD88" t="str">
            <v/>
          </cell>
          <cell r="AE88" t="str">
            <v/>
          </cell>
          <cell r="AF88" t="str">
            <v/>
          </cell>
          <cell r="AG88">
            <v>41922</v>
          </cell>
          <cell r="AH88" t="str">
            <v>N</v>
          </cell>
          <cell r="AI88">
            <v>0</v>
          </cell>
          <cell r="AJ88">
            <v>0</v>
          </cell>
          <cell r="AK88">
            <v>0</v>
          </cell>
          <cell r="AL88">
            <v>675</v>
          </cell>
          <cell r="AM88">
            <v>890</v>
          </cell>
          <cell r="AN88">
            <v>0</v>
          </cell>
        </row>
        <row r="89">
          <cell r="A89">
            <v>1088</v>
          </cell>
          <cell r="B89" t="str">
            <v>FERNANDO SOTO MOLINA (TLALNEPANTLA)</v>
          </cell>
          <cell r="C89" t="str">
            <v/>
          </cell>
          <cell r="D89" t="str">
            <v/>
          </cell>
          <cell r="E89" t="str">
            <v>TLALNEPANTLA, EDO. DE MEXICO</v>
          </cell>
          <cell r="F89" t="str">
            <v/>
          </cell>
          <cell r="G89" t="str">
            <v>(55)3643-1244</v>
          </cell>
          <cell r="H89" t="str">
            <v/>
          </cell>
          <cell r="I89" t="str">
            <v/>
          </cell>
          <cell r="J89" t="str">
            <v>BAJA</v>
          </cell>
          <cell r="K89" t="str">
            <v/>
          </cell>
          <cell r="L89">
            <v>0</v>
          </cell>
          <cell r="M89">
            <v>90</v>
          </cell>
          <cell r="N89" t="str">
            <v>A</v>
          </cell>
          <cell r="O89">
            <v>40709</v>
          </cell>
          <cell r="P89" t="str">
            <v xml:space="preserve">    3</v>
          </cell>
          <cell r="Q89">
            <v>0</v>
          </cell>
          <cell r="R89">
            <v>0</v>
          </cell>
          <cell r="S89">
            <v>0</v>
          </cell>
          <cell r="T89">
            <v>1077</v>
          </cell>
          <cell r="U89">
            <v>0</v>
          </cell>
          <cell r="V89" t="str">
            <v/>
          </cell>
          <cell r="W89" t="str">
            <v>04455 4013-4648</v>
          </cell>
          <cell r="X89" t="str">
            <v/>
          </cell>
          <cell r="Y89" t="str">
            <v/>
          </cell>
          <cell r="Z89" t="str">
            <v/>
          </cell>
          <cell r="AA89" t="str">
            <v>(55)3643-1244</v>
          </cell>
          <cell r="AB89" t="str">
            <v/>
          </cell>
          <cell r="AC89" t="str">
            <v xml:space="preserve"> R-7079</v>
          </cell>
          <cell r="AD89" t="str">
            <v/>
          </cell>
          <cell r="AE89" t="str">
            <v/>
          </cell>
          <cell r="AF89" t="str">
            <v/>
          </cell>
          <cell r="AH89" t="str">
            <v>N</v>
          </cell>
          <cell r="AI89">
            <v>0</v>
          </cell>
          <cell r="AJ89">
            <v>0</v>
          </cell>
          <cell r="AK89">
            <v>0</v>
          </cell>
          <cell r="AL89">
            <v>0</v>
          </cell>
          <cell r="AM89">
            <v>1785</v>
          </cell>
          <cell r="AN89">
            <v>0</v>
          </cell>
        </row>
        <row r="90">
          <cell r="A90">
            <v>1089</v>
          </cell>
          <cell r="B90" t="str">
            <v>LAURA GOMEZ RUPIT (TEXCOCO)</v>
          </cell>
          <cell r="C90" t="str">
            <v/>
          </cell>
          <cell r="D90" t="str">
            <v>MERCADO TEXCOCO LOCAL 203</v>
          </cell>
          <cell r="E90" t="str">
            <v>TEXCOCO, EDO. DE MEXICO</v>
          </cell>
          <cell r="F90" t="str">
            <v/>
          </cell>
          <cell r="G90" t="str">
            <v>(55) 1584-4561 CEL</v>
          </cell>
          <cell r="H90" t="str">
            <v>LAURA GOMEZ RUPIT</v>
          </cell>
          <cell r="I90" t="str">
            <v>LAURA GOMEZ RUPIT</v>
          </cell>
          <cell r="J90" t="str">
            <v>BAJA</v>
          </cell>
          <cell r="K90" t="str">
            <v/>
          </cell>
          <cell r="L90">
            <v>0</v>
          </cell>
          <cell r="M90">
            <v>91</v>
          </cell>
          <cell r="N90" t="str">
            <v>A</v>
          </cell>
          <cell r="O90">
            <v>41466</v>
          </cell>
          <cell r="P90" t="str">
            <v xml:space="preserve">    3</v>
          </cell>
          <cell r="Q90">
            <v>0</v>
          </cell>
          <cell r="R90">
            <v>0</v>
          </cell>
          <cell r="S90">
            <v>0</v>
          </cell>
          <cell r="T90">
            <v>16527</v>
          </cell>
          <cell r="U90">
            <v>0</v>
          </cell>
          <cell r="V90" t="str">
            <v>CENTRO</v>
          </cell>
          <cell r="W90" t="str">
            <v>(595) 928-1218 CASA</v>
          </cell>
          <cell r="X90" t="str">
            <v/>
          </cell>
          <cell r="Y90" t="str">
            <v/>
          </cell>
          <cell r="Z90" t="str">
            <v/>
          </cell>
          <cell r="AA90" t="str">
            <v>(55) 1584-4561 CEL</v>
          </cell>
          <cell r="AB90" t="str">
            <v/>
          </cell>
          <cell r="AC90" t="str">
            <v>M0515</v>
          </cell>
          <cell r="AD90" t="str">
            <v/>
          </cell>
          <cell r="AE90" t="str">
            <v/>
          </cell>
          <cell r="AF90" t="str">
            <v/>
          </cell>
          <cell r="AH90" t="str">
            <v>N</v>
          </cell>
          <cell r="AI90">
            <v>0</v>
          </cell>
          <cell r="AJ90">
            <v>0</v>
          </cell>
          <cell r="AK90">
            <v>0</v>
          </cell>
          <cell r="AL90">
            <v>0</v>
          </cell>
          <cell r="AM90">
            <v>2484</v>
          </cell>
          <cell r="AN90">
            <v>0</v>
          </cell>
        </row>
        <row r="91">
          <cell r="A91">
            <v>1090</v>
          </cell>
          <cell r="B91" t="str">
            <v>YANETH LABASTIDA HURTADO (TLALNEPANTLA)</v>
          </cell>
          <cell r="C91" t="str">
            <v/>
          </cell>
          <cell r="D91" t="str">
            <v>FCO. SARABIA #49</v>
          </cell>
          <cell r="E91" t="str">
            <v>TLALNEPANTLA, EDO. DE MEXICO</v>
          </cell>
          <cell r="F91" t="str">
            <v/>
          </cell>
          <cell r="G91" t="str">
            <v/>
          </cell>
          <cell r="H91" t="str">
            <v>YANETH LABASTIDA H.</v>
          </cell>
          <cell r="I91" t="str">
            <v>YANETH LABASTIDA H.</v>
          </cell>
          <cell r="J91" t="str">
            <v>BAJA</v>
          </cell>
          <cell r="K91" t="str">
            <v/>
          </cell>
          <cell r="L91">
            <v>0</v>
          </cell>
          <cell r="M91">
            <v>92</v>
          </cell>
          <cell r="N91" t="str">
            <v>A</v>
          </cell>
          <cell r="O91">
            <v>40712</v>
          </cell>
          <cell r="P91" t="str">
            <v xml:space="preserve">    5</v>
          </cell>
          <cell r="Q91">
            <v>0</v>
          </cell>
          <cell r="R91">
            <v>0</v>
          </cell>
          <cell r="S91">
            <v>0</v>
          </cell>
          <cell r="T91">
            <v>932</v>
          </cell>
          <cell r="U91">
            <v>0</v>
          </cell>
          <cell r="V91" t="str">
            <v/>
          </cell>
          <cell r="W91" t="str">
            <v/>
          </cell>
          <cell r="X91" t="str">
            <v/>
          </cell>
          <cell r="Y91" t="str">
            <v/>
          </cell>
          <cell r="Z91" t="str">
            <v/>
          </cell>
          <cell r="AA91" t="str">
            <v/>
          </cell>
          <cell r="AB91" t="str">
            <v/>
          </cell>
          <cell r="AC91" t="str">
            <v>R-0003</v>
          </cell>
          <cell r="AD91" t="str">
            <v/>
          </cell>
          <cell r="AE91" t="str">
            <v/>
          </cell>
          <cell r="AF91" t="str">
            <v/>
          </cell>
          <cell r="AH91" t="str">
            <v>N</v>
          </cell>
          <cell r="AI91">
            <v>0</v>
          </cell>
          <cell r="AJ91">
            <v>0</v>
          </cell>
          <cell r="AK91">
            <v>0</v>
          </cell>
          <cell r="AL91">
            <v>0</v>
          </cell>
          <cell r="AM91">
            <v>932</v>
          </cell>
          <cell r="AN91">
            <v>0</v>
          </cell>
        </row>
        <row r="92">
          <cell r="A92">
            <v>1091</v>
          </cell>
          <cell r="B92" t="str">
            <v>ANGELICA TAPIA LOPEZ (ZINAPECUARO)</v>
          </cell>
          <cell r="C92" t="str">
            <v/>
          </cell>
          <cell r="D92" t="str">
            <v>RAMON LOPEZ LARA #29</v>
          </cell>
          <cell r="E92" t="str">
            <v>ZINAPECUARO, MICH.</v>
          </cell>
          <cell r="F92" t="str">
            <v/>
          </cell>
          <cell r="G92" t="str">
            <v>044 44 101-0308</v>
          </cell>
          <cell r="H92" t="str">
            <v>ANGELICA TAPIA LOPEZ</v>
          </cell>
          <cell r="I92" t="str">
            <v>ANGELICA TAPIA LOPEZ</v>
          </cell>
          <cell r="J92" t="str">
            <v>BAJA</v>
          </cell>
          <cell r="K92" t="str">
            <v/>
          </cell>
          <cell r="L92">
            <v>0</v>
          </cell>
          <cell r="M92">
            <v>93</v>
          </cell>
          <cell r="N92" t="str">
            <v>A</v>
          </cell>
          <cell r="O92">
            <v>40716</v>
          </cell>
          <cell r="P92" t="str">
            <v xml:space="preserve">    1</v>
          </cell>
          <cell r="Q92">
            <v>0</v>
          </cell>
          <cell r="R92">
            <v>0</v>
          </cell>
          <cell r="S92">
            <v>0</v>
          </cell>
          <cell r="T92">
            <v>198</v>
          </cell>
          <cell r="U92">
            <v>0</v>
          </cell>
          <cell r="V92" t="str">
            <v>CENTRO</v>
          </cell>
          <cell r="W92" t="str">
            <v/>
          </cell>
          <cell r="X92" t="str">
            <v/>
          </cell>
          <cell r="Y92" t="str">
            <v/>
          </cell>
          <cell r="Z92" t="str">
            <v/>
          </cell>
          <cell r="AA92" t="str">
            <v>044 44 101-0308</v>
          </cell>
          <cell r="AB92" t="str">
            <v/>
          </cell>
          <cell r="AC92" t="str">
            <v xml:space="preserve"> R-7156</v>
          </cell>
          <cell r="AD92" t="str">
            <v/>
          </cell>
          <cell r="AE92" t="str">
            <v/>
          </cell>
          <cell r="AF92" t="str">
            <v/>
          </cell>
          <cell r="AH92" t="str">
            <v>N</v>
          </cell>
          <cell r="AI92">
            <v>0</v>
          </cell>
          <cell r="AJ92">
            <v>0</v>
          </cell>
          <cell r="AK92">
            <v>0</v>
          </cell>
          <cell r="AL92">
            <v>0</v>
          </cell>
          <cell r="AM92">
            <v>598</v>
          </cell>
          <cell r="AN92">
            <v>0</v>
          </cell>
        </row>
        <row r="93">
          <cell r="A93">
            <v>1092</v>
          </cell>
          <cell r="B93" t="str">
            <v>HILDA CRUZ RUEDA (ATIZAPAN)</v>
          </cell>
          <cell r="C93" t="str">
            <v/>
          </cell>
          <cell r="D93" t="str">
            <v>COLIBRI #73</v>
          </cell>
          <cell r="E93" t="str">
            <v>ATIZAPAN, EDO. DE MEXICO</v>
          </cell>
          <cell r="F93" t="str">
            <v/>
          </cell>
          <cell r="G93" t="str">
            <v>(55) 5821-0204 LOCAL</v>
          </cell>
          <cell r="H93" t="str">
            <v>HILDA CRUZ RUEDA</v>
          </cell>
          <cell r="I93" t="str">
            <v>MIGUEL ANGEL</v>
          </cell>
          <cell r="J93" t="str">
            <v>BAJA</v>
          </cell>
          <cell r="K93" t="str">
            <v/>
          </cell>
          <cell r="L93">
            <v>0</v>
          </cell>
          <cell r="M93">
            <v>94</v>
          </cell>
          <cell r="N93" t="str">
            <v>A</v>
          </cell>
          <cell r="O93">
            <v>41500</v>
          </cell>
          <cell r="P93" t="str">
            <v xml:space="preserve">    3</v>
          </cell>
          <cell r="Q93">
            <v>0</v>
          </cell>
          <cell r="R93">
            <v>0</v>
          </cell>
          <cell r="S93">
            <v>0</v>
          </cell>
          <cell r="T93">
            <v>78883</v>
          </cell>
          <cell r="U93">
            <v>0</v>
          </cell>
          <cell r="V93" t="str">
            <v>ARBOLEDAS</v>
          </cell>
          <cell r="W93" t="str">
            <v>(55) 5379-2898 CASA</v>
          </cell>
          <cell r="X93" t="str">
            <v/>
          </cell>
          <cell r="Y93" t="str">
            <v/>
          </cell>
          <cell r="Z93" t="str">
            <v/>
          </cell>
          <cell r="AA93" t="str">
            <v>(55) 5821-0204 LOCAL</v>
          </cell>
          <cell r="AB93" t="str">
            <v/>
          </cell>
          <cell r="AC93" t="str">
            <v>M0545</v>
          </cell>
          <cell r="AD93" t="str">
            <v/>
          </cell>
          <cell r="AE93" t="str">
            <v/>
          </cell>
          <cell r="AF93" t="str">
            <v/>
          </cell>
          <cell r="AH93" t="str">
            <v>N</v>
          </cell>
          <cell r="AI93">
            <v>0</v>
          </cell>
          <cell r="AJ93">
            <v>0</v>
          </cell>
          <cell r="AK93">
            <v>0</v>
          </cell>
          <cell r="AL93">
            <v>0</v>
          </cell>
          <cell r="AM93">
            <v>4782</v>
          </cell>
          <cell r="AN93">
            <v>0</v>
          </cell>
        </row>
        <row r="94">
          <cell r="A94">
            <v>1093</v>
          </cell>
          <cell r="B94" t="str">
            <v>BETRIZ GARCIA RODEA (JILOTEPEC)</v>
          </cell>
          <cell r="C94" t="str">
            <v/>
          </cell>
          <cell r="D94" t="str">
            <v>FRANCISCO JAVIER MINA #118</v>
          </cell>
          <cell r="E94" t="str">
            <v>JILOTEPEC, EDO. DE MEXICO</v>
          </cell>
          <cell r="F94" t="str">
            <v/>
          </cell>
          <cell r="G94" t="str">
            <v/>
          </cell>
          <cell r="H94" t="str">
            <v>BETRIZ GARCIA RODEA</v>
          </cell>
          <cell r="I94" t="str">
            <v>BETRIZ GARCIA RODEA</v>
          </cell>
          <cell r="J94" t="str">
            <v>BAJA</v>
          </cell>
          <cell r="K94" t="str">
            <v/>
          </cell>
          <cell r="L94">
            <v>0</v>
          </cell>
          <cell r="M94">
            <v>95</v>
          </cell>
          <cell r="N94" t="str">
            <v>A</v>
          </cell>
          <cell r="O94">
            <v>41037</v>
          </cell>
          <cell r="P94" t="str">
            <v xml:space="preserve">    1</v>
          </cell>
          <cell r="Q94">
            <v>0</v>
          </cell>
          <cell r="R94">
            <v>0</v>
          </cell>
          <cell r="S94">
            <v>0</v>
          </cell>
          <cell r="T94">
            <v>1005</v>
          </cell>
          <cell r="U94">
            <v>0</v>
          </cell>
          <cell r="V94" t="str">
            <v>CENTRO</v>
          </cell>
          <cell r="W94" t="str">
            <v/>
          </cell>
          <cell r="X94" t="str">
            <v/>
          </cell>
          <cell r="Y94" t="str">
            <v/>
          </cell>
          <cell r="Z94" t="str">
            <v/>
          </cell>
          <cell r="AA94" t="str">
            <v/>
          </cell>
          <cell r="AB94" t="str">
            <v/>
          </cell>
          <cell r="AC94" t="str">
            <v xml:space="preserve">   0982</v>
          </cell>
          <cell r="AD94" t="str">
            <v/>
          </cell>
          <cell r="AE94" t="str">
            <v/>
          </cell>
          <cell r="AF94" t="str">
            <v/>
          </cell>
          <cell r="AH94" t="str">
            <v>N</v>
          </cell>
          <cell r="AI94">
            <v>0</v>
          </cell>
          <cell r="AJ94">
            <v>0</v>
          </cell>
          <cell r="AK94">
            <v>0</v>
          </cell>
          <cell r="AL94">
            <v>0</v>
          </cell>
          <cell r="AM94">
            <v>814</v>
          </cell>
          <cell r="AN94">
            <v>0</v>
          </cell>
        </row>
        <row r="95">
          <cell r="A95">
            <v>1094</v>
          </cell>
          <cell r="B95" t="str">
            <v>INFANTILES ANGELO (SATELITE)</v>
          </cell>
          <cell r="C95" t="str">
            <v/>
          </cell>
          <cell r="D95" t="str">
            <v>CIRCUITOS CIRUJANOS LOCAL</v>
          </cell>
          <cell r="E95" t="str">
            <v>NAUCALPAN, EDO. DE MEXICO</v>
          </cell>
          <cell r="F95" t="str">
            <v/>
          </cell>
          <cell r="G95" t="str">
            <v>(55) 5572-1048</v>
          </cell>
          <cell r="H95" t="str">
            <v/>
          </cell>
          <cell r="I95" t="str">
            <v/>
          </cell>
          <cell r="J95" t="str">
            <v>BAJA</v>
          </cell>
          <cell r="K95" t="str">
            <v/>
          </cell>
          <cell r="L95">
            <v>0</v>
          </cell>
          <cell r="M95">
            <v>96</v>
          </cell>
          <cell r="N95" t="str">
            <v>A</v>
          </cell>
          <cell r="O95">
            <v>40737</v>
          </cell>
          <cell r="P95" t="str">
            <v xml:space="preserve">    3</v>
          </cell>
          <cell r="Q95">
            <v>0</v>
          </cell>
          <cell r="R95">
            <v>0</v>
          </cell>
          <cell r="S95">
            <v>0</v>
          </cell>
          <cell r="T95">
            <v>1059</v>
          </cell>
          <cell r="U95">
            <v>0</v>
          </cell>
          <cell r="V95" t="str">
            <v>SATELITE</v>
          </cell>
          <cell r="W95" t="str">
            <v/>
          </cell>
          <cell r="X95" t="str">
            <v/>
          </cell>
          <cell r="Y95" t="str">
            <v/>
          </cell>
          <cell r="Z95" t="str">
            <v/>
          </cell>
          <cell r="AA95" t="str">
            <v>(55) 5572-1048</v>
          </cell>
          <cell r="AB95" t="str">
            <v/>
          </cell>
          <cell r="AC95" t="str">
            <v>C110</v>
          </cell>
          <cell r="AD95" t="str">
            <v/>
          </cell>
          <cell r="AE95" t="str">
            <v/>
          </cell>
          <cell r="AF95" t="str">
            <v/>
          </cell>
          <cell r="AH95" t="str">
            <v>N</v>
          </cell>
          <cell r="AI95">
            <v>0</v>
          </cell>
          <cell r="AJ95">
            <v>0</v>
          </cell>
          <cell r="AK95">
            <v>0</v>
          </cell>
          <cell r="AL95">
            <v>0</v>
          </cell>
          <cell r="AM95">
            <v>494</v>
          </cell>
          <cell r="AN95">
            <v>0</v>
          </cell>
        </row>
        <row r="96">
          <cell r="A96">
            <v>1095</v>
          </cell>
          <cell r="B96" t="str">
            <v xml:space="preserve">ARACELI VAZQUEZ (SJR)                                       </v>
          </cell>
          <cell r="C96" t="str">
            <v/>
          </cell>
          <cell r="D96" t="str">
            <v xml:space="preserve">JASPE #13                               </v>
          </cell>
          <cell r="E96" t="str">
            <v xml:space="preserve">SAN JUAN DEL RIO, QRO.        </v>
          </cell>
          <cell r="F96" t="str">
            <v/>
          </cell>
          <cell r="G96" t="str">
            <v>(427) 103-3101</v>
          </cell>
          <cell r="H96" t="str">
            <v>GRISELDA GONZALEZ</v>
          </cell>
          <cell r="I96" t="str">
            <v>GRISELDA GONZALEZ</v>
          </cell>
          <cell r="J96" t="str">
            <v>J01</v>
          </cell>
          <cell r="K96" t="str">
            <v/>
          </cell>
          <cell r="L96">
            <v>0</v>
          </cell>
          <cell r="M96">
            <v>97</v>
          </cell>
          <cell r="N96" t="str">
            <v>A</v>
          </cell>
          <cell r="O96">
            <v>40730</v>
          </cell>
          <cell r="P96" t="str">
            <v xml:space="preserve">    3</v>
          </cell>
          <cell r="Q96">
            <v>0</v>
          </cell>
          <cell r="R96">
            <v>0</v>
          </cell>
          <cell r="S96">
            <v>0</v>
          </cell>
          <cell r="T96">
            <v>460</v>
          </cell>
          <cell r="U96">
            <v>0</v>
          </cell>
          <cell r="V96" t="str">
            <v>INFONAVIT, PEDREGOSO</v>
          </cell>
          <cell r="W96" t="str">
            <v/>
          </cell>
          <cell r="X96" t="str">
            <v/>
          </cell>
          <cell r="Y96" t="str">
            <v/>
          </cell>
          <cell r="Z96" t="str">
            <v/>
          </cell>
          <cell r="AA96" t="str">
            <v/>
          </cell>
          <cell r="AB96" t="str">
            <v/>
          </cell>
          <cell r="AC96" t="str">
            <v>C023</v>
          </cell>
          <cell r="AD96" t="str">
            <v/>
          </cell>
          <cell r="AE96" t="str">
            <v/>
          </cell>
          <cell r="AF96" t="str">
            <v/>
          </cell>
          <cell r="AH96" t="str">
            <v>N</v>
          </cell>
          <cell r="AI96">
            <v>0</v>
          </cell>
          <cell r="AJ96">
            <v>0</v>
          </cell>
          <cell r="AK96">
            <v>0</v>
          </cell>
          <cell r="AL96">
            <v>0</v>
          </cell>
          <cell r="AM96">
            <v>460</v>
          </cell>
          <cell r="AN96">
            <v>0</v>
          </cell>
        </row>
        <row r="97">
          <cell r="A97">
            <v>1096</v>
          </cell>
          <cell r="B97" t="str">
            <v>GUADALUPE GALICIA GARCIA (VILLA)</v>
          </cell>
          <cell r="C97" t="str">
            <v/>
          </cell>
          <cell r="D97" t="str">
            <v>MERCADO DE VILLA LOCAL 76</v>
          </cell>
          <cell r="E97" t="str">
            <v>COACALCO, EDO. DE MEXICO</v>
          </cell>
          <cell r="F97" t="str">
            <v/>
          </cell>
          <cell r="G97" t="str">
            <v/>
          </cell>
          <cell r="H97" t="str">
            <v>GUADALUPE GARCIA G.</v>
          </cell>
          <cell r="I97" t="str">
            <v>GUADALUPE GARCIA G.</v>
          </cell>
          <cell r="J97" t="str">
            <v>BAJA</v>
          </cell>
          <cell r="K97" t="str">
            <v/>
          </cell>
          <cell r="L97">
            <v>0</v>
          </cell>
          <cell r="M97">
            <v>98</v>
          </cell>
          <cell r="N97" t="str">
            <v>A</v>
          </cell>
          <cell r="O97">
            <v>40847</v>
          </cell>
          <cell r="P97" t="str">
            <v xml:space="preserve">    3</v>
          </cell>
          <cell r="Q97">
            <v>0</v>
          </cell>
          <cell r="R97">
            <v>0</v>
          </cell>
          <cell r="S97">
            <v>0</v>
          </cell>
          <cell r="T97">
            <v>1906</v>
          </cell>
          <cell r="U97">
            <v>0</v>
          </cell>
          <cell r="V97" t="str">
            <v>VILLA DE LAS FLORES</v>
          </cell>
          <cell r="W97" t="str">
            <v/>
          </cell>
          <cell r="X97" t="str">
            <v/>
          </cell>
          <cell r="Y97" t="str">
            <v/>
          </cell>
          <cell r="Z97" t="str">
            <v/>
          </cell>
          <cell r="AA97" t="str">
            <v/>
          </cell>
          <cell r="AB97" t="str">
            <v/>
          </cell>
          <cell r="AC97" t="str">
            <v xml:space="preserve">     34</v>
          </cell>
          <cell r="AD97" t="str">
            <v/>
          </cell>
          <cell r="AE97" t="str">
            <v/>
          </cell>
          <cell r="AF97" t="str">
            <v/>
          </cell>
          <cell r="AH97" t="str">
            <v>N</v>
          </cell>
          <cell r="AI97">
            <v>0</v>
          </cell>
          <cell r="AJ97">
            <v>0</v>
          </cell>
          <cell r="AK97">
            <v>0</v>
          </cell>
          <cell r="AL97">
            <v>0</v>
          </cell>
          <cell r="AM97">
            <v>125</v>
          </cell>
          <cell r="AN97">
            <v>0</v>
          </cell>
        </row>
        <row r="98">
          <cell r="A98">
            <v>1097</v>
          </cell>
          <cell r="B98" t="str">
            <v>MARITZA VAZQUEZ GALVEZ (SAN CRISTOBAL)</v>
          </cell>
          <cell r="C98" t="str">
            <v/>
          </cell>
          <cell r="D98" t="str">
            <v>AV. MORELOS #4</v>
          </cell>
          <cell r="E98" t="str">
            <v>ECATEPEC, EDO. DE MEXICO</v>
          </cell>
          <cell r="F98" t="str">
            <v/>
          </cell>
          <cell r="G98" t="str">
            <v>(55) 5770-4751</v>
          </cell>
          <cell r="H98" t="str">
            <v>MARITZA VAZQUEZ G.</v>
          </cell>
          <cell r="I98" t="str">
            <v>MARITZA VAZQUEZ G.</v>
          </cell>
          <cell r="J98" t="str">
            <v>BAJA</v>
          </cell>
          <cell r="K98" t="str">
            <v/>
          </cell>
          <cell r="L98">
            <v>0</v>
          </cell>
          <cell r="M98">
            <v>99</v>
          </cell>
          <cell r="N98" t="str">
            <v>A</v>
          </cell>
          <cell r="O98">
            <v>40731</v>
          </cell>
          <cell r="P98" t="str">
            <v xml:space="preserve">    3</v>
          </cell>
          <cell r="Q98">
            <v>0</v>
          </cell>
          <cell r="R98">
            <v>0</v>
          </cell>
          <cell r="S98">
            <v>0</v>
          </cell>
          <cell r="T98">
            <v>1350</v>
          </cell>
          <cell r="U98">
            <v>0</v>
          </cell>
          <cell r="V98" t="str">
            <v>SAN CRISTOBAL CENTRO</v>
          </cell>
          <cell r="W98" t="str">
            <v/>
          </cell>
          <cell r="X98" t="str">
            <v/>
          </cell>
          <cell r="Y98" t="str">
            <v/>
          </cell>
          <cell r="Z98" t="str">
            <v/>
          </cell>
          <cell r="AA98" t="str">
            <v>(55) 5770-4751</v>
          </cell>
          <cell r="AB98" t="str">
            <v/>
          </cell>
          <cell r="AC98" t="str">
            <v xml:space="preserve">    006</v>
          </cell>
          <cell r="AD98" t="str">
            <v/>
          </cell>
          <cell r="AE98" t="str">
            <v/>
          </cell>
          <cell r="AF98" t="str">
            <v/>
          </cell>
          <cell r="AH98" t="str">
            <v>N</v>
          </cell>
          <cell r="AI98">
            <v>0</v>
          </cell>
          <cell r="AJ98">
            <v>0</v>
          </cell>
          <cell r="AK98">
            <v>0</v>
          </cell>
          <cell r="AL98">
            <v>0</v>
          </cell>
          <cell r="AM98">
            <v>1350</v>
          </cell>
          <cell r="AN98">
            <v>0</v>
          </cell>
        </row>
        <row r="99">
          <cell r="A99">
            <v>1098</v>
          </cell>
          <cell r="B99" t="str">
            <v>AGRIPINA RODRIGUEZ ACURI (TECAMAC)</v>
          </cell>
          <cell r="C99" t="str">
            <v/>
          </cell>
          <cell r="D99" t="str">
            <v/>
          </cell>
          <cell r="E99" t="str">
            <v>TECAMAC, EDO. DE MEXICO</v>
          </cell>
          <cell r="F99" t="str">
            <v/>
          </cell>
          <cell r="G99" t="str">
            <v/>
          </cell>
          <cell r="H99" t="str">
            <v>AGRIPINA RODRIGUEZ A</v>
          </cell>
          <cell r="I99" t="str">
            <v>AGRIPINA RODRIGUEZ A</v>
          </cell>
          <cell r="J99" t="str">
            <v>BAJA</v>
          </cell>
          <cell r="K99" t="str">
            <v/>
          </cell>
          <cell r="L99">
            <v>0</v>
          </cell>
          <cell r="M99">
            <v>100</v>
          </cell>
          <cell r="N99" t="str">
            <v>S</v>
          </cell>
          <cell r="O99">
            <v>40829</v>
          </cell>
          <cell r="P99" t="str">
            <v xml:space="preserve">    3</v>
          </cell>
          <cell r="Q99">
            <v>0</v>
          </cell>
          <cell r="R99">
            <v>0</v>
          </cell>
          <cell r="S99">
            <v>0</v>
          </cell>
          <cell r="T99">
            <v>2500</v>
          </cell>
          <cell r="U99">
            <v>0</v>
          </cell>
          <cell r="V99" t="str">
            <v/>
          </cell>
          <cell r="W99" t="str">
            <v/>
          </cell>
          <cell r="X99" t="str">
            <v/>
          </cell>
          <cell r="Y99" t="str">
            <v/>
          </cell>
          <cell r="Z99" t="str">
            <v/>
          </cell>
          <cell r="AA99" t="str">
            <v/>
          </cell>
          <cell r="AB99" t="str">
            <v xml:space="preserve">  DEV-023</v>
          </cell>
          <cell r="AC99" t="str">
            <v xml:space="preserve">     23</v>
          </cell>
          <cell r="AD99" t="str">
            <v/>
          </cell>
          <cell r="AE99" t="str">
            <v/>
          </cell>
          <cell r="AF99" t="str">
            <v/>
          </cell>
          <cell r="AG99">
            <v>40829</v>
          </cell>
          <cell r="AH99" t="str">
            <v>N</v>
          </cell>
          <cell r="AI99">
            <v>0</v>
          </cell>
          <cell r="AJ99">
            <v>0</v>
          </cell>
          <cell r="AK99">
            <v>0</v>
          </cell>
          <cell r="AL99">
            <v>1006</v>
          </cell>
          <cell r="AM99">
            <v>1583</v>
          </cell>
          <cell r="AN99">
            <v>0</v>
          </cell>
        </row>
        <row r="100">
          <cell r="A100">
            <v>1099</v>
          </cell>
          <cell r="B100" t="str">
            <v>SUSANA FUENTES (COACALCO)</v>
          </cell>
          <cell r="C100" t="str">
            <v/>
          </cell>
          <cell r="D100" t="str">
            <v>AV. LOPEZ PORTILLO #37 LOCAL 22</v>
          </cell>
          <cell r="E100" t="str">
            <v>COACALCO, EDO. DE MEXICO</v>
          </cell>
          <cell r="F100" t="str">
            <v/>
          </cell>
          <cell r="G100" t="str">
            <v>(55) 1039-8746</v>
          </cell>
          <cell r="H100" t="str">
            <v>SUSANA FUENTES</v>
          </cell>
          <cell r="I100" t="str">
            <v>SUSANA FUENTES</v>
          </cell>
          <cell r="J100" t="str">
            <v>BAJA</v>
          </cell>
          <cell r="K100" t="str">
            <v/>
          </cell>
          <cell r="L100">
            <v>0</v>
          </cell>
          <cell r="M100">
            <v>101</v>
          </cell>
          <cell r="N100" t="str">
            <v>A</v>
          </cell>
          <cell r="O100">
            <v>40733</v>
          </cell>
          <cell r="P100" t="str">
            <v xml:space="preserve">    3</v>
          </cell>
          <cell r="Q100">
            <v>0</v>
          </cell>
          <cell r="R100">
            <v>0</v>
          </cell>
          <cell r="S100">
            <v>0</v>
          </cell>
          <cell r="T100">
            <v>489</v>
          </cell>
          <cell r="U100">
            <v>0</v>
          </cell>
          <cell r="V100" t="str">
            <v>MEGA COMERCIAL</v>
          </cell>
          <cell r="W100" t="str">
            <v/>
          </cell>
          <cell r="X100" t="str">
            <v/>
          </cell>
          <cell r="Y100" t="str">
            <v/>
          </cell>
          <cell r="Z100" t="str">
            <v/>
          </cell>
          <cell r="AA100" t="str">
            <v>(55) 1039-8746</v>
          </cell>
          <cell r="AB100" t="str">
            <v/>
          </cell>
          <cell r="AC100" t="str">
            <v>C032</v>
          </cell>
          <cell r="AD100" t="str">
            <v/>
          </cell>
          <cell r="AE100" t="str">
            <v/>
          </cell>
          <cell r="AF100" t="str">
            <v/>
          </cell>
          <cell r="AH100" t="str">
            <v>N</v>
          </cell>
          <cell r="AI100">
            <v>0</v>
          </cell>
          <cell r="AJ100">
            <v>0</v>
          </cell>
          <cell r="AK100">
            <v>0</v>
          </cell>
          <cell r="AL100">
            <v>0</v>
          </cell>
          <cell r="AM100">
            <v>489</v>
          </cell>
          <cell r="AN100">
            <v>0</v>
          </cell>
        </row>
        <row r="101">
          <cell r="A101">
            <v>2001</v>
          </cell>
          <cell r="B101" t="str">
            <v>CONSUELO LEYVA</v>
          </cell>
          <cell r="C101" t="str">
            <v/>
          </cell>
          <cell r="D101" t="str">
            <v>MANUEL J. CAMPOS No. 8</v>
          </cell>
          <cell r="E101" t="str">
            <v xml:space="preserve">SAN JUAN DEL RIO, QRO.        </v>
          </cell>
          <cell r="F101" t="str">
            <v/>
          </cell>
          <cell r="G101" t="str">
            <v>274-6706</v>
          </cell>
          <cell r="H101" t="str">
            <v>ESTELA ANDRADE B.</v>
          </cell>
          <cell r="I101" t="str">
            <v>ESTELA ANDRADE B.</v>
          </cell>
          <cell r="J101" t="str">
            <v>L01</v>
          </cell>
          <cell r="K101" t="str">
            <v/>
          </cell>
          <cell r="L101">
            <v>0</v>
          </cell>
          <cell r="M101">
            <v>102</v>
          </cell>
          <cell r="N101" t="str">
            <v>A</v>
          </cell>
          <cell r="O101">
            <v>42247</v>
          </cell>
          <cell r="P101" t="str">
            <v xml:space="preserve">    3</v>
          </cell>
          <cell r="Q101">
            <v>0</v>
          </cell>
          <cell r="R101">
            <v>0</v>
          </cell>
          <cell r="S101">
            <v>199</v>
          </cell>
          <cell r="T101">
            <v>3805</v>
          </cell>
          <cell r="U101">
            <v>0</v>
          </cell>
          <cell r="V101" t="str">
            <v>CENTRO</v>
          </cell>
          <cell r="W101" t="str">
            <v>044427-123-1147</v>
          </cell>
          <cell r="X101" t="str">
            <v/>
          </cell>
          <cell r="Y101" t="str">
            <v/>
          </cell>
          <cell r="Z101" t="str">
            <v/>
          </cell>
          <cell r="AA101" t="str">
            <v>274-6706</v>
          </cell>
          <cell r="AB101" t="str">
            <v/>
          </cell>
          <cell r="AC101" t="str">
            <v>L0014</v>
          </cell>
          <cell r="AD101" t="str">
            <v/>
          </cell>
          <cell r="AE101" t="str">
            <v/>
          </cell>
          <cell r="AF101" t="str">
            <v/>
          </cell>
          <cell r="AH101" t="str">
            <v>N</v>
          </cell>
          <cell r="AI101">
            <v>0</v>
          </cell>
          <cell r="AJ101">
            <v>0</v>
          </cell>
          <cell r="AK101">
            <v>0</v>
          </cell>
          <cell r="AL101">
            <v>0</v>
          </cell>
          <cell r="AM101">
            <v>180</v>
          </cell>
          <cell r="AN101">
            <v>0</v>
          </cell>
        </row>
        <row r="102">
          <cell r="A102">
            <v>2002</v>
          </cell>
          <cell r="B102" t="str">
            <v>ELIZABETH TREJO LEOS (TLALNEPANTLA)</v>
          </cell>
          <cell r="C102" t="str">
            <v/>
          </cell>
          <cell r="D102" t="str">
            <v/>
          </cell>
          <cell r="E102" t="str">
            <v>TLALNEPANTLA, EDO. DE MEXICO</v>
          </cell>
          <cell r="F102" t="str">
            <v/>
          </cell>
          <cell r="G102" t="str">
            <v>04455 3643-1244</v>
          </cell>
          <cell r="H102" t="str">
            <v>ELIZABETH TREJO LEOS</v>
          </cell>
          <cell r="I102" t="str">
            <v>ELIZABETH TREJO LEOS</v>
          </cell>
          <cell r="J102" t="str">
            <v>BAJA</v>
          </cell>
          <cell r="K102" t="str">
            <v/>
          </cell>
          <cell r="L102">
            <v>0</v>
          </cell>
          <cell r="M102">
            <v>103</v>
          </cell>
          <cell r="N102" t="str">
            <v>A</v>
          </cell>
          <cell r="O102">
            <v>40805</v>
          </cell>
          <cell r="P102" t="str">
            <v xml:space="preserve">    3</v>
          </cell>
          <cell r="Q102">
            <v>0</v>
          </cell>
          <cell r="R102">
            <v>0</v>
          </cell>
          <cell r="S102">
            <v>0</v>
          </cell>
          <cell r="T102">
            <v>9050</v>
          </cell>
          <cell r="U102">
            <v>0</v>
          </cell>
          <cell r="V102" t="str">
            <v/>
          </cell>
          <cell r="W102" t="str">
            <v/>
          </cell>
          <cell r="X102" t="str">
            <v/>
          </cell>
          <cell r="Y102" t="str">
            <v/>
          </cell>
          <cell r="Z102" t="str">
            <v/>
          </cell>
          <cell r="AA102" t="str">
            <v>04455 3643-1244</v>
          </cell>
          <cell r="AB102" t="str">
            <v xml:space="preserve">   DEV-17</v>
          </cell>
          <cell r="AC102" t="str">
            <v xml:space="preserve">     18</v>
          </cell>
          <cell r="AD102" t="str">
            <v/>
          </cell>
          <cell r="AE102" t="str">
            <v/>
          </cell>
          <cell r="AF102" t="str">
            <v/>
          </cell>
          <cell r="AG102">
            <v>40805</v>
          </cell>
          <cell r="AH102" t="str">
            <v>N</v>
          </cell>
          <cell r="AI102">
            <v>0</v>
          </cell>
          <cell r="AJ102">
            <v>0</v>
          </cell>
          <cell r="AK102">
            <v>0</v>
          </cell>
          <cell r="AL102">
            <v>3954</v>
          </cell>
          <cell r="AM102">
            <v>681</v>
          </cell>
          <cell r="AN102">
            <v>0</v>
          </cell>
        </row>
        <row r="103">
          <cell r="A103">
            <v>2003</v>
          </cell>
          <cell r="B103" t="str">
            <v>NOVIAS LORENA  (QUERETARO)</v>
          </cell>
          <cell r="C103" t="str">
            <v>ROLL-651029-LK3</v>
          </cell>
          <cell r="D103" t="str">
            <v>16 DE SEPTIEMBRE # 21 PTE</v>
          </cell>
          <cell r="E103" t="str">
            <v>QUERETARO, QRO.</v>
          </cell>
          <cell r="F103" t="str">
            <v/>
          </cell>
          <cell r="G103" t="str">
            <v>(442) 212-2598</v>
          </cell>
          <cell r="H103" t="str">
            <v>LAURA ROBLES LUARCA</v>
          </cell>
          <cell r="I103" t="str">
            <v>LAURA ROBLES LUARCA</v>
          </cell>
          <cell r="J103" t="str">
            <v>L04</v>
          </cell>
          <cell r="K103" t="str">
            <v/>
          </cell>
          <cell r="L103">
            <v>0</v>
          </cell>
          <cell r="M103">
            <v>104</v>
          </cell>
          <cell r="N103" t="str">
            <v>A</v>
          </cell>
          <cell r="O103">
            <v>42228</v>
          </cell>
          <cell r="P103" t="str">
            <v xml:space="preserve">   97</v>
          </cell>
          <cell r="Q103">
            <v>0</v>
          </cell>
          <cell r="R103">
            <v>0</v>
          </cell>
          <cell r="S103">
            <v>0</v>
          </cell>
          <cell r="T103">
            <v>7272.1100000000006</v>
          </cell>
          <cell r="U103">
            <v>0</v>
          </cell>
          <cell r="V103" t="str">
            <v>CENTRO</v>
          </cell>
          <cell r="W103" t="str">
            <v/>
          </cell>
          <cell r="X103" t="str">
            <v>lauraerob@hotmail.com</v>
          </cell>
          <cell r="Y103" t="str">
            <v/>
          </cell>
          <cell r="Z103" t="str">
            <v/>
          </cell>
          <cell r="AA103" t="str">
            <v>(442) 212-2598</v>
          </cell>
          <cell r="AB103" t="str">
            <v/>
          </cell>
          <cell r="AC103" t="str">
            <v>L-0797</v>
          </cell>
          <cell r="AD103" t="str">
            <v/>
          </cell>
          <cell r="AE103" t="str">
            <v/>
          </cell>
          <cell r="AF103" t="str">
            <v/>
          </cell>
          <cell r="AH103" t="str">
            <v>N</v>
          </cell>
          <cell r="AI103">
            <v>0</v>
          </cell>
          <cell r="AJ103">
            <v>0</v>
          </cell>
          <cell r="AK103">
            <v>0</v>
          </cell>
          <cell r="AL103">
            <v>0</v>
          </cell>
          <cell r="AM103">
            <v>2432.11</v>
          </cell>
          <cell r="AN103">
            <v>0</v>
          </cell>
        </row>
        <row r="104">
          <cell r="A104">
            <v>2004</v>
          </cell>
          <cell r="B104" t="str">
            <v>ALICIA GONZALEZ (SAN JUAN)</v>
          </cell>
          <cell r="C104" t="str">
            <v/>
          </cell>
          <cell r="D104" t="str">
            <v>MERCADO LOC. 34</v>
          </cell>
          <cell r="E104" t="str">
            <v>SAN JUAN DEL RIO, QRO.</v>
          </cell>
          <cell r="F104" t="str">
            <v/>
          </cell>
          <cell r="G104" t="str">
            <v>(272) 274-2645</v>
          </cell>
          <cell r="H104" t="str">
            <v>ALICIA GONZALEZ</v>
          </cell>
          <cell r="I104" t="str">
            <v>ALICIA GONZALEZ</v>
          </cell>
          <cell r="J104" t="str">
            <v>BAJA</v>
          </cell>
          <cell r="K104" t="str">
            <v/>
          </cell>
          <cell r="L104">
            <v>0</v>
          </cell>
          <cell r="M104">
            <v>105</v>
          </cell>
          <cell r="N104" t="str">
            <v>A</v>
          </cell>
          <cell r="O104">
            <v>41121</v>
          </cell>
          <cell r="P104" t="str">
            <v xml:space="preserve">    1</v>
          </cell>
          <cell r="Q104">
            <v>0</v>
          </cell>
          <cell r="R104">
            <v>0</v>
          </cell>
          <cell r="S104">
            <v>0</v>
          </cell>
          <cell r="T104">
            <v>716</v>
          </cell>
          <cell r="U104">
            <v>0</v>
          </cell>
          <cell r="V104" t="str">
            <v/>
          </cell>
          <cell r="W104" t="str">
            <v>(427) 111-5286/132-3765 C</v>
          </cell>
          <cell r="X104" t="str">
            <v/>
          </cell>
          <cell r="Y104" t="str">
            <v/>
          </cell>
          <cell r="Z104" t="str">
            <v/>
          </cell>
          <cell r="AA104" t="str">
            <v>(272) 274-2645</v>
          </cell>
          <cell r="AB104" t="str">
            <v/>
          </cell>
          <cell r="AC104" t="str">
            <v>C297</v>
          </cell>
          <cell r="AD104" t="str">
            <v/>
          </cell>
          <cell r="AE104" t="str">
            <v/>
          </cell>
          <cell r="AF104" t="str">
            <v/>
          </cell>
          <cell r="AH104" t="str">
            <v>N</v>
          </cell>
          <cell r="AI104">
            <v>0</v>
          </cell>
          <cell r="AJ104">
            <v>0</v>
          </cell>
          <cell r="AK104">
            <v>0</v>
          </cell>
          <cell r="AL104">
            <v>0</v>
          </cell>
          <cell r="AM104">
            <v>128</v>
          </cell>
          <cell r="AN104">
            <v>0</v>
          </cell>
        </row>
        <row r="105">
          <cell r="A105">
            <v>2005</v>
          </cell>
          <cell r="B105" t="str">
            <v>LIDIA SALINAS TREJO (ZUMPANGO)</v>
          </cell>
          <cell r="C105" t="str">
            <v/>
          </cell>
          <cell r="D105" t="str">
            <v>MERCADO MUNICIPAL DE ZUMPANGO LOCAL 67</v>
          </cell>
          <cell r="E105" t="str">
            <v>ZUMPANGO, EDO. DE MEXICO</v>
          </cell>
          <cell r="F105" t="str">
            <v/>
          </cell>
          <cell r="G105" t="str">
            <v/>
          </cell>
          <cell r="H105" t="str">
            <v/>
          </cell>
          <cell r="I105" t="str">
            <v/>
          </cell>
          <cell r="J105" t="str">
            <v>BAJA</v>
          </cell>
          <cell r="K105" t="str">
            <v/>
          </cell>
          <cell r="L105">
            <v>0</v>
          </cell>
          <cell r="M105">
            <v>106</v>
          </cell>
          <cell r="N105" t="str">
            <v>A</v>
          </cell>
          <cell r="O105">
            <v>41131</v>
          </cell>
          <cell r="P105" t="str">
            <v xml:space="preserve">    3</v>
          </cell>
          <cell r="Q105">
            <v>0</v>
          </cell>
          <cell r="R105">
            <v>0</v>
          </cell>
          <cell r="S105">
            <v>0</v>
          </cell>
          <cell r="T105">
            <v>11217</v>
          </cell>
          <cell r="U105">
            <v>0</v>
          </cell>
          <cell r="V105" t="str">
            <v>CENTRO</v>
          </cell>
          <cell r="W105" t="str">
            <v/>
          </cell>
          <cell r="X105" t="str">
            <v/>
          </cell>
          <cell r="Y105" t="str">
            <v/>
          </cell>
          <cell r="Z105" t="str">
            <v/>
          </cell>
          <cell r="AA105" t="str">
            <v/>
          </cell>
          <cell r="AB105" t="str">
            <v/>
          </cell>
          <cell r="AC105" t="str">
            <v xml:space="preserve">   0882</v>
          </cell>
          <cell r="AD105" t="str">
            <v/>
          </cell>
          <cell r="AE105" t="str">
            <v/>
          </cell>
          <cell r="AF105" t="str">
            <v/>
          </cell>
          <cell r="AH105" t="str">
            <v>N</v>
          </cell>
          <cell r="AI105">
            <v>0</v>
          </cell>
          <cell r="AJ105">
            <v>0</v>
          </cell>
          <cell r="AK105">
            <v>0</v>
          </cell>
          <cell r="AL105">
            <v>0</v>
          </cell>
          <cell r="AM105">
            <v>2126</v>
          </cell>
          <cell r="AN105">
            <v>0</v>
          </cell>
        </row>
        <row r="106">
          <cell r="A106">
            <v>2006</v>
          </cell>
          <cell r="B106" t="str">
            <v>MA. EUGENIA GUTIERREZ MARTINEZ (JILOTEPEC)</v>
          </cell>
          <cell r="C106" t="str">
            <v/>
          </cell>
          <cell r="D106" t="str">
            <v>PORTAL AVILA CAMACHO #114</v>
          </cell>
          <cell r="E106" t="str">
            <v>JILOTEPEC, EDO. DE MEXICO</v>
          </cell>
          <cell r="F106" t="str">
            <v/>
          </cell>
          <cell r="G106" t="str">
            <v/>
          </cell>
          <cell r="H106" t="str">
            <v/>
          </cell>
          <cell r="I106" t="str">
            <v/>
          </cell>
          <cell r="J106" t="str">
            <v>BAJA</v>
          </cell>
          <cell r="K106" t="str">
            <v/>
          </cell>
          <cell r="L106">
            <v>0</v>
          </cell>
          <cell r="M106">
            <v>107</v>
          </cell>
          <cell r="N106" t="str">
            <v>A</v>
          </cell>
          <cell r="O106">
            <v>41302</v>
          </cell>
          <cell r="P106" t="str">
            <v xml:space="preserve">    1</v>
          </cell>
          <cell r="Q106">
            <v>0</v>
          </cell>
          <cell r="R106">
            <v>0</v>
          </cell>
          <cell r="S106">
            <v>0</v>
          </cell>
          <cell r="T106">
            <v>7944</v>
          </cell>
          <cell r="U106">
            <v>0</v>
          </cell>
          <cell r="V106" t="str">
            <v>CENTRO</v>
          </cell>
          <cell r="W106" t="str">
            <v/>
          </cell>
          <cell r="X106" t="str">
            <v/>
          </cell>
          <cell r="Y106" t="str">
            <v/>
          </cell>
          <cell r="Z106" t="str">
            <v/>
          </cell>
          <cell r="AA106" t="str">
            <v/>
          </cell>
          <cell r="AB106" t="str">
            <v/>
          </cell>
          <cell r="AC106" t="str">
            <v>C620</v>
          </cell>
          <cell r="AD106" t="str">
            <v/>
          </cell>
          <cell r="AE106" t="str">
            <v/>
          </cell>
          <cell r="AF106" t="str">
            <v/>
          </cell>
          <cell r="AH106" t="str">
            <v>N</v>
          </cell>
          <cell r="AI106">
            <v>0</v>
          </cell>
          <cell r="AJ106">
            <v>0</v>
          </cell>
          <cell r="AK106">
            <v>0</v>
          </cell>
          <cell r="AL106">
            <v>0</v>
          </cell>
          <cell r="AM106">
            <v>605</v>
          </cell>
          <cell r="AN106">
            <v>0</v>
          </cell>
        </row>
        <row r="107">
          <cell r="A107">
            <v>2007</v>
          </cell>
          <cell r="B107" t="str">
            <v>ISABEL MANZANO ORTIZ (TLAXCOAPAN)</v>
          </cell>
          <cell r="C107" t="str">
            <v/>
          </cell>
          <cell r="D107" t="str">
            <v>FRANCISCO I. MADERO #2</v>
          </cell>
          <cell r="E107" t="str">
            <v>TLAXCOAPAN, HGO.</v>
          </cell>
          <cell r="F107" t="str">
            <v/>
          </cell>
          <cell r="G107" t="str">
            <v>(773) 737-0215</v>
          </cell>
          <cell r="H107" t="str">
            <v>ISABEL MANZANO</v>
          </cell>
          <cell r="I107" t="str">
            <v>ISABEL MANZANO</v>
          </cell>
          <cell r="J107" t="str">
            <v>BAJA</v>
          </cell>
          <cell r="K107" t="str">
            <v/>
          </cell>
          <cell r="L107">
            <v>0</v>
          </cell>
          <cell r="M107">
            <v>108</v>
          </cell>
          <cell r="N107" t="str">
            <v>A</v>
          </cell>
          <cell r="O107">
            <v>41438</v>
          </cell>
          <cell r="P107" t="str">
            <v xml:space="preserve">    1</v>
          </cell>
          <cell r="Q107">
            <v>0</v>
          </cell>
          <cell r="R107">
            <v>0</v>
          </cell>
          <cell r="S107">
            <v>0</v>
          </cell>
          <cell r="T107">
            <v>16027</v>
          </cell>
          <cell r="U107">
            <v>0</v>
          </cell>
          <cell r="V107" t="str">
            <v/>
          </cell>
          <cell r="W107" t="str">
            <v/>
          </cell>
          <cell r="X107" t="str">
            <v/>
          </cell>
          <cell r="Y107" t="str">
            <v/>
          </cell>
          <cell r="Z107" t="str">
            <v/>
          </cell>
          <cell r="AA107" t="str">
            <v>(773) 737-0215</v>
          </cell>
          <cell r="AB107" t="str">
            <v/>
          </cell>
          <cell r="AC107" t="str">
            <v>R-0325</v>
          </cell>
          <cell r="AD107" t="str">
            <v/>
          </cell>
          <cell r="AE107" t="str">
            <v/>
          </cell>
          <cell r="AF107" t="str">
            <v/>
          </cell>
          <cell r="AH107" t="str">
            <v>N</v>
          </cell>
          <cell r="AI107">
            <v>0</v>
          </cell>
          <cell r="AJ107">
            <v>0</v>
          </cell>
          <cell r="AK107">
            <v>0</v>
          </cell>
          <cell r="AL107">
            <v>0</v>
          </cell>
          <cell r="AM107">
            <v>2027</v>
          </cell>
          <cell r="AN107">
            <v>0</v>
          </cell>
        </row>
        <row r="108">
          <cell r="A108">
            <v>2008</v>
          </cell>
          <cell r="B108" t="str">
            <v>GRACIELA GALICIA GARCIA (VILLA)</v>
          </cell>
          <cell r="C108" t="str">
            <v/>
          </cell>
          <cell r="D108" t="str">
            <v>BLVD. COACALCO 414, LOCAL 69</v>
          </cell>
          <cell r="E108" t="str">
            <v>COACALCO, EDO. DE MEXICO</v>
          </cell>
          <cell r="F108" t="str">
            <v/>
          </cell>
          <cell r="G108" t="str">
            <v>(55) 5879-9988</v>
          </cell>
          <cell r="H108" t="str">
            <v/>
          </cell>
          <cell r="I108" t="str">
            <v/>
          </cell>
          <cell r="J108" t="str">
            <v>BAJA</v>
          </cell>
          <cell r="K108" t="str">
            <v/>
          </cell>
          <cell r="L108">
            <v>10</v>
          </cell>
          <cell r="M108">
            <v>109</v>
          </cell>
          <cell r="N108" t="str">
            <v>S</v>
          </cell>
          <cell r="O108">
            <v>41081</v>
          </cell>
          <cell r="P108" t="str">
            <v xml:space="preserve">    3</v>
          </cell>
          <cell r="Q108">
            <v>0</v>
          </cell>
          <cell r="R108">
            <v>0</v>
          </cell>
          <cell r="S108">
            <v>0</v>
          </cell>
          <cell r="T108">
            <v>7453</v>
          </cell>
          <cell r="U108">
            <v>0</v>
          </cell>
          <cell r="V108" t="str">
            <v>VILLA DE LAS FLORES</v>
          </cell>
          <cell r="W108" t="str">
            <v/>
          </cell>
          <cell r="X108" t="str">
            <v/>
          </cell>
          <cell r="Y108" t="str">
            <v/>
          </cell>
          <cell r="Z108" t="str">
            <v/>
          </cell>
          <cell r="AA108" t="str">
            <v>(55) 5879-9988</v>
          </cell>
          <cell r="AB108" t="str">
            <v xml:space="preserve">     DESC</v>
          </cell>
          <cell r="AC108" t="str">
            <v>C471</v>
          </cell>
          <cell r="AD108" t="str">
            <v/>
          </cell>
          <cell r="AE108" t="str">
            <v/>
          </cell>
          <cell r="AF108" t="str">
            <v/>
          </cell>
          <cell r="AG108">
            <v>40749</v>
          </cell>
          <cell r="AH108" t="str">
            <v>N</v>
          </cell>
          <cell r="AI108">
            <v>0</v>
          </cell>
          <cell r="AJ108">
            <v>0</v>
          </cell>
          <cell r="AK108">
            <v>0</v>
          </cell>
          <cell r="AL108">
            <v>276</v>
          </cell>
          <cell r="AM108">
            <v>3896</v>
          </cell>
          <cell r="AN108">
            <v>0</v>
          </cell>
        </row>
        <row r="109">
          <cell r="A109">
            <v>2009</v>
          </cell>
          <cell r="B109" t="str">
            <v>RAUL MUÑOZ (TEXCOCO)</v>
          </cell>
          <cell r="C109" t="str">
            <v/>
          </cell>
          <cell r="D109" t="str">
            <v>MERCADO SAN ANTONIO LOCAL 2,3 Y 4</v>
          </cell>
          <cell r="E109" t="str">
            <v>TEXCOCO, EDO. DE MEXICO</v>
          </cell>
          <cell r="F109" t="str">
            <v/>
          </cell>
          <cell r="G109" t="str">
            <v>953-1256</v>
          </cell>
          <cell r="H109" t="str">
            <v>RAUL MUÑOZ</v>
          </cell>
          <cell r="I109" t="str">
            <v>RAUL MUÑOZ</v>
          </cell>
          <cell r="J109" t="str">
            <v>BAJA</v>
          </cell>
          <cell r="K109" t="str">
            <v/>
          </cell>
          <cell r="L109">
            <v>0</v>
          </cell>
          <cell r="M109">
            <v>110</v>
          </cell>
          <cell r="N109" t="str">
            <v>A</v>
          </cell>
          <cell r="O109">
            <v>40742</v>
          </cell>
          <cell r="P109" t="str">
            <v xml:space="preserve">    3</v>
          </cell>
          <cell r="Q109">
            <v>0</v>
          </cell>
          <cell r="R109">
            <v>0</v>
          </cell>
          <cell r="S109">
            <v>0</v>
          </cell>
          <cell r="T109">
            <v>1339</v>
          </cell>
          <cell r="U109">
            <v>0</v>
          </cell>
          <cell r="V109" t="str">
            <v>CENTRO</v>
          </cell>
          <cell r="W109" t="str">
            <v/>
          </cell>
          <cell r="X109" t="str">
            <v/>
          </cell>
          <cell r="Y109" t="str">
            <v/>
          </cell>
          <cell r="Z109" t="str">
            <v/>
          </cell>
          <cell r="AA109" t="str">
            <v>953-1256</v>
          </cell>
          <cell r="AB109" t="str">
            <v/>
          </cell>
          <cell r="AC109" t="str">
            <v>C037</v>
          </cell>
          <cell r="AD109" t="str">
            <v/>
          </cell>
          <cell r="AE109" t="str">
            <v/>
          </cell>
          <cell r="AF109" t="str">
            <v/>
          </cell>
          <cell r="AH109" t="str">
            <v>N</v>
          </cell>
          <cell r="AI109">
            <v>0</v>
          </cell>
          <cell r="AJ109">
            <v>0</v>
          </cell>
          <cell r="AK109">
            <v>0</v>
          </cell>
          <cell r="AL109">
            <v>0</v>
          </cell>
          <cell r="AM109">
            <v>1339</v>
          </cell>
          <cell r="AN109">
            <v>0</v>
          </cell>
        </row>
        <row r="110">
          <cell r="A110">
            <v>2010</v>
          </cell>
          <cell r="B110" t="str">
            <v>MARGARITA SANCHEZ MARTINEZ (TEOLOYUCAN)</v>
          </cell>
          <cell r="C110" t="str">
            <v/>
          </cell>
          <cell r="D110" t="str">
            <v>AV. HIDALGO S/N</v>
          </cell>
          <cell r="E110" t="str">
            <v>TEOLOYUCAN, EDO. DE MEXICO</v>
          </cell>
          <cell r="F110" t="str">
            <v/>
          </cell>
          <cell r="G110" t="str">
            <v>(593) 914-1758</v>
          </cell>
          <cell r="H110" t="str">
            <v>MARGARITA SANCHEZ M.</v>
          </cell>
          <cell r="I110" t="str">
            <v>MARGARITA SANCHEZ M.</v>
          </cell>
          <cell r="J110" t="str">
            <v>BAJA</v>
          </cell>
          <cell r="K110" t="str">
            <v/>
          </cell>
          <cell r="L110">
            <v>0</v>
          </cell>
          <cell r="M110">
            <v>111</v>
          </cell>
          <cell r="N110" t="str">
            <v>A</v>
          </cell>
          <cell r="O110">
            <v>40805</v>
          </cell>
          <cell r="P110" t="str">
            <v xml:space="preserve">    3</v>
          </cell>
          <cell r="Q110">
            <v>0</v>
          </cell>
          <cell r="R110">
            <v>0</v>
          </cell>
          <cell r="S110">
            <v>0</v>
          </cell>
          <cell r="T110">
            <v>1118</v>
          </cell>
          <cell r="U110">
            <v>0</v>
          </cell>
          <cell r="V110" t="str">
            <v>CENTRO</v>
          </cell>
          <cell r="W110" t="str">
            <v/>
          </cell>
          <cell r="X110" t="str">
            <v/>
          </cell>
          <cell r="Y110" t="str">
            <v/>
          </cell>
          <cell r="Z110" t="str">
            <v/>
          </cell>
          <cell r="AA110" t="str">
            <v>(593) 914-1758</v>
          </cell>
          <cell r="AB110" t="str">
            <v/>
          </cell>
          <cell r="AC110" t="str">
            <v xml:space="preserve">   7286</v>
          </cell>
          <cell r="AD110" t="str">
            <v/>
          </cell>
          <cell r="AE110" t="str">
            <v/>
          </cell>
          <cell r="AF110" t="str">
            <v/>
          </cell>
          <cell r="AH110" t="str">
            <v>N</v>
          </cell>
          <cell r="AI110">
            <v>0</v>
          </cell>
          <cell r="AJ110">
            <v>0</v>
          </cell>
          <cell r="AK110">
            <v>0</v>
          </cell>
          <cell r="AL110">
            <v>0</v>
          </cell>
          <cell r="AM110">
            <v>85</v>
          </cell>
          <cell r="AN110">
            <v>0</v>
          </cell>
        </row>
        <row r="111">
          <cell r="A111">
            <v>2011</v>
          </cell>
          <cell r="B111" t="str">
            <v>ROCIO TREJO (HUICHAPAN)</v>
          </cell>
          <cell r="C111" t="str">
            <v/>
          </cell>
          <cell r="D111" t="str">
            <v>P UNION #5</v>
          </cell>
          <cell r="E111" t="str">
            <v>HUICHAPAN, HGO.</v>
          </cell>
          <cell r="F111" t="str">
            <v/>
          </cell>
          <cell r="G111" t="str">
            <v>(773) 125-3404 CEL</v>
          </cell>
          <cell r="H111" t="str">
            <v>ROCIO TREJO</v>
          </cell>
          <cell r="I111" t="str">
            <v>ROCIO TREJO</v>
          </cell>
          <cell r="J111" t="str">
            <v>BAJA</v>
          </cell>
          <cell r="K111" t="str">
            <v/>
          </cell>
          <cell r="L111">
            <v>0</v>
          </cell>
          <cell r="M111">
            <v>112</v>
          </cell>
          <cell r="N111" t="str">
            <v>A</v>
          </cell>
          <cell r="O111">
            <v>40835</v>
          </cell>
          <cell r="P111" t="str">
            <v xml:space="preserve">    6</v>
          </cell>
          <cell r="Q111">
            <v>0</v>
          </cell>
          <cell r="R111">
            <v>0</v>
          </cell>
          <cell r="S111">
            <v>0</v>
          </cell>
          <cell r="T111">
            <v>7567</v>
          </cell>
          <cell r="U111">
            <v>0</v>
          </cell>
          <cell r="V111" t="str">
            <v>CENTRO</v>
          </cell>
          <cell r="W111" t="str">
            <v/>
          </cell>
          <cell r="X111" t="str">
            <v/>
          </cell>
          <cell r="Y111" t="str">
            <v/>
          </cell>
          <cell r="Z111" t="str">
            <v/>
          </cell>
          <cell r="AA111" t="str">
            <v>(773) 125-3404 CEL</v>
          </cell>
          <cell r="AB111" t="str">
            <v/>
          </cell>
          <cell r="AC111" t="str">
            <v>G047</v>
          </cell>
          <cell r="AD111" t="str">
            <v/>
          </cell>
          <cell r="AE111" t="str">
            <v/>
          </cell>
          <cell r="AF111" t="str">
            <v/>
          </cell>
          <cell r="AH111" t="str">
            <v>N</v>
          </cell>
          <cell r="AI111">
            <v>0</v>
          </cell>
          <cell r="AJ111">
            <v>0</v>
          </cell>
          <cell r="AK111">
            <v>0</v>
          </cell>
          <cell r="AL111">
            <v>0</v>
          </cell>
          <cell r="AM111">
            <v>675</v>
          </cell>
          <cell r="AN111">
            <v>0</v>
          </cell>
        </row>
        <row r="112">
          <cell r="A112">
            <v>2012</v>
          </cell>
          <cell r="B112" t="str">
            <v>JOSEFINA RIVERO HERNANDEZ (TIZAYUCA)</v>
          </cell>
          <cell r="C112" t="str">
            <v/>
          </cell>
          <cell r="D112" t="str">
            <v>AV. JUAREZ SUR #24</v>
          </cell>
          <cell r="E112" t="str">
            <v>TIZAYUCA, HGO.</v>
          </cell>
          <cell r="F112" t="str">
            <v/>
          </cell>
          <cell r="G112" t="str">
            <v/>
          </cell>
          <cell r="H112" t="str">
            <v>JOSEFINA RIVERO H.</v>
          </cell>
          <cell r="I112" t="str">
            <v>JOSEFINA RIVERO H.</v>
          </cell>
          <cell r="J112" t="str">
            <v>BAJA</v>
          </cell>
          <cell r="K112" t="str">
            <v/>
          </cell>
          <cell r="L112">
            <v>0</v>
          </cell>
          <cell r="M112">
            <v>113</v>
          </cell>
          <cell r="N112" t="str">
            <v>S</v>
          </cell>
          <cell r="O112">
            <v>40816</v>
          </cell>
          <cell r="P112" t="str">
            <v xml:space="preserve">    3</v>
          </cell>
          <cell r="Q112">
            <v>0</v>
          </cell>
          <cell r="R112">
            <v>0</v>
          </cell>
          <cell r="S112">
            <v>0</v>
          </cell>
          <cell r="T112">
            <v>4240</v>
          </cell>
          <cell r="U112">
            <v>0</v>
          </cell>
          <cell r="V112" t="str">
            <v>CENTRO</v>
          </cell>
          <cell r="W112" t="str">
            <v/>
          </cell>
          <cell r="X112" t="str">
            <v/>
          </cell>
          <cell r="Y112" t="str">
            <v/>
          </cell>
          <cell r="Z112" t="str">
            <v/>
          </cell>
          <cell r="AA112" t="str">
            <v/>
          </cell>
          <cell r="AB112" t="str">
            <v/>
          </cell>
          <cell r="AC112" t="str">
            <v xml:space="preserve">   0229</v>
          </cell>
          <cell r="AD112" t="str">
            <v/>
          </cell>
          <cell r="AE112" t="str">
            <v/>
          </cell>
          <cell r="AF112" t="str">
            <v/>
          </cell>
          <cell r="AH112" t="str">
            <v>N</v>
          </cell>
          <cell r="AI112">
            <v>0</v>
          </cell>
          <cell r="AJ112">
            <v>0</v>
          </cell>
          <cell r="AK112">
            <v>0</v>
          </cell>
          <cell r="AL112">
            <v>0</v>
          </cell>
          <cell r="AM112">
            <v>2680</v>
          </cell>
          <cell r="AN112">
            <v>0</v>
          </cell>
        </row>
        <row r="113">
          <cell r="A113">
            <v>2013</v>
          </cell>
          <cell r="B113" t="str">
            <v>BLANCA ESTELA MARQUEZ PEREZ (ATITALAQUIA)</v>
          </cell>
          <cell r="C113" t="str">
            <v/>
          </cell>
          <cell r="D113" t="str">
            <v>MELCHOR OCAMPO #24</v>
          </cell>
          <cell r="E113" t="str">
            <v>ATITALAQUIA, HGO.</v>
          </cell>
          <cell r="F113" t="str">
            <v/>
          </cell>
          <cell r="G113" t="str">
            <v>(778) 737-3136</v>
          </cell>
          <cell r="H113" t="str">
            <v>BLANCA ESTELA MARQUE</v>
          </cell>
          <cell r="I113" t="str">
            <v>BLANCA ESTELA MARQUE</v>
          </cell>
          <cell r="J113" t="str">
            <v>BAJA</v>
          </cell>
          <cell r="K113" t="str">
            <v/>
          </cell>
          <cell r="L113">
            <v>0</v>
          </cell>
          <cell r="M113">
            <v>114</v>
          </cell>
          <cell r="N113" t="str">
            <v>S</v>
          </cell>
          <cell r="O113">
            <v>41036</v>
          </cell>
          <cell r="P113" t="str">
            <v xml:space="preserve">    1</v>
          </cell>
          <cell r="Q113">
            <v>0</v>
          </cell>
          <cell r="R113">
            <v>0</v>
          </cell>
          <cell r="S113">
            <v>0</v>
          </cell>
          <cell r="T113">
            <v>8292</v>
          </cell>
          <cell r="U113">
            <v>0</v>
          </cell>
          <cell r="V113" t="str">
            <v>CENTRO</v>
          </cell>
          <cell r="W113" t="str">
            <v/>
          </cell>
          <cell r="X113" t="str">
            <v/>
          </cell>
          <cell r="Y113" t="str">
            <v/>
          </cell>
          <cell r="Z113" t="str">
            <v/>
          </cell>
          <cell r="AA113" t="str">
            <v>(778) 737-3136</v>
          </cell>
          <cell r="AB113" t="str">
            <v xml:space="preserve">     INCO</v>
          </cell>
          <cell r="AC113" t="str">
            <v xml:space="preserve">   0928</v>
          </cell>
          <cell r="AD113" t="str">
            <v/>
          </cell>
          <cell r="AE113" t="str">
            <v/>
          </cell>
          <cell r="AF113" t="str">
            <v/>
          </cell>
          <cell r="AG113">
            <v>41641</v>
          </cell>
          <cell r="AH113" t="str">
            <v>N</v>
          </cell>
          <cell r="AI113">
            <v>0</v>
          </cell>
          <cell r="AJ113">
            <v>0</v>
          </cell>
          <cell r="AK113">
            <v>0</v>
          </cell>
          <cell r="AL113">
            <v>155</v>
          </cell>
          <cell r="AM113">
            <v>275</v>
          </cell>
          <cell r="AN113">
            <v>0</v>
          </cell>
        </row>
        <row r="114">
          <cell r="A114">
            <v>2014</v>
          </cell>
          <cell r="B114" t="str">
            <v>ROSA MARIA FLORES (TEOLOYUCAN)</v>
          </cell>
          <cell r="C114" t="str">
            <v/>
          </cell>
          <cell r="D114" t="str">
            <v/>
          </cell>
          <cell r="E114" t="str">
            <v>TEOLOYUCAN, EDO. DE MEXICO</v>
          </cell>
          <cell r="F114" t="str">
            <v/>
          </cell>
          <cell r="G114" t="str">
            <v>(55) 1798-9277 CEL</v>
          </cell>
          <cell r="H114" t="str">
            <v>ROSA MARIA FLORES</v>
          </cell>
          <cell r="I114" t="str">
            <v>ROSA MARIA FLORES</v>
          </cell>
          <cell r="J114" t="str">
            <v>BAJA</v>
          </cell>
          <cell r="K114" t="str">
            <v/>
          </cell>
          <cell r="L114">
            <v>0</v>
          </cell>
          <cell r="M114">
            <v>115</v>
          </cell>
          <cell r="N114" t="str">
            <v>A</v>
          </cell>
          <cell r="O114">
            <v>40886</v>
          </cell>
          <cell r="P114" t="str">
            <v xml:space="preserve">    3</v>
          </cell>
          <cell r="Q114">
            <v>0</v>
          </cell>
          <cell r="R114">
            <v>0</v>
          </cell>
          <cell r="S114">
            <v>0</v>
          </cell>
          <cell r="T114">
            <v>4488</v>
          </cell>
          <cell r="U114">
            <v>0</v>
          </cell>
          <cell r="V114" t="str">
            <v/>
          </cell>
          <cell r="W114" t="str">
            <v/>
          </cell>
          <cell r="X114" t="str">
            <v/>
          </cell>
          <cell r="Y114" t="str">
            <v/>
          </cell>
          <cell r="Z114" t="str">
            <v/>
          </cell>
          <cell r="AA114" t="str">
            <v>(55) 1798-9277 CEL</v>
          </cell>
          <cell r="AB114" t="str">
            <v xml:space="preserve">   DEV-43</v>
          </cell>
          <cell r="AC114" t="str">
            <v xml:space="preserve">     43</v>
          </cell>
          <cell r="AD114" t="str">
            <v/>
          </cell>
          <cell r="AE114" t="str">
            <v/>
          </cell>
          <cell r="AF114" t="str">
            <v/>
          </cell>
          <cell r="AG114">
            <v>40886</v>
          </cell>
          <cell r="AH114" t="str">
            <v>N</v>
          </cell>
          <cell r="AI114">
            <v>0</v>
          </cell>
          <cell r="AJ114">
            <v>0</v>
          </cell>
          <cell r="AK114">
            <v>0</v>
          </cell>
          <cell r="AL114">
            <v>467</v>
          </cell>
          <cell r="AM114">
            <v>727</v>
          </cell>
          <cell r="AN114">
            <v>0</v>
          </cell>
        </row>
        <row r="115">
          <cell r="A115">
            <v>2015</v>
          </cell>
          <cell r="B115" t="str">
            <v>MAYRA CHAVEZ SANTIAGO (APAXCO)</v>
          </cell>
          <cell r="C115" t="str">
            <v/>
          </cell>
          <cell r="D115" t="str">
            <v>DIVISION DEL NORTE #11</v>
          </cell>
          <cell r="E115" t="str">
            <v>APAXCO, EDO. DE MEXICO</v>
          </cell>
          <cell r="F115" t="str">
            <v/>
          </cell>
          <cell r="G115" t="str">
            <v/>
          </cell>
          <cell r="H115" t="str">
            <v>MAYRA CHAVEZ SANTIAG</v>
          </cell>
          <cell r="I115" t="str">
            <v>MAYRA CHAVEZ SANTIAG</v>
          </cell>
          <cell r="J115" t="str">
            <v>M04</v>
          </cell>
          <cell r="K115" t="str">
            <v/>
          </cell>
          <cell r="L115">
            <v>0</v>
          </cell>
          <cell r="M115">
            <v>116</v>
          </cell>
          <cell r="N115" t="str">
            <v>A</v>
          </cell>
          <cell r="O115">
            <v>42160</v>
          </cell>
          <cell r="P115" t="str">
            <v xml:space="preserve">    3</v>
          </cell>
          <cell r="Q115">
            <v>0</v>
          </cell>
          <cell r="R115">
            <v>0</v>
          </cell>
          <cell r="S115">
            <v>0</v>
          </cell>
          <cell r="T115">
            <v>4784</v>
          </cell>
          <cell r="U115">
            <v>0</v>
          </cell>
          <cell r="V115" t="str">
            <v>LOMA BONITA</v>
          </cell>
          <cell r="W115" t="str">
            <v/>
          </cell>
          <cell r="X115" t="str">
            <v/>
          </cell>
          <cell r="Y115" t="str">
            <v/>
          </cell>
          <cell r="Z115" t="str">
            <v/>
          </cell>
          <cell r="AA115" t="str">
            <v/>
          </cell>
          <cell r="AB115" t="str">
            <v/>
          </cell>
          <cell r="AC115" t="str">
            <v>M-I9913</v>
          </cell>
          <cell r="AD115" t="str">
            <v/>
          </cell>
          <cell r="AE115" t="str">
            <v/>
          </cell>
          <cell r="AF115" t="str">
            <v/>
          </cell>
          <cell r="AH115" t="str">
            <v>N</v>
          </cell>
          <cell r="AI115">
            <v>0</v>
          </cell>
          <cell r="AJ115">
            <v>0</v>
          </cell>
          <cell r="AK115">
            <v>0</v>
          </cell>
          <cell r="AL115">
            <v>0</v>
          </cell>
          <cell r="AM115">
            <v>1102</v>
          </cell>
          <cell r="AN115">
            <v>0</v>
          </cell>
        </row>
        <row r="116">
          <cell r="A116">
            <v>2016</v>
          </cell>
          <cell r="B116" t="str">
            <v>KARINA SERRANO SANTIAGO (APAXCO)</v>
          </cell>
          <cell r="C116" t="str">
            <v/>
          </cell>
          <cell r="D116" t="str">
            <v>DIVISION DEL NORTE #11</v>
          </cell>
          <cell r="E116" t="str">
            <v>APAXCO, EDO. DE MEXICO</v>
          </cell>
          <cell r="F116" t="str">
            <v/>
          </cell>
          <cell r="G116" t="str">
            <v>(55) 9162-0612</v>
          </cell>
          <cell r="H116" t="str">
            <v>KARINA SERRANO SANTI</v>
          </cell>
          <cell r="I116" t="str">
            <v>KARINA SERRANO SANTI</v>
          </cell>
          <cell r="J116" t="str">
            <v>M04</v>
          </cell>
          <cell r="K116" t="str">
            <v/>
          </cell>
          <cell r="L116">
            <v>0</v>
          </cell>
          <cell r="M116">
            <v>117</v>
          </cell>
          <cell r="N116" t="str">
            <v>A</v>
          </cell>
          <cell r="O116">
            <v>42438</v>
          </cell>
          <cell r="P116" t="str">
            <v xml:space="preserve">    3</v>
          </cell>
          <cell r="Q116">
            <v>0</v>
          </cell>
          <cell r="R116">
            <v>0</v>
          </cell>
          <cell r="S116">
            <v>1540</v>
          </cell>
          <cell r="T116">
            <v>71090</v>
          </cell>
          <cell r="U116">
            <v>0</v>
          </cell>
          <cell r="V116" t="str">
            <v>LOMA BONITA</v>
          </cell>
          <cell r="W116" t="str">
            <v>(55) 3504-0814 CEL</v>
          </cell>
          <cell r="X116" t="str">
            <v/>
          </cell>
          <cell r="Y116" t="str">
            <v/>
          </cell>
          <cell r="Z116" t="str">
            <v/>
          </cell>
          <cell r="AA116" t="str">
            <v>(55) 9162-0612</v>
          </cell>
          <cell r="AB116" t="str">
            <v/>
          </cell>
          <cell r="AC116" t="str">
            <v>M0128</v>
          </cell>
          <cell r="AD116" t="str">
            <v/>
          </cell>
          <cell r="AE116" t="str">
            <v/>
          </cell>
          <cell r="AF116" t="str">
            <v/>
          </cell>
          <cell r="AH116" t="str">
            <v>N</v>
          </cell>
          <cell r="AI116">
            <v>0</v>
          </cell>
          <cell r="AJ116">
            <v>0</v>
          </cell>
          <cell r="AK116">
            <v>0</v>
          </cell>
          <cell r="AL116">
            <v>0</v>
          </cell>
          <cell r="AM116">
            <v>2540</v>
          </cell>
          <cell r="AN116">
            <v>0</v>
          </cell>
        </row>
        <row r="117">
          <cell r="A117">
            <v>2017</v>
          </cell>
          <cell r="B117" t="str">
            <v>MARICARMEN JUAREZ MICHE (APAXCO)</v>
          </cell>
          <cell r="C117" t="str">
            <v/>
          </cell>
          <cell r="D117" t="str">
            <v>AV. JUAREZ #75</v>
          </cell>
          <cell r="E117" t="str">
            <v>APAXCO, EDO. DE MEXICO</v>
          </cell>
          <cell r="F117" t="str">
            <v/>
          </cell>
          <cell r="G117" t="str">
            <v>(599) 998-0083</v>
          </cell>
          <cell r="H117" t="str">
            <v>MARICARMEN JUAREZ M.</v>
          </cell>
          <cell r="I117" t="str">
            <v>MARICARMEN JUAREZ M.</v>
          </cell>
          <cell r="J117" t="str">
            <v>BAJA</v>
          </cell>
          <cell r="K117" t="str">
            <v/>
          </cell>
          <cell r="L117">
            <v>0</v>
          </cell>
          <cell r="M117">
            <v>118</v>
          </cell>
          <cell r="N117" t="str">
            <v>A</v>
          </cell>
          <cell r="O117">
            <v>40754</v>
          </cell>
          <cell r="P117" t="str">
            <v xml:space="preserve">    3</v>
          </cell>
          <cell r="Q117">
            <v>0</v>
          </cell>
          <cell r="R117">
            <v>0</v>
          </cell>
          <cell r="S117">
            <v>0</v>
          </cell>
          <cell r="T117">
            <v>989</v>
          </cell>
          <cell r="U117">
            <v>0</v>
          </cell>
          <cell r="V117" t="str">
            <v>CENTRO</v>
          </cell>
          <cell r="W117" t="str">
            <v/>
          </cell>
          <cell r="X117" t="str">
            <v/>
          </cell>
          <cell r="Y117" t="str">
            <v/>
          </cell>
          <cell r="Z117" t="str">
            <v/>
          </cell>
          <cell r="AA117" t="str">
            <v>(599) 998-0083</v>
          </cell>
          <cell r="AB117" t="str">
            <v/>
          </cell>
          <cell r="AC117" t="str">
            <v xml:space="preserve">   7176</v>
          </cell>
          <cell r="AD117" t="str">
            <v/>
          </cell>
          <cell r="AE117" t="str">
            <v/>
          </cell>
          <cell r="AF117" t="str">
            <v/>
          </cell>
          <cell r="AH117" t="str">
            <v>N</v>
          </cell>
          <cell r="AI117">
            <v>0</v>
          </cell>
          <cell r="AJ117">
            <v>0</v>
          </cell>
          <cell r="AK117">
            <v>0</v>
          </cell>
          <cell r="AL117">
            <v>0</v>
          </cell>
          <cell r="AM117">
            <v>859</v>
          </cell>
          <cell r="AN117">
            <v>0</v>
          </cell>
        </row>
        <row r="118">
          <cell r="A118">
            <v>2018</v>
          </cell>
          <cell r="B118" t="str">
            <v>ROCIO RODRIGUEZ MARTINEZ (TULA)</v>
          </cell>
          <cell r="C118" t="str">
            <v/>
          </cell>
          <cell r="D118" t="str">
            <v xml:space="preserve"> </v>
          </cell>
          <cell r="E118" t="str">
            <v>TULA, HGO.</v>
          </cell>
          <cell r="F118" t="str">
            <v/>
          </cell>
          <cell r="G118" t="str">
            <v>(773) 732-6757</v>
          </cell>
          <cell r="H118" t="str">
            <v>ROCIO RODRIGUEZ M.</v>
          </cell>
          <cell r="I118" t="str">
            <v>ROCIO RODRIGUEZ M.</v>
          </cell>
          <cell r="J118" t="str">
            <v>BAJA</v>
          </cell>
          <cell r="K118" t="str">
            <v/>
          </cell>
          <cell r="L118">
            <v>0</v>
          </cell>
          <cell r="M118">
            <v>119</v>
          </cell>
          <cell r="N118" t="str">
            <v>A</v>
          </cell>
          <cell r="O118">
            <v>40947</v>
          </cell>
          <cell r="P118" t="str">
            <v xml:space="preserve">    1</v>
          </cell>
          <cell r="Q118">
            <v>0</v>
          </cell>
          <cell r="R118">
            <v>0</v>
          </cell>
          <cell r="S118">
            <v>0</v>
          </cell>
          <cell r="T118">
            <v>9624</v>
          </cell>
          <cell r="U118">
            <v>0</v>
          </cell>
          <cell r="V118" t="str">
            <v>CENTRO</v>
          </cell>
          <cell r="W118" t="str">
            <v/>
          </cell>
          <cell r="X118" t="str">
            <v/>
          </cell>
          <cell r="Y118" t="str">
            <v/>
          </cell>
          <cell r="Z118" t="str">
            <v/>
          </cell>
          <cell r="AA118" t="str">
            <v>(773) 732-6757</v>
          </cell>
          <cell r="AB118" t="str">
            <v xml:space="preserve">   DEV-56</v>
          </cell>
          <cell r="AC118" t="str">
            <v xml:space="preserve">     56</v>
          </cell>
          <cell r="AD118" t="str">
            <v/>
          </cell>
          <cell r="AE118" t="str">
            <v/>
          </cell>
          <cell r="AF118" t="str">
            <v/>
          </cell>
          <cell r="AG118">
            <v>40947</v>
          </cell>
          <cell r="AH118" t="str">
            <v>N</v>
          </cell>
          <cell r="AI118">
            <v>0</v>
          </cell>
          <cell r="AJ118">
            <v>0</v>
          </cell>
          <cell r="AK118">
            <v>0</v>
          </cell>
          <cell r="AL118">
            <v>1682</v>
          </cell>
          <cell r="AM118">
            <v>1682</v>
          </cell>
          <cell r="AN118">
            <v>0</v>
          </cell>
        </row>
        <row r="119">
          <cell r="A119">
            <v>2019</v>
          </cell>
          <cell r="B119" t="str">
            <v>MARIA ELENA CRUZ SAVEDRA (ATOTONILCO)</v>
          </cell>
          <cell r="C119" t="str">
            <v/>
          </cell>
          <cell r="D119" t="str">
            <v>1RA SECC. DE CONEJOS</v>
          </cell>
          <cell r="E119" t="str">
            <v>ATOTONILCO, HGO.</v>
          </cell>
          <cell r="F119" t="str">
            <v/>
          </cell>
          <cell r="G119" t="str">
            <v/>
          </cell>
          <cell r="H119" t="str">
            <v>M. ELENA CRUZ SAVEDR</v>
          </cell>
          <cell r="I119" t="str">
            <v>M. ELENA CRUZ SAVEDR</v>
          </cell>
          <cell r="J119" t="str">
            <v>BAJA</v>
          </cell>
          <cell r="K119" t="str">
            <v/>
          </cell>
          <cell r="L119">
            <v>0</v>
          </cell>
          <cell r="M119">
            <v>120</v>
          </cell>
          <cell r="N119" t="str">
            <v>A</v>
          </cell>
          <cell r="O119">
            <v>40756</v>
          </cell>
          <cell r="P119" t="str">
            <v xml:space="preserve">    1</v>
          </cell>
          <cell r="Q119">
            <v>0</v>
          </cell>
          <cell r="R119">
            <v>0</v>
          </cell>
          <cell r="S119">
            <v>0</v>
          </cell>
          <cell r="T119">
            <v>643</v>
          </cell>
          <cell r="U119">
            <v>0</v>
          </cell>
          <cell r="V119" t="str">
            <v>CARR. ATOTON-CONEJO</v>
          </cell>
          <cell r="W119" t="str">
            <v/>
          </cell>
          <cell r="X119" t="str">
            <v/>
          </cell>
          <cell r="Y119" t="str">
            <v/>
          </cell>
          <cell r="Z119" t="str">
            <v/>
          </cell>
          <cell r="AA119" t="str">
            <v/>
          </cell>
          <cell r="AB119" t="str">
            <v/>
          </cell>
          <cell r="AC119" t="str">
            <v xml:space="preserve">   7178</v>
          </cell>
          <cell r="AD119" t="str">
            <v/>
          </cell>
          <cell r="AE119" t="str">
            <v/>
          </cell>
          <cell r="AF119" t="str">
            <v/>
          </cell>
          <cell r="AH119" t="str">
            <v>N</v>
          </cell>
          <cell r="AI119">
            <v>0</v>
          </cell>
          <cell r="AJ119">
            <v>0</v>
          </cell>
          <cell r="AK119">
            <v>0</v>
          </cell>
          <cell r="AL119">
            <v>0</v>
          </cell>
          <cell r="AM119">
            <v>643</v>
          </cell>
          <cell r="AN119">
            <v>0</v>
          </cell>
        </row>
        <row r="120">
          <cell r="A120">
            <v>2020</v>
          </cell>
          <cell r="B120" t="str">
            <v>ELISA Y CARMEN (ATITALAQUIA)</v>
          </cell>
          <cell r="C120" t="str">
            <v/>
          </cell>
          <cell r="D120" t="str">
            <v>AV. 16 DE ENERO #1 "D"</v>
          </cell>
          <cell r="E120" t="str">
            <v>ATITALAQUIA, HGO.</v>
          </cell>
          <cell r="F120" t="str">
            <v/>
          </cell>
          <cell r="G120" t="str">
            <v/>
          </cell>
          <cell r="H120" t="str">
            <v>ELISA Y CARMEN</v>
          </cell>
          <cell r="I120" t="str">
            <v>ELISA Y CARMEN</v>
          </cell>
          <cell r="J120" t="str">
            <v>BAJA</v>
          </cell>
          <cell r="K120" t="str">
            <v/>
          </cell>
          <cell r="L120">
            <v>0</v>
          </cell>
          <cell r="M120">
            <v>121</v>
          </cell>
          <cell r="N120" t="str">
            <v>S</v>
          </cell>
          <cell r="O120">
            <v>40756</v>
          </cell>
          <cell r="P120" t="str">
            <v xml:space="preserve">    1</v>
          </cell>
          <cell r="Q120">
            <v>0</v>
          </cell>
          <cell r="R120">
            <v>0</v>
          </cell>
          <cell r="S120">
            <v>0</v>
          </cell>
          <cell r="T120">
            <v>172</v>
          </cell>
          <cell r="U120">
            <v>0</v>
          </cell>
          <cell r="V120" t="str">
            <v>CENTRO</v>
          </cell>
          <cell r="W120" t="str">
            <v/>
          </cell>
          <cell r="X120" t="str">
            <v/>
          </cell>
          <cell r="Y120" t="str">
            <v/>
          </cell>
          <cell r="Z120" t="str">
            <v/>
          </cell>
          <cell r="AA120" t="str">
            <v/>
          </cell>
          <cell r="AB120" t="str">
            <v/>
          </cell>
          <cell r="AC120" t="str">
            <v>C055</v>
          </cell>
          <cell r="AD120" t="str">
            <v/>
          </cell>
          <cell r="AE120" t="str">
            <v/>
          </cell>
          <cell r="AF120" t="str">
            <v/>
          </cell>
          <cell r="AH120" t="str">
            <v>N</v>
          </cell>
          <cell r="AI120">
            <v>0</v>
          </cell>
          <cell r="AJ120">
            <v>0</v>
          </cell>
          <cell r="AK120">
            <v>0</v>
          </cell>
          <cell r="AL120">
            <v>0</v>
          </cell>
          <cell r="AM120">
            <v>172</v>
          </cell>
          <cell r="AN120">
            <v>0</v>
          </cell>
        </row>
        <row r="121">
          <cell r="A121">
            <v>2021</v>
          </cell>
          <cell r="B121" t="str">
            <v>MALENE LEON MARQUEZ (ATOTONILCO)</v>
          </cell>
          <cell r="C121" t="str">
            <v/>
          </cell>
          <cell r="D121" t="str">
            <v>REPUBLICA DE NICARAGUA #2</v>
          </cell>
          <cell r="E121" t="str">
            <v>ATOTONILCO, HGO.</v>
          </cell>
          <cell r="F121" t="str">
            <v/>
          </cell>
          <cell r="G121" t="str">
            <v>(778) 735-0489</v>
          </cell>
          <cell r="H121" t="str">
            <v>MALENE LEON MARQUEZ</v>
          </cell>
          <cell r="I121" t="str">
            <v>MALENE LEON MARQUEZ</v>
          </cell>
          <cell r="J121" t="str">
            <v>BAJA</v>
          </cell>
          <cell r="K121" t="str">
            <v/>
          </cell>
          <cell r="L121">
            <v>0</v>
          </cell>
          <cell r="M121">
            <v>122</v>
          </cell>
          <cell r="N121" t="str">
            <v>A</v>
          </cell>
          <cell r="O121">
            <v>40781</v>
          </cell>
          <cell r="P121" t="str">
            <v xml:space="preserve">    1</v>
          </cell>
          <cell r="Q121">
            <v>0</v>
          </cell>
          <cell r="R121">
            <v>0</v>
          </cell>
          <cell r="S121">
            <v>0</v>
          </cell>
          <cell r="T121">
            <v>1246</v>
          </cell>
          <cell r="U121">
            <v>0</v>
          </cell>
          <cell r="V121" t="str">
            <v>CENTRO</v>
          </cell>
          <cell r="W121" t="str">
            <v/>
          </cell>
          <cell r="X121" t="str">
            <v/>
          </cell>
          <cell r="Y121" t="str">
            <v/>
          </cell>
          <cell r="Z121" t="str">
            <v/>
          </cell>
          <cell r="AA121" t="str">
            <v>(778) 735-0489</v>
          </cell>
          <cell r="AB121" t="str">
            <v/>
          </cell>
          <cell r="AC121" t="str">
            <v>C083</v>
          </cell>
          <cell r="AD121" t="str">
            <v/>
          </cell>
          <cell r="AE121" t="str">
            <v/>
          </cell>
          <cell r="AF121" t="str">
            <v/>
          </cell>
          <cell r="AH121" t="str">
            <v>N</v>
          </cell>
          <cell r="AI121">
            <v>0</v>
          </cell>
          <cell r="AJ121">
            <v>0</v>
          </cell>
          <cell r="AK121">
            <v>0</v>
          </cell>
          <cell r="AL121">
            <v>0</v>
          </cell>
          <cell r="AM121">
            <v>779</v>
          </cell>
          <cell r="AN121">
            <v>0</v>
          </cell>
        </row>
        <row r="122">
          <cell r="A122">
            <v>2022</v>
          </cell>
          <cell r="B122" t="str">
            <v>SILVIA ROQUE ESTRADA (ATOTONILCO)</v>
          </cell>
          <cell r="C122" t="str">
            <v/>
          </cell>
          <cell r="D122" t="str">
            <v>REPUBLICA DE CHILE #8</v>
          </cell>
          <cell r="E122" t="str">
            <v>ATOTONILCO, HGO.</v>
          </cell>
          <cell r="F122" t="str">
            <v/>
          </cell>
          <cell r="G122" t="str">
            <v/>
          </cell>
          <cell r="H122" t="str">
            <v>SILVIA ROQUE ESTRADA</v>
          </cell>
          <cell r="I122" t="str">
            <v>SILVIA ROQUE ESTRADA</v>
          </cell>
          <cell r="J122" t="str">
            <v>BAJA</v>
          </cell>
          <cell r="K122" t="str">
            <v/>
          </cell>
          <cell r="L122">
            <v>0</v>
          </cell>
          <cell r="M122">
            <v>123</v>
          </cell>
          <cell r="N122" t="str">
            <v>A</v>
          </cell>
          <cell r="O122">
            <v>40756</v>
          </cell>
          <cell r="P122" t="str">
            <v xml:space="preserve">    1</v>
          </cell>
          <cell r="Q122">
            <v>0</v>
          </cell>
          <cell r="R122">
            <v>0</v>
          </cell>
          <cell r="S122">
            <v>0</v>
          </cell>
          <cell r="T122">
            <v>344</v>
          </cell>
          <cell r="U122">
            <v>0</v>
          </cell>
          <cell r="V122" t="str">
            <v>CENTRO</v>
          </cell>
          <cell r="W122" t="str">
            <v/>
          </cell>
          <cell r="X122" t="str">
            <v/>
          </cell>
          <cell r="Y122" t="str">
            <v/>
          </cell>
          <cell r="Z122" t="str">
            <v/>
          </cell>
          <cell r="AA122" t="str">
            <v/>
          </cell>
          <cell r="AB122" t="str">
            <v/>
          </cell>
          <cell r="AC122" t="str">
            <v>C057</v>
          </cell>
          <cell r="AD122" t="str">
            <v/>
          </cell>
          <cell r="AE122" t="str">
            <v/>
          </cell>
          <cell r="AF122" t="str">
            <v/>
          </cell>
          <cell r="AH122" t="str">
            <v>N</v>
          </cell>
          <cell r="AI122">
            <v>0</v>
          </cell>
          <cell r="AJ122">
            <v>0</v>
          </cell>
          <cell r="AK122">
            <v>0</v>
          </cell>
          <cell r="AL122">
            <v>0</v>
          </cell>
          <cell r="AM122">
            <v>344</v>
          </cell>
          <cell r="AN122">
            <v>0</v>
          </cell>
        </row>
        <row r="123">
          <cell r="A123">
            <v>2023</v>
          </cell>
          <cell r="B123" t="str">
            <v>MARIA EUGENIA RIVERA ESPINOSA (ATOTONILCO)</v>
          </cell>
          <cell r="C123" t="str">
            <v/>
          </cell>
          <cell r="D123" t="str">
            <v>NICARAGUA S/N</v>
          </cell>
          <cell r="E123" t="str">
            <v>ATOTONILCO, HGO.</v>
          </cell>
          <cell r="F123" t="str">
            <v/>
          </cell>
          <cell r="G123" t="str">
            <v>(773) 102-1277 CEL</v>
          </cell>
          <cell r="H123" t="str">
            <v>MA. EUGENIA RIVERA</v>
          </cell>
          <cell r="I123" t="str">
            <v>MA. EUGENIA RIVERA</v>
          </cell>
          <cell r="J123" t="str">
            <v>M04</v>
          </cell>
          <cell r="K123" t="str">
            <v/>
          </cell>
          <cell r="L123">
            <v>0</v>
          </cell>
          <cell r="M123">
            <v>124</v>
          </cell>
          <cell r="N123" t="str">
            <v>A</v>
          </cell>
          <cell r="O123">
            <v>41696</v>
          </cell>
          <cell r="P123" t="str">
            <v xml:space="preserve">    1</v>
          </cell>
          <cell r="Q123">
            <v>0</v>
          </cell>
          <cell r="R123">
            <v>0</v>
          </cell>
          <cell r="S123">
            <v>0</v>
          </cell>
          <cell r="T123">
            <v>53009</v>
          </cell>
          <cell r="U123">
            <v>0</v>
          </cell>
          <cell r="V123" t="str">
            <v>CENTRO</v>
          </cell>
          <cell r="W123" t="str">
            <v/>
          </cell>
          <cell r="X123" t="str">
            <v/>
          </cell>
          <cell r="Y123" t="str">
            <v/>
          </cell>
          <cell r="Z123" t="str">
            <v/>
          </cell>
          <cell r="AA123" t="str">
            <v>(773) 102-1277 CEL</v>
          </cell>
          <cell r="AB123" t="str">
            <v xml:space="preserve">  DEV-186</v>
          </cell>
          <cell r="AC123" t="str">
            <v>M0831</v>
          </cell>
          <cell r="AD123" t="str">
            <v/>
          </cell>
          <cell r="AE123" t="str">
            <v/>
          </cell>
          <cell r="AF123" t="str">
            <v/>
          </cell>
          <cell r="AG123">
            <v>41636</v>
          </cell>
          <cell r="AH123" t="str">
            <v>N</v>
          </cell>
          <cell r="AI123">
            <v>0</v>
          </cell>
          <cell r="AJ123">
            <v>0</v>
          </cell>
          <cell r="AK123">
            <v>0</v>
          </cell>
          <cell r="AL123">
            <v>864</v>
          </cell>
          <cell r="AM123">
            <v>500</v>
          </cell>
          <cell r="AN123">
            <v>0</v>
          </cell>
        </row>
        <row r="124">
          <cell r="A124">
            <v>2024</v>
          </cell>
          <cell r="B124" t="str">
            <v>MA. DOLORES CABALLERO (AMEALCO)</v>
          </cell>
          <cell r="C124" t="str">
            <v/>
          </cell>
          <cell r="D124" t="str">
            <v>PINO SUAREZ #155 ESQ NIÑOS HEROES</v>
          </cell>
          <cell r="E124" t="str">
            <v>AMEALCO, QRO.</v>
          </cell>
          <cell r="F124" t="str">
            <v/>
          </cell>
          <cell r="G124" t="str">
            <v/>
          </cell>
          <cell r="H124" t="str">
            <v>DOLORES CABALLERO</v>
          </cell>
          <cell r="I124" t="str">
            <v>DOLORES CABALLERO</v>
          </cell>
          <cell r="J124" t="str">
            <v>BAJA</v>
          </cell>
          <cell r="K124" t="str">
            <v/>
          </cell>
          <cell r="L124">
            <v>0</v>
          </cell>
          <cell r="M124">
            <v>125</v>
          </cell>
          <cell r="N124" t="str">
            <v>A</v>
          </cell>
          <cell r="O124">
            <v>40758</v>
          </cell>
          <cell r="P124" t="str">
            <v xml:space="preserve">    3</v>
          </cell>
          <cell r="Q124">
            <v>0</v>
          </cell>
          <cell r="R124">
            <v>0</v>
          </cell>
          <cell r="S124">
            <v>0</v>
          </cell>
          <cell r="T124">
            <v>520</v>
          </cell>
          <cell r="U124">
            <v>0</v>
          </cell>
          <cell r="V124" t="str">
            <v>CENTRO</v>
          </cell>
          <cell r="W124" t="str">
            <v/>
          </cell>
          <cell r="X124" t="str">
            <v/>
          </cell>
          <cell r="Y124" t="str">
            <v/>
          </cell>
          <cell r="Z124" t="str">
            <v/>
          </cell>
          <cell r="AA124" t="str">
            <v/>
          </cell>
          <cell r="AB124" t="str">
            <v/>
          </cell>
          <cell r="AC124" t="str">
            <v>C061</v>
          </cell>
          <cell r="AD124" t="str">
            <v/>
          </cell>
          <cell r="AE124" t="str">
            <v/>
          </cell>
          <cell r="AF124" t="str">
            <v/>
          </cell>
          <cell r="AH124" t="str">
            <v>N</v>
          </cell>
          <cell r="AI124">
            <v>0</v>
          </cell>
          <cell r="AJ124">
            <v>0</v>
          </cell>
          <cell r="AK124">
            <v>0</v>
          </cell>
          <cell r="AL124">
            <v>0</v>
          </cell>
          <cell r="AM124">
            <v>520</v>
          </cell>
          <cell r="AN124">
            <v>0</v>
          </cell>
        </row>
        <row r="125">
          <cell r="A125">
            <v>2025</v>
          </cell>
          <cell r="B125" t="str">
            <v xml:space="preserve">NORMA MIRANDA HERNANDEZ (ATLACOMULCO)                       </v>
          </cell>
          <cell r="C125" t="str">
            <v/>
          </cell>
          <cell r="D125" t="str">
            <v>MERCADO ALDOLFO LOPEZ MATEOS LOCAL 41</v>
          </cell>
          <cell r="E125" t="str">
            <v>ATLACOMULCO, EDO. DE MEXICO</v>
          </cell>
          <cell r="F125" t="str">
            <v/>
          </cell>
          <cell r="G125" t="str">
            <v>(712) 122-3559 / 289-6387</v>
          </cell>
          <cell r="H125" t="str">
            <v>DELIA MIRANDA HDZ.</v>
          </cell>
          <cell r="I125" t="str">
            <v>DELIA MIRANDA HDZ.</v>
          </cell>
          <cell r="J125" t="str">
            <v>L08</v>
          </cell>
          <cell r="K125" t="str">
            <v/>
          </cell>
          <cell r="L125">
            <v>0</v>
          </cell>
          <cell r="M125">
            <v>126</v>
          </cell>
          <cell r="N125" t="str">
            <v>A</v>
          </cell>
          <cell r="O125">
            <v>42429</v>
          </cell>
          <cell r="P125" t="str">
            <v xml:space="preserve">    1</v>
          </cell>
          <cell r="Q125">
            <v>0</v>
          </cell>
          <cell r="R125">
            <v>0</v>
          </cell>
          <cell r="S125">
            <v>7965</v>
          </cell>
          <cell r="T125">
            <v>122206</v>
          </cell>
          <cell r="U125">
            <v>0</v>
          </cell>
          <cell r="V125" t="str">
            <v/>
          </cell>
          <cell r="W125" t="str">
            <v>(712) 122-0598</v>
          </cell>
          <cell r="X125" t="str">
            <v/>
          </cell>
          <cell r="Y125" t="str">
            <v/>
          </cell>
          <cell r="Z125" t="str">
            <v/>
          </cell>
          <cell r="AA125" t="str">
            <v>(712) 122-3559 / 289-6387</v>
          </cell>
          <cell r="AB125" t="str">
            <v/>
          </cell>
          <cell r="AC125" t="str">
            <v>L841427</v>
          </cell>
          <cell r="AD125" t="str">
            <v/>
          </cell>
          <cell r="AE125" t="str">
            <v/>
          </cell>
          <cell r="AF125" t="str">
            <v/>
          </cell>
          <cell r="AH125" t="str">
            <v>N</v>
          </cell>
          <cell r="AI125">
            <v>0</v>
          </cell>
          <cell r="AJ125">
            <v>0</v>
          </cell>
          <cell r="AK125">
            <v>0</v>
          </cell>
          <cell r="AL125">
            <v>0</v>
          </cell>
          <cell r="AM125">
            <v>3750</v>
          </cell>
          <cell r="AN125">
            <v>0</v>
          </cell>
        </row>
        <row r="126">
          <cell r="A126">
            <v>2026</v>
          </cell>
          <cell r="B126" t="str">
            <v>MAGALI ORTEGA (SAN CRISTOBAL)</v>
          </cell>
          <cell r="C126" t="str">
            <v/>
          </cell>
          <cell r="D126" t="str">
            <v>MELCHOR OCAMPO Y VENUSTIANA CARRANZA 110</v>
          </cell>
          <cell r="E126" t="str">
            <v>ECATEPEC, EDO. DE MEXICO</v>
          </cell>
          <cell r="F126" t="str">
            <v/>
          </cell>
          <cell r="G126" t="str">
            <v>(55) 6302-7484 NXT</v>
          </cell>
          <cell r="H126" t="str">
            <v>MAGALI ORTEGA</v>
          </cell>
          <cell r="I126" t="str">
            <v>MAGALI ORTEGA</v>
          </cell>
          <cell r="J126" t="str">
            <v>M03</v>
          </cell>
          <cell r="K126" t="str">
            <v/>
          </cell>
          <cell r="L126">
            <v>0</v>
          </cell>
          <cell r="M126">
            <v>127</v>
          </cell>
          <cell r="N126" t="str">
            <v>A</v>
          </cell>
          <cell r="O126">
            <v>42518</v>
          </cell>
          <cell r="P126" t="str">
            <v xml:space="preserve">    7</v>
          </cell>
          <cell r="Q126">
            <v>0</v>
          </cell>
          <cell r="R126">
            <v>0</v>
          </cell>
          <cell r="S126">
            <v>15115</v>
          </cell>
          <cell r="T126">
            <v>143073.70000000001</v>
          </cell>
          <cell r="U126">
            <v>0</v>
          </cell>
          <cell r="V126" t="str">
            <v>SAN CRISTOBAL</v>
          </cell>
          <cell r="W126" t="str">
            <v>(55) 5746-5758 CASA</v>
          </cell>
          <cell r="X126" t="str">
            <v/>
          </cell>
          <cell r="Y126" t="str">
            <v/>
          </cell>
          <cell r="Z126" t="str">
            <v/>
          </cell>
          <cell r="AA126" t="str">
            <v>(55) 6302-7484 NXT</v>
          </cell>
          <cell r="AB126" t="str">
            <v/>
          </cell>
          <cell r="AC126" t="str">
            <v>M615</v>
          </cell>
          <cell r="AD126" t="str">
            <v/>
          </cell>
          <cell r="AE126" t="str">
            <v/>
          </cell>
          <cell r="AF126" t="str">
            <v/>
          </cell>
          <cell r="AH126" t="str">
            <v>N</v>
          </cell>
          <cell r="AI126">
            <v>0</v>
          </cell>
          <cell r="AJ126">
            <v>0</v>
          </cell>
          <cell r="AK126">
            <v>0</v>
          </cell>
          <cell r="AL126">
            <v>0</v>
          </cell>
          <cell r="AM126">
            <v>2570</v>
          </cell>
          <cell r="AN126">
            <v>0</v>
          </cell>
        </row>
        <row r="127">
          <cell r="A127">
            <v>2027</v>
          </cell>
          <cell r="B127" t="str">
            <v>ALICIA HERRERA GUZMAN (ARROYO ZARCO)</v>
          </cell>
          <cell r="C127" t="str">
            <v/>
          </cell>
          <cell r="D127" t="str">
            <v>AV. HANK GONZALEZ S/N</v>
          </cell>
          <cell r="E127" t="str">
            <v>ARROYO ZARCO, EDO. DE MEXICO</v>
          </cell>
          <cell r="F127" t="str">
            <v/>
          </cell>
          <cell r="G127" t="str">
            <v/>
          </cell>
          <cell r="H127" t="str">
            <v>ALICIA HERRERA GUZMA</v>
          </cell>
          <cell r="I127" t="str">
            <v>ALICIA HERRERA GUZMA</v>
          </cell>
          <cell r="J127" t="str">
            <v>BAJA</v>
          </cell>
          <cell r="K127" t="str">
            <v/>
          </cell>
          <cell r="L127">
            <v>0</v>
          </cell>
          <cell r="M127">
            <v>128</v>
          </cell>
          <cell r="N127" t="str">
            <v>S</v>
          </cell>
          <cell r="O127">
            <v>40864</v>
          </cell>
          <cell r="P127" t="str">
            <v xml:space="preserve">    1</v>
          </cell>
          <cell r="Q127">
            <v>0</v>
          </cell>
          <cell r="R127">
            <v>0</v>
          </cell>
          <cell r="S127">
            <v>0</v>
          </cell>
          <cell r="T127">
            <v>2546</v>
          </cell>
          <cell r="U127">
            <v>0</v>
          </cell>
          <cell r="V127" t="str">
            <v>CENTRO</v>
          </cell>
          <cell r="W127" t="str">
            <v/>
          </cell>
          <cell r="X127" t="str">
            <v/>
          </cell>
          <cell r="Y127" t="str">
            <v/>
          </cell>
          <cell r="Z127" t="str">
            <v/>
          </cell>
          <cell r="AA127" t="str">
            <v/>
          </cell>
          <cell r="AB127" t="str">
            <v/>
          </cell>
          <cell r="AC127" t="str">
            <v>C251</v>
          </cell>
          <cell r="AD127" t="str">
            <v/>
          </cell>
          <cell r="AE127" t="str">
            <v/>
          </cell>
          <cell r="AF127" t="str">
            <v/>
          </cell>
          <cell r="AH127" t="str">
            <v>N</v>
          </cell>
          <cell r="AI127">
            <v>0</v>
          </cell>
          <cell r="AJ127">
            <v>0</v>
          </cell>
          <cell r="AK127">
            <v>0</v>
          </cell>
          <cell r="AL127">
            <v>0</v>
          </cell>
          <cell r="AM127">
            <v>603</v>
          </cell>
          <cell r="AN127">
            <v>0</v>
          </cell>
        </row>
        <row r="128">
          <cell r="A128">
            <v>2028</v>
          </cell>
          <cell r="B128" t="str">
            <v>JUAN CRUZ BLAS (JILOTEPEC)</v>
          </cell>
          <cell r="C128" t="str">
            <v/>
          </cell>
          <cell r="D128" t="str">
            <v>ABEL HUITRON #122</v>
          </cell>
          <cell r="E128" t="str">
            <v>JILOTEPEC, EDO. DE MEXICO</v>
          </cell>
          <cell r="F128" t="str">
            <v/>
          </cell>
          <cell r="G128" t="str">
            <v>(761) 3102-3278</v>
          </cell>
          <cell r="H128" t="str">
            <v>JUAN CRUZ BLAS</v>
          </cell>
          <cell r="I128" t="str">
            <v>JUAN CRUZ BLAS</v>
          </cell>
          <cell r="J128" t="str">
            <v>R01</v>
          </cell>
          <cell r="K128" t="str">
            <v/>
          </cell>
          <cell r="L128">
            <v>0</v>
          </cell>
          <cell r="M128">
            <v>129</v>
          </cell>
          <cell r="N128" t="str">
            <v>A</v>
          </cell>
          <cell r="O128">
            <v>42087</v>
          </cell>
          <cell r="P128" t="str">
            <v xml:space="preserve">    1</v>
          </cell>
          <cell r="Q128">
            <v>0</v>
          </cell>
          <cell r="R128">
            <v>0</v>
          </cell>
          <cell r="S128">
            <v>835</v>
          </cell>
          <cell r="T128">
            <v>6290</v>
          </cell>
          <cell r="U128">
            <v>0</v>
          </cell>
          <cell r="V128" t="str">
            <v>CENTRO</v>
          </cell>
          <cell r="W128" t="str">
            <v/>
          </cell>
          <cell r="X128" t="str">
            <v/>
          </cell>
          <cell r="Y128" t="str">
            <v/>
          </cell>
          <cell r="Z128" t="str">
            <v/>
          </cell>
          <cell r="AA128" t="str">
            <v>(761) 3102-3278</v>
          </cell>
          <cell r="AB128" t="str">
            <v xml:space="preserve">     DESC</v>
          </cell>
          <cell r="AC128" t="str">
            <v>F0958</v>
          </cell>
          <cell r="AD128" t="str">
            <v/>
          </cell>
          <cell r="AE128" t="str">
            <v/>
          </cell>
          <cell r="AF128" t="str">
            <v/>
          </cell>
          <cell r="AG128">
            <v>41146</v>
          </cell>
          <cell r="AH128" t="str">
            <v>N</v>
          </cell>
          <cell r="AI128">
            <v>0</v>
          </cell>
          <cell r="AJ128">
            <v>0</v>
          </cell>
          <cell r="AK128">
            <v>0</v>
          </cell>
          <cell r="AL128">
            <v>5</v>
          </cell>
          <cell r="AM128">
            <v>1835</v>
          </cell>
          <cell r="AN128">
            <v>0</v>
          </cell>
        </row>
        <row r="129">
          <cell r="A129">
            <v>2029</v>
          </cell>
          <cell r="B129" t="str">
            <v>EDITH ENRIQUEZ DE CASTILLO (TEPEJI)</v>
          </cell>
          <cell r="C129" t="str">
            <v/>
          </cell>
          <cell r="D129" t="str">
            <v>COMONFORT #3</v>
          </cell>
          <cell r="E129" t="str">
            <v>TEPEJI DEL RIO, HGO.</v>
          </cell>
          <cell r="F129" t="str">
            <v/>
          </cell>
          <cell r="G129" t="str">
            <v/>
          </cell>
          <cell r="H129" t="str">
            <v>EDITH ENRIQUEZ</v>
          </cell>
          <cell r="I129" t="str">
            <v>EDITH ENRIQUEZ</v>
          </cell>
          <cell r="J129" t="str">
            <v>M04</v>
          </cell>
          <cell r="K129" t="str">
            <v/>
          </cell>
          <cell r="L129">
            <v>0</v>
          </cell>
          <cell r="M129">
            <v>130</v>
          </cell>
          <cell r="N129" t="str">
            <v>A</v>
          </cell>
          <cell r="O129">
            <v>41795</v>
          </cell>
          <cell r="P129" t="str">
            <v xml:space="preserve">    1</v>
          </cell>
          <cell r="Q129">
            <v>0</v>
          </cell>
          <cell r="R129">
            <v>0</v>
          </cell>
          <cell r="S129">
            <v>0</v>
          </cell>
          <cell r="T129">
            <v>3435</v>
          </cell>
          <cell r="U129">
            <v>0</v>
          </cell>
          <cell r="V129" t="str">
            <v>CENTRO</v>
          </cell>
          <cell r="W129" t="str">
            <v/>
          </cell>
          <cell r="X129" t="str">
            <v/>
          </cell>
          <cell r="Y129" t="str">
            <v/>
          </cell>
          <cell r="Z129" t="str">
            <v/>
          </cell>
          <cell r="AA129" t="str">
            <v/>
          </cell>
          <cell r="AB129" t="str">
            <v/>
          </cell>
          <cell r="AC129" t="str">
            <v>F005</v>
          </cell>
          <cell r="AD129" t="str">
            <v/>
          </cell>
          <cell r="AE129" t="str">
            <v/>
          </cell>
          <cell r="AF129" t="str">
            <v/>
          </cell>
          <cell r="AH129" t="str">
            <v>N</v>
          </cell>
          <cell r="AI129">
            <v>0</v>
          </cell>
          <cell r="AJ129">
            <v>0</v>
          </cell>
          <cell r="AK129">
            <v>0</v>
          </cell>
          <cell r="AL129">
            <v>0</v>
          </cell>
          <cell r="AM129">
            <v>2390</v>
          </cell>
          <cell r="AN129">
            <v>0</v>
          </cell>
        </row>
        <row r="130">
          <cell r="A130">
            <v>2030</v>
          </cell>
          <cell r="B130" t="str">
            <v>AMELIA MARTINEZ (SAN JUAN)</v>
          </cell>
          <cell r="C130" t="str">
            <v/>
          </cell>
          <cell r="D130" t="str">
            <v>MANUEL J. CAMPOS #13</v>
          </cell>
          <cell r="E130" t="str">
            <v>SAN JUAN DEL RIO, QRO.</v>
          </cell>
          <cell r="F130" t="str">
            <v/>
          </cell>
          <cell r="G130" t="str">
            <v>(427) 126-5789</v>
          </cell>
          <cell r="H130" t="str">
            <v>AMELIA MARTINEZ</v>
          </cell>
          <cell r="I130" t="str">
            <v>AMELIA MARTINEZ</v>
          </cell>
          <cell r="J130" t="str">
            <v>BAJA</v>
          </cell>
          <cell r="K130" t="str">
            <v/>
          </cell>
          <cell r="L130">
            <v>0</v>
          </cell>
          <cell r="M130">
            <v>131</v>
          </cell>
          <cell r="N130" t="str">
            <v>A</v>
          </cell>
          <cell r="O130">
            <v>40863</v>
          </cell>
          <cell r="P130" t="str">
            <v xml:space="preserve">    6</v>
          </cell>
          <cell r="Q130">
            <v>0</v>
          </cell>
          <cell r="R130">
            <v>0</v>
          </cell>
          <cell r="S130">
            <v>0</v>
          </cell>
          <cell r="T130">
            <v>7702</v>
          </cell>
          <cell r="U130">
            <v>0</v>
          </cell>
          <cell r="V130" t="str">
            <v>CENTRO</v>
          </cell>
          <cell r="W130" t="str">
            <v/>
          </cell>
          <cell r="X130" t="str">
            <v/>
          </cell>
          <cell r="Y130" t="str">
            <v/>
          </cell>
          <cell r="Z130" t="str">
            <v/>
          </cell>
          <cell r="AA130" t="str">
            <v>(427) 126-5789</v>
          </cell>
          <cell r="AB130" t="str">
            <v/>
          </cell>
          <cell r="AC130" t="str">
            <v>R-0040</v>
          </cell>
          <cell r="AD130" t="str">
            <v/>
          </cell>
          <cell r="AE130" t="str">
            <v/>
          </cell>
          <cell r="AF130" t="str">
            <v/>
          </cell>
          <cell r="AH130" t="str">
            <v>N</v>
          </cell>
          <cell r="AI130">
            <v>0</v>
          </cell>
          <cell r="AJ130">
            <v>0</v>
          </cell>
          <cell r="AK130">
            <v>0</v>
          </cell>
          <cell r="AL130">
            <v>0</v>
          </cell>
          <cell r="AM130">
            <v>1158</v>
          </cell>
          <cell r="AN130">
            <v>0</v>
          </cell>
        </row>
        <row r="131">
          <cell r="A131">
            <v>2031</v>
          </cell>
          <cell r="B131" t="str">
            <v>REYNA OLVERA (SAN JUAN)</v>
          </cell>
          <cell r="C131" t="str">
            <v/>
          </cell>
          <cell r="D131" t="str">
            <v>MERCADO 5 DE MAYO LOC. 58</v>
          </cell>
          <cell r="E131" t="str">
            <v>SAN JUAN DEL RIO, QRO.</v>
          </cell>
          <cell r="F131" t="str">
            <v/>
          </cell>
          <cell r="G131" t="str">
            <v>(427) 289-9734 CEL</v>
          </cell>
          <cell r="H131" t="str">
            <v>REYNA OLVERA</v>
          </cell>
          <cell r="I131" t="str">
            <v>REYNA OLVERA</v>
          </cell>
          <cell r="J131" t="str">
            <v>BAJA</v>
          </cell>
          <cell r="K131" t="str">
            <v/>
          </cell>
          <cell r="L131">
            <v>0</v>
          </cell>
          <cell r="M131">
            <v>132</v>
          </cell>
          <cell r="N131" t="str">
            <v>A</v>
          </cell>
          <cell r="O131">
            <v>41537</v>
          </cell>
          <cell r="P131" t="str">
            <v xml:space="preserve">    6</v>
          </cell>
          <cell r="Q131">
            <v>0</v>
          </cell>
          <cell r="R131">
            <v>0</v>
          </cell>
          <cell r="S131">
            <v>0</v>
          </cell>
          <cell r="T131">
            <v>36777</v>
          </cell>
          <cell r="U131">
            <v>0</v>
          </cell>
          <cell r="V131" t="str">
            <v>CENTRO</v>
          </cell>
          <cell r="W131" t="str">
            <v>(427) 271-2518</v>
          </cell>
          <cell r="X131" t="str">
            <v/>
          </cell>
          <cell r="Y131" t="str">
            <v/>
          </cell>
          <cell r="Z131" t="str">
            <v/>
          </cell>
          <cell r="AA131" t="str">
            <v>(427) 289-9734 CEL</v>
          </cell>
          <cell r="AB131" t="str">
            <v xml:space="preserve">      EFE</v>
          </cell>
          <cell r="AC131" t="str">
            <v>L0150</v>
          </cell>
          <cell r="AD131" t="str">
            <v/>
          </cell>
          <cell r="AE131" t="str">
            <v/>
          </cell>
          <cell r="AF131" t="str">
            <v/>
          </cell>
          <cell r="AG131">
            <v>41424</v>
          </cell>
          <cell r="AH131" t="str">
            <v>N</v>
          </cell>
          <cell r="AI131">
            <v>0</v>
          </cell>
          <cell r="AJ131">
            <v>0</v>
          </cell>
          <cell r="AK131">
            <v>0</v>
          </cell>
          <cell r="AL131">
            <v>642</v>
          </cell>
          <cell r="AM131">
            <v>450</v>
          </cell>
          <cell r="AN131">
            <v>0</v>
          </cell>
        </row>
        <row r="132">
          <cell r="A132">
            <v>2032</v>
          </cell>
          <cell r="B132" t="str">
            <v>ISABEL TRONCO PORTELA  (TEXCOCO)</v>
          </cell>
          <cell r="C132" t="str">
            <v/>
          </cell>
          <cell r="D132" t="str">
            <v>JUAREZ NORTE # 206</v>
          </cell>
          <cell r="E132" t="str">
            <v>TEXCOCO, EDO. DE MEXICO</v>
          </cell>
          <cell r="F132" t="str">
            <v/>
          </cell>
          <cell r="G132" t="str">
            <v>(595) 954-7591</v>
          </cell>
          <cell r="H132" t="str">
            <v>ISABEL TRONCO P.</v>
          </cell>
          <cell r="I132" t="str">
            <v>ISABEL TRONCO P.</v>
          </cell>
          <cell r="J132" t="str">
            <v>M03</v>
          </cell>
          <cell r="K132" t="str">
            <v/>
          </cell>
          <cell r="L132">
            <v>0</v>
          </cell>
          <cell r="M132">
            <v>133</v>
          </cell>
          <cell r="N132" t="str">
            <v>A</v>
          </cell>
          <cell r="O132">
            <v>42494</v>
          </cell>
          <cell r="P132" t="str">
            <v xml:space="preserve">    3</v>
          </cell>
          <cell r="Q132">
            <v>0</v>
          </cell>
          <cell r="R132">
            <v>0</v>
          </cell>
          <cell r="S132">
            <v>4995</v>
          </cell>
          <cell r="T132">
            <v>27149</v>
          </cell>
          <cell r="U132">
            <v>0</v>
          </cell>
          <cell r="V132" t="str">
            <v>CENTRO</v>
          </cell>
          <cell r="W132" t="str">
            <v/>
          </cell>
          <cell r="X132" t="str">
            <v/>
          </cell>
          <cell r="Y132" t="str">
            <v/>
          </cell>
          <cell r="Z132" t="str">
            <v/>
          </cell>
          <cell r="AA132" t="str">
            <v>(595) 954-7591</v>
          </cell>
          <cell r="AB132" t="str">
            <v xml:space="preserve">  DEV-188</v>
          </cell>
          <cell r="AC132" t="str">
            <v>M111114</v>
          </cell>
          <cell r="AD132" t="str">
            <v/>
          </cell>
          <cell r="AE132" t="str">
            <v/>
          </cell>
          <cell r="AF132" t="str">
            <v/>
          </cell>
          <cell r="AG132">
            <v>41641</v>
          </cell>
          <cell r="AH132" t="str">
            <v>N</v>
          </cell>
          <cell r="AI132">
            <v>0</v>
          </cell>
          <cell r="AJ132">
            <v>0</v>
          </cell>
          <cell r="AK132">
            <v>0</v>
          </cell>
          <cell r="AL132">
            <v>214</v>
          </cell>
          <cell r="AM132">
            <v>4995</v>
          </cell>
          <cell r="AN132">
            <v>0</v>
          </cell>
        </row>
        <row r="133">
          <cell r="A133">
            <v>2033</v>
          </cell>
          <cell r="B133" t="str">
            <v>HORTENCIA ALVAREZ PLAZA (APAXCO)</v>
          </cell>
          <cell r="C133" t="str">
            <v/>
          </cell>
          <cell r="D133" t="str">
            <v>ESTRELLA S/N</v>
          </cell>
          <cell r="E133" t="str">
            <v>APAXCO, EDO. DE MEXICO</v>
          </cell>
          <cell r="F133" t="str">
            <v/>
          </cell>
          <cell r="G133" t="str">
            <v>(599) 998-0942 CASA</v>
          </cell>
          <cell r="H133" t="str">
            <v>HORTENCIA ALVAREZ P.</v>
          </cell>
          <cell r="I133" t="str">
            <v>HORTENCIA ALVAREZ P.</v>
          </cell>
          <cell r="J133" t="str">
            <v>M04</v>
          </cell>
          <cell r="K133" t="str">
            <v/>
          </cell>
          <cell r="L133">
            <v>0</v>
          </cell>
          <cell r="M133">
            <v>134</v>
          </cell>
          <cell r="N133" t="str">
            <v>A</v>
          </cell>
          <cell r="O133">
            <v>42459</v>
          </cell>
          <cell r="P133" t="str">
            <v xml:space="preserve">    3</v>
          </cell>
          <cell r="Q133">
            <v>0</v>
          </cell>
          <cell r="R133">
            <v>0</v>
          </cell>
          <cell r="S133">
            <v>1807</v>
          </cell>
          <cell r="T133">
            <v>68708</v>
          </cell>
          <cell r="U133">
            <v>0</v>
          </cell>
          <cell r="V133" t="str">
            <v>CENTRO</v>
          </cell>
          <cell r="W133" t="str">
            <v/>
          </cell>
          <cell r="X133" t="str">
            <v/>
          </cell>
          <cell r="Y133" t="str">
            <v/>
          </cell>
          <cell r="Z133" t="str">
            <v/>
          </cell>
          <cell r="AA133" t="str">
            <v>(599) 998-0942 CASA</v>
          </cell>
          <cell r="AB133" t="str">
            <v/>
          </cell>
          <cell r="AC133" t="str">
            <v>M942817</v>
          </cell>
          <cell r="AD133" t="str">
            <v/>
          </cell>
          <cell r="AE133" t="str">
            <v/>
          </cell>
          <cell r="AF133" t="str">
            <v/>
          </cell>
          <cell r="AH133" t="str">
            <v>N</v>
          </cell>
          <cell r="AI133">
            <v>0</v>
          </cell>
          <cell r="AJ133">
            <v>0</v>
          </cell>
          <cell r="AK133">
            <v>0</v>
          </cell>
          <cell r="AL133">
            <v>0</v>
          </cell>
          <cell r="AM133">
            <v>2096</v>
          </cell>
          <cell r="AN133">
            <v>0</v>
          </cell>
        </row>
        <row r="134">
          <cell r="A134">
            <v>2034</v>
          </cell>
          <cell r="B134" t="str">
            <v>ARTURO CHAVEZ BALDERAS (APAXCO)</v>
          </cell>
          <cell r="C134" t="str">
            <v/>
          </cell>
          <cell r="D134" t="str">
            <v>DIVISION DEL NORTE #11</v>
          </cell>
          <cell r="E134" t="str">
            <v>APAXCO, EDO. DE MEXICO</v>
          </cell>
          <cell r="F134" t="str">
            <v/>
          </cell>
          <cell r="G134" t="str">
            <v/>
          </cell>
          <cell r="H134" t="str">
            <v>ARTURO CHAVEZ B.</v>
          </cell>
          <cell r="I134" t="str">
            <v>ARTURO CHAVEZ B.</v>
          </cell>
          <cell r="J134" t="str">
            <v>BAJA</v>
          </cell>
          <cell r="K134" t="str">
            <v/>
          </cell>
          <cell r="L134">
            <v>0</v>
          </cell>
          <cell r="M134">
            <v>135</v>
          </cell>
          <cell r="N134" t="str">
            <v>A</v>
          </cell>
          <cell r="O134">
            <v>41563</v>
          </cell>
          <cell r="P134" t="str">
            <v xml:space="preserve">    3</v>
          </cell>
          <cell r="Q134">
            <v>0</v>
          </cell>
          <cell r="R134">
            <v>0</v>
          </cell>
          <cell r="S134">
            <v>0</v>
          </cell>
          <cell r="T134">
            <v>8968</v>
          </cell>
          <cell r="U134">
            <v>0</v>
          </cell>
          <cell r="V134" t="str">
            <v>LOMA BONITA</v>
          </cell>
          <cell r="W134" t="str">
            <v/>
          </cell>
          <cell r="X134" t="str">
            <v/>
          </cell>
          <cell r="Y134" t="str">
            <v/>
          </cell>
          <cell r="Z134" t="str">
            <v/>
          </cell>
          <cell r="AA134" t="str">
            <v/>
          </cell>
          <cell r="AB134" t="str">
            <v/>
          </cell>
          <cell r="AC134" t="str">
            <v>M0648</v>
          </cell>
          <cell r="AD134" t="str">
            <v/>
          </cell>
          <cell r="AE134" t="str">
            <v/>
          </cell>
          <cell r="AF134" t="str">
            <v/>
          </cell>
          <cell r="AH134" t="str">
            <v>N</v>
          </cell>
          <cell r="AI134">
            <v>0</v>
          </cell>
          <cell r="AJ134">
            <v>0</v>
          </cell>
          <cell r="AK134">
            <v>0</v>
          </cell>
          <cell r="AL134">
            <v>0</v>
          </cell>
          <cell r="AM134">
            <v>1864</v>
          </cell>
          <cell r="AN134">
            <v>0</v>
          </cell>
        </row>
        <row r="135">
          <cell r="A135">
            <v>2035</v>
          </cell>
          <cell r="B135" t="str">
            <v>ROCIO GARCIA ALLENDE (COYOTEPEC)</v>
          </cell>
          <cell r="C135" t="str">
            <v/>
          </cell>
          <cell r="D135" t="str">
            <v>5 DE FEBRERO S/N</v>
          </cell>
          <cell r="E135" t="str">
            <v>COYOTEPEC, EDO. DE MEXICO</v>
          </cell>
          <cell r="F135" t="str">
            <v/>
          </cell>
          <cell r="G135" t="str">
            <v/>
          </cell>
          <cell r="H135" t="str">
            <v>ROCIO GARCIA ALLENDE</v>
          </cell>
          <cell r="I135" t="str">
            <v>ROCIO GARCIA ALLENDE</v>
          </cell>
          <cell r="J135" t="str">
            <v>BAJA</v>
          </cell>
          <cell r="K135" t="str">
            <v/>
          </cell>
          <cell r="L135">
            <v>0</v>
          </cell>
          <cell r="M135">
            <v>137</v>
          </cell>
          <cell r="N135" t="str">
            <v>A</v>
          </cell>
          <cell r="O135">
            <v>40893</v>
          </cell>
          <cell r="P135" t="str">
            <v xml:space="preserve">    7</v>
          </cell>
          <cell r="Q135">
            <v>0</v>
          </cell>
          <cell r="R135">
            <v>0</v>
          </cell>
          <cell r="S135">
            <v>0</v>
          </cell>
          <cell r="T135">
            <v>4283</v>
          </cell>
          <cell r="U135">
            <v>0</v>
          </cell>
          <cell r="V135" t="str">
            <v>BARRIO IZTAPALCALCO</v>
          </cell>
          <cell r="W135" t="str">
            <v/>
          </cell>
          <cell r="X135" t="str">
            <v/>
          </cell>
          <cell r="Y135" t="str">
            <v/>
          </cell>
          <cell r="Z135" t="str">
            <v/>
          </cell>
          <cell r="AA135" t="str">
            <v/>
          </cell>
          <cell r="AB135" t="str">
            <v/>
          </cell>
          <cell r="AC135" t="str">
            <v>A-0158</v>
          </cell>
          <cell r="AD135" t="str">
            <v/>
          </cell>
          <cell r="AE135" t="str">
            <v/>
          </cell>
          <cell r="AF135" t="str">
            <v/>
          </cell>
          <cell r="AH135" t="str">
            <v>N</v>
          </cell>
          <cell r="AI135">
            <v>0</v>
          </cell>
          <cell r="AJ135">
            <v>0</v>
          </cell>
          <cell r="AK135">
            <v>0</v>
          </cell>
          <cell r="AL135">
            <v>0</v>
          </cell>
          <cell r="AM135">
            <v>1422</v>
          </cell>
          <cell r="AN135">
            <v>0</v>
          </cell>
        </row>
        <row r="136">
          <cell r="A136">
            <v>2036</v>
          </cell>
          <cell r="B136" t="str">
            <v>VERONICA LOPEZ GUITIERREZ (ATIZAPAN)</v>
          </cell>
          <cell r="C136" t="str">
            <v/>
          </cell>
          <cell r="D136" t="str">
            <v>AV. RUIZ CORTINES #195</v>
          </cell>
          <cell r="E136" t="str">
            <v>ATIZAPAN, EDO. DE MEXICO</v>
          </cell>
          <cell r="F136" t="str">
            <v/>
          </cell>
          <cell r="G136" t="str">
            <v>(55) 58160475</v>
          </cell>
          <cell r="H136" t="str">
            <v>VERONICA LOPEZ G</v>
          </cell>
          <cell r="I136" t="str">
            <v>VERONICA LOPEZ G</v>
          </cell>
          <cell r="J136" t="str">
            <v>BAJA</v>
          </cell>
          <cell r="K136" t="str">
            <v/>
          </cell>
          <cell r="L136">
            <v>0</v>
          </cell>
          <cell r="M136">
            <v>138</v>
          </cell>
          <cell r="N136" t="str">
            <v>A</v>
          </cell>
          <cell r="O136">
            <v>40843</v>
          </cell>
          <cell r="P136" t="str">
            <v xml:space="preserve">    3</v>
          </cell>
          <cell r="Q136">
            <v>0</v>
          </cell>
          <cell r="R136">
            <v>0</v>
          </cell>
          <cell r="S136">
            <v>0</v>
          </cell>
          <cell r="T136">
            <v>11809</v>
          </cell>
          <cell r="U136">
            <v>0</v>
          </cell>
          <cell r="V136" t="str">
            <v>FRAC. LA CONDESA</v>
          </cell>
          <cell r="W136" t="str">
            <v>(55) 5365-2202</v>
          </cell>
          <cell r="X136" t="str">
            <v/>
          </cell>
          <cell r="Y136" t="str">
            <v/>
          </cell>
          <cell r="Z136" t="str">
            <v/>
          </cell>
          <cell r="AA136" t="str">
            <v>(55) 58160475</v>
          </cell>
          <cell r="AB136" t="str">
            <v xml:space="preserve">  DEV-028</v>
          </cell>
          <cell r="AC136" t="str">
            <v xml:space="preserve">     28</v>
          </cell>
          <cell r="AD136" t="str">
            <v/>
          </cell>
          <cell r="AE136" t="str">
            <v/>
          </cell>
          <cell r="AF136" t="str">
            <v/>
          </cell>
          <cell r="AG136">
            <v>40843</v>
          </cell>
          <cell r="AH136" t="str">
            <v>N</v>
          </cell>
          <cell r="AI136">
            <v>0</v>
          </cell>
          <cell r="AJ136">
            <v>0</v>
          </cell>
          <cell r="AK136">
            <v>0</v>
          </cell>
          <cell r="AL136">
            <v>848</v>
          </cell>
          <cell r="AM136">
            <v>2914</v>
          </cell>
          <cell r="AN136">
            <v>0</v>
          </cell>
        </row>
        <row r="137">
          <cell r="A137">
            <v>2037</v>
          </cell>
          <cell r="B137" t="str">
            <v>BETY LEYVA GOMEZ (CUAUTITLAN)</v>
          </cell>
          <cell r="C137" t="str">
            <v/>
          </cell>
          <cell r="D137" t="str">
            <v>MERCADO CUAUTITLAN LOC. 44</v>
          </cell>
          <cell r="E137" t="str">
            <v/>
          </cell>
          <cell r="F137" t="str">
            <v/>
          </cell>
          <cell r="G137" t="str">
            <v/>
          </cell>
          <cell r="H137" t="str">
            <v>BETTI LEYVA GOMEZ</v>
          </cell>
          <cell r="I137" t="str">
            <v>BETTI LEYVA GOMEZ</v>
          </cell>
          <cell r="J137" t="str">
            <v>BAJA</v>
          </cell>
          <cell r="K137" t="str">
            <v/>
          </cell>
          <cell r="L137">
            <v>0</v>
          </cell>
          <cell r="M137">
            <v>139</v>
          </cell>
          <cell r="N137" t="str">
            <v>S</v>
          </cell>
          <cell r="O137">
            <v>40900</v>
          </cell>
          <cell r="P137" t="str">
            <v xml:space="preserve">    3</v>
          </cell>
          <cell r="Q137">
            <v>0</v>
          </cell>
          <cell r="R137">
            <v>0</v>
          </cell>
          <cell r="S137">
            <v>0</v>
          </cell>
          <cell r="T137">
            <v>5724</v>
          </cell>
          <cell r="U137">
            <v>0</v>
          </cell>
          <cell r="V137" t="str">
            <v/>
          </cell>
          <cell r="W137" t="str">
            <v/>
          </cell>
          <cell r="X137" t="str">
            <v/>
          </cell>
          <cell r="Y137" t="str">
            <v/>
          </cell>
          <cell r="Z137" t="str">
            <v/>
          </cell>
          <cell r="AA137" t="str">
            <v/>
          </cell>
          <cell r="AB137" t="str">
            <v/>
          </cell>
          <cell r="AC137" t="str">
            <v>A-0178</v>
          </cell>
          <cell r="AD137" t="str">
            <v/>
          </cell>
          <cell r="AE137" t="str">
            <v/>
          </cell>
          <cell r="AF137" t="str">
            <v/>
          </cell>
          <cell r="AH137" t="str">
            <v>N</v>
          </cell>
          <cell r="AI137">
            <v>0</v>
          </cell>
          <cell r="AJ137">
            <v>0</v>
          </cell>
          <cell r="AK137">
            <v>0</v>
          </cell>
          <cell r="AL137">
            <v>0</v>
          </cell>
          <cell r="AM137">
            <v>612</v>
          </cell>
          <cell r="AN137">
            <v>0</v>
          </cell>
        </row>
        <row r="138">
          <cell r="A138">
            <v>2038</v>
          </cell>
          <cell r="B138" t="str">
            <v>IRMA MALDONADO ENRIQUEZ (TEYEHUALCO)</v>
          </cell>
          <cell r="C138" t="str">
            <v/>
          </cell>
          <cell r="D138" t="str">
            <v>CONTINUACION DE GENERAL ANAYA S/N</v>
          </cell>
          <cell r="E138" t="str">
            <v>SANTIAGO TUYEHUALCO, EDO. MEX</v>
          </cell>
          <cell r="F138" t="str">
            <v/>
          </cell>
          <cell r="G138" t="str">
            <v>(55) 5885-4193</v>
          </cell>
          <cell r="H138" t="str">
            <v>IRMA MALDONADO E</v>
          </cell>
          <cell r="I138" t="str">
            <v>IRMA MALDONADO E</v>
          </cell>
          <cell r="J138" t="str">
            <v>BAJA</v>
          </cell>
          <cell r="K138" t="str">
            <v/>
          </cell>
          <cell r="L138">
            <v>0</v>
          </cell>
          <cell r="M138">
            <v>140</v>
          </cell>
          <cell r="N138" t="str">
            <v>S</v>
          </cell>
          <cell r="O138">
            <v>40792</v>
          </cell>
          <cell r="P138" t="str">
            <v xml:space="preserve">    3</v>
          </cell>
          <cell r="Q138">
            <v>0</v>
          </cell>
          <cell r="R138">
            <v>0</v>
          </cell>
          <cell r="S138">
            <v>0</v>
          </cell>
          <cell r="T138">
            <v>1696</v>
          </cell>
          <cell r="U138">
            <v>0</v>
          </cell>
          <cell r="V138" t="str">
            <v>TLAMIMINOLPAN</v>
          </cell>
          <cell r="W138" t="str">
            <v/>
          </cell>
          <cell r="X138" t="str">
            <v/>
          </cell>
          <cell r="Y138" t="str">
            <v/>
          </cell>
          <cell r="Z138" t="str">
            <v/>
          </cell>
          <cell r="AA138" t="str">
            <v>(55) 5885-4193</v>
          </cell>
          <cell r="AB138" t="str">
            <v/>
          </cell>
          <cell r="AC138" t="str">
            <v xml:space="preserve">   7267</v>
          </cell>
          <cell r="AD138" t="str">
            <v/>
          </cell>
          <cell r="AE138" t="str">
            <v/>
          </cell>
          <cell r="AF138" t="str">
            <v/>
          </cell>
          <cell r="AH138" t="str">
            <v>N</v>
          </cell>
          <cell r="AI138">
            <v>0</v>
          </cell>
          <cell r="AJ138">
            <v>0</v>
          </cell>
          <cell r="AK138">
            <v>0</v>
          </cell>
          <cell r="AL138">
            <v>0</v>
          </cell>
          <cell r="AM138">
            <v>1696</v>
          </cell>
          <cell r="AN138">
            <v>0</v>
          </cell>
        </row>
        <row r="139">
          <cell r="A139">
            <v>2039</v>
          </cell>
          <cell r="B139" t="str">
            <v>ALMA EDITH CARBAJAL (CADEREYTA)</v>
          </cell>
          <cell r="C139" t="str">
            <v/>
          </cell>
          <cell r="D139" t="str">
            <v/>
          </cell>
          <cell r="E139" t="str">
            <v>CADEREYTA, QRO.</v>
          </cell>
          <cell r="F139" t="str">
            <v/>
          </cell>
          <cell r="G139" t="str">
            <v>(441) 101-4449</v>
          </cell>
          <cell r="H139" t="str">
            <v>ALMA EDITH CARBAJAL</v>
          </cell>
          <cell r="I139" t="str">
            <v>ALMA EDITH CARBAJAL</v>
          </cell>
          <cell r="J139" t="str">
            <v>BAJA</v>
          </cell>
          <cell r="K139" t="str">
            <v/>
          </cell>
          <cell r="L139">
            <v>0</v>
          </cell>
          <cell r="M139">
            <v>141</v>
          </cell>
          <cell r="N139" t="str">
            <v>A</v>
          </cell>
          <cell r="O139">
            <v>40791</v>
          </cell>
          <cell r="P139" t="str">
            <v xml:space="preserve">    6</v>
          </cell>
          <cell r="Q139">
            <v>0</v>
          </cell>
          <cell r="R139">
            <v>0</v>
          </cell>
          <cell r="S139">
            <v>0</v>
          </cell>
          <cell r="T139">
            <v>130</v>
          </cell>
          <cell r="U139">
            <v>0</v>
          </cell>
          <cell r="V139" t="str">
            <v/>
          </cell>
          <cell r="W139" t="str">
            <v>(427) 276-1308</v>
          </cell>
          <cell r="X139" t="str">
            <v/>
          </cell>
          <cell r="Y139" t="str">
            <v/>
          </cell>
          <cell r="Z139" t="str">
            <v/>
          </cell>
          <cell r="AA139" t="str">
            <v>(441) 101-4449</v>
          </cell>
          <cell r="AB139" t="str">
            <v/>
          </cell>
          <cell r="AC139" t="str">
            <v>C100</v>
          </cell>
          <cell r="AD139" t="str">
            <v/>
          </cell>
          <cell r="AE139" t="str">
            <v/>
          </cell>
          <cell r="AF139" t="str">
            <v/>
          </cell>
          <cell r="AH139" t="str">
            <v>N</v>
          </cell>
          <cell r="AI139">
            <v>0</v>
          </cell>
          <cell r="AJ139">
            <v>0</v>
          </cell>
          <cell r="AK139">
            <v>0</v>
          </cell>
          <cell r="AL139">
            <v>0</v>
          </cell>
          <cell r="AM139">
            <v>130</v>
          </cell>
          <cell r="AN139">
            <v>0</v>
          </cell>
        </row>
        <row r="140">
          <cell r="A140">
            <v>2040</v>
          </cell>
          <cell r="B140" t="str">
            <v>MARCELA LANDEROS TEJEDA (ESCOBEDO)</v>
          </cell>
          <cell r="C140" t="str">
            <v/>
          </cell>
          <cell r="D140" t="str">
            <v>PANAMERICANA #37</v>
          </cell>
          <cell r="E140" t="str">
            <v>PEDRO ESCOBEDO, QRO.</v>
          </cell>
          <cell r="F140" t="str">
            <v/>
          </cell>
          <cell r="G140" t="str">
            <v>(448) 102-1512 CEL</v>
          </cell>
          <cell r="H140" t="str">
            <v>MARCELA LANDEROS T</v>
          </cell>
          <cell r="I140" t="str">
            <v>MARCELA LANDEROS T</v>
          </cell>
          <cell r="J140" t="str">
            <v>J03</v>
          </cell>
          <cell r="K140" t="str">
            <v/>
          </cell>
          <cell r="L140">
            <v>0</v>
          </cell>
          <cell r="M140">
            <v>142</v>
          </cell>
          <cell r="N140" t="str">
            <v>A</v>
          </cell>
          <cell r="O140">
            <v>42361</v>
          </cell>
          <cell r="P140" t="str">
            <v xml:space="preserve">    1</v>
          </cell>
          <cell r="Q140">
            <v>0</v>
          </cell>
          <cell r="R140">
            <v>0</v>
          </cell>
          <cell r="S140">
            <v>12263</v>
          </cell>
          <cell r="T140">
            <v>126872.5</v>
          </cell>
          <cell r="U140">
            <v>0</v>
          </cell>
          <cell r="V140" t="str">
            <v>CENTRO</v>
          </cell>
          <cell r="W140" t="str">
            <v>(448) 108-4714 CEL</v>
          </cell>
          <cell r="X140" t="str">
            <v/>
          </cell>
          <cell r="Y140" t="str">
            <v/>
          </cell>
          <cell r="Z140" t="str">
            <v/>
          </cell>
          <cell r="AA140" t="str">
            <v>(448) 102-1512 CEL</v>
          </cell>
          <cell r="AB140" t="str">
            <v/>
          </cell>
          <cell r="AC140" t="str">
            <v>L0109</v>
          </cell>
          <cell r="AD140" t="str">
            <v/>
          </cell>
          <cell r="AE140" t="str">
            <v/>
          </cell>
          <cell r="AF140" t="str">
            <v/>
          </cell>
          <cell r="AH140" t="str">
            <v>N</v>
          </cell>
          <cell r="AI140">
            <v>0</v>
          </cell>
          <cell r="AJ140">
            <v>0</v>
          </cell>
          <cell r="AK140">
            <v>0</v>
          </cell>
          <cell r="AL140">
            <v>0</v>
          </cell>
          <cell r="AM140">
            <v>6458</v>
          </cell>
          <cell r="AN140">
            <v>0</v>
          </cell>
        </row>
        <row r="141">
          <cell r="A141">
            <v>2041</v>
          </cell>
          <cell r="B141" t="str">
            <v>MARTA PATRICIA AGUILAR MARTINEZ (QUERETARO)</v>
          </cell>
          <cell r="C141" t="str">
            <v/>
          </cell>
          <cell r="D141" t="str">
            <v>EX. MERCADO ESCOBEDO LOC 43-44</v>
          </cell>
          <cell r="E141" t="str">
            <v>QUERETARO, QRO.</v>
          </cell>
          <cell r="F141" t="str">
            <v/>
          </cell>
          <cell r="G141" t="str">
            <v>(442) 168-0261</v>
          </cell>
          <cell r="H141" t="str">
            <v>MARTA PATRICIA A</v>
          </cell>
          <cell r="I141" t="str">
            <v>MARTA PATRICIA A</v>
          </cell>
          <cell r="J141" t="str">
            <v>L04</v>
          </cell>
          <cell r="K141" t="str">
            <v/>
          </cell>
          <cell r="L141">
            <v>0</v>
          </cell>
          <cell r="M141">
            <v>143</v>
          </cell>
          <cell r="N141" t="str">
            <v>A</v>
          </cell>
          <cell r="O141">
            <v>40792</v>
          </cell>
          <cell r="P141" t="str">
            <v xml:space="preserve">    6</v>
          </cell>
          <cell r="Q141">
            <v>0</v>
          </cell>
          <cell r="R141">
            <v>0</v>
          </cell>
          <cell r="S141">
            <v>0</v>
          </cell>
          <cell r="T141">
            <v>925</v>
          </cell>
          <cell r="U141">
            <v>0</v>
          </cell>
          <cell r="V141" t="str">
            <v>CENTRO</v>
          </cell>
          <cell r="W141" t="str">
            <v/>
          </cell>
          <cell r="X141" t="str">
            <v/>
          </cell>
          <cell r="Y141" t="str">
            <v/>
          </cell>
          <cell r="Z141" t="str">
            <v/>
          </cell>
          <cell r="AA141" t="str">
            <v>(442) 168-0261</v>
          </cell>
          <cell r="AB141" t="str">
            <v/>
          </cell>
          <cell r="AC141" t="str">
            <v>C114</v>
          </cell>
          <cell r="AD141" t="str">
            <v/>
          </cell>
          <cell r="AE141" t="str">
            <v/>
          </cell>
          <cell r="AF141" t="str">
            <v/>
          </cell>
          <cell r="AH141" t="str">
            <v>N</v>
          </cell>
          <cell r="AI141">
            <v>0</v>
          </cell>
          <cell r="AJ141">
            <v>0</v>
          </cell>
          <cell r="AK141">
            <v>0</v>
          </cell>
          <cell r="AL141">
            <v>0</v>
          </cell>
          <cell r="AM141">
            <v>925</v>
          </cell>
          <cell r="AN141">
            <v>0</v>
          </cell>
        </row>
        <row r="142">
          <cell r="A142">
            <v>2042</v>
          </cell>
          <cell r="B142" t="str">
            <v>LOURDES MIGUES (QUERETARO)</v>
          </cell>
          <cell r="C142" t="str">
            <v/>
          </cell>
          <cell r="D142" t="str">
            <v>16 DE SEPTIEMBRE #3 INT. 7</v>
          </cell>
          <cell r="E142" t="str">
            <v>QUERETARO, QRO.</v>
          </cell>
          <cell r="F142" t="str">
            <v/>
          </cell>
          <cell r="G142" t="str">
            <v>(442) 274-5933</v>
          </cell>
          <cell r="H142" t="str">
            <v>LOURDES MIGUES</v>
          </cell>
          <cell r="I142" t="str">
            <v>LOURDES MIGUES</v>
          </cell>
          <cell r="J142" t="str">
            <v>BAJA</v>
          </cell>
          <cell r="K142" t="str">
            <v/>
          </cell>
          <cell r="L142">
            <v>0</v>
          </cell>
          <cell r="M142">
            <v>144</v>
          </cell>
          <cell r="N142" t="str">
            <v>A</v>
          </cell>
          <cell r="O142">
            <v>41096</v>
          </cell>
          <cell r="P142" t="str">
            <v xml:space="preserve">    6</v>
          </cell>
          <cell r="Q142">
            <v>0</v>
          </cell>
          <cell r="R142">
            <v>0</v>
          </cell>
          <cell r="S142">
            <v>0</v>
          </cell>
          <cell r="T142">
            <v>5000</v>
          </cell>
          <cell r="U142">
            <v>0</v>
          </cell>
          <cell r="V142" t="str">
            <v>CENTRO</v>
          </cell>
          <cell r="W142" t="str">
            <v/>
          </cell>
          <cell r="X142" t="str">
            <v/>
          </cell>
          <cell r="Y142" t="str">
            <v/>
          </cell>
          <cell r="Z142" t="str">
            <v/>
          </cell>
          <cell r="AA142" t="str">
            <v>(442) 274-5933</v>
          </cell>
          <cell r="AB142" t="str">
            <v xml:space="preserve">   DEV-42</v>
          </cell>
          <cell r="AC142" t="str">
            <v>A-0358</v>
          </cell>
          <cell r="AD142" t="str">
            <v/>
          </cell>
          <cell r="AE142" t="str">
            <v/>
          </cell>
          <cell r="AF142" t="str">
            <v/>
          </cell>
          <cell r="AG142">
            <v>40891</v>
          </cell>
          <cell r="AH142" t="str">
            <v>N</v>
          </cell>
          <cell r="AI142">
            <v>0</v>
          </cell>
          <cell r="AJ142">
            <v>0</v>
          </cell>
          <cell r="AK142">
            <v>0</v>
          </cell>
          <cell r="AL142">
            <v>-39</v>
          </cell>
          <cell r="AM142">
            <v>1154</v>
          </cell>
          <cell r="AN142">
            <v>0</v>
          </cell>
        </row>
        <row r="143">
          <cell r="A143">
            <v>2043</v>
          </cell>
          <cell r="B143" t="str">
            <v>VERONICA GUEVARA (QUERETARO)</v>
          </cell>
          <cell r="C143" t="str">
            <v/>
          </cell>
          <cell r="D143" t="str">
            <v>CORREGIDORA SUR #42</v>
          </cell>
          <cell r="E143" t="str">
            <v>QUERETARO, QRO.</v>
          </cell>
          <cell r="F143" t="str">
            <v/>
          </cell>
          <cell r="G143" t="str">
            <v>(442) 214-3896</v>
          </cell>
          <cell r="H143" t="str">
            <v>VERONICA GUEVARA</v>
          </cell>
          <cell r="I143" t="str">
            <v>VERONICA GUEVARA</v>
          </cell>
          <cell r="J143" t="str">
            <v>BAJA</v>
          </cell>
          <cell r="K143" t="str">
            <v/>
          </cell>
          <cell r="L143">
            <v>0</v>
          </cell>
          <cell r="M143">
            <v>145</v>
          </cell>
          <cell r="N143" t="str">
            <v>A</v>
          </cell>
          <cell r="O143">
            <v>40911</v>
          </cell>
          <cell r="P143" t="str">
            <v xml:space="preserve">    6</v>
          </cell>
          <cell r="Q143">
            <v>0</v>
          </cell>
          <cell r="R143">
            <v>0</v>
          </cell>
          <cell r="S143">
            <v>0</v>
          </cell>
          <cell r="T143">
            <v>1308</v>
          </cell>
          <cell r="U143">
            <v>0</v>
          </cell>
          <cell r="V143" t="str">
            <v>CENTRO</v>
          </cell>
          <cell r="W143" t="str">
            <v/>
          </cell>
          <cell r="X143" t="str">
            <v/>
          </cell>
          <cell r="Y143" t="str">
            <v/>
          </cell>
          <cell r="Z143" t="str">
            <v/>
          </cell>
          <cell r="AA143" t="str">
            <v>(442) 214-3896</v>
          </cell>
          <cell r="AB143" t="str">
            <v/>
          </cell>
          <cell r="AC143" t="str">
            <v xml:space="preserve">     51</v>
          </cell>
          <cell r="AD143" t="str">
            <v/>
          </cell>
          <cell r="AE143" t="str">
            <v/>
          </cell>
          <cell r="AF143" t="str">
            <v/>
          </cell>
          <cell r="AH143" t="str">
            <v>N</v>
          </cell>
          <cell r="AI143">
            <v>0</v>
          </cell>
          <cell r="AJ143">
            <v>0</v>
          </cell>
          <cell r="AK143">
            <v>0</v>
          </cell>
          <cell r="AL143">
            <v>0</v>
          </cell>
          <cell r="AM143">
            <v>136</v>
          </cell>
          <cell r="AN143">
            <v>0</v>
          </cell>
        </row>
        <row r="144">
          <cell r="A144">
            <v>2044</v>
          </cell>
          <cell r="B144" t="str">
            <v>BOUTIQUE K-PRICHITO'S (IXMIQUILPAN)</v>
          </cell>
          <cell r="C144" t="str">
            <v/>
          </cell>
          <cell r="D144" t="str">
            <v>RAUL GUERRERO ESQ. AGUSTIN LARA</v>
          </cell>
          <cell r="E144" t="str">
            <v>IXMIQUILPAN, HGO.</v>
          </cell>
          <cell r="F144" t="str">
            <v/>
          </cell>
          <cell r="G144" t="str">
            <v>(772)126-9640</v>
          </cell>
          <cell r="H144" t="str">
            <v/>
          </cell>
          <cell r="I144" t="str">
            <v/>
          </cell>
          <cell r="J144" t="str">
            <v>BAJA</v>
          </cell>
          <cell r="K144" t="str">
            <v/>
          </cell>
          <cell r="L144">
            <v>0</v>
          </cell>
          <cell r="M144">
            <v>146</v>
          </cell>
          <cell r="N144" t="str">
            <v>A</v>
          </cell>
          <cell r="O144">
            <v>41451</v>
          </cell>
          <cell r="P144" t="str">
            <v xml:space="preserve">    6</v>
          </cell>
          <cell r="Q144">
            <v>0</v>
          </cell>
          <cell r="R144">
            <v>0</v>
          </cell>
          <cell r="S144">
            <v>0</v>
          </cell>
          <cell r="T144">
            <v>6666</v>
          </cell>
          <cell r="U144">
            <v>0</v>
          </cell>
          <cell r="V144" t="str">
            <v>SAN ANTONIO</v>
          </cell>
          <cell r="W144" t="str">
            <v/>
          </cell>
          <cell r="X144" t="str">
            <v>roussvanney@hotmail.com</v>
          </cell>
          <cell r="Y144" t="str">
            <v/>
          </cell>
          <cell r="Z144" t="str">
            <v/>
          </cell>
          <cell r="AA144" t="str">
            <v>(772)126-9640</v>
          </cell>
          <cell r="AB144" t="str">
            <v/>
          </cell>
          <cell r="AC144" t="str">
            <v>R-0390</v>
          </cell>
          <cell r="AD144" t="str">
            <v/>
          </cell>
          <cell r="AE144" t="str">
            <v/>
          </cell>
          <cell r="AF144" t="str">
            <v/>
          </cell>
          <cell r="AH144" t="str">
            <v>N</v>
          </cell>
          <cell r="AI144">
            <v>0</v>
          </cell>
          <cell r="AJ144">
            <v>0</v>
          </cell>
          <cell r="AK144">
            <v>0</v>
          </cell>
          <cell r="AL144">
            <v>0</v>
          </cell>
          <cell r="AM144">
            <v>540</v>
          </cell>
          <cell r="AN144">
            <v>0</v>
          </cell>
        </row>
        <row r="145">
          <cell r="A145">
            <v>2045</v>
          </cell>
          <cell r="B145" t="str">
            <v>MA. DEL ROCIO CABALLERO ALEGRIA (CUAUTITLAN)</v>
          </cell>
          <cell r="C145" t="str">
            <v/>
          </cell>
          <cell r="D145" t="str">
            <v>AMAPOLA #12</v>
          </cell>
          <cell r="E145" t="str">
            <v>CUAUTITLAN, EDO. DE MEXICO</v>
          </cell>
          <cell r="F145" t="str">
            <v>54870</v>
          </cell>
          <cell r="G145" t="str">
            <v>(55) 4270-1102 CEL.</v>
          </cell>
          <cell r="H145" t="str">
            <v>ROCIO CABALLERO</v>
          </cell>
          <cell r="I145" t="str">
            <v>ROCIO CABALLERO</v>
          </cell>
          <cell r="J145" t="str">
            <v>BAJA</v>
          </cell>
          <cell r="K145" t="str">
            <v/>
          </cell>
          <cell r="L145">
            <v>0</v>
          </cell>
          <cell r="M145">
            <v>147</v>
          </cell>
          <cell r="N145" t="str">
            <v>A</v>
          </cell>
          <cell r="O145">
            <v>41509</v>
          </cell>
          <cell r="P145" t="str">
            <v xml:space="preserve">    3</v>
          </cell>
          <cell r="Q145">
            <v>0</v>
          </cell>
          <cell r="R145">
            <v>0</v>
          </cell>
          <cell r="S145">
            <v>0</v>
          </cell>
          <cell r="T145">
            <v>43150.400000000001</v>
          </cell>
          <cell r="U145">
            <v>0</v>
          </cell>
          <cell r="V145" t="str">
            <v>SAN JOSE</v>
          </cell>
          <cell r="W145" t="str">
            <v/>
          </cell>
          <cell r="X145" t="str">
            <v/>
          </cell>
          <cell r="Y145" t="str">
            <v/>
          </cell>
          <cell r="Z145" t="str">
            <v/>
          </cell>
          <cell r="AA145" t="str">
            <v>(55) 4270-1102 CEL.</v>
          </cell>
          <cell r="AB145" t="str">
            <v/>
          </cell>
          <cell r="AC145" t="str">
            <v>M01085</v>
          </cell>
          <cell r="AD145" t="str">
            <v/>
          </cell>
          <cell r="AE145" t="str">
            <v/>
          </cell>
          <cell r="AF145" t="str">
            <v/>
          </cell>
          <cell r="AH145" t="str">
            <v>N</v>
          </cell>
          <cell r="AI145">
            <v>0</v>
          </cell>
          <cell r="AJ145">
            <v>0</v>
          </cell>
          <cell r="AK145">
            <v>0</v>
          </cell>
          <cell r="AL145">
            <v>0</v>
          </cell>
          <cell r="AM145">
            <v>6789</v>
          </cell>
          <cell r="AN145">
            <v>0</v>
          </cell>
        </row>
        <row r="146">
          <cell r="A146">
            <v>2046</v>
          </cell>
          <cell r="B146" t="str">
            <v>SARA LETICIA RODRIGUEZ ALEGRIA (SAN JUAN)</v>
          </cell>
          <cell r="C146" t="str">
            <v/>
          </cell>
          <cell r="D146" t="str">
            <v>20 DE NOVIEMBRE #135-A y C</v>
          </cell>
          <cell r="E146" t="str">
            <v>SAN JUAN DEL RIO, QRO.</v>
          </cell>
          <cell r="F146" t="str">
            <v/>
          </cell>
          <cell r="G146" t="str">
            <v>(427) 272-9076</v>
          </cell>
          <cell r="H146" t="str">
            <v>SARA RODRIGUEZ</v>
          </cell>
          <cell r="I146" t="str">
            <v>SARA RODRIGUEZ</v>
          </cell>
          <cell r="J146" t="str">
            <v>L01</v>
          </cell>
          <cell r="K146" t="str">
            <v/>
          </cell>
          <cell r="L146">
            <v>0</v>
          </cell>
          <cell r="M146">
            <v>148</v>
          </cell>
          <cell r="N146" t="str">
            <v>A</v>
          </cell>
          <cell r="O146">
            <v>42511</v>
          </cell>
          <cell r="P146" t="str">
            <v xml:space="preserve">    6</v>
          </cell>
          <cell r="Q146">
            <v>0</v>
          </cell>
          <cell r="R146">
            <v>0</v>
          </cell>
          <cell r="S146">
            <v>8548</v>
          </cell>
          <cell r="T146">
            <v>181619</v>
          </cell>
          <cell r="U146">
            <v>0</v>
          </cell>
          <cell r="V146" t="str">
            <v>CENTRO</v>
          </cell>
          <cell r="W146" t="str">
            <v>92*843052*1</v>
          </cell>
          <cell r="X146" t="str">
            <v>saralet79@live.com.mx</v>
          </cell>
          <cell r="Y146" t="str">
            <v/>
          </cell>
          <cell r="Z146" t="str">
            <v/>
          </cell>
          <cell r="AA146" t="str">
            <v>(427) 272-9076</v>
          </cell>
          <cell r="AB146" t="str">
            <v/>
          </cell>
          <cell r="AC146" t="str">
            <v>D0410</v>
          </cell>
          <cell r="AD146" t="str">
            <v/>
          </cell>
          <cell r="AE146" t="str">
            <v/>
          </cell>
          <cell r="AF146" t="str">
            <v/>
          </cell>
          <cell r="AH146" t="str">
            <v>N</v>
          </cell>
          <cell r="AI146">
            <v>0</v>
          </cell>
          <cell r="AJ146">
            <v>0</v>
          </cell>
          <cell r="AK146">
            <v>0</v>
          </cell>
          <cell r="AL146">
            <v>0</v>
          </cell>
          <cell r="AM146">
            <v>3085</v>
          </cell>
          <cell r="AN146">
            <v>0</v>
          </cell>
        </row>
        <row r="147">
          <cell r="A147">
            <v>2047</v>
          </cell>
          <cell r="B147" t="str">
            <v>HORTENCIA VELAZQUEZ (EZEQUIEL MONTES)</v>
          </cell>
          <cell r="C147" t="str">
            <v/>
          </cell>
          <cell r="D147" t="str">
            <v>BELISARIO DOMINGUEZ #128</v>
          </cell>
          <cell r="E147" t="str">
            <v>EZEQUIEL MONTES, QRO.</v>
          </cell>
          <cell r="F147" t="str">
            <v/>
          </cell>
          <cell r="G147" t="str">
            <v>(441) 276-7874</v>
          </cell>
          <cell r="H147" t="str">
            <v>HORTENCIA VAZQUEZ</v>
          </cell>
          <cell r="I147" t="str">
            <v>HORTENCIA VAZQUEZ</v>
          </cell>
          <cell r="J147" t="str">
            <v>BAJA</v>
          </cell>
          <cell r="K147" t="str">
            <v/>
          </cell>
          <cell r="L147">
            <v>0</v>
          </cell>
          <cell r="M147">
            <v>149</v>
          </cell>
          <cell r="N147" t="str">
            <v>A</v>
          </cell>
          <cell r="O147">
            <v>42417</v>
          </cell>
          <cell r="P147" t="str">
            <v xml:space="preserve">    6</v>
          </cell>
          <cell r="Q147">
            <v>0</v>
          </cell>
          <cell r="R147">
            <v>0</v>
          </cell>
          <cell r="S147">
            <v>0</v>
          </cell>
          <cell r="T147">
            <v>15968</v>
          </cell>
          <cell r="U147">
            <v>0</v>
          </cell>
          <cell r="V147" t="str">
            <v>CENTRO</v>
          </cell>
          <cell r="W147" t="str">
            <v/>
          </cell>
          <cell r="X147" t="str">
            <v/>
          </cell>
          <cell r="Y147" t="str">
            <v/>
          </cell>
          <cell r="Z147" t="str">
            <v/>
          </cell>
          <cell r="AA147" t="str">
            <v>(441) 276-7874</v>
          </cell>
          <cell r="AB147" t="str">
            <v/>
          </cell>
          <cell r="AC147" t="str">
            <v>J165876</v>
          </cell>
          <cell r="AD147" t="str">
            <v/>
          </cell>
          <cell r="AE147" t="str">
            <v/>
          </cell>
          <cell r="AF147" t="str">
            <v/>
          </cell>
          <cell r="AH147" t="str">
            <v>N</v>
          </cell>
          <cell r="AI147">
            <v>0</v>
          </cell>
          <cell r="AJ147">
            <v>0</v>
          </cell>
          <cell r="AK147">
            <v>0</v>
          </cell>
          <cell r="AL147">
            <v>0</v>
          </cell>
          <cell r="AM147">
            <v>875</v>
          </cell>
          <cell r="AN147">
            <v>0</v>
          </cell>
        </row>
        <row r="148">
          <cell r="A148">
            <v>2048</v>
          </cell>
          <cell r="B148" t="str">
            <v>ARACELI GOMEZ (TEQUISQUIAPAN)</v>
          </cell>
          <cell r="C148" t="str">
            <v/>
          </cell>
          <cell r="D148" t="str">
            <v>JUAREZ #26 Y 30</v>
          </cell>
          <cell r="E148" t="str">
            <v>TEQUISQUIAPAN, QRO.</v>
          </cell>
          <cell r="F148" t="str">
            <v/>
          </cell>
          <cell r="G148" t="str">
            <v>(414) 231-2068</v>
          </cell>
          <cell r="H148" t="str">
            <v>ARACELI GOMEZ</v>
          </cell>
          <cell r="I148" t="str">
            <v>ARACELI GOMEZ</v>
          </cell>
          <cell r="J148" t="str">
            <v>J02</v>
          </cell>
          <cell r="K148" t="str">
            <v/>
          </cell>
          <cell r="L148">
            <v>0</v>
          </cell>
          <cell r="M148">
            <v>150</v>
          </cell>
          <cell r="N148" t="str">
            <v>A</v>
          </cell>
          <cell r="O148">
            <v>42212</v>
          </cell>
          <cell r="P148" t="str">
            <v xml:space="preserve">    6</v>
          </cell>
          <cell r="Q148">
            <v>0</v>
          </cell>
          <cell r="R148">
            <v>0</v>
          </cell>
          <cell r="S148">
            <v>0</v>
          </cell>
          <cell r="T148">
            <v>2580</v>
          </cell>
          <cell r="U148">
            <v>0</v>
          </cell>
          <cell r="V148" t="str">
            <v>CENTRO</v>
          </cell>
          <cell r="W148" t="str">
            <v>(414) 280-4896</v>
          </cell>
          <cell r="X148" t="str">
            <v/>
          </cell>
          <cell r="Y148" t="str">
            <v/>
          </cell>
          <cell r="Z148" t="str">
            <v/>
          </cell>
          <cell r="AA148" t="str">
            <v>(414) 231-2068</v>
          </cell>
          <cell r="AB148" t="str">
            <v/>
          </cell>
          <cell r="AC148" t="str">
            <v>J-024</v>
          </cell>
          <cell r="AD148" t="str">
            <v/>
          </cell>
          <cell r="AE148" t="str">
            <v/>
          </cell>
          <cell r="AF148" t="str">
            <v/>
          </cell>
          <cell r="AH148" t="str">
            <v>N</v>
          </cell>
          <cell r="AI148">
            <v>0</v>
          </cell>
          <cell r="AJ148">
            <v>0</v>
          </cell>
          <cell r="AK148">
            <v>0</v>
          </cell>
          <cell r="AL148">
            <v>0</v>
          </cell>
          <cell r="AM148">
            <v>1382</v>
          </cell>
          <cell r="AN148">
            <v>0</v>
          </cell>
        </row>
        <row r="149">
          <cell r="A149">
            <v>2049</v>
          </cell>
          <cell r="B149" t="str">
            <v>FERNANDO SERRANO (TEXCOCO)</v>
          </cell>
          <cell r="C149" t="str">
            <v/>
          </cell>
          <cell r="D149" t="str">
            <v>LOC. 181</v>
          </cell>
          <cell r="E149" t="str">
            <v>TEXCOCO, EDO. DE MEXICO</v>
          </cell>
          <cell r="F149" t="str">
            <v/>
          </cell>
          <cell r="G149" t="str">
            <v>(55) 9100-2743 CEL</v>
          </cell>
          <cell r="H149" t="str">
            <v>FERNANDO SERRANO</v>
          </cell>
          <cell r="I149" t="str">
            <v>FERNANDO SERRANO</v>
          </cell>
          <cell r="J149" t="str">
            <v>BAJA</v>
          </cell>
          <cell r="K149" t="str">
            <v/>
          </cell>
          <cell r="L149">
            <v>0</v>
          </cell>
          <cell r="M149">
            <v>151</v>
          </cell>
          <cell r="N149" t="str">
            <v>A</v>
          </cell>
          <cell r="O149">
            <v>40858</v>
          </cell>
          <cell r="P149" t="str">
            <v xml:space="preserve">    3</v>
          </cell>
          <cell r="Q149">
            <v>0</v>
          </cell>
          <cell r="R149">
            <v>0</v>
          </cell>
          <cell r="S149">
            <v>0</v>
          </cell>
          <cell r="T149">
            <v>2058</v>
          </cell>
          <cell r="U149">
            <v>0</v>
          </cell>
          <cell r="V149" t="str">
            <v>SAN ANTONIO</v>
          </cell>
          <cell r="W149" t="str">
            <v/>
          </cell>
          <cell r="X149" t="str">
            <v/>
          </cell>
          <cell r="Y149" t="str">
            <v/>
          </cell>
          <cell r="Z149" t="str">
            <v/>
          </cell>
          <cell r="AA149" t="str">
            <v>(55) 9100-2743 CEL</v>
          </cell>
          <cell r="AB149" t="str">
            <v/>
          </cell>
          <cell r="AC149" t="str">
            <v xml:space="preserve">   0314</v>
          </cell>
          <cell r="AD149" t="str">
            <v/>
          </cell>
          <cell r="AE149" t="str">
            <v/>
          </cell>
          <cell r="AF149" t="str">
            <v/>
          </cell>
          <cell r="AH149" t="str">
            <v>N</v>
          </cell>
          <cell r="AI149">
            <v>0</v>
          </cell>
          <cell r="AJ149">
            <v>0</v>
          </cell>
          <cell r="AK149">
            <v>0</v>
          </cell>
          <cell r="AL149">
            <v>0</v>
          </cell>
          <cell r="AM149">
            <v>990</v>
          </cell>
          <cell r="AN149">
            <v>0</v>
          </cell>
        </row>
        <row r="150">
          <cell r="A150">
            <v>2050</v>
          </cell>
          <cell r="B150" t="str">
            <v>JUANA GALINDO FLORES (TEXCOCO)</v>
          </cell>
          <cell r="C150" t="str">
            <v/>
          </cell>
          <cell r="D150" t="str">
            <v>MERCADO TEXCOCO</v>
          </cell>
          <cell r="E150" t="str">
            <v>TEXCOCO, EDO. DE MEXICO</v>
          </cell>
          <cell r="F150" t="str">
            <v/>
          </cell>
          <cell r="G150" t="str">
            <v/>
          </cell>
          <cell r="H150" t="str">
            <v>JUANA GALINDO FLORES</v>
          </cell>
          <cell r="I150" t="str">
            <v>JUANA GALINDO FLORES</v>
          </cell>
          <cell r="J150" t="str">
            <v>BAJA</v>
          </cell>
          <cell r="K150" t="str">
            <v/>
          </cell>
          <cell r="L150">
            <v>0</v>
          </cell>
          <cell r="M150">
            <v>152</v>
          </cell>
          <cell r="N150" t="str">
            <v>A</v>
          </cell>
          <cell r="O150">
            <v>40795</v>
          </cell>
          <cell r="P150" t="str">
            <v xml:space="preserve">    3</v>
          </cell>
          <cell r="Q150">
            <v>0</v>
          </cell>
          <cell r="R150">
            <v>0</v>
          </cell>
          <cell r="S150">
            <v>0</v>
          </cell>
          <cell r="T150">
            <v>456</v>
          </cell>
          <cell r="U150">
            <v>0</v>
          </cell>
          <cell r="V150" t="str">
            <v>CENTRO</v>
          </cell>
          <cell r="W150" t="str">
            <v/>
          </cell>
          <cell r="X150" t="str">
            <v/>
          </cell>
          <cell r="Y150" t="str">
            <v/>
          </cell>
          <cell r="Z150" t="str">
            <v/>
          </cell>
          <cell r="AA150" t="str">
            <v/>
          </cell>
          <cell r="AB150" t="str">
            <v/>
          </cell>
          <cell r="AC150" t="str">
            <v>C209</v>
          </cell>
          <cell r="AD150" t="str">
            <v/>
          </cell>
          <cell r="AE150" t="str">
            <v/>
          </cell>
          <cell r="AF150" t="str">
            <v/>
          </cell>
          <cell r="AH150" t="str">
            <v>N</v>
          </cell>
          <cell r="AI150">
            <v>0</v>
          </cell>
          <cell r="AJ150">
            <v>0</v>
          </cell>
          <cell r="AK150">
            <v>0</v>
          </cell>
          <cell r="AL150">
            <v>0</v>
          </cell>
          <cell r="AM150">
            <v>456</v>
          </cell>
          <cell r="AN150">
            <v>0</v>
          </cell>
        </row>
        <row r="151">
          <cell r="A151">
            <v>2051</v>
          </cell>
          <cell r="B151" t="str">
            <v>MARGARITA FERNANDEZ (ZACUAUTITLA)</v>
          </cell>
          <cell r="C151" t="str">
            <v/>
          </cell>
          <cell r="D151" t="str">
            <v>VENUSTIANO CARRANZA #42</v>
          </cell>
          <cell r="E151" t="str">
            <v>COACALCO, EDO. DE MEXICO</v>
          </cell>
          <cell r="F151" t="str">
            <v/>
          </cell>
          <cell r="G151" t="str">
            <v/>
          </cell>
          <cell r="H151" t="str">
            <v>MARGARITA FERNANDEZ</v>
          </cell>
          <cell r="I151" t="str">
            <v>MARGARITA FERNANDEZ</v>
          </cell>
          <cell r="J151" t="str">
            <v>BAJA</v>
          </cell>
          <cell r="K151" t="str">
            <v/>
          </cell>
          <cell r="L151">
            <v>0</v>
          </cell>
          <cell r="M151">
            <v>153</v>
          </cell>
          <cell r="N151" t="str">
            <v>A</v>
          </cell>
          <cell r="O151">
            <v>40805</v>
          </cell>
          <cell r="P151" t="str">
            <v xml:space="preserve">    3</v>
          </cell>
          <cell r="Q151">
            <v>0</v>
          </cell>
          <cell r="R151">
            <v>0</v>
          </cell>
          <cell r="S151">
            <v>0</v>
          </cell>
          <cell r="T151">
            <v>418</v>
          </cell>
          <cell r="U151">
            <v>0</v>
          </cell>
          <cell r="V151" t="str">
            <v>ZACUAUTITLA</v>
          </cell>
          <cell r="W151" t="str">
            <v/>
          </cell>
          <cell r="X151" t="str">
            <v/>
          </cell>
          <cell r="Y151" t="str">
            <v/>
          </cell>
          <cell r="Z151" t="str">
            <v/>
          </cell>
          <cell r="AA151" t="str">
            <v/>
          </cell>
          <cell r="AB151" t="str">
            <v/>
          </cell>
          <cell r="AC151" t="str">
            <v>C213</v>
          </cell>
          <cell r="AD151" t="str">
            <v/>
          </cell>
          <cell r="AE151" t="str">
            <v/>
          </cell>
          <cell r="AF151" t="str">
            <v/>
          </cell>
          <cell r="AH151" t="str">
            <v>N</v>
          </cell>
          <cell r="AI151">
            <v>0</v>
          </cell>
          <cell r="AJ151">
            <v>0</v>
          </cell>
          <cell r="AK151">
            <v>0</v>
          </cell>
          <cell r="AL151">
            <v>0</v>
          </cell>
          <cell r="AM151">
            <v>418</v>
          </cell>
          <cell r="AN151">
            <v>0</v>
          </cell>
        </row>
        <row r="152">
          <cell r="A152">
            <v>2052</v>
          </cell>
          <cell r="B152" t="str">
            <v>EVA ANDRADE (PROGRESO)</v>
          </cell>
          <cell r="C152" t="str">
            <v/>
          </cell>
          <cell r="D152" t="str">
            <v>PLAZA DE LA CONSTITUCION #12</v>
          </cell>
          <cell r="E152" t="str">
            <v>PROGRESO, HGO.</v>
          </cell>
          <cell r="F152" t="str">
            <v/>
          </cell>
          <cell r="G152" t="str">
            <v>(738) 735-7814</v>
          </cell>
          <cell r="H152" t="str">
            <v>EVA ANDRADE</v>
          </cell>
          <cell r="I152" t="str">
            <v>EVA ANDRADE</v>
          </cell>
          <cell r="J152" t="str">
            <v>BAJA</v>
          </cell>
          <cell r="K152" t="str">
            <v/>
          </cell>
          <cell r="L152">
            <v>0</v>
          </cell>
          <cell r="M152">
            <v>154</v>
          </cell>
          <cell r="N152" t="str">
            <v>A</v>
          </cell>
          <cell r="O152">
            <v>40993</v>
          </cell>
          <cell r="P152" t="str">
            <v xml:space="preserve">    6</v>
          </cell>
          <cell r="Q152">
            <v>0</v>
          </cell>
          <cell r="R152">
            <v>0</v>
          </cell>
          <cell r="S152">
            <v>0</v>
          </cell>
          <cell r="T152">
            <v>2769</v>
          </cell>
          <cell r="U152">
            <v>0</v>
          </cell>
          <cell r="V152" t="str">
            <v>CENTRO</v>
          </cell>
          <cell r="W152" t="str">
            <v/>
          </cell>
          <cell r="X152" t="str">
            <v/>
          </cell>
          <cell r="Y152" t="str">
            <v/>
          </cell>
          <cell r="Z152" t="str">
            <v/>
          </cell>
          <cell r="AA152" t="str">
            <v>(738) 735-7814</v>
          </cell>
          <cell r="AB152" t="str">
            <v/>
          </cell>
          <cell r="AC152" t="str">
            <v xml:space="preserve">   0903</v>
          </cell>
          <cell r="AD152" t="str">
            <v/>
          </cell>
          <cell r="AE152" t="str">
            <v/>
          </cell>
          <cell r="AF152" t="str">
            <v/>
          </cell>
          <cell r="AH152" t="str">
            <v>N</v>
          </cell>
          <cell r="AI152">
            <v>0</v>
          </cell>
          <cell r="AJ152">
            <v>0</v>
          </cell>
          <cell r="AK152">
            <v>0</v>
          </cell>
          <cell r="AL152">
            <v>0</v>
          </cell>
          <cell r="AM152">
            <v>2109</v>
          </cell>
          <cell r="AN152">
            <v>0</v>
          </cell>
        </row>
        <row r="153">
          <cell r="A153">
            <v>2053</v>
          </cell>
          <cell r="B153" t="str">
            <v>ROSA ELVIA MORAN J. (ACTOPAN)</v>
          </cell>
          <cell r="C153" t="str">
            <v/>
          </cell>
          <cell r="D153" t="str">
            <v>VICTORIA #6</v>
          </cell>
          <cell r="E153" t="str">
            <v>ACTOPAN, HGO.</v>
          </cell>
          <cell r="F153" t="str">
            <v/>
          </cell>
          <cell r="G153" t="str">
            <v>(772) 123-7290</v>
          </cell>
          <cell r="H153" t="str">
            <v>ROSA ELVIA MORAN J.</v>
          </cell>
          <cell r="I153" t="str">
            <v>ROSA ELVIA MORAN J.</v>
          </cell>
          <cell r="J153" t="str">
            <v>BAJA</v>
          </cell>
          <cell r="K153" t="str">
            <v/>
          </cell>
          <cell r="L153">
            <v>0</v>
          </cell>
          <cell r="M153">
            <v>155</v>
          </cell>
          <cell r="N153" t="str">
            <v>S</v>
          </cell>
          <cell r="O153">
            <v>40809</v>
          </cell>
          <cell r="P153" t="str">
            <v xml:space="preserve">    6</v>
          </cell>
          <cell r="Q153">
            <v>0</v>
          </cell>
          <cell r="R153">
            <v>0</v>
          </cell>
          <cell r="S153">
            <v>0</v>
          </cell>
          <cell r="T153">
            <v>488</v>
          </cell>
          <cell r="U153">
            <v>0</v>
          </cell>
          <cell r="V153" t="str">
            <v>CENTRO</v>
          </cell>
          <cell r="W153" t="str">
            <v/>
          </cell>
          <cell r="X153" t="str">
            <v>F02</v>
          </cell>
          <cell r="Y153" t="str">
            <v/>
          </cell>
          <cell r="Z153" t="str">
            <v/>
          </cell>
          <cell r="AA153" t="str">
            <v>(772) 123-7290</v>
          </cell>
          <cell r="AB153" t="str">
            <v xml:space="preserve">     INCO</v>
          </cell>
          <cell r="AC153" t="str">
            <v>G015</v>
          </cell>
          <cell r="AD153" t="str">
            <v/>
          </cell>
          <cell r="AE153" t="str">
            <v/>
          </cell>
          <cell r="AF153" t="str">
            <v/>
          </cell>
          <cell r="AG153">
            <v>41760</v>
          </cell>
          <cell r="AH153" t="str">
            <v>N</v>
          </cell>
          <cell r="AI153">
            <v>0</v>
          </cell>
          <cell r="AJ153">
            <v>0</v>
          </cell>
          <cell r="AK153">
            <v>0</v>
          </cell>
          <cell r="AL153">
            <v>488</v>
          </cell>
          <cell r="AM153">
            <v>488</v>
          </cell>
          <cell r="AN153">
            <v>0</v>
          </cell>
        </row>
        <row r="154">
          <cell r="A154">
            <v>2054</v>
          </cell>
          <cell r="B154" t="str">
            <v>MARIA ELENA SANCHEZ REYO (HUICHAPAN)</v>
          </cell>
          <cell r="C154" t="str">
            <v/>
          </cell>
          <cell r="D154" t="str">
            <v>JULIAN VILLAGRAN #12</v>
          </cell>
          <cell r="E154" t="str">
            <v>HUICHAPAN, HGO.</v>
          </cell>
          <cell r="F154" t="str">
            <v/>
          </cell>
          <cell r="G154" t="str">
            <v>(773) 128-3443</v>
          </cell>
          <cell r="H154" t="str">
            <v>ELENA SANCHEZ REYO</v>
          </cell>
          <cell r="I154" t="str">
            <v>ELENA SANCHEZ REYO</v>
          </cell>
          <cell r="J154" t="str">
            <v>BAJA</v>
          </cell>
          <cell r="K154" t="str">
            <v/>
          </cell>
          <cell r="L154">
            <v>0</v>
          </cell>
          <cell r="M154">
            <v>156</v>
          </cell>
          <cell r="N154" t="str">
            <v>A</v>
          </cell>
          <cell r="O154">
            <v>40890</v>
          </cell>
          <cell r="P154" t="str">
            <v xml:space="preserve">    6</v>
          </cell>
          <cell r="Q154">
            <v>0</v>
          </cell>
          <cell r="R154">
            <v>0</v>
          </cell>
          <cell r="S154">
            <v>0</v>
          </cell>
          <cell r="T154">
            <v>9606</v>
          </cell>
          <cell r="U154">
            <v>0</v>
          </cell>
          <cell r="V154" t="str">
            <v>CENTRO</v>
          </cell>
          <cell r="W154" t="str">
            <v/>
          </cell>
          <cell r="X154" t="str">
            <v/>
          </cell>
          <cell r="Y154" t="str">
            <v/>
          </cell>
          <cell r="Z154" t="str">
            <v/>
          </cell>
          <cell r="AA154" t="str">
            <v>(773) 128-3443</v>
          </cell>
          <cell r="AB154" t="str">
            <v/>
          </cell>
          <cell r="AC154" t="str">
            <v xml:space="preserve">   0347</v>
          </cell>
          <cell r="AD154" t="str">
            <v/>
          </cell>
          <cell r="AE154" t="str">
            <v/>
          </cell>
          <cell r="AF154" t="str">
            <v/>
          </cell>
          <cell r="AH154" t="str">
            <v>N</v>
          </cell>
          <cell r="AI154">
            <v>0</v>
          </cell>
          <cell r="AJ154">
            <v>0</v>
          </cell>
          <cell r="AK154">
            <v>0</v>
          </cell>
          <cell r="AL154">
            <v>0</v>
          </cell>
          <cell r="AM154">
            <v>2655</v>
          </cell>
          <cell r="AN154">
            <v>0</v>
          </cell>
        </row>
        <row r="155">
          <cell r="A155">
            <v>2055</v>
          </cell>
          <cell r="B155" t="str">
            <v>LUZ ESTELA ROJO CORIA (HUICHAPAN)</v>
          </cell>
          <cell r="C155" t="str">
            <v/>
          </cell>
          <cell r="D155" t="str">
            <v>LEDESMA #3 LAS PALMAS</v>
          </cell>
          <cell r="E155" t="str">
            <v>HUICHAPAN, HGO.</v>
          </cell>
          <cell r="F155" t="str">
            <v/>
          </cell>
          <cell r="G155" t="str">
            <v>(773) 109-8824 CEL</v>
          </cell>
          <cell r="H155" t="str">
            <v>LUZ ESTELA ROJO C.</v>
          </cell>
          <cell r="I155" t="str">
            <v>LUZ ESTELA ROJO C.</v>
          </cell>
          <cell r="J155" t="str">
            <v>F02</v>
          </cell>
          <cell r="K155" t="str">
            <v/>
          </cell>
          <cell r="L155">
            <v>0</v>
          </cell>
          <cell r="M155">
            <v>157</v>
          </cell>
          <cell r="N155" t="str">
            <v>A</v>
          </cell>
          <cell r="O155">
            <v>42511</v>
          </cell>
          <cell r="P155" t="str">
            <v xml:space="preserve">    6</v>
          </cell>
          <cell r="Q155">
            <v>0</v>
          </cell>
          <cell r="R155">
            <v>0</v>
          </cell>
          <cell r="S155">
            <v>6728</v>
          </cell>
          <cell r="T155">
            <v>73816</v>
          </cell>
          <cell r="U155">
            <v>0</v>
          </cell>
          <cell r="V155" t="str">
            <v>CENTRO</v>
          </cell>
          <cell r="W155" t="str">
            <v>(773) 123-0550 CEL</v>
          </cell>
          <cell r="X155" t="str">
            <v/>
          </cell>
          <cell r="Y155" t="str">
            <v/>
          </cell>
          <cell r="Z155" t="str">
            <v/>
          </cell>
          <cell r="AA155" t="str">
            <v>(773) 109-8824 CEL</v>
          </cell>
          <cell r="AB155" t="str">
            <v xml:space="preserve">  DEV 285</v>
          </cell>
          <cell r="AC155" t="str">
            <v>F529</v>
          </cell>
          <cell r="AD155" t="str">
            <v/>
          </cell>
          <cell r="AE155" t="str">
            <v/>
          </cell>
          <cell r="AF155" t="str">
            <v/>
          </cell>
          <cell r="AG155">
            <v>42206</v>
          </cell>
          <cell r="AH155" t="str">
            <v>N</v>
          </cell>
          <cell r="AI155">
            <v>0</v>
          </cell>
          <cell r="AJ155">
            <v>0</v>
          </cell>
          <cell r="AK155">
            <v>0</v>
          </cell>
          <cell r="AL155">
            <v>335</v>
          </cell>
          <cell r="AM155">
            <v>1840</v>
          </cell>
          <cell r="AN155">
            <v>0</v>
          </cell>
        </row>
        <row r="156">
          <cell r="A156">
            <v>2056</v>
          </cell>
          <cell r="B156" t="str">
            <v>SALVADOR MARTINEZ HERANDEZ (IXMIQUILPAN)</v>
          </cell>
          <cell r="C156" t="str">
            <v/>
          </cell>
          <cell r="D156" t="str">
            <v>AV. INSURGENTES OTE. #135</v>
          </cell>
          <cell r="E156" t="str">
            <v>IXMIQUILPAN, HGO.</v>
          </cell>
          <cell r="F156" t="str">
            <v/>
          </cell>
          <cell r="G156" t="str">
            <v>(759) 723-1743</v>
          </cell>
          <cell r="H156" t="str">
            <v>SALVADOR MARTINEZ H.</v>
          </cell>
          <cell r="I156" t="str">
            <v>SALVADOR MARTINEZ H.</v>
          </cell>
          <cell r="J156" t="str">
            <v>F02</v>
          </cell>
          <cell r="K156" t="str">
            <v/>
          </cell>
          <cell r="L156">
            <v>0</v>
          </cell>
          <cell r="M156">
            <v>158</v>
          </cell>
          <cell r="N156" t="str">
            <v>A</v>
          </cell>
          <cell r="O156">
            <v>41811</v>
          </cell>
          <cell r="P156" t="str">
            <v xml:space="preserve">    1</v>
          </cell>
          <cell r="Q156">
            <v>0</v>
          </cell>
          <cell r="R156">
            <v>0</v>
          </cell>
          <cell r="S156">
            <v>0</v>
          </cell>
          <cell r="T156">
            <v>4320</v>
          </cell>
          <cell r="U156">
            <v>0</v>
          </cell>
          <cell r="V156" t="str">
            <v>EL EFITHZI</v>
          </cell>
          <cell r="W156" t="str">
            <v/>
          </cell>
          <cell r="X156" t="str">
            <v/>
          </cell>
          <cell r="Y156" t="str">
            <v/>
          </cell>
          <cell r="Z156" t="str">
            <v/>
          </cell>
          <cell r="AA156" t="str">
            <v>(759) 723-1743</v>
          </cell>
          <cell r="AB156" t="str">
            <v/>
          </cell>
          <cell r="AC156" t="str">
            <v>F009</v>
          </cell>
          <cell r="AD156" t="str">
            <v/>
          </cell>
          <cell r="AE156" t="str">
            <v/>
          </cell>
          <cell r="AF156" t="str">
            <v/>
          </cell>
          <cell r="AH156" t="str">
            <v>N</v>
          </cell>
          <cell r="AI156">
            <v>0</v>
          </cell>
          <cell r="AJ156">
            <v>0</v>
          </cell>
          <cell r="AK156">
            <v>0</v>
          </cell>
          <cell r="AL156">
            <v>0</v>
          </cell>
          <cell r="AM156">
            <v>647</v>
          </cell>
          <cell r="AN156">
            <v>0</v>
          </cell>
        </row>
        <row r="157">
          <cell r="A157">
            <v>2057</v>
          </cell>
          <cell r="B157" t="str">
            <v>NOVIAS FRIDA (IXMIQUILPAN)</v>
          </cell>
          <cell r="C157" t="str">
            <v/>
          </cell>
          <cell r="D157" t="str">
            <v>PEÑA Y RAMIREZ #6 INT 23</v>
          </cell>
          <cell r="E157" t="str">
            <v>IXMIQUILPAN, HGO.</v>
          </cell>
          <cell r="F157" t="str">
            <v/>
          </cell>
          <cell r="G157" t="str">
            <v>(759) 723-0066</v>
          </cell>
          <cell r="H157" t="str">
            <v>SRA. IRENE</v>
          </cell>
          <cell r="I157" t="str">
            <v>SRA. IRENE</v>
          </cell>
          <cell r="J157" t="str">
            <v>BAJA</v>
          </cell>
          <cell r="K157" t="str">
            <v/>
          </cell>
          <cell r="L157">
            <v>0</v>
          </cell>
          <cell r="M157">
            <v>159</v>
          </cell>
          <cell r="N157" t="str">
            <v>A</v>
          </cell>
          <cell r="O157">
            <v>41586</v>
          </cell>
          <cell r="P157" t="str">
            <v xml:space="preserve">    6</v>
          </cell>
          <cell r="Q157">
            <v>0</v>
          </cell>
          <cell r="R157">
            <v>0</v>
          </cell>
          <cell r="S157">
            <v>0</v>
          </cell>
          <cell r="T157">
            <v>13549</v>
          </cell>
          <cell r="U157">
            <v>0</v>
          </cell>
          <cell r="V157" t="str">
            <v>CENTRO</v>
          </cell>
          <cell r="W157" t="str">
            <v/>
          </cell>
          <cell r="X157" t="str">
            <v/>
          </cell>
          <cell r="Y157" t="str">
            <v/>
          </cell>
          <cell r="Z157" t="str">
            <v/>
          </cell>
          <cell r="AA157" t="str">
            <v>(759) 723-0066</v>
          </cell>
          <cell r="AB157" t="str">
            <v/>
          </cell>
          <cell r="AC157" t="str">
            <v>D0758</v>
          </cell>
          <cell r="AD157" t="str">
            <v/>
          </cell>
          <cell r="AE157" t="str">
            <v/>
          </cell>
          <cell r="AF157" t="str">
            <v/>
          </cell>
          <cell r="AH157" t="str">
            <v>N</v>
          </cell>
          <cell r="AI157">
            <v>0</v>
          </cell>
          <cell r="AJ157">
            <v>0</v>
          </cell>
          <cell r="AK157">
            <v>0</v>
          </cell>
          <cell r="AL157">
            <v>0</v>
          </cell>
          <cell r="AM157">
            <v>1960</v>
          </cell>
          <cell r="AN157">
            <v>0</v>
          </cell>
        </row>
        <row r="158">
          <cell r="A158">
            <v>2058</v>
          </cell>
          <cell r="B158" t="str">
            <v>MIGUEL LOPEZ VALENCIA (TEXCOCO)</v>
          </cell>
          <cell r="C158" t="str">
            <v/>
          </cell>
          <cell r="D158" t="str">
            <v>PASAJE INDEPENDENCIA #6</v>
          </cell>
          <cell r="E158" t="str">
            <v>TEXCOCO, EDO. DE MEXICO</v>
          </cell>
          <cell r="F158" t="str">
            <v/>
          </cell>
          <cell r="G158" t="str">
            <v>(55) 1537-8071 CEL</v>
          </cell>
          <cell r="H158" t="str">
            <v>MIGUEL LOPEZ</v>
          </cell>
          <cell r="I158" t="str">
            <v>MIGUEL LOPEZ</v>
          </cell>
          <cell r="J158" t="str">
            <v>BAJA</v>
          </cell>
          <cell r="K158" t="str">
            <v/>
          </cell>
          <cell r="L158">
            <v>0</v>
          </cell>
          <cell r="M158">
            <v>160</v>
          </cell>
          <cell r="N158" t="str">
            <v>A</v>
          </cell>
          <cell r="O158">
            <v>40935</v>
          </cell>
          <cell r="P158" t="str">
            <v xml:space="preserve">    1</v>
          </cell>
          <cell r="Q158">
            <v>0</v>
          </cell>
          <cell r="R158">
            <v>0</v>
          </cell>
          <cell r="S158">
            <v>0</v>
          </cell>
          <cell r="T158">
            <v>7384</v>
          </cell>
          <cell r="U158">
            <v>0</v>
          </cell>
          <cell r="V158" t="str">
            <v>CENTRO</v>
          </cell>
          <cell r="W158" t="str">
            <v/>
          </cell>
          <cell r="X158" t="str">
            <v/>
          </cell>
          <cell r="Y158" t="str">
            <v/>
          </cell>
          <cell r="Z158" t="str">
            <v/>
          </cell>
          <cell r="AA158" t="str">
            <v>(55) 1537-8071 CEL</v>
          </cell>
          <cell r="AB158" t="str">
            <v xml:space="preserve">   DEV-54</v>
          </cell>
          <cell r="AC158" t="str">
            <v xml:space="preserve">     54</v>
          </cell>
          <cell r="AD158" t="str">
            <v/>
          </cell>
          <cell r="AE158" t="str">
            <v/>
          </cell>
          <cell r="AF158" t="str">
            <v/>
          </cell>
          <cell r="AG158">
            <v>40935</v>
          </cell>
          <cell r="AH158" t="str">
            <v>N</v>
          </cell>
          <cell r="AI158">
            <v>0</v>
          </cell>
          <cell r="AJ158">
            <v>0</v>
          </cell>
          <cell r="AK158">
            <v>0</v>
          </cell>
          <cell r="AL158">
            <v>175</v>
          </cell>
          <cell r="AM158">
            <v>175</v>
          </cell>
          <cell r="AN158">
            <v>0</v>
          </cell>
        </row>
        <row r="159">
          <cell r="A159">
            <v>2059</v>
          </cell>
          <cell r="B159" t="str">
            <v>CLAUDIA MANCERA (SAN JUAN)</v>
          </cell>
          <cell r="C159" t="str">
            <v/>
          </cell>
          <cell r="D159" t="str">
            <v>16 DE SEPTIEMBRE #34</v>
          </cell>
          <cell r="E159" t="str">
            <v>SAN JUAN DEL RIO, QRO.</v>
          </cell>
          <cell r="F159" t="str">
            <v/>
          </cell>
          <cell r="G159" t="str">
            <v>(427) 272-8950</v>
          </cell>
          <cell r="H159" t="str">
            <v>CLAUDIA MANCERA</v>
          </cell>
          <cell r="I159" t="str">
            <v>CLAUDIA MANCERA</v>
          </cell>
          <cell r="J159" t="str">
            <v>BAJA</v>
          </cell>
          <cell r="K159" t="str">
            <v/>
          </cell>
          <cell r="L159">
            <v>0</v>
          </cell>
          <cell r="M159">
            <v>161</v>
          </cell>
          <cell r="N159" t="str">
            <v>A</v>
          </cell>
          <cell r="O159">
            <v>40815</v>
          </cell>
          <cell r="P159" t="str">
            <v xml:space="preserve">    6</v>
          </cell>
          <cell r="Q159">
            <v>0</v>
          </cell>
          <cell r="R159">
            <v>0</v>
          </cell>
          <cell r="S159">
            <v>0</v>
          </cell>
          <cell r="T159">
            <v>1708</v>
          </cell>
          <cell r="U159">
            <v>0</v>
          </cell>
          <cell r="V159" t="str">
            <v>CENTRO</v>
          </cell>
          <cell r="W159" t="str">
            <v/>
          </cell>
          <cell r="X159" t="str">
            <v/>
          </cell>
          <cell r="Y159" t="str">
            <v/>
          </cell>
          <cell r="Z159" t="str">
            <v/>
          </cell>
          <cell r="AA159" t="str">
            <v>(427) 272-8950</v>
          </cell>
          <cell r="AB159" t="str">
            <v/>
          </cell>
          <cell r="AC159" t="str">
            <v>G025</v>
          </cell>
          <cell r="AD159" t="str">
            <v/>
          </cell>
          <cell r="AE159" t="str">
            <v/>
          </cell>
          <cell r="AF159" t="str">
            <v/>
          </cell>
          <cell r="AH159" t="str">
            <v>N</v>
          </cell>
          <cell r="AI159">
            <v>0</v>
          </cell>
          <cell r="AJ159">
            <v>0</v>
          </cell>
          <cell r="AK159">
            <v>0</v>
          </cell>
          <cell r="AL159">
            <v>0</v>
          </cell>
          <cell r="AM159">
            <v>166</v>
          </cell>
          <cell r="AN159">
            <v>0</v>
          </cell>
        </row>
        <row r="160">
          <cell r="A160">
            <v>2060</v>
          </cell>
          <cell r="B160" t="str">
            <v>JULIO CESAR ACEVEDO (CELAYA)</v>
          </cell>
          <cell r="C160" t="str">
            <v/>
          </cell>
          <cell r="D160" t="str">
            <v>LIBERTAD #129</v>
          </cell>
          <cell r="E160" t="str">
            <v>CELAYA, GTO.</v>
          </cell>
          <cell r="F160" t="str">
            <v/>
          </cell>
          <cell r="G160" t="str">
            <v>92*13*41409</v>
          </cell>
          <cell r="H160" t="str">
            <v>JULIO CESAR ACEVEDO</v>
          </cell>
          <cell r="I160" t="str">
            <v>JULIO CESAR ACEVEDO</v>
          </cell>
          <cell r="J160" t="str">
            <v>BAJA</v>
          </cell>
          <cell r="K160" t="str">
            <v/>
          </cell>
          <cell r="L160">
            <v>0</v>
          </cell>
          <cell r="M160">
            <v>162</v>
          </cell>
          <cell r="N160" t="str">
            <v>A</v>
          </cell>
          <cell r="O160">
            <v>40815</v>
          </cell>
          <cell r="P160" t="str">
            <v xml:space="preserve">    6</v>
          </cell>
          <cell r="Q160">
            <v>0</v>
          </cell>
          <cell r="R160">
            <v>0</v>
          </cell>
          <cell r="S160">
            <v>0</v>
          </cell>
          <cell r="T160">
            <v>1032</v>
          </cell>
          <cell r="U160">
            <v>0</v>
          </cell>
          <cell r="V160" t="str">
            <v>CENTRO</v>
          </cell>
          <cell r="W160" t="str">
            <v/>
          </cell>
          <cell r="X160" t="str">
            <v/>
          </cell>
          <cell r="Y160" t="str">
            <v/>
          </cell>
          <cell r="Z160" t="str">
            <v/>
          </cell>
          <cell r="AA160" t="str">
            <v>92*13*41409</v>
          </cell>
          <cell r="AB160" t="str">
            <v/>
          </cell>
          <cell r="AC160" t="str">
            <v>G029</v>
          </cell>
          <cell r="AD160" t="str">
            <v/>
          </cell>
          <cell r="AE160" t="str">
            <v/>
          </cell>
          <cell r="AF160" t="str">
            <v/>
          </cell>
          <cell r="AH160" t="str">
            <v>N</v>
          </cell>
          <cell r="AI160">
            <v>0</v>
          </cell>
          <cell r="AJ160">
            <v>0</v>
          </cell>
          <cell r="AK160">
            <v>0</v>
          </cell>
          <cell r="AL160">
            <v>0</v>
          </cell>
          <cell r="AM160">
            <v>1032</v>
          </cell>
          <cell r="AN160">
            <v>0</v>
          </cell>
        </row>
        <row r="161">
          <cell r="A161">
            <v>2061</v>
          </cell>
          <cell r="B161" t="str">
            <v>MARGARITA PEREZ (ACAMBAY)</v>
          </cell>
          <cell r="C161" t="str">
            <v/>
          </cell>
          <cell r="D161" t="str">
            <v/>
          </cell>
          <cell r="E161" t="str">
            <v>ACAMBAY, EDO. DE MEXICO</v>
          </cell>
          <cell r="F161" t="str">
            <v/>
          </cell>
          <cell r="G161" t="str">
            <v/>
          </cell>
          <cell r="H161" t="str">
            <v>MARGARITA PEREZ</v>
          </cell>
          <cell r="I161" t="str">
            <v>MARGARITA PEREZ</v>
          </cell>
          <cell r="J161" t="str">
            <v>BAJA</v>
          </cell>
          <cell r="K161" t="str">
            <v/>
          </cell>
          <cell r="L161">
            <v>0</v>
          </cell>
          <cell r="M161">
            <v>163</v>
          </cell>
          <cell r="N161" t="str">
            <v>A</v>
          </cell>
          <cell r="O161">
            <v>40819</v>
          </cell>
          <cell r="P161" t="str">
            <v xml:space="preserve">    1</v>
          </cell>
          <cell r="Q161">
            <v>0</v>
          </cell>
          <cell r="R161">
            <v>0</v>
          </cell>
          <cell r="S161">
            <v>0</v>
          </cell>
          <cell r="T161">
            <v>422</v>
          </cell>
          <cell r="U161">
            <v>0</v>
          </cell>
          <cell r="V161" t="str">
            <v/>
          </cell>
          <cell r="W161" t="str">
            <v/>
          </cell>
          <cell r="X161" t="str">
            <v/>
          </cell>
          <cell r="Y161" t="str">
            <v/>
          </cell>
          <cell r="Z161" t="str">
            <v/>
          </cell>
          <cell r="AA161" t="str">
            <v/>
          </cell>
          <cell r="AB161" t="str">
            <v/>
          </cell>
          <cell r="AC161" t="str">
            <v>C224</v>
          </cell>
          <cell r="AD161" t="str">
            <v/>
          </cell>
          <cell r="AE161" t="str">
            <v/>
          </cell>
          <cell r="AF161" t="str">
            <v/>
          </cell>
          <cell r="AH161" t="str">
            <v>N</v>
          </cell>
          <cell r="AI161">
            <v>0</v>
          </cell>
          <cell r="AJ161">
            <v>0</v>
          </cell>
          <cell r="AK161">
            <v>0</v>
          </cell>
          <cell r="AL161">
            <v>0</v>
          </cell>
          <cell r="AM161">
            <v>422</v>
          </cell>
          <cell r="AN161">
            <v>0</v>
          </cell>
        </row>
        <row r="162">
          <cell r="A162">
            <v>2062</v>
          </cell>
          <cell r="B162" t="str">
            <v>IRENE GARCIA (ACAMBAY)</v>
          </cell>
          <cell r="C162" t="str">
            <v/>
          </cell>
          <cell r="D162" t="str">
            <v>CONSTITUCION #13</v>
          </cell>
          <cell r="E162" t="str">
            <v>ACAMBAY, EDO. DE MEXICO</v>
          </cell>
          <cell r="F162" t="str">
            <v/>
          </cell>
          <cell r="G162" t="str">
            <v/>
          </cell>
          <cell r="H162" t="str">
            <v>IRENE GARCIA</v>
          </cell>
          <cell r="I162" t="str">
            <v>IRENE GARCIA</v>
          </cell>
          <cell r="J162" t="str">
            <v>BAJA</v>
          </cell>
          <cell r="K162" t="str">
            <v/>
          </cell>
          <cell r="L162">
            <v>0</v>
          </cell>
          <cell r="M162">
            <v>164</v>
          </cell>
          <cell r="N162" t="str">
            <v>A</v>
          </cell>
          <cell r="O162">
            <v>40891</v>
          </cell>
          <cell r="P162" t="str">
            <v xml:space="preserve">    8</v>
          </cell>
          <cell r="Q162">
            <v>0</v>
          </cell>
          <cell r="R162">
            <v>0</v>
          </cell>
          <cell r="S162">
            <v>0</v>
          </cell>
          <cell r="T162">
            <v>3900</v>
          </cell>
          <cell r="U162">
            <v>0</v>
          </cell>
          <cell r="V162" t="str">
            <v>CENTRO</v>
          </cell>
          <cell r="W162" t="str">
            <v/>
          </cell>
          <cell r="X162" t="str">
            <v/>
          </cell>
          <cell r="Y162" t="str">
            <v/>
          </cell>
          <cell r="Z162" t="str">
            <v/>
          </cell>
          <cell r="AA162" t="str">
            <v/>
          </cell>
          <cell r="AB162" t="str">
            <v/>
          </cell>
          <cell r="AC162" t="str">
            <v>G053</v>
          </cell>
          <cell r="AD162" t="str">
            <v/>
          </cell>
          <cell r="AE162" t="str">
            <v/>
          </cell>
          <cell r="AF162" t="str">
            <v/>
          </cell>
          <cell r="AH162" t="str">
            <v>N</v>
          </cell>
          <cell r="AI162">
            <v>0</v>
          </cell>
          <cell r="AJ162">
            <v>0</v>
          </cell>
          <cell r="AK162">
            <v>0</v>
          </cell>
          <cell r="AL162">
            <v>0</v>
          </cell>
          <cell r="AM162">
            <v>1869</v>
          </cell>
          <cell r="AN162">
            <v>0</v>
          </cell>
        </row>
        <row r="163">
          <cell r="A163">
            <v>2063</v>
          </cell>
          <cell r="B163" t="str">
            <v>ESTER FLORES PEREZ (TEOLOYUCAN)</v>
          </cell>
          <cell r="C163" t="str">
            <v/>
          </cell>
          <cell r="D163" t="str">
            <v>HIDALGO S/N</v>
          </cell>
          <cell r="E163" t="str">
            <v>TEOLOYUCAN, EDO. DE MEXICO</v>
          </cell>
          <cell r="F163" t="str">
            <v/>
          </cell>
          <cell r="G163" t="str">
            <v>(55) 1248-4988 CEL</v>
          </cell>
          <cell r="H163" t="str">
            <v>ESTER FLORES PEREZ</v>
          </cell>
          <cell r="I163" t="str">
            <v>ESTER FLORES PEREZ</v>
          </cell>
          <cell r="J163" t="str">
            <v>BAJA</v>
          </cell>
          <cell r="K163" t="str">
            <v/>
          </cell>
          <cell r="L163">
            <v>0</v>
          </cell>
          <cell r="M163">
            <v>165</v>
          </cell>
          <cell r="N163" t="str">
            <v>A</v>
          </cell>
          <cell r="O163">
            <v>40852</v>
          </cell>
          <cell r="P163" t="str">
            <v xml:space="preserve">    2</v>
          </cell>
          <cell r="Q163">
            <v>0</v>
          </cell>
          <cell r="R163">
            <v>0</v>
          </cell>
          <cell r="S163">
            <v>0</v>
          </cell>
          <cell r="T163">
            <v>1287</v>
          </cell>
          <cell r="U163">
            <v>0</v>
          </cell>
          <cell r="V163" t="str">
            <v>BARRIO TEPALQUIAHUAC</v>
          </cell>
          <cell r="W163" t="str">
            <v/>
          </cell>
          <cell r="X163" t="str">
            <v/>
          </cell>
          <cell r="Y163" t="str">
            <v/>
          </cell>
          <cell r="Z163" t="str">
            <v/>
          </cell>
          <cell r="AA163" t="str">
            <v>(55) 1248-4988 CEL</v>
          </cell>
          <cell r="AB163" t="str">
            <v/>
          </cell>
          <cell r="AC163" t="str">
            <v>C424</v>
          </cell>
          <cell r="AD163" t="str">
            <v/>
          </cell>
          <cell r="AE163" t="str">
            <v/>
          </cell>
          <cell r="AF163" t="str">
            <v/>
          </cell>
          <cell r="AH163" t="str">
            <v>N</v>
          </cell>
          <cell r="AI163">
            <v>0</v>
          </cell>
          <cell r="AJ163">
            <v>0</v>
          </cell>
          <cell r="AK163">
            <v>0</v>
          </cell>
          <cell r="AL163">
            <v>0</v>
          </cell>
          <cell r="AM163">
            <v>184</v>
          </cell>
          <cell r="AN163">
            <v>0</v>
          </cell>
        </row>
        <row r="164">
          <cell r="A164">
            <v>2064</v>
          </cell>
          <cell r="B164" t="str">
            <v>OFELIA MAYA PAREDES (TEOLOYUCAN)</v>
          </cell>
          <cell r="C164" t="str">
            <v/>
          </cell>
          <cell r="D164" t="str">
            <v>REFORMA ESQ. PINO S/N</v>
          </cell>
          <cell r="E164" t="str">
            <v>TEOLOYUCAN, EDO. DE MEXICO</v>
          </cell>
          <cell r="F164" t="str">
            <v/>
          </cell>
          <cell r="G164" t="str">
            <v>(55) 3694-7591</v>
          </cell>
          <cell r="H164" t="str">
            <v>OFELIA MAYA PAREDES</v>
          </cell>
          <cell r="I164" t="str">
            <v>OFELIA MAYA PAREDES</v>
          </cell>
          <cell r="J164" t="str">
            <v>M01</v>
          </cell>
          <cell r="K164" t="str">
            <v/>
          </cell>
          <cell r="L164">
            <v>0</v>
          </cell>
          <cell r="M164">
            <v>166</v>
          </cell>
          <cell r="N164" t="str">
            <v>A</v>
          </cell>
          <cell r="O164">
            <v>41993</v>
          </cell>
          <cell r="P164" t="str">
            <v xml:space="preserve">    2</v>
          </cell>
          <cell r="Q164">
            <v>0</v>
          </cell>
          <cell r="R164">
            <v>0</v>
          </cell>
          <cell r="S164">
            <v>0</v>
          </cell>
          <cell r="T164">
            <v>43520.75</v>
          </cell>
          <cell r="U164">
            <v>0</v>
          </cell>
          <cell r="V164" t="str">
            <v>CENTRO</v>
          </cell>
          <cell r="W164" t="str">
            <v/>
          </cell>
          <cell r="X164" t="str">
            <v/>
          </cell>
          <cell r="Y164" t="str">
            <v/>
          </cell>
          <cell r="Z164" t="str">
            <v/>
          </cell>
          <cell r="AA164" t="str">
            <v>(55) 3694-7591</v>
          </cell>
          <cell r="AB164" t="str">
            <v xml:space="preserve">      DEV</v>
          </cell>
          <cell r="AC164" t="str">
            <v>I9042</v>
          </cell>
          <cell r="AD164" t="str">
            <v/>
          </cell>
          <cell r="AE164" t="str">
            <v/>
          </cell>
          <cell r="AF164" t="str">
            <v/>
          </cell>
          <cell r="AG164">
            <v>41213</v>
          </cell>
          <cell r="AH164" t="str">
            <v>N</v>
          </cell>
          <cell r="AI164">
            <v>0</v>
          </cell>
          <cell r="AJ164">
            <v>0</v>
          </cell>
          <cell r="AK164">
            <v>0</v>
          </cell>
          <cell r="AL164">
            <v>145</v>
          </cell>
          <cell r="AM164">
            <v>445</v>
          </cell>
          <cell r="AN164">
            <v>0</v>
          </cell>
        </row>
        <row r="165">
          <cell r="A165">
            <v>2065</v>
          </cell>
          <cell r="B165" t="str">
            <v>NOEMI AGUILAR TORREZ (MELCHOR OCAMPO)</v>
          </cell>
          <cell r="C165" t="str">
            <v/>
          </cell>
          <cell r="D165" t="str">
            <v>CORREGIDORA S/N</v>
          </cell>
          <cell r="E165" t="str">
            <v>MELCHOR OCAMPO, EDO. DE MEXICO</v>
          </cell>
          <cell r="F165" t="str">
            <v/>
          </cell>
          <cell r="G165" t="str">
            <v/>
          </cell>
          <cell r="H165" t="str">
            <v>NOEMI AGUILAR TORREZ</v>
          </cell>
          <cell r="I165" t="str">
            <v>NOEMI AGUILAR TORREZ</v>
          </cell>
          <cell r="J165" t="str">
            <v>BAJA</v>
          </cell>
          <cell r="K165" t="str">
            <v/>
          </cell>
          <cell r="L165">
            <v>0</v>
          </cell>
          <cell r="M165">
            <v>167</v>
          </cell>
          <cell r="N165" t="str">
            <v>A</v>
          </cell>
          <cell r="O165">
            <v>40819</v>
          </cell>
          <cell r="P165" t="str">
            <v xml:space="preserve">    2</v>
          </cell>
          <cell r="Q165">
            <v>0</v>
          </cell>
          <cell r="R165">
            <v>0</v>
          </cell>
          <cell r="S165">
            <v>0</v>
          </cell>
          <cell r="T165">
            <v>87</v>
          </cell>
          <cell r="U165">
            <v>0</v>
          </cell>
          <cell r="V165" t="str">
            <v>VISITACION</v>
          </cell>
          <cell r="W165" t="str">
            <v/>
          </cell>
          <cell r="X165" t="str">
            <v/>
          </cell>
          <cell r="Y165" t="str">
            <v/>
          </cell>
          <cell r="Z165" t="str">
            <v/>
          </cell>
          <cell r="AA165" t="str">
            <v/>
          </cell>
          <cell r="AB165" t="str">
            <v/>
          </cell>
          <cell r="AC165" t="str">
            <v xml:space="preserve">   0283</v>
          </cell>
          <cell r="AD165" t="str">
            <v/>
          </cell>
          <cell r="AE165" t="str">
            <v/>
          </cell>
          <cell r="AF165" t="str">
            <v/>
          </cell>
          <cell r="AH165" t="str">
            <v>N</v>
          </cell>
          <cell r="AI165">
            <v>0</v>
          </cell>
          <cell r="AJ165">
            <v>0</v>
          </cell>
          <cell r="AK165">
            <v>0</v>
          </cell>
          <cell r="AL165">
            <v>0</v>
          </cell>
          <cell r="AM165">
            <v>87</v>
          </cell>
          <cell r="AN165">
            <v>0</v>
          </cell>
        </row>
        <row r="166">
          <cell r="A166">
            <v>2066</v>
          </cell>
          <cell r="B166" t="str">
            <v>NELLY ALCANTARA (SAN FRANCISCO)</v>
          </cell>
          <cell r="C166" t="str">
            <v/>
          </cell>
          <cell r="D166" t="str">
            <v/>
          </cell>
          <cell r="E166" t="str">
            <v>SAN FRANCISCO, EDO. MEXICO</v>
          </cell>
          <cell r="F166" t="str">
            <v/>
          </cell>
          <cell r="G166" t="str">
            <v/>
          </cell>
          <cell r="H166" t="str">
            <v>MELLY ALCANTARA</v>
          </cell>
          <cell r="I166" t="str">
            <v>MELLY ALCANTARA</v>
          </cell>
          <cell r="J166" t="str">
            <v>BAJA</v>
          </cell>
          <cell r="K166" t="str">
            <v/>
          </cell>
          <cell r="L166">
            <v>0</v>
          </cell>
          <cell r="M166">
            <v>168</v>
          </cell>
          <cell r="N166" t="str">
            <v>S</v>
          </cell>
          <cell r="O166">
            <v>40874</v>
          </cell>
          <cell r="P166" t="str">
            <v xml:space="preserve">    1</v>
          </cell>
          <cell r="Q166">
            <v>0</v>
          </cell>
          <cell r="R166">
            <v>0</v>
          </cell>
          <cell r="S166">
            <v>0</v>
          </cell>
          <cell r="T166">
            <v>1973</v>
          </cell>
          <cell r="U166">
            <v>0</v>
          </cell>
          <cell r="V166" t="str">
            <v/>
          </cell>
          <cell r="W166" t="str">
            <v/>
          </cell>
          <cell r="X166" t="str">
            <v/>
          </cell>
          <cell r="Y166" t="str">
            <v/>
          </cell>
          <cell r="Z166" t="str">
            <v/>
          </cell>
          <cell r="AA166" t="str">
            <v/>
          </cell>
          <cell r="AB166" t="str">
            <v/>
          </cell>
          <cell r="AC166" t="str">
            <v>C254</v>
          </cell>
          <cell r="AD166" t="str">
            <v/>
          </cell>
          <cell r="AE166" t="str">
            <v/>
          </cell>
          <cell r="AF166" t="str">
            <v/>
          </cell>
          <cell r="AH166" t="str">
            <v>N</v>
          </cell>
          <cell r="AI166">
            <v>0</v>
          </cell>
          <cell r="AJ166">
            <v>0</v>
          </cell>
          <cell r="AK166">
            <v>0</v>
          </cell>
          <cell r="AL166">
            <v>0</v>
          </cell>
          <cell r="AM166">
            <v>561</v>
          </cell>
          <cell r="AN166">
            <v>0</v>
          </cell>
        </row>
        <row r="167">
          <cell r="A167">
            <v>2067</v>
          </cell>
          <cell r="B167" t="str">
            <v>BENITO ALCANTA SANCHEZ (JILOTEPEC)</v>
          </cell>
          <cell r="C167" t="str">
            <v/>
          </cell>
          <cell r="D167" t="str">
            <v>AV. JUAREZ #102</v>
          </cell>
          <cell r="E167" t="str">
            <v>JILOTEPEC, EDO. DE MEXICO</v>
          </cell>
          <cell r="F167" t="str">
            <v/>
          </cell>
          <cell r="G167" t="str">
            <v>(761) 734-1951</v>
          </cell>
          <cell r="H167" t="str">
            <v>MA. DEL PILAR</v>
          </cell>
          <cell r="I167" t="str">
            <v>BENITO ALCANTA S.</v>
          </cell>
          <cell r="J167" t="str">
            <v>BAJA</v>
          </cell>
          <cell r="K167" t="str">
            <v/>
          </cell>
          <cell r="L167">
            <v>0</v>
          </cell>
          <cell r="M167">
            <v>169</v>
          </cell>
          <cell r="N167" t="str">
            <v>A</v>
          </cell>
          <cell r="O167">
            <v>41107</v>
          </cell>
          <cell r="P167" t="str">
            <v xml:space="preserve">    1</v>
          </cell>
          <cell r="Q167">
            <v>0</v>
          </cell>
          <cell r="R167">
            <v>0</v>
          </cell>
          <cell r="S167">
            <v>0</v>
          </cell>
          <cell r="T167">
            <v>13556</v>
          </cell>
          <cell r="U167">
            <v>0</v>
          </cell>
          <cell r="V167" t="str">
            <v>CENTRO</v>
          </cell>
          <cell r="W167" t="str">
            <v/>
          </cell>
          <cell r="X167" t="str">
            <v/>
          </cell>
          <cell r="Y167" t="str">
            <v/>
          </cell>
          <cell r="Z167" t="str">
            <v/>
          </cell>
          <cell r="AA167" t="str">
            <v>(761) 734-1951</v>
          </cell>
          <cell r="AB167" t="str">
            <v/>
          </cell>
          <cell r="AC167" t="str">
            <v xml:space="preserve">   0812</v>
          </cell>
          <cell r="AD167" t="str">
            <v/>
          </cell>
          <cell r="AE167" t="str">
            <v/>
          </cell>
          <cell r="AF167" t="str">
            <v/>
          </cell>
          <cell r="AH167" t="str">
            <v>N</v>
          </cell>
          <cell r="AI167">
            <v>0</v>
          </cell>
          <cell r="AJ167">
            <v>0</v>
          </cell>
          <cell r="AK167">
            <v>0</v>
          </cell>
          <cell r="AL167">
            <v>0</v>
          </cell>
          <cell r="AM167">
            <v>3154</v>
          </cell>
          <cell r="AN167">
            <v>0</v>
          </cell>
        </row>
        <row r="168">
          <cell r="A168">
            <v>2068</v>
          </cell>
          <cell r="B168" t="str">
            <v>MARIBEL GAVINO DIAZ (SAN LORENZO)</v>
          </cell>
          <cell r="C168" t="str">
            <v/>
          </cell>
          <cell r="D168" t="str">
            <v>INDEPENCIA #8</v>
          </cell>
          <cell r="E168" t="str">
            <v>COACALCO, EDO. DE MEXICO</v>
          </cell>
          <cell r="F168" t="str">
            <v/>
          </cell>
          <cell r="G168" t="str">
            <v/>
          </cell>
          <cell r="H168" t="str">
            <v>MARIBEL GAVINO DIAZ</v>
          </cell>
          <cell r="I168" t="str">
            <v>MARIBEL GAVINO DIAZ</v>
          </cell>
          <cell r="J168" t="str">
            <v>BAJA</v>
          </cell>
          <cell r="K168" t="str">
            <v/>
          </cell>
          <cell r="L168">
            <v>0</v>
          </cell>
          <cell r="M168">
            <v>170</v>
          </cell>
          <cell r="N168" t="str">
            <v>A</v>
          </cell>
          <cell r="O168">
            <v>40826</v>
          </cell>
          <cell r="P168" t="str">
            <v xml:space="preserve">    2</v>
          </cell>
          <cell r="Q168">
            <v>0</v>
          </cell>
          <cell r="R168">
            <v>0</v>
          </cell>
          <cell r="S168">
            <v>0</v>
          </cell>
          <cell r="T168">
            <v>800</v>
          </cell>
          <cell r="U168">
            <v>0</v>
          </cell>
          <cell r="V168" t="str">
            <v>SAN LORENZO</v>
          </cell>
          <cell r="W168" t="str">
            <v/>
          </cell>
          <cell r="X168" t="str">
            <v/>
          </cell>
          <cell r="Y168" t="str">
            <v/>
          </cell>
          <cell r="Z168" t="str">
            <v/>
          </cell>
          <cell r="AA168" t="str">
            <v/>
          </cell>
          <cell r="AB168" t="str">
            <v/>
          </cell>
          <cell r="AC168" t="str">
            <v xml:space="preserve">   0288</v>
          </cell>
          <cell r="AD168" t="str">
            <v/>
          </cell>
          <cell r="AE168" t="str">
            <v/>
          </cell>
          <cell r="AF168" t="str">
            <v/>
          </cell>
          <cell r="AH168" t="str">
            <v>N</v>
          </cell>
          <cell r="AI168">
            <v>0</v>
          </cell>
          <cell r="AJ168">
            <v>0</v>
          </cell>
          <cell r="AK168">
            <v>0</v>
          </cell>
          <cell r="AL168">
            <v>0</v>
          </cell>
          <cell r="AM168">
            <v>800</v>
          </cell>
          <cell r="AN168">
            <v>0</v>
          </cell>
        </row>
        <row r="169">
          <cell r="A169">
            <v>2069</v>
          </cell>
          <cell r="B169" t="str">
            <v>MA. LUISA RODRIGUEZ (SAN CRISTOBAL)</v>
          </cell>
          <cell r="C169" t="str">
            <v/>
          </cell>
          <cell r="D169" t="str">
            <v>MERCADO DE SAN CRISTOBAL LOC. 125</v>
          </cell>
          <cell r="E169" t="str">
            <v>ECATEPEC, EDO. DE MEXICO</v>
          </cell>
          <cell r="F169" t="str">
            <v/>
          </cell>
          <cell r="G169" t="str">
            <v/>
          </cell>
          <cell r="H169" t="str">
            <v>MA. LUISA RODRIGUEZ</v>
          </cell>
          <cell r="I169" t="str">
            <v>MA. LUISA RODRIGUEZ</v>
          </cell>
          <cell r="J169" t="str">
            <v>BAJA</v>
          </cell>
          <cell r="K169" t="str">
            <v/>
          </cell>
          <cell r="L169">
            <v>0</v>
          </cell>
          <cell r="M169">
            <v>171</v>
          </cell>
          <cell r="N169" t="str">
            <v>A</v>
          </cell>
          <cell r="O169">
            <v>41365</v>
          </cell>
          <cell r="P169" t="str">
            <v xml:space="preserve">    2</v>
          </cell>
          <cell r="Q169">
            <v>0</v>
          </cell>
          <cell r="R169">
            <v>0</v>
          </cell>
          <cell r="S169">
            <v>0</v>
          </cell>
          <cell r="T169">
            <v>5799</v>
          </cell>
          <cell r="U169">
            <v>0</v>
          </cell>
          <cell r="V169" t="str">
            <v>SAN CRISTOBAL</v>
          </cell>
          <cell r="W169" t="str">
            <v/>
          </cell>
          <cell r="X169" t="str">
            <v/>
          </cell>
          <cell r="Y169" t="str">
            <v/>
          </cell>
          <cell r="Z169" t="str">
            <v/>
          </cell>
          <cell r="AA169" t="str">
            <v/>
          </cell>
          <cell r="AB169" t="str">
            <v/>
          </cell>
          <cell r="AC169" t="str">
            <v>P0276</v>
          </cell>
          <cell r="AD169" t="str">
            <v/>
          </cell>
          <cell r="AE169" t="str">
            <v/>
          </cell>
          <cell r="AF169" t="str">
            <v/>
          </cell>
          <cell r="AH169" t="str">
            <v>N</v>
          </cell>
          <cell r="AI169">
            <v>0</v>
          </cell>
          <cell r="AJ169">
            <v>0</v>
          </cell>
          <cell r="AK169">
            <v>0</v>
          </cell>
          <cell r="AL169">
            <v>0</v>
          </cell>
          <cell r="AM169">
            <v>641</v>
          </cell>
          <cell r="AN169">
            <v>0</v>
          </cell>
        </row>
        <row r="170">
          <cell r="A170">
            <v>2070</v>
          </cell>
          <cell r="B170" t="str">
            <v>MARTHA HERNANDEZ MAYA (COYOTEPEC)</v>
          </cell>
          <cell r="C170" t="str">
            <v/>
          </cell>
          <cell r="D170" t="str">
            <v>DOMINGO CASTRO #5</v>
          </cell>
          <cell r="E170" t="str">
            <v>COYOTEPEC, EDO. DE MEXICO</v>
          </cell>
          <cell r="F170" t="str">
            <v/>
          </cell>
          <cell r="G170" t="str">
            <v>(593) 915-2090</v>
          </cell>
          <cell r="H170" t="str">
            <v>MARTHA HERNANDEZ</v>
          </cell>
          <cell r="I170" t="str">
            <v>MARTHA HERNANDEZ</v>
          </cell>
          <cell r="J170" t="str">
            <v>BAJA</v>
          </cell>
          <cell r="K170" t="str">
            <v/>
          </cell>
          <cell r="L170">
            <v>0</v>
          </cell>
          <cell r="M170">
            <v>172</v>
          </cell>
          <cell r="N170" t="str">
            <v>A</v>
          </cell>
          <cell r="O170">
            <v>41040</v>
          </cell>
          <cell r="P170" t="str">
            <v xml:space="preserve">    2</v>
          </cell>
          <cell r="Q170">
            <v>0</v>
          </cell>
          <cell r="R170">
            <v>0</v>
          </cell>
          <cell r="S170">
            <v>0</v>
          </cell>
          <cell r="T170">
            <v>14373</v>
          </cell>
          <cell r="U170">
            <v>0</v>
          </cell>
          <cell r="V170" t="str">
            <v>BARRIO SAN JUAN</v>
          </cell>
          <cell r="W170" t="str">
            <v/>
          </cell>
          <cell r="X170" t="str">
            <v/>
          </cell>
          <cell r="Y170" t="str">
            <v/>
          </cell>
          <cell r="Z170" t="str">
            <v/>
          </cell>
          <cell r="AA170" t="str">
            <v>(593) 915-2090</v>
          </cell>
          <cell r="AB170" t="str">
            <v xml:space="preserve">      DEV</v>
          </cell>
          <cell r="AC170" t="str">
            <v xml:space="preserve">   0940</v>
          </cell>
          <cell r="AD170" t="str">
            <v/>
          </cell>
          <cell r="AE170" t="str">
            <v/>
          </cell>
          <cell r="AF170" t="str">
            <v/>
          </cell>
          <cell r="AG170">
            <v>40903</v>
          </cell>
          <cell r="AH170" t="str">
            <v>N</v>
          </cell>
          <cell r="AI170">
            <v>0</v>
          </cell>
          <cell r="AJ170">
            <v>0</v>
          </cell>
          <cell r="AK170">
            <v>0</v>
          </cell>
          <cell r="AL170">
            <v>253</v>
          </cell>
          <cell r="AM170">
            <v>2411</v>
          </cell>
          <cell r="AN170">
            <v>0</v>
          </cell>
        </row>
        <row r="171">
          <cell r="A171">
            <v>2071</v>
          </cell>
          <cell r="B171" t="str">
            <v>VIANET FERNANDEZ HUAMAN (TEZONTEPEC)</v>
          </cell>
          <cell r="C171" t="str">
            <v/>
          </cell>
          <cell r="D171" t="str">
            <v>AV. JUAN ALDAMA S/N</v>
          </cell>
          <cell r="E171" t="str">
            <v>TEZONTEPEC, HGO.</v>
          </cell>
          <cell r="F171" t="str">
            <v/>
          </cell>
          <cell r="G171" t="str">
            <v>(763) 737-5203</v>
          </cell>
          <cell r="H171" t="str">
            <v>VIANET FERNANDEZ H</v>
          </cell>
          <cell r="I171" t="str">
            <v>VIANET FERNANDEZ H</v>
          </cell>
          <cell r="J171" t="str">
            <v>BAJA</v>
          </cell>
          <cell r="K171" t="str">
            <v/>
          </cell>
          <cell r="L171">
            <v>0</v>
          </cell>
          <cell r="M171">
            <v>173</v>
          </cell>
          <cell r="N171" t="str">
            <v>A</v>
          </cell>
          <cell r="O171">
            <v>41503</v>
          </cell>
          <cell r="P171" t="str">
            <v xml:space="preserve">    3</v>
          </cell>
          <cell r="Q171">
            <v>0</v>
          </cell>
          <cell r="R171">
            <v>0</v>
          </cell>
          <cell r="S171">
            <v>0</v>
          </cell>
          <cell r="T171">
            <v>20506</v>
          </cell>
          <cell r="U171">
            <v>0</v>
          </cell>
          <cell r="V171" t="str">
            <v>CENTRO</v>
          </cell>
          <cell r="W171" t="str">
            <v/>
          </cell>
          <cell r="X171" t="str">
            <v/>
          </cell>
          <cell r="Y171" t="str">
            <v/>
          </cell>
          <cell r="Z171" t="str">
            <v/>
          </cell>
          <cell r="AA171" t="str">
            <v>(763) 737-5203</v>
          </cell>
          <cell r="AB171" t="str">
            <v/>
          </cell>
          <cell r="AC171" t="str">
            <v>F0393</v>
          </cell>
          <cell r="AD171" t="str">
            <v/>
          </cell>
          <cell r="AE171" t="str">
            <v/>
          </cell>
          <cell r="AF171" t="str">
            <v/>
          </cell>
          <cell r="AH171" t="str">
            <v>N</v>
          </cell>
          <cell r="AI171">
            <v>0</v>
          </cell>
          <cell r="AJ171">
            <v>0</v>
          </cell>
          <cell r="AK171">
            <v>0</v>
          </cell>
          <cell r="AL171">
            <v>0</v>
          </cell>
          <cell r="AM171">
            <v>11420</v>
          </cell>
          <cell r="AN171">
            <v>0</v>
          </cell>
        </row>
        <row r="172">
          <cell r="A172">
            <v>2072</v>
          </cell>
          <cell r="B172" t="str">
            <v>ISABEL RUIZ SOTO  (SAN JUAN)</v>
          </cell>
          <cell r="C172" t="str">
            <v/>
          </cell>
          <cell r="D172" t="str">
            <v>AV. DE LOS GANZOS #45</v>
          </cell>
          <cell r="E172" t="str">
            <v>SAN JUAN DEL RIO, QRO.</v>
          </cell>
          <cell r="F172" t="str">
            <v/>
          </cell>
          <cell r="G172" t="str">
            <v>135-1268 CASA</v>
          </cell>
          <cell r="H172" t="str">
            <v>ISABEL RUIZ SOTO</v>
          </cell>
          <cell r="I172" t="str">
            <v>ISABEL RUIZ SOTO</v>
          </cell>
          <cell r="J172" t="str">
            <v>L01</v>
          </cell>
          <cell r="K172" t="str">
            <v/>
          </cell>
          <cell r="L172">
            <v>0</v>
          </cell>
          <cell r="M172">
            <v>174</v>
          </cell>
          <cell r="N172" t="str">
            <v>A</v>
          </cell>
          <cell r="O172">
            <v>42457</v>
          </cell>
          <cell r="P172" t="str">
            <v xml:space="preserve">    6</v>
          </cell>
          <cell r="Q172">
            <v>0</v>
          </cell>
          <cell r="R172">
            <v>0</v>
          </cell>
          <cell r="S172">
            <v>2173</v>
          </cell>
          <cell r="T172">
            <v>170310</v>
          </cell>
          <cell r="U172">
            <v>0</v>
          </cell>
          <cell r="V172" t="str">
            <v>INDECO</v>
          </cell>
          <cell r="W172" t="str">
            <v>(427) 110-4647 CEL</v>
          </cell>
          <cell r="X172" t="str">
            <v/>
          </cell>
          <cell r="Y172" t="str">
            <v/>
          </cell>
          <cell r="Z172" t="str">
            <v/>
          </cell>
          <cell r="AA172" t="str">
            <v>135-1268 CASA</v>
          </cell>
          <cell r="AB172" t="str">
            <v xml:space="preserve">  DEV-333</v>
          </cell>
          <cell r="AC172" t="str">
            <v xml:space="preserve">    333</v>
          </cell>
          <cell r="AD172" t="str">
            <v/>
          </cell>
          <cell r="AE172" t="str">
            <v/>
          </cell>
          <cell r="AF172" t="str">
            <v/>
          </cell>
          <cell r="AG172">
            <v>42457</v>
          </cell>
          <cell r="AH172" t="str">
            <v>N</v>
          </cell>
          <cell r="AI172">
            <v>0</v>
          </cell>
          <cell r="AJ172">
            <v>0</v>
          </cell>
          <cell r="AK172">
            <v>0</v>
          </cell>
          <cell r="AL172">
            <v>642</v>
          </cell>
          <cell r="AM172">
            <v>642</v>
          </cell>
          <cell r="AN172">
            <v>0</v>
          </cell>
        </row>
        <row r="173">
          <cell r="A173">
            <v>2073</v>
          </cell>
          <cell r="B173" t="str">
            <v>GLORIA GONZALEZ (ESCOBEDO)</v>
          </cell>
          <cell r="C173" t="str">
            <v/>
          </cell>
          <cell r="D173" t="str">
            <v>BVLD. LAZARO CARDENAS #1</v>
          </cell>
          <cell r="E173" t="str">
            <v>PEDRO ESCOBEDO, QRO.</v>
          </cell>
          <cell r="F173" t="str">
            <v/>
          </cell>
          <cell r="G173" t="str">
            <v>(448) 275-1853</v>
          </cell>
          <cell r="H173" t="str">
            <v>GLORIA GONZALEZ</v>
          </cell>
          <cell r="I173" t="str">
            <v>GLORIA GONZALEZ</v>
          </cell>
          <cell r="J173" t="str">
            <v>BAJA</v>
          </cell>
          <cell r="K173" t="str">
            <v/>
          </cell>
          <cell r="L173">
            <v>0</v>
          </cell>
          <cell r="M173">
            <v>175</v>
          </cell>
          <cell r="N173" t="str">
            <v>A</v>
          </cell>
          <cell r="O173">
            <v>41482</v>
          </cell>
          <cell r="P173" t="str">
            <v xml:space="preserve">    3</v>
          </cell>
          <cell r="Q173">
            <v>0</v>
          </cell>
          <cell r="R173">
            <v>0</v>
          </cell>
          <cell r="S173">
            <v>0</v>
          </cell>
          <cell r="T173">
            <v>8471</v>
          </cell>
          <cell r="U173">
            <v>0</v>
          </cell>
          <cell r="V173" t="str">
            <v/>
          </cell>
          <cell r="W173" t="str">
            <v/>
          </cell>
          <cell r="X173" t="str">
            <v/>
          </cell>
          <cell r="Y173" t="str">
            <v/>
          </cell>
          <cell r="Z173" t="str">
            <v/>
          </cell>
          <cell r="AA173" t="str">
            <v>(448) 275-1853</v>
          </cell>
          <cell r="AB173" t="str">
            <v/>
          </cell>
          <cell r="AC173" t="str">
            <v>G-007</v>
          </cell>
          <cell r="AD173" t="str">
            <v/>
          </cell>
          <cell r="AE173" t="str">
            <v/>
          </cell>
          <cell r="AF173" t="str">
            <v/>
          </cell>
          <cell r="AH173" t="str">
            <v>N</v>
          </cell>
          <cell r="AI173">
            <v>0</v>
          </cell>
          <cell r="AJ173">
            <v>0</v>
          </cell>
          <cell r="AK173">
            <v>0</v>
          </cell>
          <cell r="AL173">
            <v>0</v>
          </cell>
          <cell r="AM173">
            <v>1944</v>
          </cell>
          <cell r="AN173">
            <v>0</v>
          </cell>
        </row>
        <row r="174">
          <cell r="A174">
            <v>2074</v>
          </cell>
          <cell r="B174" t="str">
            <v>CHIQUILLOS Y CHIQUILLAS (QUERETARO)</v>
          </cell>
          <cell r="C174" t="str">
            <v/>
          </cell>
          <cell r="D174" t="str">
            <v>16 DE SEPTIEMBRE #25 PTE.</v>
          </cell>
          <cell r="E174" t="str">
            <v>QUERETARO, QRO.</v>
          </cell>
          <cell r="F174" t="str">
            <v/>
          </cell>
          <cell r="G174" t="str">
            <v/>
          </cell>
          <cell r="H174" t="str">
            <v/>
          </cell>
          <cell r="I174" t="str">
            <v/>
          </cell>
          <cell r="J174" t="str">
            <v>BAJA</v>
          </cell>
          <cell r="K174" t="str">
            <v/>
          </cell>
          <cell r="L174">
            <v>0</v>
          </cell>
          <cell r="M174">
            <v>176</v>
          </cell>
          <cell r="N174" t="str">
            <v>A</v>
          </cell>
          <cell r="O174">
            <v>40827</v>
          </cell>
          <cell r="P174" t="str">
            <v xml:space="preserve">    6</v>
          </cell>
          <cell r="Q174">
            <v>0</v>
          </cell>
          <cell r="R174">
            <v>0</v>
          </cell>
          <cell r="S174">
            <v>0</v>
          </cell>
          <cell r="T174">
            <v>694</v>
          </cell>
          <cell r="U174">
            <v>0</v>
          </cell>
          <cell r="V174" t="str">
            <v>CENTRO</v>
          </cell>
          <cell r="W174" t="str">
            <v/>
          </cell>
          <cell r="X174" t="str">
            <v/>
          </cell>
          <cell r="Y174" t="str">
            <v/>
          </cell>
          <cell r="Z174" t="str">
            <v/>
          </cell>
          <cell r="AA174" t="str">
            <v/>
          </cell>
          <cell r="AB174" t="str">
            <v/>
          </cell>
          <cell r="AC174" t="str">
            <v>R-0019</v>
          </cell>
          <cell r="AD174" t="str">
            <v/>
          </cell>
          <cell r="AE174" t="str">
            <v/>
          </cell>
          <cell r="AF174" t="str">
            <v/>
          </cell>
          <cell r="AH174" t="str">
            <v>N</v>
          </cell>
          <cell r="AI174">
            <v>0</v>
          </cell>
          <cell r="AJ174">
            <v>0</v>
          </cell>
          <cell r="AK174">
            <v>0</v>
          </cell>
          <cell r="AL174">
            <v>0</v>
          </cell>
          <cell r="AM174">
            <v>694</v>
          </cell>
          <cell r="AN174">
            <v>0</v>
          </cell>
        </row>
        <row r="175">
          <cell r="A175">
            <v>2075</v>
          </cell>
          <cell r="B175" t="str">
            <v>PAZ ROJAS MONTES (TULTITLAN)</v>
          </cell>
          <cell r="C175" t="str">
            <v/>
          </cell>
          <cell r="D175" t="str">
            <v>AV. 11 JULIO #50</v>
          </cell>
          <cell r="E175" t="str">
            <v>TULTITLAN, EDO. DE MEXICO</v>
          </cell>
          <cell r="F175" t="str">
            <v/>
          </cell>
          <cell r="G175" t="str">
            <v>(55) 5884-5410</v>
          </cell>
          <cell r="H175" t="str">
            <v>PAZ ROJAS MONTES</v>
          </cell>
          <cell r="I175" t="str">
            <v>PAZ ROJAS MONTES</v>
          </cell>
          <cell r="J175" t="str">
            <v>BAJA</v>
          </cell>
          <cell r="K175" t="str">
            <v/>
          </cell>
          <cell r="L175">
            <v>0</v>
          </cell>
          <cell r="M175">
            <v>177</v>
          </cell>
          <cell r="N175" t="str">
            <v>A</v>
          </cell>
          <cell r="O175">
            <v>41272</v>
          </cell>
          <cell r="P175" t="str">
            <v xml:space="preserve">    2</v>
          </cell>
          <cell r="Q175">
            <v>0</v>
          </cell>
          <cell r="R175">
            <v>0</v>
          </cell>
          <cell r="S175">
            <v>0</v>
          </cell>
          <cell r="T175">
            <v>17415</v>
          </cell>
          <cell r="U175">
            <v>0</v>
          </cell>
          <cell r="V175" t="str">
            <v>SAN FCO. CHILPAN</v>
          </cell>
          <cell r="W175" t="str">
            <v/>
          </cell>
          <cell r="X175" t="str">
            <v/>
          </cell>
          <cell r="Y175" t="str">
            <v/>
          </cell>
          <cell r="Z175" t="str">
            <v/>
          </cell>
          <cell r="AA175" t="str">
            <v>(55) 5884-5410</v>
          </cell>
          <cell r="AB175" t="str">
            <v/>
          </cell>
          <cell r="AC175" t="str">
            <v>C338</v>
          </cell>
          <cell r="AD175" t="str">
            <v/>
          </cell>
          <cell r="AE175" t="str">
            <v/>
          </cell>
          <cell r="AF175" t="str">
            <v/>
          </cell>
          <cell r="AH175" t="str">
            <v>N</v>
          </cell>
          <cell r="AI175">
            <v>0</v>
          </cell>
          <cell r="AJ175">
            <v>0</v>
          </cell>
          <cell r="AK175">
            <v>0</v>
          </cell>
          <cell r="AL175">
            <v>0</v>
          </cell>
          <cell r="AM175">
            <v>438</v>
          </cell>
          <cell r="AN175">
            <v>0</v>
          </cell>
        </row>
        <row r="176">
          <cell r="A176">
            <v>2076</v>
          </cell>
          <cell r="B176" t="str">
            <v>VICTORIA MARTINEZ (EL COLORADO)</v>
          </cell>
          <cell r="C176" t="str">
            <v/>
          </cell>
          <cell r="D176" t="str">
            <v>ADOLFO LOPEZ MATEOS #30</v>
          </cell>
          <cell r="E176" t="str">
            <v>QUERETARO, QRO.</v>
          </cell>
          <cell r="F176" t="str">
            <v/>
          </cell>
          <cell r="G176" t="str">
            <v/>
          </cell>
          <cell r="H176" t="str">
            <v>VICTORIA MARTINEZ</v>
          </cell>
          <cell r="I176" t="str">
            <v>VICTORIA MARTINEZ</v>
          </cell>
          <cell r="J176" t="str">
            <v>BAJA</v>
          </cell>
          <cell r="K176" t="str">
            <v/>
          </cell>
          <cell r="L176">
            <v>0</v>
          </cell>
          <cell r="M176">
            <v>178</v>
          </cell>
          <cell r="N176" t="str">
            <v>A</v>
          </cell>
          <cell r="O176">
            <v>40849</v>
          </cell>
          <cell r="P176" t="str">
            <v xml:space="preserve">    6</v>
          </cell>
          <cell r="Q176">
            <v>0</v>
          </cell>
          <cell r="R176">
            <v>0</v>
          </cell>
          <cell r="S176">
            <v>0</v>
          </cell>
          <cell r="T176">
            <v>3116</v>
          </cell>
          <cell r="U176">
            <v>0</v>
          </cell>
          <cell r="V176" t="str">
            <v>EL COLORADO</v>
          </cell>
          <cell r="W176" t="str">
            <v/>
          </cell>
          <cell r="X176" t="str">
            <v/>
          </cell>
          <cell r="Y176" t="str">
            <v/>
          </cell>
          <cell r="Z176" t="str">
            <v/>
          </cell>
          <cell r="AA176" t="str">
            <v/>
          </cell>
          <cell r="AB176" t="str">
            <v/>
          </cell>
          <cell r="AC176" t="str">
            <v xml:space="preserve">   0154</v>
          </cell>
          <cell r="AD176" t="str">
            <v/>
          </cell>
          <cell r="AE176" t="str">
            <v/>
          </cell>
          <cell r="AF176" t="str">
            <v/>
          </cell>
          <cell r="AH176" t="str">
            <v>N</v>
          </cell>
          <cell r="AI176">
            <v>0</v>
          </cell>
          <cell r="AJ176">
            <v>0</v>
          </cell>
          <cell r="AK176">
            <v>0</v>
          </cell>
          <cell r="AL176">
            <v>0</v>
          </cell>
          <cell r="AM176">
            <v>1810</v>
          </cell>
          <cell r="AN176">
            <v>0</v>
          </cell>
        </row>
        <row r="177">
          <cell r="A177">
            <v>2077</v>
          </cell>
          <cell r="B177" t="str">
            <v>TOPE BORREGO (QUERETARO)</v>
          </cell>
          <cell r="C177" t="str">
            <v/>
          </cell>
          <cell r="D177" t="str">
            <v>GARIBALDI 2-D ESQ. GUTIERREZ NAJERA</v>
          </cell>
          <cell r="E177" t="str">
            <v>QUERETARO, QRO.</v>
          </cell>
          <cell r="F177" t="str">
            <v/>
          </cell>
          <cell r="G177" t="str">
            <v>(442) 384-0075</v>
          </cell>
          <cell r="H177" t="str">
            <v>ALICIA RODRIGUEZ</v>
          </cell>
          <cell r="I177" t="str">
            <v>FRANCO FARANELI</v>
          </cell>
          <cell r="J177" t="str">
            <v>BAJA</v>
          </cell>
          <cell r="K177" t="str">
            <v/>
          </cell>
          <cell r="L177">
            <v>0</v>
          </cell>
          <cell r="M177">
            <v>179</v>
          </cell>
          <cell r="N177" t="str">
            <v>A</v>
          </cell>
          <cell r="O177">
            <v>40828</v>
          </cell>
          <cell r="P177" t="str">
            <v xml:space="preserve">    6</v>
          </cell>
          <cell r="Q177">
            <v>0</v>
          </cell>
          <cell r="R177">
            <v>0</v>
          </cell>
          <cell r="S177">
            <v>0</v>
          </cell>
          <cell r="T177">
            <v>2466</v>
          </cell>
          <cell r="U177">
            <v>0</v>
          </cell>
          <cell r="V177" t="str">
            <v>MERCADO DE LA CRUZ</v>
          </cell>
          <cell r="W177" t="str">
            <v/>
          </cell>
          <cell r="X177" t="str">
            <v>tpborrego@gmail.com</v>
          </cell>
          <cell r="Y177" t="str">
            <v/>
          </cell>
          <cell r="Z177" t="str">
            <v/>
          </cell>
          <cell r="AA177" t="str">
            <v>(442) 384-0075</v>
          </cell>
          <cell r="AB177" t="str">
            <v/>
          </cell>
          <cell r="AC177" t="str">
            <v>G037</v>
          </cell>
          <cell r="AD177" t="str">
            <v/>
          </cell>
          <cell r="AE177" t="str">
            <v/>
          </cell>
          <cell r="AF177" t="str">
            <v/>
          </cell>
          <cell r="AH177" t="str">
            <v>N</v>
          </cell>
          <cell r="AI177">
            <v>0</v>
          </cell>
          <cell r="AJ177">
            <v>0</v>
          </cell>
          <cell r="AK177">
            <v>0</v>
          </cell>
          <cell r="AL177">
            <v>0</v>
          </cell>
          <cell r="AM177">
            <v>2466</v>
          </cell>
          <cell r="AN177">
            <v>0</v>
          </cell>
        </row>
        <row r="178">
          <cell r="A178">
            <v>2078</v>
          </cell>
          <cell r="B178" t="str">
            <v>MA. PUEBLITO ARIAS RESENDIZ (QUERETARO)</v>
          </cell>
          <cell r="C178" t="str">
            <v/>
          </cell>
          <cell r="D178" t="str">
            <v>AV. PIEDRA #902</v>
          </cell>
          <cell r="E178" t="str">
            <v>QUERETARO, QRO.</v>
          </cell>
          <cell r="F178" t="str">
            <v/>
          </cell>
          <cell r="G178" t="str">
            <v>(442) 375-2531</v>
          </cell>
          <cell r="H178" t="str">
            <v>MARIA PUEBLITO ARIAS</v>
          </cell>
          <cell r="I178" t="str">
            <v>MARIA PUEBLITO ARIAS</v>
          </cell>
          <cell r="J178" t="str">
            <v>L04</v>
          </cell>
          <cell r="K178" t="str">
            <v/>
          </cell>
          <cell r="L178">
            <v>0</v>
          </cell>
          <cell r="M178">
            <v>180</v>
          </cell>
          <cell r="N178" t="str">
            <v>A</v>
          </cell>
          <cell r="O178">
            <v>42473</v>
          </cell>
          <cell r="P178" t="str">
            <v xml:space="preserve">    6</v>
          </cell>
          <cell r="Q178">
            <v>0</v>
          </cell>
          <cell r="R178">
            <v>0</v>
          </cell>
          <cell r="S178">
            <v>3222</v>
          </cell>
          <cell r="T178">
            <v>29491</v>
          </cell>
          <cell r="U178">
            <v>0</v>
          </cell>
          <cell r="V178" t="str">
            <v>SATELITE</v>
          </cell>
          <cell r="W178" t="str">
            <v/>
          </cell>
          <cell r="X178" t="str">
            <v/>
          </cell>
          <cell r="Y178" t="str">
            <v/>
          </cell>
          <cell r="Z178" t="str">
            <v/>
          </cell>
          <cell r="AA178" t="str">
            <v>(442) 375-2531</v>
          </cell>
          <cell r="AB178" t="str">
            <v/>
          </cell>
          <cell r="AC178" t="str">
            <v>L841445</v>
          </cell>
          <cell r="AD178" t="str">
            <v/>
          </cell>
          <cell r="AE178" t="str">
            <v/>
          </cell>
          <cell r="AF178" t="str">
            <v/>
          </cell>
          <cell r="AH178" t="str">
            <v>N</v>
          </cell>
          <cell r="AI178">
            <v>0</v>
          </cell>
          <cell r="AJ178">
            <v>0</v>
          </cell>
          <cell r="AK178">
            <v>0</v>
          </cell>
          <cell r="AL178">
            <v>0</v>
          </cell>
          <cell r="AM178">
            <v>396</v>
          </cell>
          <cell r="AN178">
            <v>0</v>
          </cell>
        </row>
        <row r="179">
          <cell r="A179">
            <v>2079</v>
          </cell>
          <cell r="B179" t="str">
            <v>CLAUDIA MARTINEZ SANCHEZ (COYOTEPEC)</v>
          </cell>
          <cell r="C179" t="str">
            <v/>
          </cell>
          <cell r="D179" t="str">
            <v>ATRAS DEL MERCADO</v>
          </cell>
          <cell r="E179" t="str">
            <v>COYOTEPEC, EDO. DE MEXICO</v>
          </cell>
          <cell r="F179" t="str">
            <v/>
          </cell>
          <cell r="G179" t="str">
            <v/>
          </cell>
          <cell r="H179" t="str">
            <v>CLAUDIA MARTINEZ S.</v>
          </cell>
          <cell r="I179" t="str">
            <v>CLAUDIA MARTINEZ S.</v>
          </cell>
          <cell r="J179" t="str">
            <v>BAJA</v>
          </cell>
          <cell r="K179" t="str">
            <v/>
          </cell>
          <cell r="L179">
            <v>0</v>
          </cell>
          <cell r="M179">
            <v>181</v>
          </cell>
          <cell r="N179" t="str">
            <v>A</v>
          </cell>
          <cell r="O179">
            <v>40831</v>
          </cell>
          <cell r="P179" t="str">
            <v xml:space="preserve">    2</v>
          </cell>
          <cell r="Q179">
            <v>0</v>
          </cell>
          <cell r="R179">
            <v>0</v>
          </cell>
          <cell r="S179">
            <v>0</v>
          </cell>
          <cell r="T179">
            <v>368</v>
          </cell>
          <cell r="U179">
            <v>0</v>
          </cell>
          <cell r="V179" t="str">
            <v/>
          </cell>
          <cell r="W179" t="str">
            <v/>
          </cell>
          <cell r="X179" t="str">
            <v/>
          </cell>
          <cell r="Y179" t="str">
            <v/>
          </cell>
          <cell r="Z179" t="str">
            <v/>
          </cell>
          <cell r="AA179" t="str">
            <v/>
          </cell>
          <cell r="AB179" t="str">
            <v/>
          </cell>
          <cell r="AC179" t="str">
            <v xml:space="preserve">   0297</v>
          </cell>
          <cell r="AD179" t="str">
            <v/>
          </cell>
          <cell r="AE179" t="str">
            <v/>
          </cell>
          <cell r="AF179" t="str">
            <v/>
          </cell>
          <cell r="AH179" t="str">
            <v>N</v>
          </cell>
          <cell r="AI179">
            <v>0</v>
          </cell>
          <cell r="AJ179">
            <v>0</v>
          </cell>
          <cell r="AK179">
            <v>0</v>
          </cell>
          <cell r="AL179">
            <v>0</v>
          </cell>
          <cell r="AM179">
            <v>368</v>
          </cell>
          <cell r="AN179">
            <v>0</v>
          </cell>
        </row>
        <row r="180">
          <cell r="A180">
            <v>2080</v>
          </cell>
          <cell r="B180" t="str">
            <v>JUAN RODRIGUEZ (SANTA ROSA)</v>
          </cell>
          <cell r="C180" t="str">
            <v/>
          </cell>
          <cell r="D180" t="str">
            <v>INDEPENDENCIA #5</v>
          </cell>
          <cell r="E180" t="str">
            <v>SANTA ROSA JAUREGUI, QRO.</v>
          </cell>
          <cell r="F180" t="str">
            <v/>
          </cell>
          <cell r="G180" t="str">
            <v/>
          </cell>
          <cell r="H180" t="str">
            <v>JUAN RODRIGUEZ</v>
          </cell>
          <cell r="I180" t="str">
            <v>JUAN RODRIGUEZ</v>
          </cell>
          <cell r="J180" t="str">
            <v>BAJA</v>
          </cell>
          <cell r="K180" t="str">
            <v/>
          </cell>
          <cell r="L180">
            <v>0</v>
          </cell>
          <cell r="M180">
            <v>182</v>
          </cell>
          <cell r="N180" t="str">
            <v>A</v>
          </cell>
          <cell r="O180">
            <v>40833</v>
          </cell>
          <cell r="P180" t="str">
            <v xml:space="preserve">    6</v>
          </cell>
          <cell r="Q180">
            <v>0</v>
          </cell>
          <cell r="R180">
            <v>0</v>
          </cell>
          <cell r="S180">
            <v>0</v>
          </cell>
          <cell r="T180">
            <v>1164</v>
          </cell>
          <cell r="U180">
            <v>0</v>
          </cell>
          <cell r="V180" t="str">
            <v/>
          </cell>
          <cell r="W180" t="str">
            <v/>
          </cell>
          <cell r="X180" t="str">
            <v/>
          </cell>
          <cell r="Y180" t="str">
            <v/>
          </cell>
          <cell r="Z180" t="str">
            <v/>
          </cell>
          <cell r="AA180" t="str">
            <v/>
          </cell>
          <cell r="AB180" t="str">
            <v/>
          </cell>
          <cell r="AC180" t="str">
            <v>G044</v>
          </cell>
          <cell r="AD180" t="str">
            <v/>
          </cell>
          <cell r="AE180" t="str">
            <v/>
          </cell>
          <cell r="AF180" t="str">
            <v/>
          </cell>
          <cell r="AH180" t="str">
            <v>N</v>
          </cell>
          <cell r="AI180">
            <v>0</v>
          </cell>
          <cell r="AJ180">
            <v>0</v>
          </cell>
          <cell r="AK180">
            <v>0</v>
          </cell>
          <cell r="AL180">
            <v>0</v>
          </cell>
          <cell r="AM180">
            <v>1164</v>
          </cell>
          <cell r="AN180">
            <v>0</v>
          </cell>
        </row>
        <row r="181">
          <cell r="A181">
            <v>2081</v>
          </cell>
          <cell r="B181" t="str">
            <v>ARACELI NAVARRETE RIVERA (ATLACOMULCO)</v>
          </cell>
          <cell r="C181" t="str">
            <v/>
          </cell>
          <cell r="D181" t="str">
            <v>AV. MORELOS ESQ. CALLEJON LIBERTAD</v>
          </cell>
          <cell r="E181" t="str">
            <v>ATLACOMULCO, EDO. DE MEXICO</v>
          </cell>
          <cell r="F181" t="str">
            <v/>
          </cell>
          <cell r="G181" t="str">
            <v>(712) 103-6773</v>
          </cell>
          <cell r="H181" t="str">
            <v>ARTEMIO SALDIVAR</v>
          </cell>
          <cell r="I181" t="str">
            <v>ARTEMIO SALDIVAR</v>
          </cell>
          <cell r="J181" t="str">
            <v>L08</v>
          </cell>
          <cell r="K181" t="str">
            <v/>
          </cell>
          <cell r="L181">
            <v>0</v>
          </cell>
          <cell r="M181">
            <v>183</v>
          </cell>
          <cell r="N181" t="str">
            <v>A</v>
          </cell>
          <cell r="O181">
            <v>42415</v>
          </cell>
          <cell r="P181" t="str">
            <v xml:space="preserve">    6</v>
          </cell>
          <cell r="Q181">
            <v>0</v>
          </cell>
          <cell r="R181">
            <v>0</v>
          </cell>
          <cell r="S181">
            <v>17021</v>
          </cell>
          <cell r="T181">
            <v>352551</v>
          </cell>
          <cell r="U181">
            <v>0</v>
          </cell>
          <cell r="V181" t="str">
            <v/>
          </cell>
          <cell r="W181" t="str">
            <v/>
          </cell>
          <cell r="X181" t="str">
            <v/>
          </cell>
          <cell r="Y181" t="str">
            <v/>
          </cell>
          <cell r="Z181" t="str">
            <v/>
          </cell>
          <cell r="AA181" t="str">
            <v>(712) 103-6773</v>
          </cell>
          <cell r="AB181" t="str">
            <v xml:space="preserve">     DESC</v>
          </cell>
          <cell r="AC181" t="str">
            <v xml:space="preserve">  N-126</v>
          </cell>
          <cell r="AD181" t="str">
            <v/>
          </cell>
          <cell r="AE181" t="str">
            <v/>
          </cell>
          <cell r="AF181" t="str">
            <v/>
          </cell>
          <cell r="AG181">
            <v>40966</v>
          </cell>
          <cell r="AH181" t="str">
            <v>N</v>
          </cell>
          <cell r="AI181">
            <v>0</v>
          </cell>
          <cell r="AJ181">
            <v>0</v>
          </cell>
          <cell r="AK181">
            <v>0</v>
          </cell>
          <cell r="AL181">
            <v>7</v>
          </cell>
          <cell r="AM181">
            <v>1300</v>
          </cell>
          <cell r="AN181">
            <v>0</v>
          </cell>
        </row>
        <row r="182">
          <cell r="A182">
            <v>2082</v>
          </cell>
          <cell r="B182" t="str">
            <v>MA . DEL CARMEN HERNANDEZ GALINDO (HUICHAPAN)</v>
          </cell>
          <cell r="C182" t="str">
            <v/>
          </cell>
          <cell r="D182" t="str">
            <v>LAS PALMAS S/N</v>
          </cell>
          <cell r="E182" t="str">
            <v>HUICHAPAN, HGO.</v>
          </cell>
          <cell r="F182" t="str">
            <v/>
          </cell>
          <cell r="G182" t="str">
            <v>(761) 782-1209</v>
          </cell>
          <cell r="H182" t="str">
            <v>CARMEN HERNANDEZ</v>
          </cell>
          <cell r="I182" t="str">
            <v>CARMEN HERNANDEZ</v>
          </cell>
          <cell r="J182" t="str">
            <v>BAJA</v>
          </cell>
          <cell r="K182" t="str">
            <v/>
          </cell>
          <cell r="L182">
            <v>0</v>
          </cell>
          <cell r="M182">
            <v>184</v>
          </cell>
          <cell r="N182" t="str">
            <v>A</v>
          </cell>
          <cell r="O182">
            <v>40870</v>
          </cell>
          <cell r="P182" t="str">
            <v xml:space="preserve">    6</v>
          </cell>
          <cell r="Q182">
            <v>0</v>
          </cell>
          <cell r="R182">
            <v>0</v>
          </cell>
          <cell r="S182">
            <v>0</v>
          </cell>
          <cell r="T182">
            <v>3894</v>
          </cell>
          <cell r="U182">
            <v>0</v>
          </cell>
          <cell r="V182" t="str">
            <v>CENTRO</v>
          </cell>
          <cell r="W182" t="str">
            <v/>
          </cell>
          <cell r="X182" t="str">
            <v/>
          </cell>
          <cell r="Y182" t="str">
            <v/>
          </cell>
          <cell r="Z182" t="str">
            <v/>
          </cell>
          <cell r="AA182" t="str">
            <v>(761) 782-1209</v>
          </cell>
          <cell r="AB182" t="str">
            <v/>
          </cell>
          <cell r="AC182" t="str">
            <v xml:space="preserve">   0173</v>
          </cell>
          <cell r="AD182" t="str">
            <v/>
          </cell>
          <cell r="AE182" t="str">
            <v/>
          </cell>
          <cell r="AF182" t="str">
            <v/>
          </cell>
          <cell r="AH182" t="str">
            <v>N</v>
          </cell>
          <cell r="AI182">
            <v>0</v>
          </cell>
          <cell r="AJ182">
            <v>0</v>
          </cell>
          <cell r="AK182">
            <v>0</v>
          </cell>
          <cell r="AL182">
            <v>0</v>
          </cell>
          <cell r="AM182">
            <v>1563</v>
          </cell>
          <cell r="AN182">
            <v>0</v>
          </cell>
        </row>
        <row r="183">
          <cell r="A183">
            <v>2083</v>
          </cell>
          <cell r="B183" t="str">
            <v>MARGARITA LABRA PALMA (IXMIQUILPAN)</v>
          </cell>
          <cell r="C183" t="str">
            <v/>
          </cell>
          <cell r="D183" t="str">
            <v>MERCADO MORELOS #196</v>
          </cell>
          <cell r="E183" t="str">
            <v>IXMIQUILPAN, HGO.</v>
          </cell>
          <cell r="F183" t="str">
            <v/>
          </cell>
          <cell r="G183" t="str">
            <v>(55) 489-0355 / (772) 132</v>
          </cell>
          <cell r="H183" t="str">
            <v>MARGARITA LABRA P.</v>
          </cell>
          <cell r="I183" t="str">
            <v>MARGARITA LABRA P.</v>
          </cell>
          <cell r="J183" t="str">
            <v>F02</v>
          </cell>
          <cell r="K183" t="str">
            <v/>
          </cell>
          <cell r="L183">
            <v>0</v>
          </cell>
          <cell r="M183">
            <v>185</v>
          </cell>
          <cell r="N183" t="str">
            <v>A</v>
          </cell>
          <cell r="O183">
            <v>42315</v>
          </cell>
          <cell r="P183" t="str">
            <v xml:space="preserve">    1</v>
          </cell>
          <cell r="Q183">
            <v>0</v>
          </cell>
          <cell r="R183">
            <v>0</v>
          </cell>
          <cell r="S183">
            <v>14696</v>
          </cell>
          <cell r="T183">
            <v>142304</v>
          </cell>
          <cell r="U183">
            <v>0</v>
          </cell>
          <cell r="V183" t="str">
            <v>CENTRO</v>
          </cell>
          <cell r="W183" t="str">
            <v>(759) 723-4660 CASA</v>
          </cell>
          <cell r="X183" t="str">
            <v>107-9305</v>
          </cell>
          <cell r="Y183" t="str">
            <v/>
          </cell>
          <cell r="Z183" t="str">
            <v/>
          </cell>
          <cell r="AA183" t="str">
            <v>(55) 489-0355 / (772) 132-2536</v>
          </cell>
          <cell r="AB183" t="str">
            <v xml:space="preserve">  DEP FER</v>
          </cell>
          <cell r="AC183" t="str">
            <v>F428</v>
          </cell>
          <cell r="AD183" t="str">
            <v/>
          </cell>
          <cell r="AE183" t="str">
            <v/>
          </cell>
          <cell r="AF183" t="str">
            <v/>
          </cell>
          <cell r="AG183">
            <v>42101</v>
          </cell>
          <cell r="AH183" t="str">
            <v>N</v>
          </cell>
          <cell r="AI183">
            <v>0</v>
          </cell>
          <cell r="AJ183">
            <v>0</v>
          </cell>
          <cell r="AK183">
            <v>0</v>
          </cell>
          <cell r="AL183">
            <v>2500</v>
          </cell>
          <cell r="AM183">
            <v>614</v>
          </cell>
          <cell r="AN183">
            <v>0</v>
          </cell>
        </row>
        <row r="184">
          <cell r="A184">
            <v>2084</v>
          </cell>
          <cell r="B184" t="str">
            <v>NICOLASA SAGUILAN (TEXCOCO)</v>
          </cell>
          <cell r="C184" t="str">
            <v/>
          </cell>
          <cell r="D184" t="str">
            <v>MERCADO TEXCOCO</v>
          </cell>
          <cell r="E184" t="str">
            <v>TEXCOCO, EDO. DE MEXICO</v>
          </cell>
          <cell r="F184" t="str">
            <v/>
          </cell>
          <cell r="G184" t="str">
            <v>(595) 954-6909</v>
          </cell>
          <cell r="H184" t="str">
            <v>NICOLASA SAGUILAN</v>
          </cell>
          <cell r="I184" t="str">
            <v>NICOLASA SAGUILAN</v>
          </cell>
          <cell r="J184" t="str">
            <v>BAJA</v>
          </cell>
          <cell r="K184" t="str">
            <v/>
          </cell>
          <cell r="L184">
            <v>0</v>
          </cell>
          <cell r="M184">
            <v>186</v>
          </cell>
          <cell r="N184" t="str">
            <v>A</v>
          </cell>
          <cell r="O184">
            <v>40835</v>
          </cell>
          <cell r="P184" t="str">
            <v xml:space="preserve">    2</v>
          </cell>
          <cell r="Q184">
            <v>0</v>
          </cell>
          <cell r="R184">
            <v>0</v>
          </cell>
          <cell r="S184">
            <v>0</v>
          </cell>
          <cell r="T184">
            <v>1839</v>
          </cell>
          <cell r="U184">
            <v>0</v>
          </cell>
          <cell r="V184" t="str">
            <v>CENTRO</v>
          </cell>
          <cell r="W184" t="str">
            <v/>
          </cell>
          <cell r="X184" t="str">
            <v/>
          </cell>
          <cell r="Y184" t="str">
            <v/>
          </cell>
          <cell r="Z184" t="str">
            <v/>
          </cell>
          <cell r="AA184" t="str">
            <v>(595) 954-6909</v>
          </cell>
          <cell r="AB184" t="str">
            <v/>
          </cell>
          <cell r="AC184" t="str">
            <v>C404</v>
          </cell>
          <cell r="AD184" t="str">
            <v/>
          </cell>
          <cell r="AE184" t="str">
            <v/>
          </cell>
          <cell r="AF184" t="str">
            <v/>
          </cell>
          <cell r="AH184" t="str">
            <v>N</v>
          </cell>
          <cell r="AI184">
            <v>0</v>
          </cell>
          <cell r="AJ184">
            <v>0</v>
          </cell>
          <cell r="AK184">
            <v>0</v>
          </cell>
          <cell r="AL184">
            <v>0</v>
          </cell>
          <cell r="AM184">
            <v>226</v>
          </cell>
          <cell r="AN184">
            <v>0</v>
          </cell>
        </row>
        <row r="185">
          <cell r="A185">
            <v>2085</v>
          </cell>
          <cell r="B185" t="str">
            <v>NAZARIA (TEXCOCO)</v>
          </cell>
          <cell r="C185" t="str">
            <v/>
          </cell>
          <cell r="D185" t="str">
            <v>MERCADO TEXCOCO</v>
          </cell>
          <cell r="E185" t="str">
            <v>TEXCOCO, EDO. DE MEXICO</v>
          </cell>
          <cell r="F185" t="str">
            <v/>
          </cell>
          <cell r="G185" t="str">
            <v/>
          </cell>
          <cell r="H185" t="str">
            <v>NAZARIA</v>
          </cell>
          <cell r="I185" t="str">
            <v>NAZARIA</v>
          </cell>
          <cell r="J185" t="str">
            <v>BAJA</v>
          </cell>
          <cell r="K185" t="str">
            <v/>
          </cell>
          <cell r="L185">
            <v>0</v>
          </cell>
          <cell r="M185">
            <v>187</v>
          </cell>
          <cell r="N185" t="str">
            <v>A</v>
          </cell>
          <cell r="O185">
            <v>40858</v>
          </cell>
          <cell r="P185" t="str">
            <v xml:space="preserve">    2</v>
          </cell>
          <cell r="Q185">
            <v>0</v>
          </cell>
          <cell r="R185">
            <v>0</v>
          </cell>
          <cell r="S185">
            <v>0</v>
          </cell>
          <cell r="T185">
            <v>478</v>
          </cell>
          <cell r="U185">
            <v>0</v>
          </cell>
          <cell r="V185" t="str">
            <v>CENTRO</v>
          </cell>
          <cell r="W185" t="str">
            <v/>
          </cell>
          <cell r="X185" t="str">
            <v/>
          </cell>
          <cell r="Y185" t="str">
            <v/>
          </cell>
          <cell r="Z185" t="str">
            <v/>
          </cell>
          <cell r="AA185" t="str">
            <v/>
          </cell>
          <cell r="AB185" t="str">
            <v/>
          </cell>
          <cell r="AC185" t="str">
            <v xml:space="preserve">   0315</v>
          </cell>
          <cell r="AD185" t="str">
            <v/>
          </cell>
          <cell r="AE185" t="str">
            <v/>
          </cell>
          <cell r="AF185" t="str">
            <v/>
          </cell>
          <cell r="AH185" t="str">
            <v>N</v>
          </cell>
          <cell r="AI185">
            <v>0</v>
          </cell>
          <cell r="AJ185">
            <v>0</v>
          </cell>
          <cell r="AK185">
            <v>0</v>
          </cell>
          <cell r="AL185">
            <v>0</v>
          </cell>
          <cell r="AM185">
            <v>128</v>
          </cell>
          <cell r="AN185">
            <v>0</v>
          </cell>
        </row>
        <row r="186">
          <cell r="A186">
            <v>2086</v>
          </cell>
          <cell r="B186" t="str">
            <v>KARLA LOPEZ  (TEQUISQUIAPAN)</v>
          </cell>
          <cell r="C186" t="str">
            <v/>
          </cell>
          <cell r="D186" t="str">
            <v>CARRIZAL #19</v>
          </cell>
          <cell r="E186" t="str">
            <v>TEQUISQUIAPAN, QRO.</v>
          </cell>
          <cell r="F186" t="str">
            <v/>
          </cell>
          <cell r="G186" t="str">
            <v>(414) 231-9800 CEL</v>
          </cell>
          <cell r="H186" t="str">
            <v>KARINA LOPEZ</v>
          </cell>
          <cell r="I186" t="str">
            <v>KARINA LOPEZ</v>
          </cell>
          <cell r="J186" t="str">
            <v>BAJA</v>
          </cell>
          <cell r="K186" t="str">
            <v/>
          </cell>
          <cell r="L186">
            <v>0</v>
          </cell>
          <cell r="M186">
            <v>188</v>
          </cell>
          <cell r="N186" t="str">
            <v>A</v>
          </cell>
          <cell r="O186">
            <v>41552</v>
          </cell>
          <cell r="P186" t="str">
            <v xml:space="preserve">    6</v>
          </cell>
          <cell r="Q186">
            <v>0</v>
          </cell>
          <cell r="R186">
            <v>0</v>
          </cell>
          <cell r="S186">
            <v>0</v>
          </cell>
          <cell r="T186">
            <v>43659</v>
          </cell>
          <cell r="U186">
            <v>0</v>
          </cell>
          <cell r="V186" t="str">
            <v>CENTRO</v>
          </cell>
          <cell r="W186" t="str">
            <v/>
          </cell>
          <cell r="X186" t="str">
            <v/>
          </cell>
          <cell r="Y186" t="str">
            <v/>
          </cell>
          <cell r="Z186" t="str">
            <v/>
          </cell>
          <cell r="AA186" t="str">
            <v>(414) 231-9800 CEL</v>
          </cell>
          <cell r="AB186" t="str">
            <v/>
          </cell>
          <cell r="AC186" t="str">
            <v xml:space="preserve">    172</v>
          </cell>
          <cell r="AD186" t="str">
            <v/>
          </cell>
          <cell r="AE186" t="str">
            <v/>
          </cell>
          <cell r="AF186" t="str">
            <v/>
          </cell>
          <cell r="AH186" t="str">
            <v>N</v>
          </cell>
          <cell r="AI186">
            <v>0</v>
          </cell>
          <cell r="AJ186">
            <v>0</v>
          </cell>
          <cell r="AK186">
            <v>0</v>
          </cell>
          <cell r="AL186">
            <v>0</v>
          </cell>
          <cell r="AM186">
            <v>650</v>
          </cell>
          <cell r="AN186">
            <v>0</v>
          </cell>
        </row>
        <row r="187">
          <cell r="A187">
            <v>2087</v>
          </cell>
          <cell r="B187" t="str">
            <v>NOVEDADES LUPITA (ROMERO)</v>
          </cell>
          <cell r="C187" t="str">
            <v/>
          </cell>
          <cell r="D187" t="str">
            <v>MERCADO ROMERO RUBIO</v>
          </cell>
          <cell r="E187" t="str">
            <v>CUAUTITLAN, EDO. DE MEXICO</v>
          </cell>
          <cell r="F187" t="str">
            <v/>
          </cell>
          <cell r="G187" t="str">
            <v/>
          </cell>
          <cell r="H187" t="str">
            <v/>
          </cell>
          <cell r="I187" t="str">
            <v/>
          </cell>
          <cell r="J187" t="str">
            <v>BAJA</v>
          </cell>
          <cell r="K187" t="str">
            <v/>
          </cell>
          <cell r="L187">
            <v>0</v>
          </cell>
          <cell r="M187">
            <v>189</v>
          </cell>
          <cell r="N187" t="str">
            <v>A</v>
          </cell>
          <cell r="O187">
            <v>40842</v>
          </cell>
          <cell r="P187" t="str">
            <v xml:space="preserve">    2</v>
          </cell>
          <cell r="Q187">
            <v>0</v>
          </cell>
          <cell r="R187">
            <v>0</v>
          </cell>
          <cell r="S187">
            <v>0</v>
          </cell>
          <cell r="T187">
            <v>324</v>
          </cell>
          <cell r="U187">
            <v>0</v>
          </cell>
          <cell r="V187" t="str">
            <v>ROMERO RUBIO</v>
          </cell>
          <cell r="W187" t="str">
            <v/>
          </cell>
          <cell r="X187" t="str">
            <v/>
          </cell>
          <cell r="Y187" t="str">
            <v/>
          </cell>
          <cell r="Z187" t="str">
            <v/>
          </cell>
          <cell r="AA187" t="str">
            <v/>
          </cell>
          <cell r="AB187" t="str">
            <v/>
          </cell>
          <cell r="AC187" t="str">
            <v>C418</v>
          </cell>
          <cell r="AD187" t="str">
            <v/>
          </cell>
          <cell r="AE187" t="str">
            <v/>
          </cell>
          <cell r="AF187" t="str">
            <v/>
          </cell>
          <cell r="AH187" t="str">
            <v>N</v>
          </cell>
          <cell r="AI187">
            <v>0</v>
          </cell>
          <cell r="AJ187">
            <v>0</v>
          </cell>
          <cell r="AK187">
            <v>0</v>
          </cell>
          <cell r="AL187">
            <v>0</v>
          </cell>
          <cell r="AM187">
            <v>324</v>
          </cell>
          <cell r="AN187">
            <v>0</v>
          </cell>
        </row>
        <row r="188">
          <cell r="A188">
            <v>2088</v>
          </cell>
          <cell r="B188" t="str">
            <v>RUTH RODRIGUEZ GARCIA (AMEALCO)</v>
          </cell>
          <cell r="C188" t="str">
            <v/>
          </cell>
          <cell r="D188" t="str">
            <v>VICENTE GUERRERO  #105</v>
          </cell>
          <cell r="E188" t="str">
            <v>AMEALCO, QRO.</v>
          </cell>
          <cell r="F188" t="str">
            <v/>
          </cell>
          <cell r="G188" t="str">
            <v>(448) 101-3097 CEL</v>
          </cell>
          <cell r="H188" t="str">
            <v>RUTH RODRIGUEZ G.</v>
          </cell>
          <cell r="I188" t="str">
            <v>RUTH RODRIGUEZ G.</v>
          </cell>
          <cell r="J188" t="str">
            <v>BAJA</v>
          </cell>
          <cell r="K188" t="str">
            <v/>
          </cell>
          <cell r="L188">
            <v>0</v>
          </cell>
          <cell r="M188">
            <v>190</v>
          </cell>
          <cell r="N188" t="str">
            <v>A</v>
          </cell>
          <cell r="O188">
            <v>41526</v>
          </cell>
          <cell r="P188" t="str">
            <v xml:space="preserve">    1</v>
          </cell>
          <cell r="Q188">
            <v>0</v>
          </cell>
          <cell r="R188">
            <v>0</v>
          </cell>
          <cell r="S188">
            <v>0</v>
          </cell>
          <cell r="T188">
            <v>7467</v>
          </cell>
          <cell r="U188">
            <v>0</v>
          </cell>
          <cell r="V188" t="str">
            <v>CENTRO</v>
          </cell>
          <cell r="W188" t="str">
            <v/>
          </cell>
          <cell r="X188" t="str">
            <v/>
          </cell>
          <cell r="Y188" t="str">
            <v/>
          </cell>
          <cell r="Z188" t="str">
            <v/>
          </cell>
          <cell r="AA188" t="str">
            <v>(448) 101-3097 CEL</v>
          </cell>
          <cell r="AB188" t="str">
            <v/>
          </cell>
          <cell r="AC188" t="str">
            <v>L0145</v>
          </cell>
          <cell r="AD188" t="str">
            <v/>
          </cell>
          <cell r="AE188" t="str">
            <v/>
          </cell>
          <cell r="AF188" t="str">
            <v/>
          </cell>
          <cell r="AH188" t="str">
            <v>N</v>
          </cell>
          <cell r="AI188">
            <v>0</v>
          </cell>
          <cell r="AJ188">
            <v>0</v>
          </cell>
          <cell r="AK188">
            <v>0</v>
          </cell>
          <cell r="AL188">
            <v>0</v>
          </cell>
          <cell r="AM188">
            <v>3732</v>
          </cell>
          <cell r="AN188">
            <v>0</v>
          </cell>
        </row>
        <row r="189">
          <cell r="A189">
            <v>2089</v>
          </cell>
          <cell r="B189" t="str">
            <v>GUADALUPE ZAVALA LOPEZ (SALVATIERRA)</v>
          </cell>
          <cell r="C189" t="str">
            <v/>
          </cell>
          <cell r="D189" t="str">
            <v>ARTEAGA #202</v>
          </cell>
          <cell r="E189" t="str">
            <v>SALVATIERRA, GTO.</v>
          </cell>
          <cell r="F189" t="str">
            <v/>
          </cell>
          <cell r="G189" t="str">
            <v/>
          </cell>
          <cell r="H189" t="str">
            <v>GUADALUPE ZAVALA L</v>
          </cell>
          <cell r="I189" t="str">
            <v>GUADALUPE ZAVALA L</v>
          </cell>
          <cell r="J189" t="str">
            <v>BAJA</v>
          </cell>
          <cell r="K189" t="str">
            <v/>
          </cell>
          <cell r="L189">
            <v>0</v>
          </cell>
          <cell r="M189">
            <v>191</v>
          </cell>
          <cell r="N189" t="str">
            <v>A</v>
          </cell>
          <cell r="O189">
            <v>40865</v>
          </cell>
          <cell r="P189" t="str">
            <v xml:space="preserve">    1</v>
          </cell>
          <cell r="Q189">
            <v>0</v>
          </cell>
          <cell r="R189">
            <v>0</v>
          </cell>
          <cell r="S189">
            <v>0</v>
          </cell>
          <cell r="T189">
            <v>534</v>
          </cell>
          <cell r="U189">
            <v>0</v>
          </cell>
          <cell r="V189" t="str">
            <v>CENTRO</v>
          </cell>
          <cell r="W189" t="str">
            <v/>
          </cell>
          <cell r="X189" t="str">
            <v/>
          </cell>
          <cell r="Y189" t="str">
            <v/>
          </cell>
          <cell r="Z189" t="str">
            <v/>
          </cell>
          <cell r="AA189" t="str">
            <v/>
          </cell>
          <cell r="AB189" t="str">
            <v/>
          </cell>
          <cell r="AC189" t="str">
            <v xml:space="preserve">     36</v>
          </cell>
          <cell r="AD189" t="str">
            <v/>
          </cell>
          <cell r="AE189" t="str">
            <v/>
          </cell>
          <cell r="AF189" t="str">
            <v/>
          </cell>
          <cell r="AH189" t="str">
            <v>N</v>
          </cell>
          <cell r="AI189">
            <v>0</v>
          </cell>
          <cell r="AJ189">
            <v>0</v>
          </cell>
          <cell r="AK189">
            <v>0</v>
          </cell>
          <cell r="AL189">
            <v>0</v>
          </cell>
          <cell r="AM189">
            <v>230</v>
          </cell>
          <cell r="AN189">
            <v>0</v>
          </cell>
        </row>
        <row r="190">
          <cell r="A190">
            <v>2090</v>
          </cell>
          <cell r="B190" t="str">
            <v>ENEDINA RAMIREZ MONROY (TEPEJI)</v>
          </cell>
          <cell r="C190" t="str">
            <v/>
          </cell>
          <cell r="D190" t="str">
            <v>IGNACIO COMONFORT S/N</v>
          </cell>
          <cell r="E190" t="str">
            <v>TEPEJI DEL RIO, HGO.</v>
          </cell>
          <cell r="F190" t="str">
            <v/>
          </cell>
          <cell r="G190" t="str">
            <v>(773) 121-7176 CEL</v>
          </cell>
          <cell r="H190" t="str">
            <v>ENEDINA RAMIREZ M.</v>
          </cell>
          <cell r="I190" t="str">
            <v>ENEDINA RAMIREZ M.</v>
          </cell>
          <cell r="J190" t="str">
            <v>BAJA</v>
          </cell>
          <cell r="K190" t="str">
            <v/>
          </cell>
          <cell r="L190">
            <v>0</v>
          </cell>
          <cell r="M190">
            <v>192</v>
          </cell>
          <cell r="N190" t="str">
            <v>A</v>
          </cell>
          <cell r="O190">
            <v>41144</v>
          </cell>
          <cell r="P190" t="str">
            <v xml:space="preserve">    1</v>
          </cell>
          <cell r="Q190">
            <v>0</v>
          </cell>
          <cell r="R190">
            <v>0</v>
          </cell>
          <cell r="S190">
            <v>0</v>
          </cell>
          <cell r="T190">
            <v>9078</v>
          </cell>
          <cell r="U190">
            <v>3</v>
          </cell>
          <cell r="V190" t="str">
            <v>CENTRO</v>
          </cell>
          <cell r="W190" t="str">
            <v/>
          </cell>
          <cell r="X190" t="str">
            <v/>
          </cell>
          <cell r="Y190" t="str">
            <v/>
          </cell>
          <cell r="Z190" t="str">
            <v/>
          </cell>
          <cell r="AA190" t="str">
            <v>(773) 121-7176 CEL</v>
          </cell>
          <cell r="AB190" t="str">
            <v xml:space="preserve">     DESC</v>
          </cell>
          <cell r="AC190" t="str">
            <v xml:space="preserve">     94</v>
          </cell>
          <cell r="AD190" t="str">
            <v/>
          </cell>
          <cell r="AE190" t="str">
            <v/>
          </cell>
          <cell r="AF190" t="str">
            <v/>
          </cell>
          <cell r="AG190">
            <v>41141</v>
          </cell>
          <cell r="AH190" t="str">
            <v>N</v>
          </cell>
          <cell r="AI190">
            <v>0</v>
          </cell>
          <cell r="AJ190">
            <v>0</v>
          </cell>
          <cell r="AK190">
            <v>0</v>
          </cell>
          <cell r="AL190">
            <v>18</v>
          </cell>
          <cell r="AM190">
            <v>618</v>
          </cell>
          <cell r="AN190">
            <v>0</v>
          </cell>
        </row>
        <row r="191">
          <cell r="A191">
            <v>2091</v>
          </cell>
          <cell r="B191" t="str">
            <v>CARLOS BARRERA CRUZ (TEZONTEPEC)</v>
          </cell>
          <cell r="C191" t="str">
            <v/>
          </cell>
          <cell r="D191" t="str">
            <v>AV. INSURGENTES #2</v>
          </cell>
          <cell r="E191" t="str">
            <v>TEZONTEPEC, HGO.</v>
          </cell>
          <cell r="F191" t="str">
            <v/>
          </cell>
          <cell r="G191" t="str">
            <v>(771) 267-4418</v>
          </cell>
          <cell r="H191" t="str">
            <v>CARLOS BARRERA CRUZ</v>
          </cell>
          <cell r="I191" t="str">
            <v>CARLOS BARRERA CRUZ</v>
          </cell>
          <cell r="J191" t="str">
            <v>F02</v>
          </cell>
          <cell r="K191" t="str">
            <v/>
          </cell>
          <cell r="L191">
            <v>0</v>
          </cell>
          <cell r="M191">
            <v>193</v>
          </cell>
          <cell r="N191" t="str">
            <v>S</v>
          </cell>
          <cell r="O191">
            <v>41729</v>
          </cell>
          <cell r="P191" t="str">
            <v xml:space="preserve">    8</v>
          </cell>
          <cell r="Q191">
            <v>0</v>
          </cell>
          <cell r="R191">
            <v>0</v>
          </cell>
          <cell r="S191">
            <v>0</v>
          </cell>
          <cell r="T191">
            <v>34148</v>
          </cell>
          <cell r="U191">
            <v>0</v>
          </cell>
          <cell r="V191" t="str">
            <v>CENTRO</v>
          </cell>
          <cell r="W191" t="str">
            <v>(773) 133-1436 CEL</v>
          </cell>
          <cell r="X191" t="str">
            <v/>
          </cell>
          <cell r="Y191" t="str">
            <v/>
          </cell>
          <cell r="Z191" t="str">
            <v/>
          </cell>
          <cell r="AA191" t="str">
            <v>(763) 737-6653</v>
          </cell>
          <cell r="AB191" t="str">
            <v xml:space="preserve">  DEV-198</v>
          </cell>
          <cell r="AC191" t="str">
            <v xml:space="preserve">    198</v>
          </cell>
          <cell r="AD191" t="str">
            <v/>
          </cell>
          <cell r="AE191" t="str">
            <v/>
          </cell>
          <cell r="AF191" t="str">
            <v/>
          </cell>
          <cell r="AG191">
            <v>41729</v>
          </cell>
          <cell r="AH191" t="str">
            <v>N</v>
          </cell>
          <cell r="AI191">
            <v>0</v>
          </cell>
          <cell r="AJ191">
            <v>0</v>
          </cell>
          <cell r="AK191">
            <v>0</v>
          </cell>
          <cell r="AL191">
            <v>419</v>
          </cell>
          <cell r="AM191">
            <v>419</v>
          </cell>
          <cell r="AN191">
            <v>0</v>
          </cell>
        </row>
        <row r="192">
          <cell r="A192">
            <v>2092</v>
          </cell>
          <cell r="B192" t="str">
            <v>IRENE PEREZ RIOS (TEZONTEPEC)</v>
          </cell>
          <cell r="C192" t="str">
            <v/>
          </cell>
          <cell r="D192" t="str">
            <v>JUAN ALDAMA S/N</v>
          </cell>
          <cell r="E192" t="str">
            <v>TEZONTEPEC, HGO.</v>
          </cell>
          <cell r="F192" t="str">
            <v/>
          </cell>
          <cell r="G192" t="str">
            <v>(761) 733-5252</v>
          </cell>
          <cell r="H192" t="str">
            <v>IRENE PEREZ</v>
          </cell>
          <cell r="I192" t="str">
            <v>IRENE PEREZ</v>
          </cell>
          <cell r="J192" t="str">
            <v>F02</v>
          </cell>
          <cell r="K192" t="str">
            <v/>
          </cell>
          <cell r="L192">
            <v>0</v>
          </cell>
          <cell r="M192">
            <v>194</v>
          </cell>
          <cell r="N192" t="str">
            <v>A</v>
          </cell>
          <cell r="O192">
            <v>42244</v>
          </cell>
          <cell r="P192" t="str">
            <v xml:space="preserve">    8</v>
          </cell>
          <cell r="Q192">
            <v>0</v>
          </cell>
          <cell r="R192">
            <v>0</v>
          </cell>
          <cell r="S192">
            <v>0</v>
          </cell>
          <cell r="T192">
            <v>79657</v>
          </cell>
          <cell r="U192">
            <v>0</v>
          </cell>
          <cell r="V192" t="str">
            <v>CENTRO</v>
          </cell>
          <cell r="W192" t="str">
            <v>(773) 137-3822 CEL</v>
          </cell>
          <cell r="X192" t="str">
            <v/>
          </cell>
          <cell r="Y192" t="str">
            <v/>
          </cell>
          <cell r="Z192" t="str">
            <v/>
          </cell>
          <cell r="AA192" t="str">
            <v>(761) 733-5252</v>
          </cell>
          <cell r="AB192" t="str">
            <v/>
          </cell>
          <cell r="AC192" t="str">
            <v>F378</v>
          </cell>
          <cell r="AD192" t="str">
            <v/>
          </cell>
          <cell r="AE192" t="str">
            <v/>
          </cell>
          <cell r="AF192" t="str">
            <v/>
          </cell>
          <cell r="AH192" t="str">
            <v>N</v>
          </cell>
          <cell r="AI192">
            <v>0</v>
          </cell>
          <cell r="AJ192">
            <v>0</v>
          </cell>
          <cell r="AK192">
            <v>0</v>
          </cell>
          <cell r="AL192">
            <v>0</v>
          </cell>
          <cell r="AM192">
            <v>1806</v>
          </cell>
          <cell r="AN192">
            <v>0</v>
          </cell>
        </row>
        <row r="193">
          <cell r="A193">
            <v>2093</v>
          </cell>
          <cell r="B193" t="str">
            <v>MIGUEL TAPIA REYES (IXTLAHUACA)</v>
          </cell>
          <cell r="C193" t="str">
            <v/>
          </cell>
          <cell r="D193" t="str">
            <v>ALLENDE S/N</v>
          </cell>
          <cell r="E193" t="str">
            <v>IXTLAHUACA, EDO. DE MEXICO</v>
          </cell>
          <cell r="F193" t="str">
            <v/>
          </cell>
          <cell r="G193" t="str">
            <v>(712) 100-7308</v>
          </cell>
          <cell r="H193" t="str">
            <v>MIGUEL TAPIA REYES</v>
          </cell>
          <cell r="I193" t="str">
            <v>MIGUEL TAPIA REYES</v>
          </cell>
          <cell r="J193" t="str">
            <v>BAJA</v>
          </cell>
          <cell r="K193" t="str">
            <v/>
          </cell>
          <cell r="L193">
            <v>0</v>
          </cell>
          <cell r="M193">
            <v>195</v>
          </cell>
          <cell r="N193" t="str">
            <v>A</v>
          </cell>
          <cell r="O193">
            <v>42429</v>
          </cell>
          <cell r="P193" t="str">
            <v xml:space="preserve">    6</v>
          </cell>
          <cell r="Q193">
            <v>0</v>
          </cell>
          <cell r="R193">
            <v>0</v>
          </cell>
          <cell r="S193">
            <v>0</v>
          </cell>
          <cell r="T193">
            <v>27825.8</v>
          </cell>
          <cell r="U193">
            <v>0</v>
          </cell>
          <cell r="V193" t="str">
            <v>CENTRO</v>
          </cell>
          <cell r="W193" t="str">
            <v/>
          </cell>
          <cell r="X193" t="str">
            <v/>
          </cell>
          <cell r="Y193" t="str">
            <v/>
          </cell>
          <cell r="Z193" t="str">
            <v/>
          </cell>
          <cell r="AA193" t="str">
            <v>(712) 100-7308</v>
          </cell>
          <cell r="AB193" t="str">
            <v xml:space="preserve">   DEV-73</v>
          </cell>
          <cell r="AC193" t="str">
            <v>F0052</v>
          </cell>
          <cell r="AD193" t="str">
            <v/>
          </cell>
          <cell r="AE193" t="str">
            <v/>
          </cell>
          <cell r="AF193" t="str">
            <v/>
          </cell>
          <cell r="AG193">
            <v>41066</v>
          </cell>
          <cell r="AH193" t="str">
            <v>N</v>
          </cell>
          <cell r="AI193">
            <v>0</v>
          </cell>
          <cell r="AJ193">
            <v>0</v>
          </cell>
          <cell r="AK193">
            <v>0</v>
          </cell>
          <cell r="AL193">
            <v>3066</v>
          </cell>
          <cell r="AM193">
            <v>1849</v>
          </cell>
          <cell r="AN193">
            <v>0</v>
          </cell>
        </row>
        <row r="194">
          <cell r="A194">
            <v>2094</v>
          </cell>
          <cell r="B194" t="str">
            <v>HECTOR GRANADOS COPCA (TECAMAC)</v>
          </cell>
          <cell r="C194" t="str">
            <v/>
          </cell>
          <cell r="D194" t="str">
            <v>AV. 5 DE MAYO</v>
          </cell>
          <cell r="E194" t="str">
            <v>TECAMAC, EDO. DE MEXICO</v>
          </cell>
          <cell r="F194" t="str">
            <v>55740</v>
          </cell>
          <cell r="G194" t="str">
            <v>(55) 5934-3840</v>
          </cell>
          <cell r="H194" t="str">
            <v>HECTOR GRANADOS</v>
          </cell>
          <cell r="I194" t="str">
            <v>HECTOR GRANADOS</v>
          </cell>
          <cell r="J194" t="str">
            <v>BAJA</v>
          </cell>
          <cell r="K194" t="str">
            <v/>
          </cell>
          <cell r="L194">
            <v>0</v>
          </cell>
          <cell r="M194">
            <v>196</v>
          </cell>
          <cell r="N194" t="str">
            <v>S</v>
          </cell>
          <cell r="O194">
            <v>40866</v>
          </cell>
          <cell r="P194" t="str">
            <v xml:space="preserve">    3</v>
          </cell>
          <cell r="Q194">
            <v>0</v>
          </cell>
          <cell r="R194">
            <v>0</v>
          </cell>
          <cell r="S194">
            <v>0</v>
          </cell>
          <cell r="T194">
            <v>2915</v>
          </cell>
          <cell r="U194">
            <v>0</v>
          </cell>
          <cell r="V194" t="str">
            <v>CENTRO</v>
          </cell>
          <cell r="W194" t="str">
            <v/>
          </cell>
          <cell r="X194" t="str">
            <v/>
          </cell>
          <cell r="Y194" t="str">
            <v/>
          </cell>
          <cell r="Z194" t="str">
            <v/>
          </cell>
          <cell r="AA194" t="str">
            <v>(55) 5934-3840</v>
          </cell>
          <cell r="AB194" t="str">
            <v/>
          </cell>
          <cell r="AC194" t="str">
            <v xml:space="preserve">   0324</v>
          </cell>
          <cell r="AD194" t="str">
            <v/>
          </cell>
          <cell r="AE194" t="str">
            <v/>
          </cell>
          <cell r="AF194" t="str">
            <v/>
          </cell>
          <cell r="AH194" t="str">
            <v>N</v>
          </cell>
          <cell r="AI194">
            <v>0</v>
          </cell>
          <cell r="AJ194">
            <v>0</v>
          </cell>
          <cell r="AK194">
            <v>0</v>
          </cell>
          <cell r="AL194">
            <v>0</v>
          </cell>
          <cell r="AM194">
            <v>1182</v>
          </cell>
          <cell r="AN194">
            <v>0</v>
          </cell>
        </row>
        <row r="195">
          <cell r="A195">
            <v>2095</v>
          </cell>
          <cell r="B195" t="str">
            <v>ELIZABETH DAVILA (TECAMAC)</v>
          </cell>
          <cell r="C195" t="str">
            <v/>
          </cell>
          <cell r="D195" t="str">
            <v/>
          </cell>
          <cell r="E195" t="str">
            <v>TECAMAC, EDO. DE MEXICO</v>
          </cell>
          <cell r="F195" t="str">
            <v/>
          </cell>
          <cell r="G195" t="str">
            <v/>
          </cell>
          <cell r="H195" t="str">
            <v>ELIZABETH DAVILA</v>
          </cell>
          <cell r="I195" t="str">
            <v>ELIZABETH DAVILA</v>
          </cell>
          <cell r="J195" t="str">
            <v>BAJA</v>
          </cell>
          <cell r="K195" t="str">
            <v/>
          </cell>
          <cell r="L195">
            <v>0</v>
          </cell>
          <cell r="M195">
            <v>197</v>
          </cell>
          <cell r="N195" t="str">
            <v>S</v>
          </cell>
          <cell r="O195">
            <v>40851</v>
          </cell>
          <cell r="P195" t="str">
            <v xml:space="preserve">    2</v>
          </cell>
          <cell r="Q195">
            <v>0</v>
          </cell>
          <cell r="R195">
            <v>0</v>
          </cell>
          <cell r="S195">
            <v>0</v>
          </cell>
          <cell r="T195">
            <v>184</v>
          </cell>
          <cell r="U195">
            <v>0</v>
          </cell>
          <cell r="V195" t="str">
            <v/>
          </cell>
          <cell r="W195" t="str">
            <v/>
          </cell>
          <cell r="X195" t="str">
            <v/>
          </cell>
          <cell r="Y195" t="str">
            <v/>
          </cell>
          <cell r="Z195" t="str">
            <v/>
          </cell>
          <cell r="AA195" t="str">
            <v/>
          </cell>
          <cell r="AB195" t="str">
            <v/>
          </cell>
          <cell r="AC195" t="str">
            <v>C422</v>
          </cell>
          <cell r="AD195" t="str">
            <v/>
          </cell>
          <cell r="AE195" t="str">
            <v/>
          </cell>
          <cell r="AF195" t="str">
            <v/>
          </cell>
          <cell r="AH195" t="str">
            <v>N</v>
          </cell>
          <cell r="AI195">
            <v>0</v>
          </cell>
          <cell r="AJ195">
            <v>0</v>
          </cell>
          <cell r="AK195">
            <v>0</v>
          </cell>
          <cell r="AL195">
            <v>0</v>
          </cell>
          <cell r="AM195">
            <v>184</v>
          </cell>
          <cell r="AN195">
            <v>0</v>
          </cell>
        </row>
        <row r="196">
          <cell r="A196">
            <v>2096</v>
          </cell>
          <cell r="B196" t="str">
            <v>LETICIA PEREZ (SAN JUAN)</v>
          </cell>
          <cell r="C196" t="str">
            <v/>
          </cell>
          <cell r="D196" t="str">
            <v>FRANCISCO PEREZ R. # 168</v>
          </cell>
          <cell r="E196" t="str">
            <v>SAN JUAN DEL RIO, QRO.</v>
          </cell>
          <cell r="F196" t="str">
            <v/>
          </cell>
          <cell r="G196" t="str">
            <v>(427) 274-6921</v>
          </cell>
          <cell r="H196" t="str">
            <v>LETICIA PEREZ</v>
          </cell>
          <cell r="I196" t="str">
            <v>LETICIA PEREZ</v>
          </cell>
          <cell r="J196" t="str">
            <v>BAJA</v>
          </cell>
          <cell r="K196" t="str">
            <v/>
          </cell>
          <cell r="L196">
            <v>0</v>
          </cell>
          <cell r="M196">
            <v>198</v>
          </cell>
          <cell r="N196" t="str">
            <v>A</v>
          </cell>
          <cell r="O196">
            <v>40928</v>
          </cell>
          <cell r="P196" t="str">
            <v xml:space="preserve">    6</v>
          </cell>
          <cell r="Q196">
            <v>0</v>
          </cell>
          <cell r="R196">
            <v>0</v>
          </cell>
          <cell r="S196">
            <v>0</v>
          </cell>
          <cell r="T196">
            <v>2981</v>
          </cell>
          <cell r="U196">
            <v>0</v>
          </cell>
          <cell r="V196" t="str">
            <v>INFONAVIT</v>
          </cell>
          <cell r="W196" t="str">
            <v/>
          </cell>
          <cell r="X196" t="str">
            <v/>
          </cell>
          <cell r="Y196" t="str">
            <v/>
          </cell>
          <cell r="Z196" t="str">
            <v/>
          </cell>
          <cell r="AA196" t="str">
            <v>(427) 274-6921</v>
          </cell>
          <cell r="AB196" t="str">
            <v/>
          </cell>
          <cell r="AC196" t="str">
            <v>R-0065</v>
          </cell>
          <cell r="AD196" t="str">
            <v/>
          </cell>
          <cell r="AE196" t="str">
            <v/>
          </cell>
          <cell r="AF196" t="str">
            <v/>
          </cell>
          <cell r="AH196" t="str">
            <v>N</v>
          </cell>
          <cell r="AI196">
            <v>0</v>
          </cell>
          <cell r="AJ196">
            <v>0</v>
          </cell>
          <cell r="AK196">
            <v>0</v>
          </cell>
          <cell r="AL196">
            <v>0</v>
          </cell>
          <cell r="AM196">
            <v>1653</v>
          </cell>
          <cell r="AN196">
            <v>0</v>
          </cell>
        </row>
        <row r="197">
          <cell r="A197">
            <v>2097</v>
          </cell>
          <cell r="B197" t="str">
            <v>ESTELA GARCIA SANCHEZ (ROMERO)</v>
          </cell>
          <cell r="C197" t="str">
            <v/>
          </cell>
          <cell r="D197" t="str">
            <v>MERCADO ROMERO L.31 ZONA 1</v>
          </cell>
          <cell r="E197" t="str">
            <v>CUAUTITLAN, EDO. DE MEXICO</v>
          </cell>
          <cell r="F197" t="str">
            <v/>
          </cell>
          <cell r="G197" t="str">
            <v>(55) 5872-4095</v>
          </cell>
          <cell r="H197" t="str">
            <v>ESTELA GARCIA S.</v>
          </cell>
          <cell r="I197" t="str">
            <v>ESTELA GARCIA S.</v>
          </cell>
          <cell r="J197" t="str">
            <v>BAJA</v>
          </cell>
          <cell r="K197" t="str">
            <v/>
          </cell>
          <cell r="L197">
            <v>0</v>
          </cell>
          <cell r="M197">
            <v>199</v>
          </cell>
          <cell r="N197" t="str">
            <v>A</v>
          </cell>
          <cell r="O197">
            <v>40856</v>
          </cell>
          <cell r="P197" t="str">
            <v xml:space="preserve">    2</v>
          </cell>
          <cell r="Q197">
            <v>0</v>
          </cell>
          <cell r="R197">
            <v>0</v>
          </cell>
          <cell r="S197">
            <v>0</v>
          </cell>
          <cell r="T197">
            <v>206</v>
          </cell>
          <cell r="U197">
            <v>0</v>
          </cell>
          <cell r="V197" t="str">
            <v>ROMERO RUBIO</v>
          </cell>
          <cell r="W197" t="str">
            <v/>
          </cell>
          <cell r="X197" t="str">
            <v/>
          </cell>
          <cell r="Y197" t="str">
            <v/>
          </cell>
          <cell r="Z197" t="str">
            <v/>
          </cell>
          <cell r="AA197" t="str">
            <v>(55) 5872-4095</v>
          </cell>
          <cell r="AB197" t="str">
            <v/>
          </cell>
          <cell r="AC197" t="str">
            <v>C425</v>
          </cell>
          <cell r="AD197" t="str">
            <v/>
          </cell>
          <cell r="AE197" t="str">
            <v/>
          </cell>
          <cell r="AF197" t="str">
            <v/>
          </cell>
          <cell r="AH197" t="str">
            <v>N</v>
          </cell>
          <cell r="AI197">
            <v>0</v>
          </cell>
          <cell r="AJ197">
            <v>0</v>
          </cell>
          <cell r="AK197">
            <v>0</v>
          </cell>
          <cell r="AL197">
            <v>0</v>
          </cell>
          <cell r="AM197">
            <v>206</v>
          </cell>
          <cell r="AN197">
            <v>0</v>
          </cell>
        </row>
        <row r="198">
          <cell r="A198">
            <v>2098</v>
          </cell>
          <cell r="B198" t="str">
            <v>CARMEN GONZALEZ CRUZ (TECAMAC)</v>
          </cell>
          <cell r="C198" t="str">
            <v/>
          </cell>
          <cell r="D198" t="str">
            <v>MERCADO DE STA. CRUZ LOC. 18</v>
          </cell>
          <cell r="E198" t="str">
            <v>TECAMAC, EDO. DE MEXICO</v>
          </cell>
          <cell r="F198" t="str">
            <v/>
          </cell>
          <cell r="G198" t="str">
            <v/>
          </cell>
          <cell r="H198" t="str">
            <v>CARMEN GONZALEZ CRUZ</v>
          </cell>
          <cell r="I198" t="str">
            <v>CARMEN GONZALEZ CRUZ</v>
          </cell>
          <cell r="J198" t="str">
            <v>BAJA</v>
          </cell>
          <cell r="K198" t="str">
            <v/>
          </cell>
          <cell r="L198">
            <v>0</v>
          </cell>
          <cell r="M198">
            <v>200</v>
          </cell>
          <cell r="N198" t="str">
            <v>S</v>
          </cell>
          <cell r="O198">
            <v>40856</v>
          </cell>
          <cell r="P198" t="str">
            <v xml:space="preserve">    2</v>
          </cell>
          <cell r="Q198">
            <v>0</v>
          </cell>
          <cell r="R198">
            <v>0</v>
          </cell>
          <cell r="S198">
            <v>0</v>
          </cell>
          <cell r="T198">
            <v>308</v>
          </cell>
          <cell r="U198">
            <v>0</v>
          </cell>
          <cell r="V198" t="str">
            <v/>
          </cell>
          <cell r="W198" t="str">
            <v/>
          </cell>
          <cell r="X198" t="str">
            <v/>
          </cell>
          <cell r="Y198" t="str">
            <v/>
          </cell>
          <cell r="Z198" t="str">
            <v/>
          </cell>
          <cell r="AA198" t="str">
            <v/>
          </cell>
          <cell r="AB198" t="str">
            <v/>
          </cell>
          <cell r="AC198" t="str">
            <v xml:space="preserve">   0308</v>
          </cell>
          <cell r="AD198" t="str">
            <v/>
          </cell>
          <cell r="AE198" t="str">
            <v/>
          </cell>
          <cell r="AF198" t="str">
            <v/>
          </cell>
          <cell r="AH198" t="str">
            <v>N</v>
          </cell>
          <cell r="AI198">
            <v>0</v>
          </cell>
          <cell r="AJ198">
            <v>0</v>
          </cell>
          <cell r="AK198">
            <v>0</v>
          </cell>
          <cell r="AL198">
            <v>0</v>
          </cell>
          <cell r="AM198">
            <v>308</v>
          </cell>
          <cell r="AN198">
            <v>0</v>
          </cell>
        </row>
        <row r="199">
          <cell r="A199">
            <v>2099</v>
          </cell>
          <cell r="B199" t="str">
            <v>OTILIA NIEVES ZAMORA (TEOTIHUACAN)</v>
          </cell>
          <cell r="C199" t="str">
            <v/>
          </cell>
          <cell r="D199" t="str">
            <v/>
          </cell>
          <cell r="E199" t="str">
            <v>TEOTIHUACAN, EDO. DE MEXICO</v>
          </cell>
          <cell r="F199" t="str">
            <v/>
          </cell>
          <cell r="G199" t="str">
            <v>(594) 956-3826</v>
          </cell>
          <cell r="H199" t="str">
            <v>OTILIA NIEVAS ZAMORA</v>
          </cell>
          <cell r="I199" t="str">
            <v>OTILIA NIEVAS ZAMORA</v>
          </cell>
          <cell r="J199" t="str">
            <v>M03</v>
          </cell>
          <cell r="K199" t="str">
            <v/>
          </cell>
          <cell r="L199">
            <v>0</v>
          </cell>
          <cell r="M199">
            <v>201</v>
          </cell>
          <cell r="N199" t="str">
            <v>A</v>
          </cell>
          <cell r="O199">
            <v>41733</v>
          </cell>
          <cell r="P199" t="str">
            <v xml:space="preserve">    2</v>
          </cell>
          <cell r="Q199">
            <v>0</v>
          </cell>
          <cell r="R199">
            <v>0</v>
          </cell>
          <cell r="S199">
            <v>0</v>
          </cell>
          <cell r="T199">
            <v>34002</v>
          </cell>
          <cell r="U199">
            <v>0</v>
          </cell>
          <cell r="V199" t="str">
            <v/>
          </cell>
          <cell r="W199" t="str">
            <v>(55) 2666-5508</v>
          </cell>
          <cell r="X199" t="str">
            <v/>
          </cell>
          <cell r="Y199" t="str">
            <v/>
          </cell>
          <cell r="Z199" t="str">
            <v/>
          </cell>
          <cell r="AA199" t="str">
            <v>(594) 956-3826</v>
          </cell>
          <cell r="AB199" t="str">
            <v/>
          </cell>
          <cell r="AC199" t="str">
            <v>M0747</v>
          </cell>
          <cell r="AD199" t="str">
            <v/>
          </cell>
          <cell r="AE199" t="str">
            <v/>
          </cell>
          <cell r="AF199" t="str">
            <v/>
          </cell>
          <cell r="AH199" t="str">
            <v>N</v>
          </cell>
          <cell r="AI199">
            <v>0</v>
          </cell>
          <cell r="AJ199">
            <v>0</v>
          </cell>
          <cell r="AK199">
            <v>0</v>
          </cell>
          <cell r="AL199">
            <v>0</v>
          </cell>
          <cell r="AM199">
            <v>2956</v>
          </cell>
          <cell r="AN199">
            <v>0</v>
          </cell>
        </row>
        <row r="200">
          <cell r="A200">
            <v>2100</v>
          </cell>
          <cell r="B200" t="str">
            <v>ROBERTO PIÑA ZAMUDIO (SALVATIERRA)</v>
          </cell>
          <cell r="C200" t="str">
            <v/>
          </cell>
          <cell r="D200" t="str">
            <v>JUAREZ #125</v>
          </cell>
          <cell r="E200" t="str">
            <v>SALVATIERRA, GTO.</v>
          </cell>
          <cell r="F200" t="str">
            <v/>
          </cell>
          <cell r="G200" t="str">
            <v>(466) 161-2281</v>
          </cell>
          <cell r="H200" t="str">
            <v>ROBERTO PIÑA ZAMUDIO</v>
          </cell>
          <cell r="I200" t="str">
            <v>ROBERTO PIÑA ZAMUDIO</v>
          </cell>
          <cell r="J200" t="str">
            <v>J06</v>
          </cell>
          <cell r="K200" t="str">
            <v/>
          </cell>
          <cell r="L200">
            <v>0</v>
          </cell>
          <cell r="M200">
            <v>202</v>
          </cell>
          <cell r="N200" t="str">
            <v>A</v>
          </cell>
          <cell r="O200">
            <v>42490</v>
          </cell>
          <cell r="P200" t="str">
            <v xml:space="preserve">    1</v>
          </cell>
          <cell r="Q200">
            <v>0</v>
          </cell>
          <cell r="R200">
            <v>0</v>
          </cell>
          <cell r="S200">
            <v>0</v>
          </cell>
          <cell r="T200">
            <v>53551</v>
          </cell>
          <cell r="U200">
            <v>0</v>
          </cell>
          <cell r="V200" t="str">
            <v>CENTRO</v>
          </cell>
          <cell r="W200" t="str">
            <v/>
          </cell>
          <cell r="X200" t="str">
            <v/>
          </cell>
          <cell r="Y200" t="str">
            <v/>
          </cell>
          <cell r="Z200" t="str">
            <v/>
          </cell>
          <cell r="AA200" t="str">
            <v>(466) 161-2281</v>
          </cell>
          <cell r="AB200" t="str">
            <v/>
          </cell>
          <cell r="AC200" t="str">
            <v>R-1068</v>
          </cell>
          <cell r="AD200" t="str">
            <v/>
          </cell>
          <cell r="AE200" t="str">
            <v/>
          </cell>
          <cell r="AF200" t="str">
            <v/>
          </cell>
          <cell r="AH200" t="str">
            <v>N</v>
          </cell>
          <cell r="AI200">
            <v>0</v>
          </cell>
          <cell r="AJ200">
            <v>0</v>
          </cell>
          <cell r="AK200">
            <v>0</v>
          </cell>
          <cell r="AL200">
            <v>0</v>
          </cell>
          <cell r="AM200">
            <v>1520</v>
          </cell>
          <cell r="AN200">
            <v>0</v>
          </cell>
        </row>
        <row r="201">
          <cell r="A201">
            <v>2101</v>
          </cell>
          <cell r="B201" t="str">
            <v>YADIRA ROJAS VALDEZ (ACAMBARO)</v>
          </cell>
          <cell r="C201" t="str">
            <v/>
          </cell>
          <cell r="D201" t="str">
            <v>MORELOS #555-A</v>
          </cell>
          <cell r="E201" t="str">
            <v>ACAMBARO, GTO.</v>
          </cell>
          <cell r="F201" t="str">
            <v/>
          </cell>
          <cell r="G201" t="str">
            <v>(417) 177-1463</v>
          </cell>
          <cell r="H201" t="str">
            <v>YADIRA ROJAS VALDEZ</v>
          </cell>
          <cell r="I201" t="str">
            <v>YADIRA ROJAS VALDEZ</v>
          </cell>
          <cell r="J201" t="str">
            <v>BAJA</v>
          </cell>
          <cell r="K201" t="str">
            <v/>
          </cell>
          <cell r="L201">
            <v>0</v>
          </cell>
          <cell r="M201">
            <v>203</v>
          </cell>
          <cell r="N201" t="str">
            <v>A</v>
          </cell>
          <cell r="O201">
            <v>41316</v>
          </cell>
          <cell r="P201" t="str">
            <v xml:space="preserve">    1</v>
          </cell>
          <cell r="Q201">
            <v>0</v>
          </cell>
          <cell r="R201">
            <v>0</v>
          </cell>
          <cell r="S201">
            <v>0</v>
          </cell>
          <cell r="T201">
            <v>6002</v>
          </cell>
          <cell r="U201">
            <v>0</v>
          </cell>
          <cell r="V201" t="str">
            <v>CENTRO</v>
          </cell>
          <cell r="W201" t="str">
            <v/>
          </cell>
          <cell r="X201" t="str">
            <v/>
          </cell>
          <cell r="Y201" t="str">
            <v/>
          </cell>
          <cell r="Z201" t="str">
            <v/>
          </cell>
          <cell r="AA201" t="str">
            <v>(417) 177-1463</v>
          </cell>
          <cell r="AB201" t="str">
            <v/>
          </cell>
          <cell r="AC201" t="str">
            <v>C631</v>
          </cell>
          <cell r="AD201" t="str">
            <v/>
          </cell>
          <cell r="AE201" t="str">
            <v/>
          </cell>
          <cell r="AF201" t="str">
            <v/>
          </cell>
          <cell r="AH201" t="str">
            <v>N</v>
          </cell>
          <cell r="AI201">
            <v>0</v>
          </cell>
          <cell r="AJ201">
            <v>0</v>
          </cell>
          <cell r="AK201">
            <v>0</v>
          </cell>
          <cell r="AL201">
            <v>0</v>
          </cell>
          <cell r="AM201">
            <v>1447</v>
          </cell>
          <cell r="AN201">
            <v>0</v>
          </cell>
        </row>
        <row r="202">
          <cell r="A202">
            <v>2102</v>
          </cell>
          <cell r="B202" t="str">
            <v>JUANA RAMIREZ VALENZUELA (SAN MIGUEL)</v>
          </cell>
          <cell r="C202" t="str">
            <v/>
          </cell>
          <cell r="D202" t="str">
            <v>PLAZA GUADALUPE LOC. 46</v>
          </cell>
          <cell r="E202" t="str">
            <v>SAN MIGUEL DE ALLENDE, GTO.</v>
          </cell>
          <cell r="F202">
            <v>0</v>
          </cell>
          <cell r="G202" t="str">
            <v>(415) 101-5619</v>
          </cell>
          <cell r="H202" t="str">
            <v>JUANA RAMIREZ V.</v>
          </cell>
          <cell r="I202" t="str">
            <v>JUANA RAMIREZ V.</v>
          </cell>
          <cell r="J202" t="str">
            <v>BAJA</v>
          </cell>
          <cell r="K202" t="str">
            <v/>
          </cell>
          <cell r="L202">
            <v>0</v>
          </cell>
          <cell r="M202">
            <v>204</v>
          </cell>
          <cell r="N202" t="str">
            <v>S</v>
          </cell>
          <cell r="O202">
            <v>40966</v>
          </cell>
          <cell r="P202" t="str">
            <v xml:space="preserve">    9</v>
          </cell>
          <cell r="Q202">
            <v>0</v>
          </cell>
          <cell r="R202">
            <v>0</v>
          </cell>
          <cell r="S202">
            <v>0</v>
          </cell>
          <cell r="T202">
            <v>2284.5</v>
          </cell>
          <cell r="U202">
            <v>0</v>
          </cell>
          <cell r="V202" t="str">
            <v/>
          </cell>
          <cell r="W202" t="str">
            <v/>
          </cell>
          <cell r="X202" t="str">
            <v/>
          </cell>
          <cell r="Y202" t="str">
            <v/>
          </cell>
          <cell r="Z202" t="str">
            <v/>
          </cell>
          <cell r="AA202" t="str">
            <v>(415) 101-5619</v>
          </cell>
          <cell r="AB202" t="str">
            <v/>
          </cell>
          <cell r="AC202" t="str">
            <v>R-0086</v>
          </cell>
          <cell r="AD202" t="str">
            <v/>
          </cell>
          <cell r="AE202" t="str">
            <v/>
          </cell>
          <cell r="AF202" t="str">
            <v/>
          </cell>
          <cell r="AH202" t="str">
            <v>N</v>
          </cell>
          <cell r="AI202">
            <v>0</v>
          </cell>
          <cell r="AJ202">
            <v>0</v>
          </cell>
          <cell r="AK202">
            <v>0</v>
          </cell>
          <cell r="AL202">
            <v>0</v>
          </cell>
          <cell r="AM202">
            <v>1250</v>
          </cell>
          <cell r="AN202">
            <v>0</v>
          </cell>
        </row>
        <row r="203">
          <cell r="A203">
            <v>2103</v>
          </cell>
          <cell r="B203" t="str">
            <v>NORMA HERNANDEZ (SAN JUAN)</v>
          </cell>
          <cell r="C203" t="str">
            <v/>
          </cell>
          <cell r="D203" t="str">
            <v>MERCADO LOC. 26 Y 27</v>
          </cell>
          <cell r="E203" t="str">
            <v>SAN JUAN DEL RIO, QRO.</v>
          </cell>
          <cell r="F203" t="str">
            <v/>
          </cell>
          <cell r="G203" t="str">
            <v/>
          </cell>
          <cell r="H203" t="str">
            <v>NORMA HERNANDEZ</v>
          </cell>
          <cell r="I203" t="str">
            <v>NORMA HERNANDEZ</v>
          </cell>
          <cell r="J203" t="str">
            <v>BAJA</v>
          </cell>
          <cell r="K203" t="str">
            <v/>
          </cell>
          <cell r="L203">
            <v>0</v>
          </cell>
          <cell r="M203">
            <v>205</v>
          </cell>
          <cell r="N203" t="str">
            <v>A</v>
          </cell>
          <cell r="O203">
            <v>41081</v>
          </cell>
          <cell r="P203" t="str">
            <v xml:space="preserve">    1</v>
          </cell>
          <cell r="Q203">
            <v>0</v>
          </cell>
          <cell r="R203">
            <v>0</v>
          </cell>
          <cell r="S203">
            <v>0</v>
          </cell>
          <cell r="T203">
            <v>651</v>
          </cell>
          <cell r="U203">
            <v>0</v>
          </cell>
          <cell r="V203" t="str">
            <v/>
          </cell>
          <cell r="W203" t="str">
            <v/>
          </cell>
          <cell r="X203" t="str">
            <v/>
          </cell>
          <cell r="Y203" t="str">
            <v/>
          </cell>
          <cell r="Z203" t="str">
            <v/>
          </cell>
          <cell r="AA203" t="str">
            <v/>
          </cell>
          <cell r="AB203" t="str">
            <v/>
          </cell>
          <cell r="AC203" t="str">
            <v>R-0112</v>
          </cell>
          <cell r="AD203" t="str">
            <v/>
          </cell>
          <cell r="AE203" t="str">
            <v/>
          </cell>
          <cell r="AF203" t="str">
            <v/>
          </cell>
          <cell r="AH203" t="str">
            <v>N</v>
          </cell>
          <cell r="AI203">
            <v>0</v>
          </cell>
          <cell r="AJ203">
            <v>0</v>
          </cell>
          <cell r="AK203">
            <v>0</v>
          </cell>
          <cell r="AL203">
            <v>0</v>
          </cell>
          <cell r="AM203">
            <v>166</v>
          </cell>
          <cell r="AN203">
            <v>0</v>
          </cell>
        </row>
        <row r="204">
          <cell r="A204">
            <v>2104</v>
          </cell>
          <cell r="B204" t="str">
            <v>ANA MARIA VEGA FERNANDEZ (CADEREYTA)</v>
          </cell>
          <cell r="C204" t="str">
            <v/>
          </cell>
          <cell r="D204" t="str">
            <v>MADERO #43</v>
          </cell>
          <cell r="E204" t="str">
            <v>CADEREYTA, QRO.</v>
          </cell>
          <cell r="F204" t="str">
            <v/>
          </cell>
          <cell r="G204" t="str">
            <v>(441) 276-0473</v>
          </cell>
          <cell r="H204" t="str">
            <v>ANA MARIA VEGA F</v>
          </cell>
          <cell r="I204" t="str">
            <v>ANA MARIA VEGA F</v>
          </cell>
          <cell r="J204" t="str">
            <v>BAJA</v>
          </cell>
          <cell r="K204" t="str">
            <v/>
          </cell>
          <cell r="L204">
            <v>0</v>
          </cell>
          <cell r="M204">
            <v>206</v>
          </cell>
          <cell r="N204" t="str">
            <v>A</v>
          </cell>
          <cell r="O204">
            <v>40859</v>
          </cell>
          <cell r="P204" t="str">
            <v xml:space="preserve">    6</v>
          </cell>
          <cell r="Q204">
            <v>0</v>
          </cell>
          <cell r="R204">
            <v>0</v>
          </cell>
          <cell r="S204">
            <v>0</v>
          </cell>
          <cell r="T204">
            <v>3036</v>
          </cell>
          <cell r="U204">
            <v>0</v>
          </cell>
          <cell r="V204" t="str">
            <v>CENTRO</v>
          </cell>
          <cell r="W204" t="str">
            <v/>
          </cell>
          <cell r="X204" t="str">
            <v/>
          </cell>
          <cell r="Y204" t="str">
            <v/>
          </cell>
          <cell r="Z204" t="str">
            <v/>
          </cell>
          <cell r="AA204" t="str">
            <v>(441) 276-0473</v>
          </cell>
          <cell r="AB204" t="str">
            <v/>
          </cell>
          <cell r="AC204" t="str">
            <v>R-0037</v>
          </cell>
          <cell r="AD204" t="str">
            <v/>
          </cell>
          <cell r="AE204" t="str">
            <v/>
          </cell>
          <cell r="AF204" t="str">
            <v/>
          </cell>
          <cell r="AH204" t="str">
            <v>N</v>
          </cell>
          <cell r="AI204">
            <v>0</v>
          </cell>
          <cell r="AJ204">
            <v>0</v>
          </cell>
          <cell r="AK204">
            <v>0</v>
          </cell>
          <cell r="AL204">
            <v>0</v>
          </cell>
          <cell r="AM204">
            <v>3036</v>
          </cell>
          <cell r="AN204">
            <v>0</v>
          </cell>
        </row>
        <row r="205">
          <cell r="A205">
            <v>2105</v>
          </cell>
          <cell r="B205" t="str">
            <v>SALVADOR GARCIA SERRATO (STA. ROSA)</v>
          </cell>
          <cell r="C205" t="str">
            <v/>
          </cell>
          <cell r="D205" t="str">
            <v>INDEPENDENCIA #12-D</v>
          </cell>
          <cell r="E205" t="str">
            <v>SANTA ROSA JAUREGUI, QRO.</v>
          </cell>
          <cell r="F205" t="str">
            <v/>
          </cell>
          <cell r="G205" t="str">
            <v>(442) 291-1031</v>
          </cell>
          <cell r="H205" t="str">
            <v>SALVADOR GARCIA S.</v>
          </cell>
          <cell r="I205" t="str">
            <v>SALVADOR GARCIA S.</v>
          </cell>
          <cell r="J205" t="str">
            <v>BAJA</v>
          </cell>
          <cell r="K205" t="str">
            <v/>
          </cell>
          <cell r="L205">
            <v>0</v>
          </cell>
          <cell r="M205">
            <v>207</v>
          </cell>
          <cell r="N205" t="str">
            <v>A</v>
          </cell>
          <cell r="O205">
            <v>40862</v>
          </cell>
          <cell r="P205" t="str">
            <v xml:space="preserve">    6</v>
          </cell>
          <cell r="Q205">
            <v>0</v>
          </cell>
          <cell r="R205">
            <v>0</v>
          </cell>
          <cell r="S205">
            <v>0</v>
          </cell>
          <cell r="T205">
            <v>1693</v>
          </cell>
          <cell r="U205">
            <v>0</v>
          </cell>
          <cell r="V205" t="str">
            <v>CENTRO</v>
          </cell>
          <cell r="W205" t="str">
            <v/>
          </cell>
          <cell r="X205" t="str">
            <v/>
          </cell>
          <cell r="Y205" t="str">
            <v/>
          </cell>
          <cell r="Z205" t="str">
            <v/>
          </cell>
          <cell r="AA205" t="str">
            <v>(442) 291-1031</v>
          </cell>
          <cell r="AB205" t="str">
            <v/>
          </cell>
          <cell r="AC205" t="str">
            <v>R-0039</v>
          </cell>
          <cell r="AD205" t="str">
            <v/>
          </cell>
          <cell r="AE205" t="str">
            <v/>
          </cell>
          <cell r="AF205" t="str">
            <v/>
          </cell>
          <cell r="AH205" t="str">
            <v>N</v>
          </cell>
          <cell r="AI205">
            <v>0</v>
          </cell>
          <cell r="AJ205">
            <v>0</v>
          </cell>
          <cell r="AK205">
            <v>0</v>
          </cell>
          <cell r="AL205">
            <v>0</v>
          </cell>
          <cell r="AM205">
            <v>1693</v>
          </cell>
          <cell r="AN205">
            <v>0</v>
          </cell>
        </row>
        <row r="206">
          <cell r="A206">
            <v>2106</v>
          </cell>
          <cell r="B206" t="str">
            <v>JOSE ANTONIO LEDESMA (QUERETARO)</v>
          </cell>
          <cell r="C206" t="str">
            <v/>
          </cell>
          <cell r="D206" t="str">
            <v>PRIV. GUERRERO #30</v>
          </cell>
          <cell r="E206" t="str">
            <v>QUERETARO, QRO.</v>
          </cell>
          <cell r="F206" t="str">
            <v/>
          </cell>
          <cell r="G206" t="str">
            <v>(442) 212-3358</v>
          </cell>
          <cell r="H206" t="str">
            <v>JOSE ANTONIO LEDESMA</v>
          </cell>
          <cell r="I206" t="str">
            <v>JOSE ANTONIO LEDESMA</v>
          </cell>
          <cell r="J206" t="str">
            <v>BAJA</v>
          </cell>
          <cell r="K206" t="str">
            <v/>
          </cell>
          <cell r="L206">
            <v>0</v>
          </cell>
          <cell r="M206">
            <v>208</v>
          </cell>
          <cell r="N206" t="str">
            <v>A</v>
          </cell>
          <cell r="O206">
            <v>40862</v>
          </cell>
          <cell r="P206" t="str">
            <v xml:space="preserve">    6</v>
          </cell>
          <cell r="Q206">
            <v>0</v>
          </cell>
          <cell r="R206">
            <v>0</v>
          </cell>
          <cell r="S206">
            <v>0</v>
          </cell>
          <cell r="T206">
            <v>2344</v>
          </cell>
          <cell r="U206">
            <v>0</v>
          </cell>
          <cell r="V206" t="str">
            <v>CENTRO</v>
          </cell>
          <cell r="W206" t="str">
            <v/>
          </cell>
          <cell r="X206" t="str">
            <v/>
          </cell>
          <cell r="Y206" t="str">
            <v/>
          </cell>
          <cell r="Z206" t="str">
            <v/>
          </cell>
          <cell r="AA206" t="str">
            <v>(442) 212-3358</v>
          </cell>
          <cell r="AB206" t="str">
            <v/>
          </cell>
          <cell r="AC206" t="str">
            <v>R-0041</v>
          </cell>
          <cell r="AD206" t="str">
            <v/>
          </cell>
          <cell r="AE206" t="str">
            <v/>
          </cell>
          <cell r="AF206" t="str">
            <v/>
          </cell>
          <cell r="AH206" t="str">
            <v>N</v>
          </cell>
          <cell r="AI206">
            <v>0</v>
          </cell>
          <cell r="AJ206">
            <v>0</v>
          </cell>
          <cell r="AK206">
            <v>0</v>
          </cell>
          <cell r="AL206">
            <v>0</v>
          </cell>
          <cell r="AM206">
            <v>2344</v>
          </cell>
          <cell r="AN206">
            <v>0</v>
          </cell>
        </row>
        <row r="207">
          <cell r="A207">
            <v>2107</v>
          </cell>
          <cell r="B207" t="str">
            <v>PERLA CRUZ (TECOZAHUTLA)</v>
          </cell>
          <cell r="C207" t="str">
            <v/>
          </cell>
          <cell r="D207" t="str">
            <v>CALZ. DE GUADALUPE S/N</v>
          </cell>
          <cell r="E207" t="str">
            <v>TECOZAHUTLA, HGO.</v>
          </cell>
          <cell r="F207" t="str">
            <v/>
          </cell>
          <cell r="G207" t="str">
            <v/>
          </cell>
          <cell r="H207" t="str">
            <v>PERLA CRUZ</v>
          </cell>
          <cell r="I207" t="str">
            <v>PERLA CRUZ</v>
          </cell>
          <cell r="J207" t="str">
            <v>BAJA</v>
          </cell>
          <cell r="K207" t="str">
            <v/>
          </cell>
          <cell r="L207">
            <v>0</v>
          </cell>
          <cell r="M207">
            <v>209</v>
          </cell>
          <cell r="N207" t="str">
            <v>A</v>
          </cell>
          <cell r="O207">
            <v>40864</v>
          </cell>
          <cell r="P207" t="str">
            <v xml:space="preserve">    6</v>
          </cell>
          <cell r="Q207">
            <v>0</v>
          </cell>
          <cell r="R207">
            <v>0</v>
          </cell>
          <cell r="S207">
            <v>0</v>
          </cell>
          <cell r="T207">
            <v>6252</v>
          </cell>
          <cell r="U207">
            <v>0</v>
          </cell>
          <cell r="V207" t="str">
            <v>CENTRO</v>
          </cell>
          <cell r="W207" t="str">
            <v/>
          </cell>
          <cell r="X207" t="str">
            <v/>
          </cell>
          <cell r="Y207" t="str">
            <v/>
          </cell>
          <cell r="Z207" t="str">
            <v/>
          </cell>
          <cell r="AA207" t="str">
            <v/>
          </cell>
          <cell r="AB207" t="str">
            <v/>
          </cell>
          <cell r="AC207" t="str">
            <v>R-0045</v>
          </cell>
          <cell r="AD207" t="str">
            <v/>
          </cell>
          <cell r="AE207" t="str">
            <v/>
          </cell>
          <cell r="AF207" t="str">
            <v/>
          </cell>
          <cell r="AH207" t="str">
            <v>N</v>
          </cell>
          <cell r="AI207">
            <v>0</v>
          </cell>
          <cell r="AJ207">
            <v>0</v>
          </cell>
          <cell r="AK207">
            <v>0</v>
          </cell>
          <cell r="AL207">
            <v>0</v>
          </cell>
          <cell r="AM207">
            <v>6252</v>
          </cell>
          <cell r="AN207">
            <v>0</v>
          </cell>
        </row>
        <row r="208">
          <cell r="A208">
            <v>2108</v>
          </cell>
          <cell r="B208" t="str">
            <v>ISABEL ARRIAGA RESENDIZ (CADEREYTA)</v>
          </cell>
          <cell r="C208" t="str">
            <v/>
          </cell>
          <cell r="D208" t="str">
            <v>MADERO # 99 LOCAL 4</v>
          </cell>
          <cell r="E208" t="str">
            <v>CADEREYTA, QRO.</v>
          </cell>
          <cell r="F208" t="str">
            <v/>
          </cell>
          <cell r="G208" t="str">
            <v>045441-107-1354</v>
          </cell>
          <cell r="H208" t="str">
            <v>MARIA DE LA LUZ LARA</v>
          </cell>
          <cell r="I208" t="str">
            <v>MARIA DE LA LUZ LARA</v>
          </cell>
          <cell r="J208" t="str">
            <v>J02</v>
          </cell>
          <cell r="K208" t="str">
            <v/>
          </cell>
          <cell r="L208">
            <v>0</v>
          </cell>
          <cell r="M208">
            <v>210</v>
          </cell>
          <cell r="N208" t="str">
            <v>A</v>
          </cell>
          <cell r="O208">
            <v>42227</v>
          </cell>
          <cell r="P208" t="str">
            <v xml:space="preserve">    6</v>
          </cell>
          <cell r="Q208">
            <v>0</v>
          </cell>
          <cell r="R208">
            <v>0</v>
          </cell>
          <cell r="S208">
            <v>0</v>
          </cell>
          <cell r="T208">
            <v>5606</v>
          </cell>
          <cell r="U208">
            <v>0</v>
          </cell>
          <cell r="V208" t="str">
            <v>CENTRO</v>
          </cell>
          <cell r="W208" t="str">
            <v/>
          </cell>
          <cell r="X208" t="str">
            <v/>
          </cell>
          <cell r="Y208" t="str">
            <v/>
          </cell>
          <cell r="Z208" t="str">
            <v/>
          </cell>
          <cell r="AA208" t="str">
            <v>045441-107-1354</v>
          </cell>
          <cell r="AB208" t="str">
            <v/>
          </cell>
          <cell r="AC208" t="str">
            <v>F153</v>
          </cell>
          <cell r="AD208" t="str">
            <v/>
          </cell>
          <cell r="AE208" t="str">
            <v/>
          </cell>
          <cell r="AF208" t="str">
            <v/>
          </cell>
          <cell r="AH208" t="str">
            <v>N</v>
          </cell>
          <cell r="AI208">
            <v>0</v>
          </cell>
          <cell r="AJ208">
            <v>0</v>
          </cell>
          <cell r="AK208">
            <v>0</v>
          </cell>
          <cell r="AL208">
            <v>0</v>
          </cell>
          <cell r="AM208">
            <v>3206</v>
          </cell>
          <cell r="AN208">
            <v>0</v>
          </cell>
        </row>
        <row r="209">
          <cell r="A209">
            <v>2109</v>
          </cell>
          <cell r="B209" t="str">
            <v>VICTOR TAPIA TRUJILLO (TLAHUELILPAN)</v>
          </cell>
          <cell r="C209" t="str">
            <v/>
          </cell>
          <cell r="D209" t="str">
            <v>NICOLAS BRAVO ESQ. SILVESTRE PADILLA</v>
          </cell>
          <cell r="E209" t="str">
            <v>TLAHUELILPAN, HGO.</v>
          </cell>
          <cell r="F209" t="str">
            <v/>
          </cell>
          <cell r="G209" t="str">
            <v>(763) 786-1237</v>
          </cell>
          <cell r="H209" t="str">
            <v>MAYRA GABRIELA TAPIA</v>
          </cell>
          <cell r="I209" t="str">
            <v>MAYRA GABRIELA TAPIA</v>
          </cell>
          <cell r="J209" t="str">
            <v>M04</v>
          </cell>
          <cell r="K209" t="str">
            <v/>
          </cell>
          <cell r="L209">
            <v>0</v>
          </cell>
          <cell r="M209">
            <v>211</v>
          </cell>
          <cell r="N209" t="str">
            <v>A</v>
          </cell>
          <cell r="O209">
            <v>42525</v>
          </cell>
          <cell r="P209" t="str">
            <v xml:space="preserve">    1</v>
          </cell>
          <cell r="Q209">
            <v>0</v>
          </cell>
          <cell r="R209">
            <v>0</v>
          </cell>
          <cell r="S209">
            <v>71798</v>
          </cell>
          <cell r="T209">
            <v>318258</v>
          </cell>
          <cell r="U209">
            <v>5</v>
          </cell>
          <cell r="V209" t="str">
            <v>CENTRO</v>
          </cell>
          <cell r="W209" t="str">
            <v>(773) 101-7232 CEL</v>
          </cell>
          <cell r="X209" t="str">
            <v/>
          </cell>
          <cell r="Y209" t="str">
            <v/>
          </cell>
          <cell r="Z209" t="str">
            <v/>
          </cell>
          <cell r="AA209" t="str">
            <v>(763) 786-1237</v>
          </cell>
          <cell r="AB209" t="str">
            <v xml:space="preserve">     DESC</v>
          </cell>
          <cell r="AC209" t="str">
            <v>F0501</v>
          </cell>
          <cell r="AD209" t="str">
            <v/>
          </cell>
          <cell r="AE209" t="str">
            <v/>
          </cell>
          <cell r="AF209" t="str">
            <v/>
          </cell>
          <cell r="AG209">
            <v>42313</v>
          </cell>
          <cell r="AH209" t="str">
            <v>N</v>
          </cell>
          <cell r="AI209">
            <v>0</v>
          </cell>
          <cell r="AJ209">
            <v>0</v>
          </cell>
          <cell r="AK209">
            <v>0</v>
          </cell>
          <cell r="AL209">
            <v>364</v>
          </cell>
          <cell r="AM209">
            <v>11701</v>
          </cell>
          <cell r="AN209">
            <v>0</v>
          </cell>
        </row>
        <row r="210">
          <cell r="A210">
            <v>2110</v>
          </cell>
          <cell r="B210" t="str">
            <v>DELIA CASTILLO VEGA (TULA)</v>
          </cell>
          <cell r="C210" t="str">
            <v/>
          </cell>
          <cell r="D210" t="str">
            <v>MANUEL ROJO DEL RIO #2</v>
          </cell>
          <cell r="E210" t="str">
            <v>TULA, HGO.</v>
          </cell>
          <cell r="F210" t="str">
            <v/>
          </cell>
          <cell r="G210" t="str">
            <v>(773) 732-0745</v>
          </cell>
          <cell r="H210" t="str">
            <v>DELIA CASTILLO VEGA</v>
          </cell>
          <cell r="I210" t="str">
            <v>DELIA CASTILLO VEGA</v>
          </cell>
          <cell r="J210" t="str">
            <v>F02</v>
          </cell>
          <cell r="K210" t="str">
            <v/>
          </cell>
          <cell r="L210">
            <v>0</v>
          </cell>
          <cell r="M210">
            <v>212</v>
          </cell>
          <cell r="N210" t="str">
            <v>A</v>
          </cell>
          <cell r="O210">
            <v>42327</v>
          </cell>
          <cell r="P210" t="str">
            <v xml:space="preserve">    1</v>
          </cell>
          <cell r="Q210">
            <v>0</v>
          </cell>
          <cell r="R210">
            <v>0</v>
          </cell>
          <cell r="S210">
            <v>0</v>
          </cell>
          <cell r="T210">
            <v>177351</v>
          </cell>
          <cell r="U210">
            <v>0</v>
          </cell>
          <cell r="V210" t="str">
            <v/>
          </cell>
          <cell r="W210" t="str">
            <v/>
          </cell>
          <cell r="X210" t="str">
            <v/>
          </cell>
          <cell r="Y210" t="str">
            <v/>
          </cell>
          <cell r="Z210" t="str">
            <v/>
          </cell>
          <cell r="AA210" t="str">
            <v>(773) 732-0745</v>
          </cell>
          <cell r="AB210" t="str">
            <v xml:space="preserve">      DEV</v>
          </cell>
          <cell r="AC210" t="str">
            <v>F440</v>
          </cell>
          <cell r="AD210" t="str">
            <v/>
          </cell>
          <cell r="AE210" t="str">
            <v/>
          </cell>
          <cell r="AF210" t="str">
            <v/>
          </cell>
          <cell r="AG210">
            <v>41792</v>
          </cell>
          <cell r="AH210" t="str">
            <v>N</v>
          </cell>
          <cell r="AI210">
            <v>0</v>
          </cell>
          <cell r="AJ210">
            <v>0</v>
          </cell>
          <cell r="AK210">
            <v>0</v>
          </cell>
          <cell r="AL210">
            <v>1718</v>
          </cell>
          <cell r="AM210">
            <v>9440</v>
          </cell>
          <cell r="AN210">
            <v>0</v>
          </cell>
        </row>
        <row r="211">
          <cell r="A211">
            <v>2111</v>
          </cell>
          <cell r="B211" t="str">
            <v>CRISTINA CID GARCIA (JILOTEPEC)</v>
          </cell>
          <cell r="C211" t="str">
            <v/>
          </cell>
          <cell r="D211" t="str">
            <v>JUAREZ #108</v>
          </cell>
          <cell r="E211" t="str">
            <v>JILOTEPEC, EDO. DE MEXICO</v>
          </cell>
          <cell r="F211" t="str">
            <v/>
          </cell>
          <cell r="G211" t="str">
            <v/>
          </cell>
          <cell r="H211" t="str">
            <v>CRISTINA CID GARCIA</v>
          </cell>
          <cell r="I211" t="str">
            <v>CRISTINA CID GARCIA</v>
          </cell>
          <cell r="J211" t="str">
            <v>R01</v>
          </cell>
          <cell r="K211" t="str">
            <v/>
          </cell>
          <cell r="L211">
            <v>0</v>
          </cell>
          <cell r="M211">
            <v>213</v>
          </cell>
          <cell r="N211" t="str">
            <v>A</v>
          </cell>
          <cell r="O211">
            <v>41356</v>
          </cell>
          <cell r="P211" t="str">
            <v xml:space="preserve">    1</v>
          </cell>
          <cell r="Q211">
            <v>0</v>
          </cell>
          <cell r="R211">
            <v>0</v>
          </cell>
          <cell r="S211">
            <v>66</v>
          </cell>
          <cell r="T211">
            <v>9793</v>
          </cell>
          <cell r="U211">
            <v>0</v>
          </cell>
          <cell r="V211" t="str">
            <v>CENTRO</v>
          </cell>
          <cell r="W211" t="str">
            <v/>
          </cell>
          <cell r="X211" t="str">
            <v/>
          </cell>
          <cell r="Y211" t="str">
            <v/>
          </cell>
          <cell r="Z211" t="str">
            <v/>
          </cell>
          <cell r="AA211" t="str">
            <v/>
          </cell>
          <cell r="AB211" t="str">
            <v/>
          </cell>
          <cell r="AC211" t="str">
            <v>P0271</v>
          </cell>
          <cell r="AD211" t="str">
            <v/>
          </cell>
          <cell r="AE211" t="str">
            <v/>
          </cell>
          <cell r="AF211" t="str">
            <v/>
          </cell>
          <cell r="AH211" t="str">
            <v>N</v>
          </cell>
          <cell r="AI211">
            <v>0</v>
          </cell>
          <cell r="AJ211">
            <v>0</v>
          </cell>
          <cell r="AK211">
            <v>0</v>
          </cell>
          <cell r="AL211">
            <v>0</v>
          </cell>
          <cell r="AM211">
            <v>1066</v>
          </cell>
          <cell r="AN211">
            <v>0</v>
          </cell>
        </row>
        <row r="212">
          <cell r="A212">
            <v>2112</v>
          </cell>
          <cell r="B212" t="str">
            <v>JESUS RUIZ</v>
          </cell>
          <cell r="C212" t="str">
            <v/>
          </cell>
          <cell r="D212" t="str">
            <v/>
          </cell>
          <cell r="E212" t="str">
            <v/>
          </cell>
          <cell r="F212" t="str">
            <v/>
          </cell>
          <cell r="G212" t="str">
            <v/>
          </cell>
          <cell r="H212" t="str">
            <v>JESUS RUIZ</v>
          </cell>
          <cell r="I212" t="str">
            <v>JESUS RUIZ</v>
          </cell>
          <cell r="J212" t="str">
            <v>BAJA</v>
          </cell>
          <cell r="K212" t="str">
            <v/>
          </cell>
          <cell r="L212">
            <v>0</v>
          </cell>
          <cell r="M212">
            <v>214</v>
          </cell>
          <cell r="N212" t="str">
            <v>S</v>
          </cell>
          <cell r="O212">
            <v>0</v>
          </cell>
          <cell r="P212" t="str">
            <v xml:space="preserve">    1</v>
          </cell>
          <cell r="Q212">
            <v>0</v>
          </cell>
          <cell r="R212">
            <v>0</v>
          </cell>
          <cell r="S212">
            <v>0</v>
          </cell>
          <cell r="T212">
            <v>0</v>
          </cell>
          <cell r="U212">
            <v>0</v>
          </cell>
          <cell r="V212" t="str">
            <v/>
          </cell>
          <cell r="W212" t="str">
            <v/>
          </cell>
          <cell r="X212" t="str">
            <v/>
          </cell>
          <cell r="Y212" t="str">
            <v/>
          </cell>
          <cell r="Z212" t="str">
            <v/>
          </cell>
          <cell r="AA212" t="str">
            <v/>
          </cell>
          <cell r="AB212" t="str">
            <v/>
          </cell>
          <cell r="AC212" t="str">
            <v/>
          </cell>
          <cell r="AD212" t="str">
            <v/>
          </cell>
          <cell r="AE212" t="str">
            <v/>
          </cell>
          <cell r="AF212" t="str">
            <v/>
          </cell>
          <cell r="AH212" t="str">
            <v>N</v>
          </cell>
          <cell r="AI212">
            <v>0</v>
          </cell>
          <cell r="AJ212">
            <v>0</v>
          </cell>
          <cell r="AK212">
            <v>0</v>
          </cell>
          <cell r="AL212">
            <v>0</v>
          </cell>
          <cell r="AM212">
            <v>0</v>
          </cell>
          <cell r="AN212">
            <v>0</v>
          </cell>
        </row>
        <row r="213">
          <cell r="A213">
            <v>2113</v>
          </cell>
          <cell r="B213" t="str">
            <v>RAUL ALEJANDRO PEREZ (TLAXCOAPAN)</v>
          </cell>
          <cell r="C213" t="str">
            <v/>
          </cell>
          <cell r="D213" t="str">
            <v>PLAZA MA. LUISA</v>
          </cell>
          <cell r="E213" t="str">
            <v>TLAXCOAPAN, HGO.</v>
          </cell>
          <cell r="F213" t="str">
            <v/>
          </cell>
          <cell r="G213" t="str">
            <v>(773) 144-3005 CEL</v>
          </cell>
          <cell r="H213" t="str">
            <v>RAUL ALEJANDRO PEREZ</v>
          </cell>
          <cell r="I213" t="str">
            <v>RAUL ALEJANDRO PEREZ</v>
          </cell>
          <cell r="J213" t="str">
            <v>M04</v>
          </cell>
          <cell r="K213" t="str">
            <v/>
          </cell>
          <cell r="L213">
            <v>0</v>
          </cell>
          <cell r="M213">
            <v>215</v>
          </cell>
          <cell r="N213" t="str">
            <v>A</v>
          </cell>
          <cell r="O213">
            <v>42367</v>
          </cell>
          <cell r="P213" t="str">
            <v xml:space="preserve">    9</v>
          </cell>
          <cell r="Q213">
            <v>0</v>
          </cell>
          <cell r="R213">
            <v>0</v>
          </cell>
          <cell r="S213">
            <v>2586</v>
          </cell>
          <cell r="T213">
            <v>47699</v>
          </cell>
          <cell r="U213">
            <v>0</v>
          </cell>
          <cell r="V213" t="str">
            <v/>
          </cell>
          <cell r="W213" t="str">
            <v/>
          </cell>
          <cell r="X213" t="str">
            <v/>
          </cell>
          <cell r="Y213" t="str">
            <v/>
          </cell>
          <cell r="Z213" t="str">
            <v/>
          </cell>
          <cell r="AA213" t="str">
            <v>(773) 144-3005 CEL</v>
          </cell>
          <cell r="AB213" t="str">
            <v xml:space="preserve"> DEV-2267</v>
          </cell>
          <cell r="AC213" t="str">
            <v>M570</v>
          </cell>
          <cell r="AD213" t="str">
            <v/>
          </cell>
          <cell r="AE213" t="str">
            <v/>
          </cell>
          <cell r="AF213" t="str">
            <v/>
          </cell>
          <cell r="AG213">
            <v>41899</v>
          </cell>
          <cell r="AH213" t="str">
            <v>N</v>
          </cell>
          <cell r="AI213">
            <v>0</v>
          </cell>
          <cell r="AJ213">
            <v>0</v>
          </cell>
          <cell r="AK213">
            <v>0</v>
          </cell>
          <cell r="AL213">
            <v>2267</v>
          </cell>
          <cell r="AM213">
            <v>3086</v>
          </cell>
          <cell r="AN213">
            <v>0</v>
          </cell>
        </row>
        <row r="214">
          <cell r="A214">
            <v>2114</v>
          </cell>
          <cell r="B214" t="str">
            <v>CONCEPCION SERRANO MEDINA (SAN JUAN)</v>
          </cell>
          <cell r="C214" t="str">
            <v/>
          </cell>
          <cell r="D214" t="str">
            <v>MERCADO JUAREZ LOC. 34</v>
          </cell>
          <cell r="E214" t="str">
            <v>SAN JUAN DEL RIO, QRO.</v>
          </cell>
          <cell r="F214" t="str">
            <v/>
          </cell>
          <cell r="G214" t="str">
            <v>(427) 119-7580 CEL</v>
          </cell>
          <cell r="H214" t="str">
            <v>CONCEPCION SERRANO M</v>
          </cell>
          <cell r="I214" t="str">
            <v>CONCEPCION SERRANO M</v>
          </cell>
          <cell r="J214" t="str">
            <v>BAJA</v>
          </cell>
          <cell r="K214" t="str">
            <v/>
          </cell>
          <cell r="L214">
            <v>0</v>
          </cell>
          <cell r="M214">
            <v>216</v>
          </cell>
          <cell r="N214" t="str">
            <v>A</v>
          </cell>
          <cell r="O214">
            <v>41081</v>
          </cell>
          <cell r="P214" t="str">
            <v xml:space="preserve">    1</v>
          </cell>
          <cell r="Q214">
            <v>0</v>
          </cell>
          <cell r="R214">
            <v>0</v>
          </cell>
          <cell r="S214">
            <v>0</v>
          </cell>
          <cell r="T214">
            <v>6829</v>
          </cell>
          <cell r="U214">
            <v>0</v>
          </cell>
          <cell r="V214" t="str">
            <v>CENTRO</v>
          </cell>
          <cell r="W214" t="str">
            <v/>
          </cell>
          <cell r="X214" t="str">
            <v/>
          </cell>
          <cell r="Y214" t="str">
            <v/>
          </cell>
          <cell r="Z214" t="str">
            <v/>
          </cell>
          <cell r="AA214" t="str">
            <v>(427) 119-7580 CEL</v>
          </cell>
          <cell r="AB214" t="str">
            <v/>
          </cell>
          <cell r="AC214" t="str">
            <v>R-0110</v>
          </cell>
          <cell r="AD214" t="str">
            <v/>
          </cell>
          <cell r="AE214" t="str">
            <v/>
          </cell>
          <cell r="AF214" t="str">
            <v/>
          </cell>
          <cell r="AH214" t="str">
            <v>N</v>
          </cell>
          <cell r="AI214">
            <v>0</v>
          </cell>
          <cell r="AJ214">
            <v>0</v>
          </cell>
          <cell r="AK214">
            <v>0</v>
          </cell>
          <cell r="AL214">
            <v>0</v>
          </cell>
          <cell r="AM214">
            <v>484</v>
          </cell>
          <cell r="AN214">
            <v>0</v>
          </cell>
        </row>
        <row r="215">
          <cell r="A215">
            <v>2115</v>
          </cell>
          <cell r="B215" t="str">
            <v>JULIO SAUCEDO PINEDA (ACAMBARO)</v>
          </cell>
          <cell r="C215" t="str">
            <v/>
          </cell>
          <cell r="D215" t="str">
            <v>MATAMOROS #4</v>
          </cell>
          <cell r="E215" t="str">
            <v>ACAMBARO, GTO.</v>
          </cell>
          <cell r="F215" t="str">
            <v/>
          </cell>
          <cell r="G215" t="str">
            <v>(417) 104-3681</v>
          </cell>
          <cell r="H215" t="str">
            <v>JULIO SAUCEDO PINEDA</v>
          </cell>
          <cell r="I215" t="str">
            <v>JULIO SAUCEDO PINEDA</v>
          </cell>
          <cell r="J215" t="str">
            <v>BAJA</v>
          </cell>
          <cell r="K215" t="str">
            <v/>
          </cell>
          <cell r="L215">
            <v>0</v>
          </cell>
          <cell r="M215">
            <v>217</v>
          </cell>
          <cell r="N215" t="str">
            <v>A</v>
          </cell>
          <cell r="O215">
            <v>40869</v>
          </cell>
          <cell r="P215" t="str">
            <v xml:space="preserve">    1</v>
          </cell>
          <cell r="Q215">
            <v>0</v>
          </cell>
          <cell r="R215">
            <v>0</v>
          </cell>
          <cell r="S215">
            <v>0</v>
          </cell>
          <cell r="T215">
            <v>0</v>
          </cell>
          <cell r="U215">
            <v>0</v>
          </cell>
          <cell r="V215" t="str">
            <v>CENTRO</v>
          </cell>
          <cell r="W215" t="str">
            <v/>
          </cell>
          <cell r="X215" t="str">
            <v/>
          </cell>
          <cell r="Y215" t="str">
            <v/>
          </cell>
          <cell r="Z215" t="str">
            <v/>
          </cell>
          <cell r="AA215" t="str">
            <v>(417) 104-3681</v>
          </cell>
          <cell r="AB215" t="str">
            <v/>
          </cell>
          <cell r="AC215" t="str">
            <v>R-0048</v>
          </cell>
          <cell r="AD215" t="str">
            <v/>
          </cell>
          <cell r="AE215" t="str">
            <v/>
          </cell>
          <cell r="AF215" t="str">
            <v/>
          </cell>
          <cell r="AH215" t="str">
            <v>N</v>
          </cell>
          <cell r="AI215">
            <v>0</v>
          </cell>
          <cell r="AJ215">
            <v>0</v>
          </cell>
          <cell r="AK215">
            <v>0</v>
          </cell>
          <cell r="AL215">
            <v>0</v>
          </cell>
          <cell r="AM215">
            <v>1428</v>
          </cell>
          <cell r="AN215">
            <v>0</v>
          </cell>
        </row>
        <row r="216">
          <cell r="A216">
            <v>2116</v>
          </cell>
          <cell r="B216" t="str">
            <v>PATRICIA FERNANDEZ BRAVO (PROGRESO)</v>
          </cell>
          <cell r="C216" t="str">
            <v/>
          </cell>
          <cell r="D216" t="str">
            <v>JAVIER HERNANDEZ #1</v>
          </cell>
          <cell r="E216" t="str">
            <v>PROGRESO, HGO.</v>
          </cell>
          <cell r="F216" t="str">
            <v/>
          </cell>
          <cell r="G216" t="str">
            <v>(738) 725-2144</v>
          </cell>
          <cell r="H216" t="str">
            <v>PATRICIA FERNANDEZ B</v>
          </cell>
          <cell r="I216" t="str">
            <v>PATRICIA FERNANDEZ B</v>
          </cell>
          <cell r="J216" t="str">
            <v>BAJA</v>
          </cell>
          <cell r="K216" t="str">
            <v/>
          </cell>
          <cell r="L216">
            <v>0</v>
          </cell>
          <cell r="M216">
            <v>218</v>
          </cell>
          <cell r="N216" t="str">
            <v>A</v>
          </cell>
          <cell r="O216">
            <v>40993</v>
          </cell>
          <cell r="P216" t="str">
            <v xml:space="preserve">    6</v>
          </cell>
          <cell r="Q216">
            <v>0</v>
          </cell>
          <cell r="R216">
            <v>0</v>
          </cell>
          <cell r="S216">
            <v>0</v>
          </cell>
          <cell r="T216">
            <v>6410</v>
          </cell>
          <cell r="U216">
            <v>0</v>
          </cell>
          <cell r="V216" t="str">
            <v>CENTRO</v>
          </cell>
          <cell r="W216" t="str">
            <v/>
          </cell>
          <cell r="X216" t="str">
            <v/>
          </cell>
          <cell r="Y216" t="str">
            <v/>
          </cell>
          <cell r="Z216" t="str">
            <v/>
          </cell>
          <cell r="AA216" t="str">
            <v>(738) 725-2144</v>
          </cell>
          <cell r="AB216" t="str">
            <v/>
          </cell>
          <cell r="AC216" t="str">
            <v xml:space="preserve">   0902</v>
          </cell>
          <cell r="AD216" t="str">
            <v/>
          </cell>
          <cell r="AE216" t="str">
            <v/>
          </cell>
          <cell r="AF216" t="str">
            <v/>
          </cell>
          <cell r="AH216" t="str">
            <v>N</v>
          </cell>
          <cell r="AI216">
            <v>0</v>
          </cell>
          <cell r="AJ216">
            <v>0</v>
          </cell>
          <cell r="AK216">
            <v>0</v>
          </cell>
          <cell r="AL216">
            <v>0</v>
          </cell>
          <cell r="AM216">
            <v>4922</v>
          </cell>
          <cell r="AN216">
            <v>0</v>
          </cell>
        </row>
        <row r="217">
          <cell r="A217">
            <v>2117</v>
          </cell>
          <cell r="B217" t="str">
            <v>MARGARITA UGALDE (QUERETARO)</v>
          </cell>
          <cell r="C217" t="str">
            <v/>
          </cell>
          <cell r="D217" t="str">
            <v>MERCADO ESCOBEDO LOC. 53 Y 54</v>
          </cell>
          <cell r="E217" t="str">
            <v>QUERETARO, QRO.</v>
          </cell>
          <cell r="F217" t="str">
            <v/>
          </cell>
          <cell r="G217" t="str">
            <v>(442) 212-3565</v>
          </cell>
          <cell r="H217" t="str">
            <v>MARHARITA UGALDE</v>
          </cell>
          <cell r="I217" t="str">
            <v>MARHARITA UGALDE (QU</v>
          </cell>
          <cell r="J217" t="str">
            <v>L04</v>
          </cell>
          <cell r="K217" t="str">
            <v/>
          </cell>
          <cell r="L217">
            <v>0</v>
          </cell>
          <cell r="M217">
            <v>219</v>
          </cell>
          <cell r="N217" t="str">
            <v>A</v>
          </cell>
          <cell r="O217">
            <v>42464</v>
          </cell>
          <cell r="P217" t="str">
            <v xml:space="preserve">    6</v>
          </cell>
          <cell r="Q217">
            <v>0</v>
          </cell>
          <cell r="R217">
            <v>0</v>
          </cell>
          <cell r="S217">
            <v>3538</v>
          </cell>
          <cell r="T217">
            <v>82416</v>
          </cell>
          <cell r="U217">
            <v>0</v>
          </cell>
          <cell r="V217" t="str">
            <v>CENTRO</v>
          </cell>
          <cell r="W217" t="str">
            <v/>
          </cell>
          <cell r="X217" t="str">
            <v/>
          </cell>
          <cell r="Y217" t="str">
            <v/>
          </cell>
          <cell r="Z217" t="str">
            <v/>
          </cell>
          <cell r="AA217" t="str">
            <v>(442) 212-3565</v>
          </cell>
          <cell r="AB217" t="str">
            <v xml:space="preserve">      EFE</v>
          </cell>
          <cell r="AC217" t="str">
            <v>R-1026</v>
          </cell>
          <cell r="AD217" t="str">
            <v/>
          </cell>
          <cell r="AE217" t="str">
            <v/>
          </cell>
          <cell r="AF217" t="str">
            <v/>
          </cell>
          <cell r="AG217">
            <v>41852</v>
          </cell>
          <cell r="AH217" t="str">
            <v>N</v>
          </cell>
          <cell r="AI217">
            <v>0</v>
          </cell>
          <cell r="AJ217">
            <v>0</v>
          </cell>
          <cell r="AK217">
            <v>0</v>
          </cell>
          <cell r="AL217">
            <v>100</v>
          </cell>
          <cell r="AM217">
            <v>1375</v>
          </cell>
          <cell r="AN217">
            <v>0</v>
          </cell>
        </row>
        <row r="218">
          <cell r="A218">
            <v>2118</v>
          </cell>
          <cell r="B218" t="str">
            <v>MARIA RIOS PEÑA (ACAMBAY)</v>
          </cell>
          <cell r="C218" t="str">
            <v/>
          </cell>
          <cell r="D218" t="str">
            <v>CONSTITUCION #58</v>
          </cell>
          <cell r="E218" t="str">
            <v>ACAMBAY, EDO. DE MEXICO</v>
          </cell>
          <cell r="F218" t="str">
            <v/>
          </cell>
          <cell r="G218" t="str">
            <v>(712) 143-4693 CEL / (712</v>
          </cell>
          <cell r="H218" t="str">
            <v>MARIA RIOS PEÑA</v>
          </cell>
          <cell r="I218" t="str">
            <v>MARIA RIOS PEÑA</v>
          </cell>
          <cell r="J218" t="str">
            <v>L08</v>
          </cell>
          <cell r="K218" t="str">
            <v/>
          </cell>
          <cell r="L218">
            <v>0</v>
          </cell>
          <cell r="M218">
            <v>220</v>
          </cell>
          <cell r="N218" t="str">
            <v>A</v>
          </cell>
          <cell r="O218">
            <v>42485</v>
          </cell>
          <cell r="P218" t="str">
            <v xml:space="preserve">    6</v>
          </cell>
          <cell r="Q218">
            <v>0</v>
          </cell>
          <cell r="R218">
            <v>0</v>
          </cell>
          <cell r="S218">
            <v>36556</v>
          </cell>
          <cell r="T218">
            <v>346719</v>
          </cell>
          <cell r="U218">
            <v>11</v>
          </cell>
          <cell r="V218" t="str">
            <v>CENTRO</v>
          </cell>
          <cell r="W218" t="str">
            <v>(718) 127-1338</v>
          </cell>
          <cell r="X218" t="str">
            <v>FERRETERIA (718) 127-0175</v>
          </cell>
          <cell r="Y218" t="str">
            <v/>
          </cell>
          <cell r="Z218" t="str">
            <v/>
          </cell>
          <cell r="AA218" t="str">
            <v>(712) 143-4693 CEL / (712) 141-8317 CEL</v>
          </cell>
          <cell r="AB218" t="str">
            <v/>
          </cell>
          <cell r="AC218" t="str">
            <v>R-0999</v>
          </cell>
          <cell r="AD218" t="str">
            <v/>
          </cell>
          <cell r="AE218" t="str">
            <v/>
          </cell>
          <cell r="AF218" t="str">
            <v/>
          </cell>
          <cell r="AH218" t="str">
            <v>N</v>
          </cell>
          <cell r="AI218">
            <v>0</v>
          </cell>
          <cell r="AJ218">
            <v>0</v>
          </cell>
          <cell r="AK218">
            <v>0</v>
          </cell>
          <cell r="AL218">
            <v>0</v>
          </cell>
          <cell r="AM218">
            <v>9216</v>
          </cell>
          <cell r="AN218">
            <v>0</v>
          </cell>
        </row>
        <row r="219">
          <cell r="A219">
            <v>2119</v>
          </cell>
          <cell r="B219" t="str">
            <v>MARIA MERCEDES SANCHEZ (VILLAGRAN)</v>
          </cell>
          <cell r="C219" t="str">
            <v/>
          </cell>
          <cell r="D219" t="str">
            <v>HIDALGO #416</v>
          </cell>
          <cell r="E219" t="str">
            <v>VILLAGRAN, GTO.</v>
          </cell>
          <cell r="F219" t="str">
            <v/>
          </cell>
          <cell r="G219" t="str">
            <v>(416) 165-0140</v>
          </cell>
          <cell r="H219" t="str">
            <v>MARIA MERCEDES S</v>
          </cell>
          <cell r="I219" t="str">
            <v>MARIA MERCEDES SANCH</v>
          </cell>
          <cell r="J219" t="str">
            <v>BAJA</v>
          </cell>
          <cell r="K219" t="str">
            <v/>
          </cell>
          <cell r="L219">
            <v>0</v>
          </cell>
          <cell r="M219">
            <v>221</v>
          </cell>
          <cell r="N219" t="str">
            <v>A</v>
          </cell>
          <cell r="O219">
            <v>40877</v>
          </cell>
          <cell r="P219" t="str">
            <v xml:space="preserve">    9</v>
          </cell>
          <cell r="Q219">
            <v>0</v>
          </cell>
          <cell r="R219">
            <v>0</v>
          </cell>
          <cell r="S219">
            <v>0</v>
          </cell>
          <cell r="T219">
            <v>772</v>
          </cell>
          <cell r="U219">
            <v>0</v>
          </cell>
          <cell r="V219" t="str">
            <v>CENTRO</v>
          </cell>
          <cell r="W219" t="str">
            <v/>
          </cell>
          <cell r="X219" t="str">
            <v/>
          </cell>
          <cell r="Y219" t="str">
            <v/>
          </cell>
          <cell r="Z219" t="str">
            <v/>
          </cell>
          <cell r="AA219" t="str">
            <v>(416) 165-0140</v>
          </cell>
          <cell r="AB219" t="str">
            <v/>
          </cell>
          <cell r="AC219" t="str">
            <v>R-0053</v>
          </cell>
          <cell r="AD219" t="str">
            <v/>
          </cell>
          <cell r="AE219" t="str">
            <v/>
          </cell>
          <cell r="AF219" t="str">
            <v/>
          </cell>
          <cell r="AH219" t="str">
            <v>N</v>
          </cell>
          <cell r="AI219">
            <v>0</v>
          </cell>
          <cell r="AJ219">
            <v>0</v>
          </cell>
          <cell r="AK219">
            <v>0</v>
          </cell>
          <cell r="AL219">
            <v>0</v>
          </cell>
          <cell r="AM219">
            <v>772</v>
          </cell>
          <cell r="AN219">
            <v>0</v>
          </cell>
        </row>
        <row r="220">
          <cell r="A220">
            <v>2120</v>
          </cell>
          <cell r="B220" t="str">
            <v>MARIANA BECERRIL</v>
          </cell>
          <cell r="C220" t="str">
            <v/>
          </cell>
          <cell r="D220" t="str">
            <v>HIDALGO # 31</v>
          </cell>
          <cell r="E220" t="str">
            <v>ATLACOMULCO, EDO. DE MEXICO</v>
          </cell>
          <cell r="F220" t="str">
            <v/>
          </cell>
          <cell r="G220" t="str">
            <v/>
          </cell>
          <cell r="H220" t="str">
            <v>HECTOR ISLAS CRUZ</v>
          </cell>
          <cell r="I220" t="str">
            <v>HECTOR ISLAS CRUZ</v>
          </cell>
          <cell r="J220" t="str">
            <v>L08</v>
          </cell>
          <cell r="K220" t="str">
            <v/>
          </cell>
          <cell r="L220">
            <v>0</v>
          </cell>
          <cell r="M220">
            <v>222</v>
          </cell>
          <cell r="N220" t="str">
            <v>A</v>
          </cell>
          <cell r="O220">
            <v>42207</v>
          </cell>
          <cell r="P220" t="str">
            <v xml:space="preserve">    3</v>
          </cell>
          <cell r="Q220">
            <v>0</v>
          </cell>
          <cell r="R220">
            <v>0</v>
          </cell>
          <cell r="S220">
            <v>0</v>
          </cell>
          <cell r="T220">
            <v>680</v>
          </cell>
          <cell r="U220">
            <v>0</v>
          </cell>
          <cell r="V220" t="str">
            <v>CENTRO</v>
          </cell>
          <cell r="W220" t="str">
            <v>712-139-0953</v>
          </cell>
          <cell r="X220" t="str">
            <v/>
          </cell>
          <cell r="Y220" t="str">
            <v/>
          </cell>
          <cell r="Z220" t="str">
            <v/>
          </cell>
          <cell r="AA220" t="str">
            <v/>
          </cell>
          <cell r="AB220" t="str">
            <v/>
          </cell>
          <cell r="AC220" t="str">
            <v>L0001</v>
          </cell>
          <cell r="AD220" t="str">
            <v/>
          </cell>
          <cell r="AE220" t="str">
            <v/>
          </cell>
          <cell r="AF220" t="str">
            <v/>
          </cell>
          <cell r="AH220" t="str">
            <v>N</v>
          </cell>
          <cell r="AI220">
            <v>0</v>
          </cell>
          <cell r="AJ220">
            <v>0</v>
          </cell>
          <cell r="AK220">
            <v>0</v>
          </cell>
          <cell r="AL220">
            <v>0</v>
          </cell>
          <cell r="AM220">
            <v>320</v>
          </cell>
          <cell r="AN220">
            <v>0</v>
          </cell>
        </row>
        <row r="221">
          <cell r="A221">
            <v>2121</v>
          </cell>
          <cell r="B221" t="str">
            <v>JOSE RUIZ (JILOTEPEC|)</v>
          </cell>
          <cell r="C221" t="str">
            <v/>
          </cell>
          <cell r="D221" t="str">
            <v/>
          </cell>
          <cell r="E221" t="str">
            <v>JILOTEPEC, EDO. DE MEXICO</v>
          </cell>
          <cell r="F221" t="str">
            <v/>
          </cell>
          <cell r="G221" t="str">
            <v/>
          </cell>
          <cell r="H221" t="str">
            <v>JOSE RUIZ</v>
          </cell>
          <cell r="I221" t="str">
            <v>JOSE RUIZ</v>
          </cell>
          <cell r="J221" t="str">
            <v>BAJA</v>
          </cell>
          <cell r="K221" t="str">
            <v/>
          </cell>
          <cell r="L221">
            <v>0</v>
          </cell>
          <cell r="M221">
            <v>223</v>
          </cell>
          <cell r="N221" t="str">
            <v>A</v>
          </cell>
          <cell r="O221">
            <v>40864</v>
          </cell>
          <cell r="P221" t="str">
            <v xml:space="preserve">    1</v>
          </cell>
          <cell r="Q221">
            <v>0</v>
          </cell>
          <cell r="R221">
            <v>0</v>
          </cell>
          <cell r="S221">
            <v>0</v>
          </cell>
          <cell r="T221">
            <v>520</v>
          </cell>
          <cell r="U221">
            <v>0</v>
          </cell>
          <cell r="V221" t="str">
            <v/>
          </cell>
          <cell r="W221" t="str">
            <v/>
          </cell>
          <cell r="X221" t="str">
            <v/>
          </cell>
          <cell r="Y221" t="str">
            <v/>
          </cell>
          <cell r="Z221" t="str">
            <v/>
          </cell>
          <cell r="AA221" t="str">
            <v/>
          </cell>
          <cell r="AB221" t="str">
            <v xml:space="preserve">      DEV</v>
          </cell>
          <cell r="AC221" t="str">
            <v xml:space="preserve">   0327</v>
          </cell>
          <cell r="AD221" t="str">
            <v/>
          </cell>
          <cell r="AE221" t="str">
            <v/>
          </cell>
          <cell r="AF221" t="str">
            <v/>
          </cell>
          <cell r="AG221">
            <v>41029</v>
          </cell>
          <cell r="AH221" t="str">
            <v>N</v>
          </cell>
          <cell r="AI221">
            <v>0</v>
          </cell>
          <cell r="AJ221">
            <v>0</v>
          </cell>
          <cell r="AK221">
            <v>0</v>
          </cell>
          <cell r="AL221">
            <v>520</v>
          </cell>
          <cell r="AM221">
            <v>520</v>
          </cell>
          <cell r="AN221">
            <v>0</v>
          </cell>
        </row>
        <row r="222">
          <cell r="A222">
            <v>2122</v>
          </cell>
          <cell r="B222" t="str">
            <v>SUSANA PAZ NAVARRO (APAXCO)</v>
          </cell>
          <cell r="C222" t="str">
            <v/>
          </cell>
          <cell r="D222" t="str">
            <v>ALLENDE #81</v>
          </cell>
          <cell r="E222" t="str">
            <v>APAXCO, EDO. DE MEXICO</v>
          </cell>
          <cell r="F222" t="str">
            <v/>
          </cell>
          <cell r="G222" t="str">
            <v>(599) 998-4062 CASA 55-48</v>
          </cell>
          <cell r="H222" t="str">
            <v>SUSANA PAZ NAVARRO</v>
          </cell>
          <cell r="I222" t="str">
            <v>SUSANA PAZ NAVARRO</v>
          </cell>
          <cell r="J222" t="str">
            <v>M04</v>
          </cell>
          <cell r="K222" t="str">
            <v/>
          </cell>
          <cell r="L222">
            <v>0</v>
          </cell>
          <cell r="M222">
            <v>224</v>
          </cell>
          <cell r="N222" t="str">
            <v>A</v>
          </cell>
          <cell r="O222">
            <v>42244</v>
          </cell>
          <cell r="P222" t="str">
            <v xml:space="preserve">    1</v>
          </cell>
          <cell r="Q222">
            <v>0</v>
          </cell>
          <cell r="R222">
            <v>0</v>
          </cell>
          <cell r="S222">
            <v>0</v>
          </cell>
          <cell r="T222">
            <v>39047</v>
          </cell>
          <cell r="U222">
            <v>0</v>
          </cell>
          <cell r="V222" t="str">
            <v>CENTRO</v>
          </cell>
          <cell r="W222" t="str">
            <v>0445517009398</v>
          </cell>
          <cell r="X222" t="str">
            <v/>
          </cell>
          <cell r="Y222" t="str">
            <v/>
          </cell>
          <cell r="Z222" t="str">
            <v/>
          </cell>
          <cell r="AA222" t="str">
            <v>(599) 998-4062 CASA 55-4887-2650</v>
          </cell>
          <cell r="AB222" t="str">
            <v xml:space="preserve">  DEV MAR</v>
          </cell>
          <cell r="AC222" t="str">
            <v>M367</v>
          </cell>
          <cell r="AD222" t="str">
            <v/>
          </cell>
          <cell r="AE222" t="str">
            <v/>
          </cell>
          <cell r="AF222" t="str">
            <v/>
          </cell>
          <cell r="AG222">
            <v>42196</v>
          </cell>
          <cell r="AH222" t="str">
            <v>N</v>
          </cell>
          <cell r="AI222">
            <v>0</v>
          </cell>
          <cell r="AJ222">
            <v>0</v>
          </cell>
          <cell r="AK222">
            <v>0</v>
          </cell>
          <cell r="AL222">
            <v>760</v>
          </cell>
          <cell r="AM222">
            <v>1070</v>
          </cell>
          <cell r="AN222">
            <v>0</v>
          </cell>
        </row>
        <row r="223">
          <cell r="A223">
            <v>2123</v>
          </cell>
          <cell r="B223" t="str">
            <v>JUANA RODRIGUEZ RODRIGUEZ (ATOTONILCO)</v>
          </cell>
          <cell r="C223" t="str">
            <v/>
          </cell>
          <cell r="D223" t="str">
            <v>REPUBLICA DEL SALVADOR #25-B</v>
          </cell>
          <cell r="E223" t="str">
            <v>ATOTONILCO, HGO.</v>
          </cell>
          <cell r="F223" t="str">
            <v/>
          </cell>
          <cell r="G223" t="str">
            <v>(55) 1491-7770 CEL</v>
          </cell>
          <cell r="H223" t="str">
            <v>JUANA RODRIGUEZ R.</v>
          </cell>
          <cell r="I223" t="str">
            <v>JUANA RODRIGUEZ R.</v>
          </cell>
          <cell r="J223" t="str">
            <v>M04</v>
          </cell>
          <cell r="K223" t="str">
            <v/>
          </cell>
          <cell r="L223">
            <v>0</v>
          </cell>
          <cell r="M223">
            <v>225</v>
          </cell>
          <cell r="N223" t="str">
            <v>A</v>
          </cell>
          <cell r="O223">
            <v>42326</v>
          </cell>
          <cell r="P223" t="str">
            <v xml:space="preserve">    1</v>
          </cell>
          <cell r="Q223">
            <v>0</v>
          </cell>
          <cell r="R223">
            <v>0</v>
          </cell>
          <cell r="S223">
            <v>3588</v>
          </cell>
          <cell r="T223">
            <v>127937.88</v>
          </cell>
          <cell r="U223">
            <v>0</v>
          </cell>
          <cell r="V223" t="str">
            <v>CENTRO</v>
          </cell>
          <cell r="W223" t="str">
            <v>(778) 735-0127 CASA</v>
          </cell>
          <cell r="X223" t="str">
            <v/>
          </cell>
          <cell r="Y223" t="str">
            <v/>
          </cell>
          <cell r="Z223" t="str">
            <v/>
          </cell>
          <cell r="AA223" t="str">
            <v>(55) 1491-7770 CEL</v>
          </cell>
          <cell r="AB223" t="str">
            <v/>
          </cell>
          <cell r="AC223" t="str">
            <v>M499</v>
          </cell>
          <cell r="AD223" t="str">
            <v/>
          </cell>
          <cell r="AE223" t="str">
            <v/>
          </cell>
          <cell r="AF223" t="str">
            <v/>
          </cell>
          <cell r="AH223" t="str">
            <v>N</v>
          </cell>
          <cell r="AI223">
            <v>0</v>
          </cell>
          <cell r="AJ223">
            <v>0</v>
          </cell>
          <cell r="AK223">
            <v>0</v>
          </cell>
          <cell r="AL223">
            <v>0</v>
          </cell>
          <cell r="AM223">
            <v>3111</v>
          </cell>
          <cell r="AN223">
            <v>0</v>
          </cell>
        </row>
        <row r="224">
          <cell r="A224">
            <v>2124</v>
          </cell>
          <cell r="B224" t="str">
            <v>MARCIAL SOLANO AGUILAR (TULTEPEC)</v>
          </cell>
          <cell r="C224" t="str">
            <v/>
          </cell>
          <cell r="D224" t="str">
            <v>ALLENDE #7</v>
          </cell>
          <cell r="E224" t="str">
            <v>TULTEPEC, EDO. DE MEXICO</v>
          </cell>
          <cell r="F224" t="str">
            <v/>
          </cell>
          <cell r="G224" t="str">
            <v/>
          </cell>
          <cell r="H224" t="str">
            <v>MARCIAL SOLANO A</v>
          </cell>
          <cell r="I224" t="str">
            <v>MARCIAL SOLANO A</v>
          </cell>
          <cell r="J224" t="str">
            <v>BAJA</v>
          </cell>
          <cell r="K224" t="str">
            <v/>
          </cell>
          <cell r="L224">
            <v>0</v>
          </cell>
          <cell r="M224">
            <v>226</v>
          </cell>
          <cell r="N224" t="str">
            <v>A</v>
          </cell>
          <cell r="O224">
            <v>40864</v>
          </cell>
          <cell r="P224" t="str">
            <v xml:space="preserve">    2</v>
          </cell>
          <cell r="Q224">
            <v>0</v>
          </cell>
          <cell r="R224">
            <v>0</v>
          </cell>
          <cell r="S224">
            <v>0</v>
          </cell>
          <cell r="T224">
            <v>406</v>
          </cell>
          <cell r="U224">
            <v>0</v>
          </cell>
          <cell r="V224" t="str">
            <v>CENTRO</v>
          </cell>
          <cell r="W224" t="str">
            <v/>
          </cell>
          <cell r="X224" t="str">
            <v/>
          </cell>
          <cell r="Y224" t="str">
            <v/>
          </cell>
          <cell r="Z224" t="str">
            <v/>
          </cell>
          <cell r="AA224" t="str">
            <v/>
          </cell>
          <cell r="AB224" t="str">
            <v/>
          </cell>
          <cell r="AC224" t="str">
            <v xml:space="preserve">   0322</v>
          </cell>
          <cell r="AD224" t="str">
            <v/>
          </cell>
          <cell r="AE224" t="str">
            <v/>
          </cell>
          <cell r="AF224" t="str">
            <v/>
          </cell>
          <cell r="AH224" t="str">
            <v>N</v>
          </cell>
          <cell r="AI224">
            <v>0</v>
          </cell>
          <cell r="AJ224">
            <v>0</v>
          </cell>
          <cell r="AK224">
            <v>0</v>
          </cell>
          <cell r="AL224">
            <v>0</v>
          </cell>
          <cell r="AM224">
            <v>406</v>
          </cell>
          <cell r="AN224">
            <v>0</v>
          </cell>
        </row>
        <row r="225">
          <cell r="A225">
            <v>2125</v>
          </cell>
          <cell r="B225" t="str">
            <v>ROSYBELL CRUZ (ROMERO RUBIO)</v>
          </cell>
          <cell r="C225" t="str">
            <v/>
          </cell>
          <cell r="D225" t="str">
            <v>LOCAL 64 PASILLO 3</v>
          </cell>
          <cell r="E225" t="str">
            <v>CUAUTITLAN, EDO. DE MEXICO</v>
          </cell>
          <cell r="F225" t="str">
            <v/>
          </cell>
          <cell r="G225" t="str">
            <v>044 55-4250-4538</v>
          </cell>
          <cell r="H225" t="str">
            <v>ROSYBELL CRUZ</v>
          </cell>
          <cell r="I225" t="str">
            <v>ROSYBELL CRUZ</v>
          </cell>
          <cell r="J225" t="str">
            <v>M01</v>
          </cell>
          <cell r="K225" t="str">
            <v/>
          </cell>
          <cell r="L225">
            <v>0</v>
          </cell>
          <cell r="M225">
            <v>227</v>
          </cell>
          <cell r="N225" t="str">
            <v>A</v>
          </cell>
          <cell r="O225">
            <v>42520</v>
          </cell>
          <cell r="P225" t="str">
            <v xml:space="preserve">    2</v>
          </cell>
          <cell r="Q225">
            <v>0</v>
          </cell>
          <cell r="R225">
            <v>0</v>
          </cell>
          <cell r="S225">
            <v>13092</v>
          </cell>
          <cell r="T225">
            <v>38506</v>
          </cell>
          <cell r="U225">
            <v>0</v>
          </cell>
          <cell r="V225" t="str">
            <v>ROMERO RUBIO</v>
          </cell>
          <cell r="W225" t="str">
            <v/>
          </cell>
          <cell r="X225" t="str">
            <v/>
          </cell>
          <cell r="Y225" t="str">
            <v/>
          </cell>
          <cell r="Z225" t="str">
            <v/>
          </cell>
          <cell r="AA225" t="str">
            <v>044 55-4250-4538</v>
          </cell>
          <cell r="AB225" t="str">
            <v/>
          </cell>
          <cell r="AC225" t="str">
            <v>M616</v>
          </cell>
          <cell r="AD225" t="str">
            <v/>
          </cell>
          <cell r="AE225" t="str">
            <v/>
          </cell>
          <cell r="AF225" t="str">
            <v/>
          </cell>
          <cell r="AH225" t="str">
            <v>N</v>
          </cell>
          <cell r="AI225">
            <v>0</v>
          </cell>
          <cell r="AJ225">
            <v>0</v>
          </cell>
          <cell r="AK225">
            <v>0</v>
          </cell>
          <cell r="AL225">
            <v>0</v>
          </cell>
          <cell r="AM225">
            <v>4425</v>
          </cell>
          <cell r="AN225">
            <v>0</v>
          </cell>
        </row>
        <row r="226">
          <cell r="A226">
            <v>2126</v>
          </cell>
          <cell r="B226" t="str">
            <v>EVA FRANCO MEJIA (AMEALCO)</v>
          </cell>
          <cell r="C226" t="str">
            <v/>
          </cell>
          <cell r="D226" t="str">
            <v>5 DE FEBRERO LOC. 4</v>
          </cell>
          <cell r="E226" t="str">
            <v>AMEALCO, QRO.</v>
          </cell>
          <cell r="F226" t="str">
            <v/>
          </cell>
          <cell r="G226" t="str">
            <v>(448) 278-0745</v>
          </cell>
          <cell r="H226" t="str">
            <v>EVA FRANCO MEJIA</v>
          </cell>
          <cell r="I226" t="str">
            <v>EVA FRANCO MEJIA</v>
          </cell>
          <cell r="J226" t="str">
            <v>BAJA</v>
          </cell>
          <cell r="K226" t="str">
            <v/>
          </cell>
          <cell r="L226">
            <v>0</v>
          </cell>
          <cell r="M226">
            <v>228</v>
          </cell>
          <cell r="N226" t="str">
            <v>A</v>
          </cell>
          <cell r="O226">
            <v>40956</v>
          </cell>
          <cell r="P226" t="str">
            <v xml:space="preserve">    1</v>
          </cell>
          <cell r="Q226">
            <v>0</v>
          </cell>
          <cell r="R226">
            <v>0</v>
          </cell>
          <cell r="S226">
            <v>0</v>
          </cell>
          <cell r="T226">
            <v>6336</v>
          </cell>
          <cell r="U226">
            <v>0</v>
          </cell>
          <cell r="V226" t="str">
            <v>CENTRO</v>
          </cell>
          <cell r="W226" t="str">
            <v/>
          </cell>
          <cell r="X226" t="str">
            <v/>
          </cell>
          <cell r="Y226" t="str">
            <v/>
          </cell>
          <cell r="Z226" t="str">
            <v/>
          </cell>
          <cell r="AA226" t="str">
            <v>(448) 278-0745</v>
          </cell>
          <cell r="AB226" t="str">
            <v xml:space="preserve">      DEV</v>
          </cell>
          <cell r="AC226" t="str">
            <v xml:space="preserve">     58</v>
          </cell>
          <cell r="AD226" t="str">
            <v/>
          </cell>
          <cell r="AE226" t="str">
            <v/>
          </cell>
          <cell r="AF226" t="str">
            <v/>
          </cell>
          <cell r="AG226">
            <v>41097</v>
          </cell>
          <cell r="AH226" t="str">
            <v>N</v>
          </cell>
          <cell r="AI226">
            <v>0</v>
          </cell>
          <cell r="AJ226">
            <v>0</v>
          </cell>
          <cell r="AK226">
            <v>0</v>
          </cell>
          <cell r="AL226">
            <v>2020</v>
          </cell>
          <cell r="AM226">
            <v>3883</v>
          </cell>
          <cell r="AN226">
            <v>0</v>
          </cell>
        </row>
        <row r="227">
          <cell r="A227">
            <v>2127</v>
          </cell>
          <cell r="B227" t="str">
            <v>JOSE VIEYRA HERRERA (APASEO EL ALTO)</v>
          </cell>
          <cell r="C227" t="str">
            <v/>
          </cell>
          <cell r="D227" t="str">
            <v>5 DE MAYO #201</v>
          </cell>
          <cell r="E227" t="str">
            <v>APASEO EL ALTO, GTO.</v>
          </cell>
          <cell r="F227" t="str">
            <v/>
          </cell>
          <cell r="G227" t="str">
            <v>(413) 100-1815 CEL SRA. L</v>
          </cell>
          <cell r="H227" t="str">
            <v>JOSE VIEYRA HERRERA</v>
          </cell>
          <cell r="I227" t="str">
            <v>JOSE VIEYRA HERRERA</v>
          </cell>
          <cell r="J227" t="str">
            <v>BAJA</v>
          </cell>
          <cell r="K227" t="str">
            <v/>
          </cell>
          <cell r="L227">
            <v>0</v>
          </cell>
          <cell r="M227">
            <v>229</v>
          </cell>
          <cell r="N227" t="str">
            <v>A</v>
          </cell>
          <cell r="O227">
            <v>40947</v>
          </cell>
          <cell r="P227" t="str">
            <v xml:space="preserve">    1</v>
          </cell>
          <cell r="Q227">
            <v>0</v>
          </cell>
          <cell r="R227">
            <v>0</v>
          </cell>
          <cell r="S227">
            <v>0</v>
          </cell>
          <cell r="T227">
            <v>10005</v>
          </cell>
          <cell r="U227">
            <v>0</v>
          </cell>
          <cell r="V227" t="str">
            <v>CENTRO</v>
          </cell>
          <cell r="W227" t="str">
            <v>(413) 166-2283 CEL</v>
          </cell>
          <cell r="X227" t="str">
            <v/>
          </cell>
          <cell r="Y227" t="str">
            <v/>
          </cell>
          <cell r="Z227" t="str">
            <v/>
          </cell>
          <cell r="AA227" t="str">
            <v>(413) 100-1815 CEL SRA. LETICIA</v>
          </cell>
          <cell r="AB227" t="str">
            <v/>
          </cell>
          <cell r="AC227" t="str">
            <v>R-0080</v>
          </cell>
          <cell r="AD227" t="str">
            <v/>
          </cell>
          <cell r="AE227" t="str">
            <v/>
          </cell>
          <cell r="AF227" t="str">
            <v/>
          </cell>
          <cell r="AH227" t="str">
            <v>N</v>
          </cell>
          <cell r="AI227">
            <v>0</v>
          </cell>
          <cell r="AJ227">
            <v>0</v>
          </cell>
          <cell r="AK227">
            <v>0</v>
          </cell>
          <cell r="AL227">
            <v>0</v>
          </cell>
          <cell r="AM227">
            <v>2448</v>
          </cell>
          <cell r="AN227">
            <v>0</v>
          </cell>
        </row>
        <row r="228">
          <cell r="A228">
            <v>2128</v>
          </cell>
          <cell r="B228" t="str">
            <v>RUBEN PEREZ SANCHEZ (TEZONTEPEC)</v>
          </cell>
          <cell r="C228" t="str">
            <v/>
          </cell>
          <cell r="D228" t="str">
            <v>JUAN ALDAMA #9</v>
          </cell>
          <cell r="E228" t="str">
            <v>TEZONTEPEC, HGO.</v>
          </cell>
          <cell r="F228" t="str">
            <v/>
          </cell>
          <cell r="G228" t="str">
            <v>(763) 737-5203</v>
          </cell>
          <cell r="H228" t="str">
            <v>RUBEN PEREZ SANCHEZ</v>
          </cell>
          <cell r="I228" t="str">
            <v>RUBEN PEREZ SANCHEZ</v>
          </cell>
          <cell r="J228" t="str">
            <v>F02</v>
          </cell>
          <cell r="K228" t="str">
            <v/>
          </cell>
          <cell r="L228">
            <v>0</v>
          </cell>
          <cell r="M228">
            <v>230</v>
          </cell>
          <cell r="N228" t="str">
            <v>A</v>
          </cell>
          <cell r="O228">
            <v>42525</v>
          </cell>
          <cell r="P228" t="str">
            <v xml:space="preserve">    1</v>
          </cell>
          <cell r="Q228">
            <v>0</v>
          </cell>
          <cell r="R228">
            <v>0</v>
          </cell>
          <cell r="S228">
            <v>2992</v>
          </cell>
          <cell r="T228">
            <v>550103.4</v>
          </cell>
          <cell r="U228">
            <v>0</v>
          </cell>
          <cell r="V228" t="str">
            <v>CENTRO</v>
          </cell>
          <cell r="W228" t="str">
            <v>( 773) 153-3516 CEL</v>
          </cell>
          <cell r="X228" t="str">
            <v>(773) 129-1491 CEL RUBEN</v>
          </cell>
          <cell r="Y228" t="str">
            <v/>
          </cell>
          <cell r="Z228" t="str">
            <v/>
          </cell>
          <cell r="AA228" t="str">
            <v>(763) 737-5203</v>
          </cell>
          <cell r="AB228" t="str">
            <v xml:space="preserve">     DESC</v>
          </cell>
          <cell r="AC228" t="str">
            <v>F0506</v>
          </cell>
          <cell r="AD228" t="str">
            <v/>
          </cell>
          <cell r="AE228" t="str">
            <v/>
          </cell>
          <cell r="AF228" t="str">
            <v/>
          </cell>
          <cell r="AG228">
            <v>41836</v>
          </cell>
          <cell r="AH228" t="str">
            <v>N</v>
          </cell>
          <cell r="AI228">
            <v>0</v>
          </cell>
          <cell r="AJ228">
            <v>0</v>
          </cell>
          <cell r="AK228">
            <v>0</v>
          </cell>
          <cell r="AL228">
            <v>253</v>
          </cell>
          <cell r="AM228">
            <v>2992</v>
          </cell>
          <cell r="AN228">
            <v>0</v>
          </cell>
        </row>
        <row r="229">
          <cell r="A229">
            <v>2129</v>
          </cell>
          <cell r="B229" t="str">
            <v>ROSALINDA SANCHEZ BARRERA (TASQUILLO)</v>
          </cell>
          <cell r="C229" t="str">
            <v/>
          </cell>
          <cell r="D229" t="str">
            <v>BRAVO #4</v>
          </cell>
          <cell r="E229" t="str">
            <v>TASQUILLO, HGO.</v>
          </cell>
          <cell r="F229" t="str">
            <v/>
          </cell>
          <cell r="G229" t="str">
            <v>(759) 723-5008</v>
          </cell>
          <cell r="H229" t="str">
            <v>ROSALINDA SANCHEZ B.</v>
          </cell>
          <cell r="I229" t="str">
            <v>ROSALINDA SANCHEZ B.</v>
          </cell>
          <cell r="J229" t="str">
            <v>BAJA</v>
          </cell>
          <cell r="K229" t="str">
            <v/>
          </cell>
          <cell r="L229">
            <v>0</v>
          </cell>
          <cell r="M229">
            <v>231</v>
          </cell>
          <cell r="N229" t="str">
            <v>S</v>
          </cell>
          <cell r="O229">
            <v>40954</v>
          </cell>
          <cell r="P229" t="str">
            <v xml:space="preserve">    8</v>
          </cell>
          <cell r="Q229">
            <v>0</v>
          </cell>
          <cell r="R229">
            <v>0</v>
          </cell>
          <cell r="S229">
            <v>0</v>
          </cell>
          <cell r="T229">
            <v>4229</v>
          </cell>
          <cell r="U229">
            <v>0</v>
          </cell>
          <cell r="V229" t="str">
            <v>CENTRO</v>
          </cell>
          <cell r="W229" t="str">
            <v/>
          </cell>
          <cell r="X229" t="str">
            <v/>
          </cell>
          <cell r="Y229" t="str">
            <v/>
          </cell>
          <cell r="Z229" t="str">
            <v/>
          </cell>
          <cell r="AA229" t="str">
            <v>(759) 723-5008</v>
          </cell>
          <cell r="AB229" t="str">
            <v/>
          </cell>
          <cell r="AC229" t="str">
            <v>R-0064</v>
          </cell>
          <cell r="AD229" t="str">
            <v/>
          </cell>
          <cell r="AE229" t="str">
            <v/>
          </cell>
          <cell r="AF229" t="str">
            <v/>
          </cell>
          <cell r="AH229" t="str">
            <v>N</v>
          </cell>
          <cell r="AI229">
            <v>0</v>
          </cell>
          <cell r="AJ229">
            <v>0</v>
          </cell>
          <cell r="AK229">
            <v>0</v>
          </cell>
          <cell r="AL229">
            <v>0</v>
          </cell>
          <cell r="AM229">
            <v>1202</v>
          </cell>
          <cell r="AN229">
            <v>0</v>
          </cell>
        </row>
        <row r="230">
          <cell r="A230">
            <v>2130</v>
          </cell>
          <cell r="B230" t="str">
            <v>ELVIA CHAVEZ ARTEAGA (ZIMAPAN)</v>
          </cell>
          <cell r="C230" t="str">
            <v/>
          </cell>
          <cell r="D230" t="str">
            <v>JESUS GARCIA #2</v>
          </cell>
          <cell r="E230" t="str">
            <v>ZIMAPAN, HGO.</v>
          </cell>
          <cell r="F230" t="str">
            <v/>
          </cell>
          <cell r="G230" t="str">
            <v>(759) 728-3011</v>
          </cell>
          <cell r="H230" t="str">
            <v>ELVIA CHAVEZ ARTEAGA</v>
          </cell>
          <cell r="I230" t="str">
            <v>ELVIA CHAVEZ ARTEAGA</v>
          </cell>
          <cell r="J230" t="str">
            <v>BAJA</v>
          </cell>
          <cell r="K230" t="str">
            <v/>
          </cell>
          <cell r="L230">
            <v>0</v>
          </cell>
          <cell r="M230">
            <v>232</v>
          </cell>
          <cell r="N230" t="str">
            <v>A</v>
          </cell>
          <cell r="O230">
            <v>41586</v>
          </cell>
          <cell r="P230" t="str">
            <v xml:space="preserve">    8</v>
          </cell>
          <cell r="Q230">
            <v>0</v>
          </cell>
          <cell r="R230">
            <v>0</v>
          </cell>
          <cell r="S230">
            <v>0</v>
          </cell>
          <cell r="T230">
            <v>8514</v>
          </cell>
          <cell r="U230">
            <v>0</v>
          </cell>
          <cell r="V230" t="str">
            <v>CENTRO</v>
          </cell>
          <cell r="W230" t="str">
            <v>(769) 728-2335</v>
          </cell>
          <cell r="X230" t="str">
            <v/>
          </cell>
          <cell r="Y230" t="str">
            <v/>
          </cell>
          <cell r="Z230" t="str">
            <v/>
          </cell>
          <cell r="AA230" t="str">
            <v>(759) 728-3011</v>
          </cell>
          <cell r="AB230" t="str">
            <v/>
          </cell>
          <cell r="AC230" t="str">
            <v>F-0716</v>
          </cell>
          <cell r="AD230" t="str">
            <v/>
          </cell>
          <cell r="AE230" t="str">
            <v/>
          </cell>
          <cell r="AF230" t="str">
            <v/>
          </cell>
          <cell r="AH230" t="str">
            <v>N</v>
          </cell>
          <cell r="AI230">
            <v>0</v>
          </cell>
          <cell r="AJ230">
            <v>0</v>
          </cell>
          <cell r="AK230">
            <v>0</v>
          </cell>
          <cell r="AL230">
            <v>0</v>
          </cell>
          <cell r="AM230">
            <v>1933</v>
          </cell>
          <cell r="AN230">
            <v>0</v>
          </cell>
        </row>
        <row r="231">
          <cell r="A231">
            <v>2131</v>
          </cell>
          <cell r="B231" t="str">
            <v>BERNARDA JUAREZ MALO (ATITALAQUIA)</v>
          </cell>
          <cell r="C231" t="str">
            <v/>
          </cell>
          <cell r="D231" t="str">
            <v>SANTOS DEGOLLADOS #2</v>
          </cell>
          <cell r="E231" t="str">
            <v>ATITALAQUIA, HGO.</v>
          </cell>
          <cell r="F231" t="str">
            <v/>
          </cell>
          <cell r="G231" t="str">
            <v>(773) 129-4497 CEL</v>
          </cell>
          <cell r="H231" t="str">
            <v>BERNARDA JUAREZ MALO</v>
          </cell>
          <cell r="I231" t="str">
            <v>BERNARDA JUAREZ MALO</v>
          </cell>
          <cell r="J231" t="str">
            <v>BAJA</v>
          </cell>
          <cell r="K231" t="str">
            <v/>
          </cell>
          <cell r="L231">
            <v>0</v>
          </cell>
          <cell r="M231">
            <v>233</v>
          </cell>
          <cell r="N231" t="str">
            <v>S</v>
          </cell>
          <cell r="O231">
            <v>40947</v>
          </cell>
          <cell r="P231" t="str">
            <v xml:space="preserve">    1</v>
          </cell>
          <cell r="Q231">
            <v>0</v>
          </cell>
          <cell r="R231">
            <v>0</v>
          </cell>
          <cell r="S231">
            <v>0</v>
          </cell>
          <cell r="T231">
            <v>3832</v>
          </cell>
          <cell r="U231">
            <v>0</v>
          </cell>
          <cell r="V231" t="str">
            <v>CENTRO</v>
          </cell>
          <cell r="W231" t="str">
            <v>(773) 138-3945 CEL</v>
          </cell>
          <cell r="X231" t="str">
            <v/>
          </cell>
          <cell r="Y231" t="str">
            <v/>
          </cell>
          <cell r="Z231" t="str">
            <v/>
          </cell>
          <cell r="AA231" t="str">
            <v>(773) 129-4497 CEL</v>
          </cell>
          <cell r="AB231" t="str">
            <v/>
          </cell>
          <cell r="AC231" t="str">
            <v xml:space="preserve">   0374</v>
          </cell>
          <cell r="AD231" t="str">
            <v/>
          </cell>
          <cell r="AE231" t="str">
            <v/>
          </cell>
          <cell r="AF231" t="str">
            <v/>
          </cell>
          <cell r="AH231" t="str">
            <v>N</v>
          </cell>
          <cell r="AI231">
            <v>0</v>
          </cell>
          <cell r="AJ231">
            <v>0</v>
          </cell>
          <cell r="AK231">
            <v>0</v>
          </cell>
          <cell r="AL231">
            <v>0</v>
          </cell>
          <cell r="AM231">
            <v>1774</v>
          </cell>
          <cell r="AN231">
            <v>0</v>
          </cell>
        </row>
        <row r="232">
          <cell r="A232">
            <v>2132</v>
          </cell>
          <cell r="B232" t="str">
            <v>MARGARITA SANTOS (COACALCO)</v>
          </cell>
          <cell r="C232" t="str">
            <v/>
          </cell>
          <cell r="D232" t="str">
            <v/>
          </cell>
          <cell r="E232" t="str">
            <v>COACALCO, EDO. DE MEXICO</v>
          </cell>
          <cell r="F232" t="str">
            <v/>
          </cell>
          <cell r="G232" t="str">
            <v/>
          </cell>
          <cell r="H232" t="str">
            <v>MARGARITA SANTOS</v>
          </cell>
          <cell r="I232" t="str">
            <v>MARGARITA SANTOS</v>
          </cell>
          <cell r="J232" t="str">
            <v>M01</v>
          </cell>
          <cell r="K232" t="str">
            <v/>
          </cell>
          <cell r="L232">
            <v>0</v>
          </cell>
          <cell r="M232">
            <v>234</v>
          </cell>
          <cell r="N232" t="str">
            <v>A</v>
          </cell>
          <cell r="O232">
            <v>41937</v>
          </cell>
          <cell r="P232" t="str">
            <v xml:space="preserve">    2</v>
          </cell>
          <cell r="Q232">
            <v>0</v>
          </cell>
          <cell r="R232">
            <v>0</v>
          </cell>
          <cell r="S232">
            <v>0</v>
          </cell>
          <cell r="T232">
            <v>6321</v>
          </cell>
          <cell r="U232">
            <v>0</v>
          </cell>
          <cell r="V232" t="str">
            <v/>
          </cell>
          <cell r="W232" t="str">
            <v/>
          </cell>
          <cell r="X232" t="str">
            <v/>
          </cell>
          <cell r="Y232" t="str">
            <v/>
          </cell>
          <cell r="Z232" t="str">
            <v/>
          </cell>
          <cell r="AA232" t="str">
            <v/>
          </cell>
          <cell r="AB232" t="str">
            <v xml:space="preserve">     DESC</v>
          </cell>
          <cell r="AC232" t="str">
            <v xml:space="preserve">    244</v>
          </cell>
          <cell r="AD232" t="str">
            <v/>
          </cell>
          <cell r="AE232" t="str">
            <v/>
          </cell>
          <cell r="AF232" t="str">
            <v/>
          </cell>
          <cell r="AG232">
            <v>41213</v>
          </cell>
          <cell r="AH232" t="str">
            <v>N</v>
          </cell>
          <cell r="AI232">
            <v>0</v>
          </cell>
          <cell r="AJ232">
            <v>0</v>
          </cell>
          <cell r="AK232">
            <v>0</v>
          </cell>
          <cell r="AL232">
            <v>75</v>
          </cell>
          <cell r="AM232">
            <v>1000</v>
          </cell>
          <cell r="AN232">
            <v>0</v>
          </cell>
        </row>
        <row r="233">
          <cell r="A233">
            <v>2133</v>
          </cell>
          <cell r="B233" t="str">
            <v>EDITH LUNA (TEOLOYUCAN)</v>
          </cell>
          <cell r="C233" t="str">
            <v/>
          </cell>
          <cell r="D233" t="str">
            <v/>
          </cell>
          <cell r="E233" t="str">
            <v>TEOLOYUCAN, EDO. DE MEXICO</v>
          </cell>
          <cell r="F233" t="str">
            <v/>
          </cell>
          <cell r="G233" t="str">
            <v>(593) 914-1817</v>
          </cell>
          <cell r="H233" t="str">
            <v>EDITH LUNA</v>
          </cell>
          <cell r="I233" t="str">
            <v>EDITH LUNA</v>
          </cell>
          <cell r="J233" t="str">
            <v>M01</v>
          </cell>
          <cell r="K233" t="str">
            <v/>
          </cell>
          <cell r="L233">
            <v>0</v>
          </cell>
          <cell r="M233">
            <v>235</v>
          </cell>
          <cell r="N233" t="str">
            <v>A</v>
          </cell>
          <cell r="O233">
            <v>42478</v>
          </cell>
          <cell r="P233" t="str">
            <v xml:space="preserve">    2</v>
          </cell>
          <cell r="Q233">
            <v>0</v>
          </cell>
          <cell r="R233">
            <v>0</v>
          </cell>
          <cell r="S233">
            <v>120</v>
          </cell>
          <cell r="T233">
            <v>32496</v>
          </cell>
          <cell r="U233">
            <v>0</v>
          </cell>
          <cell r="V233" t="str">
            <v/>
          </cell>
          <cell r="W233" t="str">
            <v/>
          </cell>
          <cell r="X233" t="str">
            <v/>
          </cell>
          <cell r="Y233" t="str">
            <v/>
          </cell>
          <cell r="Z233" t="str">
            <v/>
          </cell>
          <cell r="AA233" t="str">
            <v>(593) 914-1817</v>
          </cell>
          <cell r="AB233" t="str">
            <v/>
          </cell>
          <cell r="AC233" t="str">
            <v>M942849</v>
          </cell>
          <cell r="AD233" t="str">
            <v/>
          </cell>
          <cell r="AE233" t="str">
            <v/>
          </cell>
          <cell r="AF233" t="str">
            <v/>
          </cell>
          <cell r="AH233" t="str">
            <v>N</v>
          </cell>
          <cell r="AI233">
            <v>0</v>
          </cell>
          <cell r="AJ233">
            <v>0</v>
          </cell>
          <cell r="AK233">
            <v>0</v>
          </cell>
          <cell r="AL233">
            <v>0</v>
          </cell>
          <cell r="AM233">
            <v>2832</v>
          </cell>
          <cell r="AN233">
            <v>0</v>
          </cell>
        </row>
        <row r="234">
          <cell r="A234">
            <v>2134</v>
          </cell>
          <cell r="B234" t="str">
            <v>NOEMI SANCHEZ (TULA)</v>
          </cell>
          <cell r="C234" t="str">
            <v/>
          </cell>
          <cell r="D234" t="str">
            <v>MERCADO DE TULA LOC. 2</v>
          </cell>
          <cell r="E234" t="str">
            <v>TULA, HGO.</v>
          </cell>
          <cell r="F234" t="str">
            <v/>
          </cell>
          <cell r="G234" t="str">
            <v>(773) 732-0146</v>
          </cell>
          <cell r="H234" t="str">
            <v>NOEMI SANCHEZ</v>
          </cell>
          <cell r="I234" t="str">
            <v>NOEMI SANCHEZ</v>
          </cell>
          <cell r="J234" t="str">
            <v>BAJA</v>
          </cell>
          <cell r="K234" t="str">
            <v/>
          </cell>
          <cell r="L234">
            <v>0</v>
          </cell>
          <cell r="M234">
            <v>236</v>
          </cell>
          <cell r="N234" t="str">
            <v>A</v>
          </cell>
          <cell r="O234">
            <v>41100</v>
          </cell>
          <cell r="P234" t="str">
            <v xml:space="preserve">    1</v>
          </cell>
          <cell r="Q234">
            <v>0</v>
          </cell>
          <cell r="R234">
            <v>0</v>
          </cell>
          <cell r="S234">
            <v>0</v>
          </cell>
          <cell r="T234">
            <v>1262</v>
          </cell>
          <cell r="U234">
            <v>0</v>
          </cell>
          <cell r="V234" t="str">
            <v>CENTRO</v>
          </cell>
          <cell r="W234" t="str">
            <v/>
          </cell>
          <cell r="X234" t="str">
            <v/>
          </cell>
          <cell r="Y234" t="str">
            <v/>
          </cell>
          <cell r="Z234" t="str">
            <v/>
          </cell>
          <cell r="AA234" t="str">
            <v>(773) 732-0146</v>
          </cell>
          <cell r="AB234" t="str">
            <v/>
          </cell>
          <cell r="AC234" t="str">
            <v>C287</v>
          </cell>
          <cell r="AD234" t="str">
            <v/>
          </cell>
          <cell r="AE234" t="str">
            <v/>
          </cell>
          <cell r="AF234" t="str">
            <v/>
          </cell>
          <cell r="AH234" t="str">
            <v>N</v>
          </cell>
          <cell r="AI234">
            <v>0</v>
          </cell>
          <cell r="AJ234">
            <v>0</v>
          </cell>
          <cell r="AK234">
            <v>0</v>
          </cell>
          <cell r="AL234">
            <v>0</v>
          </cell>
          <cell r="AM234">
            <v>591</v>
          </cell>
          <cell r="AN234">
            <v>0</v>
          </cell>
        </row>
        <row r="235">
          <cell r="A235">
            <v>2135</v>
          </cell>
          <cell r="B235" t="str">
            <v>MA. DE LOURDES GONZALEZ LEAL (TULA)</v>
          </cell>
          <cell r="C235" t="str">
            <v/>
          </cell>
          <cell r="D235" t="str">
            <v>CIRCUITO ZARAGOZA #19-A</v>
          </cell>
          <cell r="E235" t="str">
            <v>TULA, HGO.</v>
          </cell>
          <cell r="F235" t="str">
            <v/>
          </cell>
          <cell r="G235" t="str">
            <v>(773) 127-9891 CEL</v>
          </cell>
          <cell r="H235" t="str">
            <v>LOURDES GONZALEZ</v>
          </cell>
          <cell r="I235" t="str">
            <v>LOURDES GONZALEZ</v>
          </cell>
          <cell r="J235" t="str">
            <v>BAJA</v>
          </cell>
          <cell r="K235" t="str">
            <v/>
          </cell>
          <cell r="L235">
            <v>0</v>
          </cell>
          <cell r="M235">
            <v>237</v>
          </cell>
          <cell r="N235" t="str">
            <v>A</v>
          </cell>
          <cell r="O235">
            <v>41550</v>
          </cell>
          <cell r="P235" t="str">
            <v xml:space="preserve">    1</v>
          </cell>
          <cell r="Q235">
            <v>0</v>
          </cell>
          <cell r="R235">
            <v>0</v>
          </cell>
          <cell r="S235">
            <v>0</v>
          </cell>
          <cell r="T235">
            <v>10827</v>
          </cell>
          <cell r="U235">
            <v>4</v>
          </cell>
          <cell r="V235" t="str">
            <v>CENTRO</v>
          </cell>
          <cell r="W235" t="str">
            <v>(773) 100-3637</v>
          </cell>
          <cell r="X235" t="str">
            <v/>
          </cell>
          <cell r="Y235" t="str">
            <v/>
          </cell>
          <cell r="Z235" t="str">
            <v/>
          </cell>
          <cell r="AA235" t="str">
            <v>(773) 127-9891 CEL</v>
          </cell>
          <cell r="AB235" t="str">
            <v/>
          </cell>
          <cell r="AC235" t="str">
            <v xml:space="preserve">    173</v>
          </cell>
          <cell r="AD235" t="str">
            <v/>
          </cell>
          <cell r="AE235" t="str">
            <v/>
          </cell>
          <cell r="AF235" t="str">
            <v/>
          </cell>
          <cell r="AH235" t="str">
            <v>N</v>
          </cell>
          <cell r="AI235">
            <v>0</v>
          </cell>
          <cell r="AJ235">
            <v>0</v>
          </cell>
          <cell r="AK235">
            <v>0</v>
          </cell>
          <cell r="AL235">
            <v>0</v>
          </cell>
          <cell r="AM235">
            <v>1190</v>
          </cell>
          <cell r="AN235">
            <v>0</v>
          </cell>
        </row>
        <row r="236">
          <cell r="A236">
            <v>2136</v>
          </cell>
          <cell r="B236" t="str">
            <v>ALICIA LOPEZ (TULA)</v>
          </cell>
          <cell r="C236" t="str">
            <v/>
          </cell>
          <cell r="D236" t="str">
            <v>MERCADO DE TULA</v>
          </cell>
          <cell r="E236" t="str">
            <v>TULA, HGO.</v>
          </cell>
          <cell r="F236" t="str">
            <v/>
          </cell>
          <cell r="G236" t="str">
            <v/>
          </cell>
          <cell r="H236" t="str">
            <v>ALICIA LOPEZ</v>
          </cell>
          <cell r="I236" t="str">
            <v>ALICIA LOPEZ</v>
          </cell>
          <cell r="J236" t="str">
            <v>BAJA</v>
          </cell>
          <cell r="K236" t="str">
            <v/>
          </cell>
          <cell r="L236">
            <v>0</v>
          </cell>
          <cell r="M236">
            <v>238</v>
          </cell>
          <cell r="N236" t="str">
            <v>A</v>
          </cell>
          <cell r="O236">
            <v>40907</v>
          </cell>
          <cell r="P236" t="str">
            <v xml:space="preserve">    1</v>
          </cell>
          <cell r="Q236">
            <v>0</v>
          </cell>
          <cell r="R236">
            <v>0</v>
          </cell>
          <cell r="S236">
            <v>0</v>
          </cell>
          <cell r="T236">
            <v>203</v>
          </cell>
          <cell r="U236">
            <v>0</v>
          </cell>
          <cell r="V236" t="str">
            <v>CENTRO</v>
          </cell>
          <cell r="W236" t="str">
            <v/>
          </cell>
          <cell r="X236" t="str">
            <v/>
          </cell>
          <cell r="Y236" t="str">
            <v/>
          </cell>
          <cell r="Z236" t="str">
            <v/>
          </cell>
          <cell r="AA236" t="str">
            <v/>
          </cell>
          <cell r="AB236" t="str">
            <v/>
          </cell>
          <cell r="AC236" t="str">
            <v xml:space="preserve">   0353</v>
          </cell>
          <cell r="AD236" t="str">
            <v/>
          </cell>
          <cell r="AE236" t="str">
            <v/>
          </cell>
          <cell r="AF236" t="str">
            <v/>
          </cell>
          <cell r="AH236" t="str">
            <v>N</v>
          </cell>
          <cell r="AI236">
            <v>0</v>
          </cell>
          <cell r="AJ236">
            <v>0</v>
          </cell>
          <cell r="AK236">
            <v>0</v>
          </cell>
          <cell r="AL236">
            <v>0</v>
          </cell>
          <cell r="AM236">
            <v>203</v>
          </cell>
          <cell r="AN236">
            <v>0</v>
          </cell>
        </row>
        <row r="237">
          <cell r="A237">
            <v>2137</v>
          </cell>
          <cell r="B237" t="str">
            <v>ELENA QUINTANAR MONTIEL (APAXCO)</v>
          </cell>
          <cell r="C237" t="str">
            <v/>
          </cell>
          <cell r="D237" t="str">
            <v>CAMPO MARTE #47</v>
          </cell>
          <cell r="E237" t="str">
            <v>APAXCO, EDO. DE MEXICO</v>
          </cell>
          <cell r="F237" t="str">
            <v/>
          </cell>
          <cell r="G237" t="str">
            <v>(599) 998-0435</v>
          </cell>
          <cell r="H237" t="str">
            <v>ELENA QUINTANAR M.</v>
          </cell>
          <cell r="I237" t="str">
            <v>ELENA QUINTANAR M.</v>
          </cell>
          <cell r="J237" t="str">
            <v>M04</v>
          </cell>
          <cell r="K237" t="str">
            <v/>
          </cell>
          <cell r="L237">
            <v>45</v>
          </cell>
          <cell r="M237">
            <v>240</v>
          </cell>
          <cell r="N237" t="str">
            <v>A</v>
          </cell>
          <cell r="O237">
            <v>42293</v>
          </cell>
          <cell r="P237" t="str">
            <v xml:space="preserve">    1</v>
          </cell>
          <cell r="Q237">
            <v>0</v>
          </cell>
          <cell r="R237">
            <v>0</v>
          </cell>
          <cell r="S237">
            <v>0</v>
          </cell>
          <cell r="T237">
            <v>109378</v>
          </cell>
          <cell r="U237">
            <v>6</v>
          </cell>
          <cell r="V237" t="str">
            <v/>
          </cell>
          <cell r="W237" t="str">
            <v>(599) 998-3893 MARISOL</v>
          </cell>
          <cell r="X237" t="str">
            <v>(55) 23123406 CEL  MARISOL</v>
          </cell>
          <cell r="Y237" t="str">
            <v/>
          </cell>
          <cell r="Z237" t="str">
            <v/>
          </cell>
          <cell r="AA237" t="str">
            <v>(599) 998-0435</v>
          </cell>
          <cell r="AB237" t="str">
            <v>8 CAMISAS</v>
          </cell>
          <cell r="AC237" t="str">
            <v>M456</v>
          </cell>
          <cell r="AD237" t="str">
            <v/>
          </cell>
          <cell r="AE237" t="str">
            <v/>
          </cell>
          <cell r="AF237" t="str">
            <v/>
          </cell>
          <cell r="AG237">
            <v>42236</v>
          </cell>
          <cell r="AH237" t="str">
            <v>N</v>
          </cell>
          <cell r="AI237">
            <v>0</v>
          </cell>
          <cell r="AJ237">
            <v>0</v>
          </cell>
          <cell r="AK237">
            <v>0</v>
          </cell>
          <cell r="AL237">
            <v>624</v>
          </cell>
          <cell r="AM237">
            <v>1600</v>
          </cell>
          <cell r="AN237">
            <v>0</v>
          </cell>
        </row>
        <row r="238">
          <cell r="A238">
            <v>2138</v>
          </cell>
          <cell r="B238" t="str">
            <v>ARTURO HERRERA SANCHEZ (TLAXCOAPAN)</v>
          </cell>
          <cell r="C238" t="str">
            <v/>
          </cell>
          <cell r="D238" t="str">
            <v>PASEO MA. LUISA</v>
          </cell>
          <cell r="E238" t="str">
            <v>TLAXCOAPAN, HGO.</v>
          </cell>
          <cell r="F238" t="str">
            <v/>
          </cell>
          <cell r="G238" t="str">
            <v>(771) 566-8388 CEL</v>
          </cell>
          <cell r="H238" t="str">
            <v>ARTURO HERRERA S.</v>
          </cell>
          <cell r="I238" t="str">
            <v>ARTURO HERRERA S.</v>
          </cell>
          <cell r="J238" t="str">
            <v>M04</v>
          </cell>
          <cell r="K238" t="str">
            <v/>
          </cell>
          <cell r="L238">
            <v>0</v>
          </cell>
          <cell r="M238">
            <v>241</v>
          </cell>
          <cell r="N238" t="str">
            <v>A</v>
          </cell>
          <cell r="O238">
            <v>42271</v>
          </cell>
          <cell r="P238" t="str">
            <v xml:space="preserve">    2</v>
          </cell>
          <cell r="Q238">
            <v>0</v>
          </cell>
          <cell r="R238">
            <v>0</v>
          </cell>
          <cell r="S238">
            <v>0</v>
          </cell>
          <cell r="T238">
            <v>27991</v>
          </cell>
          <cell r="U238">
            <v>0</v>
          </cell>
          <cell r="V238" t="str">
            <v>CENTRO</v>
          </cell>
          <cell r="W238" t="str">
            <v/>
          </cell>
          <cell r="X238" t="str">
            <v/>
          </cell>
          <cell r="Y238" t="str">
            <v/>
          </cell>
          <cell r="Z238" t="str">
            <v/>
          </cell>
          <cell r="AA238" t="str">
            <v>(771) 566-8388 CEL</v>
          </cell>
          <cell r="AB238" t="str">
            <v xml:space="preserve">   CHEQUE</v>
          </cell>
          <cell r="AC238" t="str">
            <v>I10335</v>
          </cell>
          <cell r="AD238" t="str">
            <v/>
          </cell>
          <cell r="AE238" t="str">
            <v/>
          </cell>
          <cell r="AF238" t="str">
            <v/>
          </cell>
          <cell r="AG238">
            <v>41647</v>
          </cell>
          <cell r="AH238" t="str">
            <v>N</v>
          </cell>
          <cell r="AI238">
            <v>0</v>
          </cell>
          <cell r="AJ238">
            <v>0</v>
          </cell>
          <cell r="AK238">
            <v>0</v>
          </cell>
          <cell r="AL238">
            <v>3157</v>
          </cell>
          <cell r="AM238">
            <v>889</v>
          </cell>
          <cell r="AN238">
            <v>0</v>
          </cell>
        </row>
        <row r="239">
          <cell r="A239">
            <v>2139</v>
          </cell>
          <cell r="B239" t="str">
            <v>MERCEDES GARCIA MORA (MARAVATIO)</v>
          </cell>
          <cell r="C239" t="str">
            <v/>
          </cell>
          <cell r="D239" t="str">
            <v>ALVARO OBREGON #26</v>
          </cell>
          <cell r="E239" t="str">
            <v>MARAVATIO, MICH.</v>
          </cell>
          <cell r="F239" t="str">
            <v/>
          </cell>
          <cell r="G239" t="str">
            <v>(447) 478-2360</v>
          </cell>
          <cell r="H239" t="str">
            <v>MERCEDES GARCIA MORA</v>
          </cell>
          <cell r="I239" t="str">
            <v>MERCEDES GARCIA MORA</v>
          </cell>
          <cell r="J239" t="str">
            <v>BAJA</v>
          </cell>
          <cell r="K239" t="str">
            <v/>
          </cell>
          <cell r="L239">
            <v>0</v>
          </cell>
          <cell r="M239">
            <v>242</v>
          </cell>
          <cell r="N239" t="str">
            <v>A</v>
          </cell>
          <cell r="O239">
            <v>40926</v>
          </cell>
          <cell r="P239" t="str">
            <v xml:space="preserve">    9</v>
          </cell>
          <cell r="Q239">
            <v>0</v>
          </cell>
          <cell r="R239">
            <v>0</v>
          </cell>
          <cell r="S239">
            <v>0</v>
          </cell>
          <cell r="T239">
            <v>847</v>
          </cell>
          <cell r="U239">
            <v>0</v>
          </cell>
          <cell r="V239" t="str">
            <v>CENTRO</v>
          </cell>
          <cell r="W239" t="str">
            <v/>
          </cell>
          <cell r="X239" t="str">
            <v/>
          </cell>
          <cell r="Y239" t="str">
            <v/>
          </cell>
          <cell r="Z239" t="str">
            <v/>
          </cell>
          <cell r="AA239" t="str">
            <v>(447) 478-2360</v>
          </cell>
          <cell r="AB239" t="str">
            <v xml:space="preserve">     DESC</v>
          </cell>
          <cell r="AC239" t="str">
            <v xml:space="preserve">   0158</v>
          </cell>
          <cell r="AD239" t="str">
            <v/>
          </cell>
          <cell r="AE239" t="str">
            <v/>
          </cell>
          <cell r="AF239" t="str">
            <v/>
          </cell>
          <cell r="AG239">
            <v>41213</v>
          </cell>
          <cell r="AH239" t="str">
            <v>N</v>
          </cell>
          <cell r="AI239">
            <v>0</v>
          </cell>
          <cell r="AJ239">
            <v>0</v>
          </cell>
          <cell r="AK239">
            <v>0</v>
          </cell>
          <cell r="AL239">
            <v>37</v>
          </cell>
          <cell r="AM239">
            <v>847</v>
          </cell>
          <cell r="AN239">
            <v>0</v>
          </cell>
        </row>
        <row r="240">
          <cell r="A240">
            <v>2140</v>
          </cell>
          <cell r="B240" t="str">
            <v>MARIA DOLORES MARTINEZ (TEPEJI)</v>
          </cell>
          <cell r="C240" t="str">
            <v/>
          </cell>
          <cell r="D240" t="str">
            <v>GARDENIA #24</v>
          </cell>
          <cell r="E240" t="str">
            <v>TEPEJI DEL RIO, HGO.</v>
          </cell>
          <cell r="F240" t="str">
            <v/>
          </cell>
          <cell r="G240" t="str">
            <v>(773) 733-0216</v>
          </cell>
          <cell r="H240" t="str">
            <v>MARIA DOLORES M.</v>
          </cell>
          <cell r="I240" t="str">
            <v>MARIA DOLORES M.</v>
          </cell>
          <cell r="J240" t="str">
            <v>BAJA</v>
          </cell>
          <cell r="K240" t="str">
            <v/>
          </cell>
          <cell r="L240">
            <v>0</v>
          </cell>
          <cell r="M240">
            <v>243</v>
          </cell>
          <cell r="N240" t="str">
            <v>A</v>
          </cell>
          <cell r="O240">
            <v>40928</v>
          </cell>
          <cell r="P240" t="str">
            <v xml:space="preserve">    1</v>
          </cell>
          <cell r="Q240">
            <v>0</v>
          </cell>
          <cell r="R240">
            <v>0</v>
          </cell>
          <cell r="S240">
            <v>0</v>
          </cell>
          <cell r="T240">
            <v>627</v>
          </cell>
          <cell r="U240">
            <v>0</v>
          </cell>
          <cell r="V240" t="str">
            <v>EL EDEN</v>
          </cell>
          <cell r="W240" t="str">
            <v/>
          </cell>
          <cell r="X240" t="str">
            <v/>
          </cell>
          <cell r="Y240" t="str">
            <v/>
          </cell>
          <cell r="Z240" t="str">
            <v/>
          </cell>
          <cell r="AA240" t="str">
            <v>(773) 733-0216</v>
          </cell>
          <cell r="AB240" t="str">
            <v/>
          </cell>
          <cell r="AC240" t="str">
            <v xml:space="preserve">   0360</v>
          </cell>
          <cell r="AD240" t="str">
            <v/>
          </cell>
          <cell r="AE240" t="str">
            <v/>
          </cell>
          <cell r="AF240" t="str">
            <v/>
          </cell>
          <cell r="AH240" t="str">
            <v>N</v>
          </cell>
          <cell r="AI240">
            <v>0</v>
          </cell>
          <cell r="AJ240">
            <v>0</v>
          </cell>
          <cell r="AK240">
            <v>0</v>
          </cell>
          <cell r="AL240">
            <v>0</v>
          </cell>
          <cell r="AM240">
            <v>627</v>
          </cell>
          <cell r="AN240">
            <v>0</v>
          </cell>
        </row>
        <row r="241">
          <cell r="A241">
            <v>2141</v>
          </cell>
          <cell r="B241" t="str">
            <v>ARTURO CHAVARRIA MARTINEZ (TEPEJI)</v>
          </cell>
          <cell r="C241" t="str">
            <v/>
          </cell>
          <cell r="D241" t="str">
            <v>ENSEÑANZA TECNICA #2</v>
          </cell>
          <cell r="E241" t="str">
            <v>TEPEJI DEL RIO, HGO.</v>
          </cell>
          <cell r="F241" t="str">
            <v/>
          </cell>
          <cell r="G241" t="str">
            <v>(773) 733-8972</v>
          </cell>
          <cell r="H241" t="str">
            <v>ARTURO CHAVARRIA M.</v>
          </cell>
          <cell r="I241" t="str">
            <v>ARTURO CHAVARRIA M.</v>
          </cell>
          <cell r="J241" t="str">
            <v>BAJA</v>
          </cell>
          <cell r="K241" t="str">
            <v/>
          </cell>
          <cell r="L241">
            <v>0</v>
          </cell>
          <cell r="M241">
            <v>244</v>
          </cell>
          <cell r="N241" t="str">
            <v>A</v>
          </cell>
          <cell r="O241">
            <v>40928</v>
          </cell>
          <cell r="P241" t="str">
            <v xml:space="preserve">    1</v>
          </cell>
          <cell r="Q241">
            <v>0</v>
          </cell>
          <cell r="R241">
            <v>0</v>
          </cell>
          <cell r="S241">
            <v>0</v>
          </cell>
          <cell r="T241">
            <v>482</v>
          </cell>
          <cell r="U241">
            <v>0</v>
          </cell>
          <cell r="V241" t="str">
            <v>EL EDEN</v>
          </cell>
          <cell r="W241" t="str">
            <v/>
          </cell>
          <cell r="X241" t="str">
            <v/>
          </cell>
          <cell r="Y241" t="str">
            <v/>
          </cell>
          <cell r="Z241" t="str">
            <v/>
          </cell>
          <cell r="AA241" t="str">
            <v>(773) 733-8972</v>
          </cell>
          <cell r="AB241" t="str">
            <v/>
          </cell>
          <cell r="AC241" t="str">
            <v xml:space="preserve">   0361</v>
          </cell>
          <cell r="AD241" t="str">
            <v/>
          </cell>
          <cell r="AE241" t="str">
            <v/>
          </cell>
          <cell r="AF241" t="str">
            <v/>
          </cell>
          <cell r="AH241" t="str">
            <v>N</v>
          </cell>
          <cell r="AI241">
            <v>0</v>
          </cell>
          <cell r="AJ241">
            <v>0</v>
          </cell>
          <cell r="AK241">
            <v>0</v>
          </cell>
          <cell r="AL241">
            <v>0</v>
          </cell>
          <cell r="AM241">
            <v>482</v>
          </cell>
          <cell r="AN241">
            <v>0</v>
          </cell>
        </row>
        <row r="242">
          <cell r="A242">
            <v>2142</v>
          </cell>
          <cell r="B242" t="str">
            <v>BERTHA GUERRERO GONZALEZ (QUERETARO)</v>
          </cell>
          <cell r="C242" t="str">
            <v/>
          </cell>
          <cell r="D242" t="str">
            <v>MERCADO ESCOBEDO LOC. 73-74</v>
          </cell>
          <cell r="E242" t="str">
            <v>QUERETARO, QRO.</v>
          </cell>
          <cell r="F242" t="str">
            <v/>
          </cell>
          <cell r="G242" t="str">
            <v>(442) 274-6351 CEL</v>
          </cell>
          <cell r="H242" t="str">
            <v>BERTHA GUERRERO G.</v>
          </cell>
          <cell r="I242" t="str">
            <v>BERTHA GUERRERO G.</v>
          </cell>
          <cell r="J242" t="str">
            <v>BAJA</v>
          </cell>
          <cell r="K242" t="str">
            <v/>
          </cell>
          <cell r="L242">
            <v>0</v>
          </cell>
          <cell r="M242">
            <v>245</v>
          </cell>
          <cell r="N242" t="str">
            <v>A</v>
          </cell>
          <cell r="O242">
            <v>40928</v>
          </cell>
          <cell r="P242" t="str">
            <v xml:space="preserve">    1</v>
          </cell>
          <cell r="Q242">
            <v>0</v>
          </cell>
          <cell r="R242">
            <v>0</v>
          </cell>
          <cell r="S242">
            <v>0</v>
          </cell>
          <cell r="T242">
            <v>3025</v>
          </cell>
          <cell r="U242">
            <v>0</v>
          </cell>
          <cell r="V242" t="str">
            <v>CENTRO</v>
          </cell>
          <cell r="W242" t="str">
            <v>(442) 217-0107 CASA</v>
          </cell>
          <cell r="X242" t="str">
            <v/>
          </cell>
          <cell r="Y242" t="str">
            <v/>
          </cell>
          <cell r="Z242" t="str">
            <v/>
          </cell>
          <cell r="AA242" t="str">
            <v>(442) 274-6351 CEL</v>
          </cell>
          <cell r="AB242" t="str">
            <v/>
          </cell>
          <cell r="AC242" t="str">
            <v>R-0070</v>
          </cell>
          <cell r="AD242" t="str">
            <v/>
          </cell>
          <cell r="AE242" t="str">
            <v/>
          </cell>
          <cell r="AF242" t="str">
            <v/>
          </cell>
          <cell r="AH242" t="str">
            <v>N</v>
          </cell>
          <cell r="AI242">
            <v>0</v>
          </cell>
          <cell r="AJ242">
            <v>0</v>
          </cell>
          <cell r="AK242">
            <v>0</v>
          </cell>
          <cell r="AL242">
            <v>0</v>
          </cell>
          <cell r="AM242">
            <v>3025</v>
          </cell>
          <cell r="AN242">
            <v>0</v>
          </cell>
        </row>
        <row r="243">
          <cell r="A243">
            <v>2143</v>
          </cell>
          <cell r="B243" t="str">
            <v>JOSEFINA MARTINEZ ARTEAGA (EZEQUIEL MONTES)</v>
          </cell>
          <cell r="C243" t="str">
            <v>MAAJ-560310-AG7</v>
          </cell>
          <cell r="D243" t="str">
            <v>CONSTITUCION #124</v>
          </cell>
          <cell r="E243" t="str">
            <v>EZEQUIEL MONTES, QRO.</v>
          </cell>
          <cell r="F243" t="str">
            <v>76650</v>
          </cell>
          <cell r="G243" t="str">
            <v>(441) 108-2563 CEL</v>
          </cell>
          <cell r="H243" t="str">
            <v>JOSEFINA MARTINEZ A.</v>
          </cell>
          <cell r="I243" t="str">
            <v>JOSEFINA MARTINEZ A.</v>
          </cell>
          <cell r="J243" t="str">
            <v>J02</v>
          </cell>
          <cell r="K243" t="str">
            <v/>
          </cell>
          <cell r="L243">
            <v>0</v>
          </cell>
          <cell r="M243">
            <v>246</v>
          </cell>
          <cell r="N243" t="str">
            <v>A</v>
          </cell>
          <cell r="O243">
            <v>42397</v>
          </cell>
          <cell r="P243" t="str">
            <v xml:space="preserve">    6</v>
          </cell>
          <cell r="Q243">
            <v>0</v>
          </cell>
          <cell r="R243">
            <v>0</v>
          </cell>
          <cell r="S243">
            <v>0</v>
          </cell>
          <cell r="T243">
            <v>84661</v>
          </cell>
          <cell r="U243">
            <v>0</v>
          </cell>
          <cell r="V243" t="str">
            <v>CENTRO</v>
          </cell>
          <cell r="W243" t="str">
            <v>(441) 277-1736 CASA</v>
          </cell>
          <cell r="X243" t="str">
            <v>vvega@calidra.com.mx</v>
          </cell>
          <cell r="Y243" t="str">
            <v/>
          </cell>
          <cell r="Z243" t="str">
            <v/>
          </cell>
          <cell r="AA243" t="str">
            <v>(441) 108-2563 CEL</v>
          </cell>
          <cell r="AB243" t="str">
            <v xml:space="preserve">      EFE</v>
          </cell>
          <cell r="AC243" t="str">
            <v>R-1001</v>
          </cell>
          <cell r="AD243" t="str">
            <v/>
          </cell>
          <cell r="AE243" t="str">
            <v/>
          </cell>
          <cell r="AF243" t="str">
            <v/>
          </cell>
          <cell r="AG243">
            <v>41852</v>
          </cell>
          <cell r="AH243" t="str">
            <v>N</v>
          </cell>
          <cell r="AI243">
            <v>0</v>
          </cell>
          <cell r="AJ243">
            <v>0</v>
          </cell>
          <cell r="AK243">
            <v>0</v>
          </cell>
          <cell r="AL243">
            <v>100</v>
          </cell>
          <cell r="AM243">
            <v>3420</v>
          </cell>
          <cell r="AN243">
            <v>0</v>
          </cell>
        </row>
        <row r="244">
          <cell r="A244">
            <v>2144</v>
          </cell>
          <cell r="B244" t="str">
            <v>CAROLINA RESENDIZ MIRANDA (CORONEO)</v>
          </cell>
          <cell r="C244" t="str">
            <v/>
          </cell>
          <cell r="D244" t="str">
            <v>LOCAL A-6</v>
          </cell>
          <cell r="E244" t="str">
            <v>CORONEO, GTO.</v>
          </cell>
          <cell r="F244" t="str">
            <v/>
          </cell>
          <cell r="G244" t="str">
            <v>(421) 102-6699 CEL.</v>
          </cell>
          <cell r="H244" t="str">
            <v>CAROLINA RESENDIZ M.</v>
          </cell>
          <cell r="I244" t="str">
            <v>CAROLINA RESENDIZ M.</v>
          </cell>
          <cell r="J244" t="str">
            <v>BAJA</v>
          </cell>
          <cell r="K244" t="str">
            <v/>
          </cell>
          <cell r="L244">
            <v>0</v>
          </cell>
          <cell r="M244">
            <v>247</v>
          </cell>
          <cell r="N244" t="str">
            <v>A</v>
          </cell>
          <cell r="O244">
            <v>40929</v>
          </cell>
          <cell r="P244" t="str">
            <v xml:space="preserve">    1</v>
          </cell>
          <cell r="Q244">
            <v>0</v>
          </cell>
          <cell r="R244">
            <v>0</v>
          </cell>
          <cell r="S244">
            <v>0</v>
          </cell>
          <cell r="T244">
            <v>275</v>
          </cell>
          <cell r="U244">
            <v>0</v>
          </cell>
          <cell r="V244" t="str">
            <v>CENTRO</v>
          </cell>
          <cell r="W244" t="str">
            <v/>
          </cell>
          <cell r="X244" t="str">
            <v/>
          </cell>
          <cell r="Y244" t="str">
            <v/>
          </cell>
          <cell r="Z244" t="str">
            <v/>
          </cell>
          <cell r="AA244" t="str">
            <v>(421) 102-6699 CEL.</v>
          </cell>
          <cell r="AB244" t="str">
            <v/>
          </cell>
          <cell r="AC244" t="str">
            <v>A-0215</v>
          </cell>
          <cell r="AD244" t="str">
            <v/>
          </cell>
          <cell r="AE244" t="str">
            <v/>
          </cell>
          <cell r="AF244" t="str">
            <v/>
          </cell>
          <cell r="AH244" t="str">
            <v>N</v>
          </cell>
          <cell r="AI244">
            <v>0</v>
          </cell>
          <cell r="AJ244">
            <v>0</v>
          </cell>
          <cell r="AK244">
            <v>0</v>
          </cell>
          <cell r="AL244">
            <v>0</v>
          </cell>
          <cell r="AM244">
            <v>275</v>
          </cell>
          <cell r="AN244">
            <v>0</v>
          </cell>
        </row>
        <row r="245">
          <cell r="A245">
            <v>2145</v>
          </cell>
          <cell r="B245" t="str">
            <v>RAQUEL CAMPOS CASTRO (ACAMBARO)</v>
          </cell>
          <cell r="C245" t="str">
            <v/>
          </cell>
          <cell r="D245" t="str">
            <v>MATAMOROS #151</v>
          </cell>
          <cell r="E245" t="str">
            <v>ACAMBARO, GTO.</v>
          </cell>
          <cell r="F245" t="str">
            <v/>
          </cell>
          <cell r="G245" t="str">
            <v>(417) 117-5531 CEL</v>
          </cell>
          <cell r="H245" t="str">
            <v>RAQUEL CAMPOS CASTRO</v>
          </cell>
          <cell r="I245" t="str">
            <v>RAQUEL CAMPOS CASTRO</v>
          </cell>
          <cell r="J245" t="str">
            <v>J06</v>
          </cell>
          <cell r="K245" t="str">
            <v/>
          </cell>
          <cell r="L245">
            <v>0</v>
          </cell>
          <cell r="M245">
            <v>248</v>
          </cell>
          <cell r="N245" t="str">
            <v>A</v>
          </cell>
          <cell r="O245">
            <v>41738</v>
          </cell>
          <cell r="P245" t="str">
            <v xml:space="preserve">    1</v>
          </cell>
          <cell r="Q245">
            <v>0</v>
          </cell>
          <cell r="R245">
            <v>0</v>
          </cell>
          <cell r="S245">
            <v>0</v>
          </cell>
          <cell r="T245">
            <v>2791</v>
          </cell>
          <cell r="U245">
            <v>0</v>
          </cell>
          <cell r="V245" t="str">
            <v>CENTRO</v>
          </cell>
          <cell r="W245" t="str">
            <v/>
          </cell>
          <cell r="X245" t="str">
            <v/>
          </cell>
          <cell r="Y245" t="str">
            <v/>
          </cell>
          <cell r="Z245" t="str">
            <v/>
          </cell>
          <cell r="AA245" t="str">
            <v>(417) 117-5531 CEL</v>
          </cell>
          <cell r="AB245" t="str">
            <v/>
          </cell>
          <cell r="AC245" t="str">
            <v>F0738</v>
          </cell>
          <cell r="AD245" t="str">
            <v/>
          </cell>
          <cell r="AE245" t="str">
            <v/>
          </cell>
          <cell r="AF245" t="str">
            <v/>
          </cell>
          <cell r="AH245" t="str">
            <v>N</v>
          </cell>
          <cell r="AI245">
            <v>0</v>
          </cell>
          <cell r="AJ245">
            <v>0</v>
          </cell>
          <cell r="AK245">
            <v>0</v>
          </cell>
          <cell r="AL245">
            <v>0</v>
          </cell>
          <cell r="AM245">
            <v>2389</v>
          </cell>
          <cell r="AN245">
            <v>0</v>
          </cell>
        </row>
        <row r="246">
          <cell r="A246">
            <v>2146</v>
          </cell>
          <cell r="B246" t="str">
            <v>NOVEDADES CHUCHITA</v>
          </cell>
          <cell r="C246" t="str">
            <v/>
          </cell>
          <cell r="D246" t="str">
            <v>CERCADO DE CUAUTITLAN</v>
          </cell>
          <cell r="E246" t="str">
            <v>CUAUTITLAN, EDO. DE MEXICO</v>
          </cell>
          <cell r="F246" t="str">
            <v/>
          </cell>
          <cell r="G246" t="str">
            <v/>
          </cell>
          <cell r="H246" t="str">
            <v/>
          </cell>
          <cell r="I246" t="str">
            <v/>
          </cell>
          <cell r="J246" t="str">
            <v>BAJA</v>
          </cell>
          <cell r="K246" t="str">
            <v/>
          </cell>
          <cell r="L246">
            <v>0</v>
          </cell>
          <cell r="M246">
            <v>249</v>
          </cell>
          <cell r="N246" t="str">
            <v>A</v>
          </cell>
          <cell r="O246">
            <v>40941</v>
          </cell>
          <cell r="P246" t="str">
            <v xml:space="preserve">    2</v>
          </cell>
          <cell r="Q246">
            <v>0</v>
          </cell>
          <cell r="R246">
            <v>0</v>
          </cell>
          <cell r="S246">
            <v>0</v>
          </cell>
          <cell r="T246">
            <v>600</v>
          </cell>
          <cell r="U246">
            <v>0</v>
          </cell>
          <cell r="V246" t="str">
            <v>CENTRO</v>
          </cell>
          <cell r="W246" t="str">
            <v/>
          </cell>
          <cell r="X246" t="str">
            <v/>
          </cell>
          <cell r="Y246" t="str">
            <v/>
          </cell>
          <cell r="Z246" t="str">
            <v/>
          </cell>
          <cell r="AA246" t="str">
            <v/>
          </cell>
          <cell r="AB246" t="str">
            <v/>
          </cell>
          <cell r="AC246" t="str">
            <v xml:space="preserve">   0367</v>
          </cell>
          <cell r="AD246" t="str">
            <v/>
          </cell>
          <cell r="AE246" t="str">
            <v/>
          </cell>
          <cell r="AF246" t="str">
            <v/>
          </cell>
          <cell r="AH246" t="str">
            <v>N</v>
          </cell>
          <cell r="AI246">
            <v>0</v>
          </cell>
          <cell r="AJ246">
            <v>0</v>
          </cell>
          <cell r="AK246">
            <v>0</v>
          </cell>
          <cell r="AL246">
            <v>0</v>
          </cell>
          <cell r="AM246">
            <v>600</v>
          </cell>
          <cell r="AN246">
            <v>0</v>
          </cell>
        </row>
        <row r="247">
          <cell r="A247">
            <v>2147</v>
          </cell>
          <cell r="B247" t="str">
            <v>SAUL SOTO (QUERETARO)</v>
          </cell>
          <cell r="C247" t="str">
            <v/>
          </cell>
          <cell r="D247" t="str">
            <v>MERCADO ESCOBEDO LOC. 215</v>
          </cell>
          <cell r="E247" t="str">
            <v>QUERETARO, QRO.</v>
          </cell>
          <cell r="F247" t="str">
            <v/>
          </cell>
          <cell r="G247" t="str">
            <v>(442) 212-5506</v>
          </cell>
          <cell r="H247" t="str">
            <v>SAUL SOTO</v>
          </cell>
          <cell r="I247" t="str">
            <v>SAUL SOTO</v>
          </cell>
          <cell r="J247" t="str">
            <v>L04</v>
          </cell>
          <cell r="K247" t="str">
            <v/>
          </cell>
          <cell r="L247">
            <v>0</v>
          </cell>
          <cell r="M247">
            <v>250</v>
          </cell>
          <cell r="N247" t="str">
            <v>A</v>
          </cell>
          <cell r="O247">
            <v>42251</v>
          </cell>
          <cell r="P247" t="str">
            <v xml:space="preserve">    6</v>
          </cell>
          <cell r="Q247">
            <v>0</v>
          </cell>
          <cell r="R247">
            <v>0</v>
          </cell>
          <cell r="S247">
            <v>0</v>
          </cell>
          <cell r="T247">
            <v>96430</v>
          </cell>
          <cell r="U247">
            <v>0</v>
          </cell>
          <cell r="V247" t="str">
            <v>CENTRO</v>
          </cell>
          <cell r="W247" t="str">
            <v/>
          </cell>
          <cell r="X247" t="str">
            <v/>
          </cell>
          <cell r="Y247" t="str">
            <v/>
          </cell>
          <cell r="Z247" t="str">
            <v/>
          </cell>
          <cell r="AA247" t="str">
            <v>(442) 212-5506</v>
          </cell>
          <cell r="AB247" t="str">
            <v/>
          </cell>
          <cell r="AC247" t="str">
            <v>R-0918</v>
          </cell>
          <cell r="AD247" t="str">
            <v/>
          </cell>
          <cell r="AE247" t="str">
            <v/>
          </cell>
          <cell r="AF247" t="str">
            <v/>
          </cell>
          <cell r="AH247" t="str">
            <v>N</v>
          </cell>
          <cell r="AI247">
            <v>0</v>
          </cell>
          <cell r="AJ247">
            <v>0</v>
          </cell>
          <cell r="AK247">
            <v>0</v>
          </cell>
          <cell r="AL247">
            <v>0</v>
          </cell>
          <cell r="AM247">
            <v>2556</v>
          </cell>
          <cell r="AN247">
            <v>0</v>
          </cell>
        </row>
        <row r="248">
          <cell r="A248">
            <v>2148</v>
          </cell>
          <cell r="B248" t="str">
            <v>JENNY BOUTIQUE (ESCOBEDO)</v>
          </cell>
          <cell r="C248" t="str">
            <v/>
          </cell>
          <cell r="D248" t="str">
            <v>PANAMERICANA #20</v>
          </cell>
          <cell r="E248" t="str">
            <v>PEDRO ESCOBEDO, QRO.</v>
          </cell>
          <cell r="F248" t="str">
            <v/>
          </cell>
          <cell r="G248" t="str">
            <v>(442) 149-1991 CEL</v>
          </cell>
          <cell r="H248" t="str">
            <v/>
          </cell>
          <cell r="I248" t="str">
            <v/>
          </cell>
          <cell r="J248" t="str">
            <v>J03</v>
          </cell>
          <cell r="K248" t="str">
            <v/>
          </cell>
          <cell r="L248">
            <v>0</v>
          </cell>
          <cell r="M248">
            <v>251</v>
          </cell>
          <cell r="N248" t="str">
            <v>A</v>
          </cell>
          <cell r="O248">
            <v>41680</v>
          </cell>
          <cell r="P248" t="str">
            <v xml:space="preserve">    6</v>
          </cell>
          <cell r="Q248">
            <v>0</v>
          </cell>
          <cell r="R248">
            <v>0</v>
          </cell>
          <cell r="S248">
            <v>2336</v>
          </cell>
          <cell r="T248">
            <v>68050</v>
          </cell>
          <cell r="U248">
            <v>0</v>
          </cell>
          <cell r="V248" t="str">
            <v>CENTRO</v>
          </cell>
          <cell r="W248" t="str">
            <v/>
          </cell>
          <cell r="X248" t="str">
            <v/>
          </cell>
          <cell r="Y248" t="str">
            <v/>
          </cell>
          <cell r="Z248" t="str">
            <v/>
          </cell>
          <cell r="AA248" t="str">
            <v>(442) 149-1991 CEL</v>
          </cell>
          <cell r="AB248" t="str">
            <v/>
          </cell>
          <cell r="AC248" t="str">
            <v xml:space="preserve">  L0320</v>
          </cell>
          <cell r="AD248" t="str">
            <v/>
          </cell>
          <cell r="AE248" t="str">
            <v/>
          </cell>
          <cell r="AF248" t="str">
            <v/>
          </cell>
          <cell r="AH248" t="str">
            <v>N</v>
          </cell>
          <cell r="AI248">
            <v>0</v>
          </cell>
          <cell r="AJ248">
            <v>0</v>
          </cell>
          <cell r="AK248">
            <v>0</v>
          </cell>
          <cell r="AL248">
            <v>0</v>
          </cell>
          <cell r="AM248">
            <v>2336</v>
          </cell>
          <cell r="AN248">
            <v>0</v>
          </cell>
        </row>
        <row r="249">
          <cell r="A249">
            <v>2149</v>
          </cell>
          <cell r="B249" t="str">
            <v>JOSE LUIS FARFAN (TEMAZCALCINGO)</v>
          </cell>
          <cell r="C249" t="str">
            <v/>
          </cell>
          <cell r="D249" t="str">
            <v>AV. ALFRESO MAZO S/N</v>
          </cell>
          <cell r="E249" t="str">
            <v>TEMAZCALCINGO, HGO.</v>
          </cell>
          <cell r="F249" t="str">
            <v/>
          </cell>
          <cell r="G249" t="str">
            <v>(718) 126-0653</v>
          </cell>
          <cell r="H249" t="str">
            <v>JOSE LUIS FARFAN</v>
          </cell>
          <cell r="I249" t="str">
            <v>JOSE LUIS FARFAN</v>
          </cell>
          <cell r="J249" t="str">
            <v>BAJA</v>
          </cell>
          <cell r="K249" t="str">
            <v/>
          </cell>
          <cell r="L249">
            <v>0</v>
          </cell>
          <cell r="M249">
            <v>252</v>
          </cell>
          <cell r="N249" t="str">
            <v>A</v>
          </cell>
          <cell r="O249">
            <v>40946</v>
          </cell>
          <cell r="P249" t="str">
            <v xml:space="preserve">    6</v>
          </cell>
          <cell r="Q249">
            <v>0</v>
          </cell>
          <cell r="R249">
            <v>0</v>
          </cell>
          <cell r="S249">
            <v>0</v>
          </cell>
          <cell r="T249">
            <v>215</v>
          </cell>
          <cell r="U249">
            <v>0</v>
          </cell>
          <cell r="V249" t="str">
            <v>CENTRO</v>
          </cell>
          <cell r="W249" t="str">
            <v/>
          </cell>
          <cell r="X249" t="str">
            <v/>
          </cell>
          <cell r="Y249" t="str">
            <v/>
          </cell>
          <cell r="Z249" t="str">
            <v/>
          </cell>
          <cell r="AA249" t="str">
            <v>(718) 126-0653</v>
          </cell>
          <cell r="AB249" t="str">
            <v/>
          </cell>
          <cell r="AC249" t="str">
            <v>A-0309</v>
          </cell>
          <cell r="AD249" t="str">
            <v/>
          </cell>
          <cell r="AE249" t="str">
            <v/>
          </cell>
          <cell r="AF249" t="str">
            <v/>
          </cell>
          <cell r="AH249" t="str">
            <v>N</v>
          </cell>
          <cell r="AI249">
            <v>0</v>
          </cell>
          <cell r="AJ249">
            <v>0</v>
          </cell>
          <cell r="AK249">
            <v>0</v>
          </cell>
          <cell r="AL249">
            <v>0</v>
          </cell>
          <cell r="AM249">
            <v>215</v>
          </cell>
          <cell r="AN249">
            <v>0</v>
          </cell>
        </row>
        <row r="250">
          <cell r="A250">
            <v>2150</v>
          </cell>
          <cell r="B250" t="str">
            <v>GRACIELA GALVAN GUERRERO (APASEO)</v>
          </cell>
          <cell r="C250" t="str">
            <v/>
          </cell>
          <cell r="D250" t="str">
            <v>PIPILA #202</v>
          </cell>
          <cell r="E250" t="str">
            <v>APASEO EL ALTO, GTO.</v>
          </cell>
          <cell r="F250" t="str">
            <v/>
          </cell>
          <cell r="G250" t="str">
            <v>(413) 166-2131</v>
          </cell>
          <cell r="H250" t="str">
            <v>GRACIELA GALVAN G.</v>
          </cell>
          <cell r="I250" t="str">
            <v>GRACIELA GALVAN G.</v>
          </cell>
          <cell r="J250" t="str">
            <v>BAJA</v>
          </cell>
          <cell r="K250" t="str">
            <v/>
          </cell>
          <cell r="L250">
            <v>0</v>
          </cell>
          <cell r="M250">
            <v>253</v>
          </cell>
          <cell r="N250" t="str">
            <v>A</v>
          </cell>
          <cell r="O250">
            <v>40947</v>
          </cell>
          <cell r="P250" t="str">
            <v xml:space="preserve">    1</v>
          </cell>
          <cell r="Q250">
            <v>0</v>
          </cell>
          <cell r="R250">
            <v>0</v>
          </cell>
          <cell r="S250">
            <v>0</v>
          </cell>
          <cell r="T250">
            <v>452</v>
          </cell>
          <cell r="U250">
            <v>0</v>
          </cell>
          <cell r="V250" t="str">
            <v>CENTRO</v>
          </cell>
          <cell r="W250" t="str">
            <v/>
          </cell>
          <cell r="X250" t="str">
            <v/>
          </cell>
          <cell r="Y250" t="str">
            <v/>
          </cell>
          <cell r="Z250" t="str">
            <v/>
          </cell>
          <cell r="AA250" t="str">
            <v>(413) 166-2131</v>
          </cell>
          <cell r="AB250" t="str">
            <v/>
          </cell>
          <cell r="AC250" t="str">
            <v>R-0079</v>
          </cell>
          <cell r="AD250" t="str">
            <v/>
          </cell>
          <cell r="AE250" t="str">
            <v/>
          </cell>
          <cell r="AF250" t="str">
            <v/>
          </cell>
          <cell r="AH250" t="str">
            <v>N</v>
          </cell>
          <cell r="AI250">
            <v>0</v>
          </cell>
          <cell r="AJ250">
            <v>0</v>
          </cell>
          <cell r="AK250">
            <v>0</v>
          </cell>
          <cell r="AL250">
            <v>0</v>
          </cell>
          <cell r="AM250">
            <v>452</v>
          </cell>
          <cell r="AN250">
            <v>0</v>
          </cell>
        </row>
        <row r="251">
          <cell r="A251">
            <v>2151</v>
          </cell>
          <cell r="B251" t="str">
            <v>MARCELA HERNANDEZ (ZIMAPAN)</v>
          </cell>
          <cell r="C251" t="str">
            <v/>
          </cell>
          <cell r="D251" t="str">
            <v>COLEGIO MILITAR #25</v>
          </cell>
          <cell r="E251" t="str">
            <v>ZIMAPAN, HGO.</v>
          </cell>
          <cell r="F251" t="str">
            <v/>
          </cell>
          <cell r="G251" t="str">
            <v>(759) 728-3949</v>
          </cell>
          <cell r="H251" t="str">
            <v>MARCELA HERNANDEZ</v>
          </cell>
          <cell r="I251" t="str">
            <v>MARCELA HERNANDEZ</v>
          </cell>
          <cell r="J251" t="str">
            <v>BAJA</v>
          </cell>
          <cell r="K251" t="str">
            <v/>
          </cell>
          <cell r="L251">
            <v>0</v>
          </cell>
          <cell r="M251">
            <v>254</v>
          </cell>
          <cell r="N251" t="str">
            <v>A</v>
          </cell>
          <cell r="O251">
            <v>41516</v>
          </cell>
          <cell r="P251" t="str">
            <v xml:space="preserve">    6</v>
          </cell>
          <cell r="Q251">
            <v>0</v>
          </cell>
          <cell r="R251">
            <v>0</v>
          </cell>
          <cell r="S251">
            <v>0</v>
          </cell>
          <cell r="T251">
            <v>2512</v>
          </cell>
          <cell r="U251">
            <v>0</v>
          </cell>
          <cell r="V251" t="str">
            <v>CENTRO</v>
          </cell>
          <cell r="W251" t="str">
            <v>(772) 128-1193</v>
          </cell>
          <cell r="X251" t="str">
            <v/>
          </cell>
          <cell r="Y251" t="str">
            <v/>
          </cell>
          <cell r="Z251" t="str">
            <v/>
          </cell>
          <cell r="AA251" t="str">
            <v>(759) 728-3949</v>
          </cell>
          <cell r="AB251" t="str">
            <v/>
          </cell>
          <cell r="AC251" t="str">
            <v>F0399</v>
          </cell>
          <cell r="AD251" t="str">
            <v/>
          </cell>
          <cell r="AE251" t="str">
            <v/>
          </cell>
          <cell r="AF251" t="str">
            <v/>
          </cell>
          <cell r="AH251" t="str">
            <v>N</v>
          </cell>
          <cell r="AI251">
            <v>0</v>
          </cell>
          <cell r="AJ251">
            <v>0</v>
          </cell>
          <cell r="AK251">
            <v>0</v>
          </cell>
          <cell r="AL251">
            <v>0</v>
          </cell>
          <cell r="AM251">
            <v>1140</v>
          </cell>
          <cell r="AN251">
            <v>0</v>
          </cell>
        </row>
        <row r="252">
          <cell r="A252">
            <v>2152</v>
          </cell>
          <cell r="B252" t="str">
            <v>MARIA DE JESUS MEJIA SANCHEZ (TEPEJI)</v>
          </cell>
          <cell r="C252" t="str">
            <v/>
          </cell>
          <cell r="D252" t="str">
            <v>NERDO #19</v>
          </cell>
          <cell r="E252" t="str">
            <v>TEPEJI DEL RIO, HGO.</v>
          </cell>
          <cell r="F252" t="str">
            <v/>
          </cell>
          <cell r="G252" t="str">
            <v>(773) 137-2162 CEL</v>
          </cell>
          <cell r="H252" t="str">
            <v>MARIA DE JESUS MEJIA</v>
          </cell>
          <cell r="I252" t="str">
            <v>MARIA DE JESUS MEJIA</v>
          </cell>
          <cell r="J252" t="str">
            <v>M04</v>
          </cell>
          <cell r="K252" t="str">
            <v/>
          </cell>
          <cell r="L252">
            <v>0</v>
          </cell>
          <cell r="M252">
            <v>255</v>
          </cell>
          <cell r="N252" t="str">
            <v>A</v>
          </cell>
          <cell r="O252">
            <v>42432</v>
          </cell>
          <cell r="P252" t="str">
            <v xml:space="preserve">    1</v>
          </cell>
          <cell r="Q252">
            <v>0</v>
          </cell>
          <cell r="R252">
            <v>0</v>
          </cell>
          <cell r="S252">
            <v>7364</v>
          </cell>
          <cell r="T252">
            <v>81111</v>
          </cell>
          <cell r="U252">
            <v>0</v>
          </cell>
          <cell r="V252" t="str">
            <v>CENTRO</v>
          </cell>
          <cell r="W252" t="str">
            <v/>
          </cell>
          <cell r="X252" t="str">
            <v/>
          </cell>
          <cell r="Y252" t="str">
            <v/>
          </cell>
          <cell r="Z252" t="str">
            <v/>
          </cell>
          <cell r="AA252" t="str">
            <v>(773) 137-2162 CEL</v>
          </cell>
          <cell r="AB252" t="str">
            <v/>
          </cell>
          <cell r="AC252" t="str">
            <v>M0115</v>
          </cell>
          <cell r="AD252" t="str">
            <v/>
          </cell>
          <cell r="AE252" t="str">
            <v/>
          </cell>
          <cell r="AF252" t="str">
            <v/>
          </cell>
          <cell r="AH252" t="str">
            <v>N</v>
          </cell>
          <cell r="AI252">
            <v>0</v>
          </cell>
          <cell r="AJ252">
            <v>0</v>
          </cell>
          <cell r="AK252">
            <v>0</v>
          </cell>
          <cell r="AL252">
            <v>0</v>
          </cell>
          <cell r="AM252">
            <v>1565</v>
          </cell>
          <cell r="AN252">
            <v>0</v>
          </cell>
        </row>
        <row r="253">
          <cell r="A253">
            <v>2153</v>
          </cell>
          <cell r="B253" t="str">
            <v>MARISOL NAVARRETE QUINTANAR (APAXCO)</v>
          </cell>
          <cell r="C253" t="str">
            <v/>
          </cell>
          <cell r="D253" t="str">
            <v>MARTE #47</v>
          </cell>
          <cell r="E253" t="str">
            <v>APAXCO, EDO. DE MEXICO</v>
          </cell>
          <cell r="F253" t="str">
            <v/>
          </cell>
          <cell r="G253" t="str">
            <v>(599) 998-3893</v>
          </cell>
          <cell r="H253" t="str">
            <v>MARISOL NAVARRETE Q.</v>
          </cell>
          <cell r="I253" t="str">
            <v>MARISOL NAVARRETE Q.</v>
          </cell>
          <cell r="J253" t="str">
            <v>M04</v>
          </cell>
          <cell r="K253" t="str">
            <v/>
          </cell>
          <cell r="L253">
            <v>0</v>
          </cell>
          <cell r="M253">
            <v>256</v>
          </cell>
          <cell r="N253" t="str">
            <v>A</v>
          </cell>
          <cell r="O253">
            <v>42459</v>
          </cell>
          <cell r="P253" t="str">
            <v xml:space="preserve">    1</v>
          </cell>
          <cell r="Q253">
            <v>0</v>
          </cell>
          <cell r="R253">
            <v>0</v>
          </cell>
          <cell r="S253">
            <v>565</v>
          </cell>
          <cell r="T253">
            <v>60836</v>
          </cell>
          <cell r="U253">
            <v>0</v>
          </cell>
          <cell r="V253" t="str">
            <v>CENTRO</v>
          </cell>
          <cell r="W253" t="str">
            <v>(55) 23123406 CEL</v>
          </cell>
          <cell r="X253" t="str">
            <v/>
          </cell>
          <cell r="Y253" t="str">
            <v/>
          </cell>
          <cell r="Z253" t="str">
            <v/>
          </cell>
          <cell r="AA253" t="str">
            <v>(599) 998-3893</v>
          </cell>
          <cell r="AB253" t="str">
            <v/>
          </cell>
          <cell r="AC253" t="str">
            <v>M942818</v>
          </cell>
          <cell r="AD253" t="str">
            <v/>
          </cell>
          <cell r="AE253" t="str">
            <v/>
          </cell>
          <cell r="AF253" t="str">
            <v/>
          </cell>
          <cell r="AH253" t="str">
            <v>N</v>
          </cell>
          <cell r="AI253">
            <v>0</v>
          </cell>
          <cell r="AJ253">
            <v>0</v>
          </cell>
          <cell r="AK253">
            <v>0</v>
          </cell>
          <cell r="AL253">
            <v>0</v>
          </cell>
          <cell r="AM253">
            <v>556</v>
          </cell>
          <cell r="AN253">
            <v>0</v>
          </cell>
        </row>
        <row r="254">
          <cell r="A254">
            <v>2154</v>
          </cell>
          <cell r="B254" t="str">
            <v>ELADIA RODRIGUEZ MONTOYA (AMEALCO)</v>
          </cell>
          <cell r="C254" t="str">
            <v/>
          </cell>
          <cell r="D254" t="str">
            <v>16 DE SEPTIEMPBRE LOC. 1</v>
          </cell>
          <cell r="E254" t="str">
            <v>AMEALCO, QRO.</v>
          </cell>
          <cell r="F254" t="str">
            <v/>
          </cell>
          <cell r="G254" t="str">
            <v>(448) 103-7025 CEL</v>
          </cell>
          <cell r="H254" t="str">
            <v>ELADIA RODRIGUEZ M.</v>
          </cell>
          <cell r="I254" t="str">
            <v>ELADIA RODRIGUEZ M.</v>
          </cell>
          <cell r="J254" t="str">
            <v>L06</v>
          </cell>
          <cell r="K254" t="str">
            <v/>
          </cell>
          <cell r="L254">
            <v>0</v>
          </cell>
          <cell r="M254">
            <v>257</v>
          </cell>
          <cell r="N254" t="str">
            <v>A</v>
          </cell>
          <cell r="O254">
            <v>42487</v>
          </cell>
          <cell r="P254" t="str">
            <v xml:space="preserve">    1</v>
          </cell>
          <cell r="Q254">
            <v>0</v>
          </cell>
          <cell r="R254">
            <v>0</v>
          </cell>
          <cell r="S254">
            <v>17496</v>
          </cell>
          <cell r="T254">
            <v>284216</v>
          </cell>
          <cell r="U254">
            <v>0</v>
          </cell>
          <cell r="V254" t="str">
            <v>CENTRO</v>
          </cell>
          <cell r="W254" t="str">
            <v/>
          </cell>
          <cell r="X254" t="str">
            <v/>
          </cell>
          <cell r="Y254" t="str">
            <v/>
          </cell>
          <cell r="Z254" t="str">
            <v/>
          </cell>
          <cell r="AA254" t="str">
            <v>(448) 103-7025 CEL</v>
          </cell>
          <cell r="AB254" t="str">
            <v xml:space="preserve">  DEV-218</v>
          </cell>
          <cell r="AC254" t="str">
            <v>L0267</v>
          </cell>
          <cell r="AD254" t="str">
            <v/>
          </cell>
          <cell r="AE254" t="str">
            <v/>
          </cell>
          <cell r="AF254" t="str">
            <v/>
          </cell>
          <cell r="AG254">
            <v>41809</v>
          </cell>
          <cell r="AH254" t="str">
            <v>N</v>
          </cell>
          <cell r="AI254">
            <v>0</v>
          </cell>
          <cell r="AJ254">
            <v>0</v>
          </cell>
          <cell r="AK254">
            <v>0</v>
          </cell>
          <cell r="AL254">
            <v>880</v>
          </cell>
          <cell r="AM254">
            <v>3540</v>
          </cell>
          <cell r="AN254">
            <v>0</v>
          </cell>
        </row>
        <row r="255">
          <cell r="A255">
            <v>2155</v>
          </cell>
          <cell r="B255" t="str">
            <v>ANDREA MOSQUEDA (JUVENTINO)</v>
          </cell>
          <cell r="C255" t="str">
            <v/>
          </cell>
          <cell r="D255">
            <v>0</v>
          </cell>
          <cell r="E255" t="str">
            <v>JUVENTINO ROSAS, GTO.</v>
          </cell>
          <cell r="F255" t="str">
            <v/>
          </cell>
          <cell r="G255">
            <v>0</v>
          </cell>
          <cell r="H255">
            <v>0</v>
          </cell>
          <cell r="I255">
            <v>0</v>
          </cell>
          <cell r="J255" t="str">
            <v>F04</v>
          </cell>
          <cell r="K255" t="str">
            <v/>
          </cell>
          <cell r="L255">
            <v>0</v>
          </cell>
          <cell r="M255">
            <v>258</v>
          </cell>
          <cell r="N255" t="str">
            <v>S</v>
          </cell>
          <cell r="O255">
            <v>42424</v>
          </cell>
          <cell r="P255" t="str">
            <v xml:space="preserve">    1</v>
          </cell>
          <cell r="Q255">
            <v>0</v>
          </cell>
          <cell r="R255">
            <v>0</v>
          </cell>
          <cell r="S255">
            <v>0</v>
          </cell>
          <cell r="T255">
            <v>14537</v>
          </cell>
          <cell r="U255">
            <v>0</v>
          </cell>
          <cell r="V255">
            <v>0</v>
          </cell>
          <cell r="W255" t="str">
            <v/>
          </cell>
          <cell r="X255" t="str">
            <v/>
          </cell>
          <cell r="Y255" t="str">
            <v/>
          </cell>
          <cell r="Z255" t="str">
            <v/>
          </cell>
          <cell r="AA255" t="str">
            <v>(421) 476-0699</v>
          </cell>
          <cell r="AB255" t="str">
            <v/>
          </cell>
          <cell r="AC255" t="str">
            <v>J0001</v>
          </cell>
          <cell r="AD255" t="str">
            <v/>
          </cell>
          <cell r="AE255" t="str">
            <v/>
          </cell>
          <cell r="AF255" t="str">
            <v/>
          </cell>
          <cell r="AH255" t="str">
            <v>N</v>
          </cell>
          <cell r="AI255">
            <v>0</v>
          </cell>
          <cell r="AJ255">
            <v>0</v>
          </cell>
          <cell r="AK255">
            <v>0</v>
          </cell>
          <cell r="AL255">
            <v>0</v>
          </cell>
          <cell r="AM255">
            <v>2600</v>
          </cell>
          <cell r="AN255">
            <v>0</v>
          </cell>
        </row>
        <row r="256">
          <cell r="A256">
            <v>2156</v>
          </cell>
          <cell r="B256" t="str">
            <v>MA. GUADALUPE LOPEZ CORREA (ACAMBARO)</v>
          </cell>
          <cell r="C256" t="str">
            <v/>
          </cell>
          <cell r="D256" t="str">
            <v>ALLENDE #24-C</v>
          </cell>
          <cell r="E256" t="str">
            <v>ACAMBARO, GTO.</v>
          </cell>
          <cell r="F256" t="str">
            <v/>
          </cell>
          <cell r="G256" t="str">
            <v>(417) 117-6666 CEL</v>
          </cell>
          <cell r="H256" t="str">
            <v>MA. GUADALUPE LOPEZ</v>
          </cell>
          <cell r="I256" t="str">
            <v>MA. GUADALUPE LOPEZ</v>
          </cell>
          <cell r="J256" t="str">
            <v>BAJA</v>
          </cell>
          <cell r="K256" t="str">
            <v/>
          </cell>
          <cell r="L256">
            <v>0</v>
          </cell>
          <cell r="M256">
            <v>259</v>
          </cell>
          <cell r="N256" t="str">
            <v>A</v>
          </cell>
          <cell r="O256">
            <v>41339</v>
          </cell>
          <cell r="P256" t="str">
            <v xml:space="preserve">    1</v>
          </cell>
          <cell r="Q256">
            <v>0</v>
          </cell>
          <cell r="R256">
            <v>0</v>
          </cell>
          <cell r="S256">
            <v>0</v>
          </cell>
          <cell r="T256">
            <v>11515</v>
          </cell>
          <cell r="U256">
            <v>0</v>
          </cell>
          <cell r="V256" t="str">
            <v>CENTRO</v>
          </cell>
          <cell r="W256" t="str">
            <v/>
          </cell>
          <cell r="X256" t="str">
            <v/>
          </cell>
          <cell r="Y256" t="str">
            <v/>
          </cell>
          <cell r="Z256" t="str">
            <v/>
          </cell>
          <cell r="AA256" t="str">
            <v>(417) 117-6666 CEL</v>
          </cell>
          <cell r="AB256" t="str">
            <v/>
          </cell>
          <cell r="AC256" t="str">
            <v>P0066</v>
          </cell>
          <cell r="AD256" t="str">
            <v/>
          </cell>
          <cell r="AE256" t="str">
            <v/>
          </cell>
          <cell r="AF256" t="str">
            <v/>
          </cell>
          <cell r="AH256" t="str">
            <v>N</v>
          </cell>
          <cell r="AI256">
            <v>0</v>
          </cell>
          <cell r="AJ256">
            <v>0</v>
          </cell>
          <cell r="AK256">
            <v>0</v>
          </cell>
          <cell r="AL256">
            <v>0</v>
          </cell>
          <cell r="AM256">
            <v>2568</v>
          </cell>
          <cell r="AN256">
            <v>0</v>
          </cell>
        </row>
        <row r="257">
          <cell r="A257">
            <v>2157</v>
          </cell>
          <cell r="B257" t="str">
            <v>JUAN PABLO MARTINEZ ALVISU (SALVATIERRA)</v>
          </cell>
          <cell r="C257" t="str">
            <v/>
          </cell>
          <cell r="D257" t="str">
            <v>CARR. SALVATIERRA-YURIIRIA #23-D</v>
          </cell>
          <cell r="E257" t="str">
            <v>SALVATIERRA, GTO.</v>
          </cell>
          <cell r="F257" t="str">
            <v/>
          </cell>
          <cell r="G257" t="str">
            <v>62*12*26888</v>
          </cell>
          <cell r="H257" t="str">
            <v>JUAN PABLO MARTINEZ</v>
          </cell>
          <cell r="I257" t="str">
            <v>JUAN PABLO MARTINEZ</v>
          </cell>
          <cell r="J257" t="str">
            <v>BAJA</v>
          </cell>
          <cell r="K257" t="str">
            <v/>
          </cell>
          <cell r="L257">
            <v>0</v>
          </cell>
          <cell r="M257">
            <v>260</v>
          </cell>
          <cell r="N257" t="str">
            <v>A</v>
          </cell>
          <cell r="O257">
            <v>40975</v>
          </cell>
          <cell r="P257" t="str">
            <v xml:space="preserve">    1</v>
          </cell>
          <cell r="Q257">
            <v>0</v>
          </cell>
          <cell r="R257">
            <v>0</v>
          </cell>
          <cell r="S257">
            <v>0</v>
          </cell>
          <cell r="T257">
            <v>1753</v>
          </cell>
          <cell r="U257">
            <v>0</v>
          </cell>
          <cell r="V257" t="str">
            <v>SAN PEDRO DE LOS NAR</v>
          </cell>
          <cell r="W257" t="str">
            <v/>
          </cell>
          <cell r="X257" t="str">
            <v/>
          </cell>
          <cell r="Y257" t="str">
            <v/>
          </cell>
          <cell r="Z257" t="str">
            <v/>
          </cell>
          <cell r="AA257" t="str">
            <v>62*12*26888</v>
          </cell>
          <cell r="AB257" t="str">
            <v/>
          </cell>
          <cell r="AC257" t="str">
            <v>R-0089</v>
          </cell>
          <cell r="AD257" t="str">
            <v/>
          </cell>
          <cell r="AE257" t="str">
            <v/>
          </cell>
          <cell r="AF257" t="str">
            <v/>
          </cell>
          <cell r="AH257" t="str">
            <v>N</v>
          </cell>
          <cell r="AI257">
            <v>0</v>
          </cell>
          <cell r="AJ257">
            <v>0</v>
          </cell>
          <cell r="AK257">
            <v>0</v>
          </cell>
          <cell r="AL257">
            <v>0</v>
          </cell>
          <cell r="AM257">
            <v>356</v>
          </cell>
          <cell r="AN257">
            <v>0</v>
          </cell>
        </row>
        <row r="258">
          <cell r="A258">
            <v>2158</v>
          </cell>
          <cell r="B258" t="str">
            <v>MONICA SILVA CAMPOS (ACAMBARO)</v>
          </cell>
          <cell r="C258" t="str">
            <v/>
          </cell>
          <cell r="D258" t="str">
            <v/>
          </cell>
          <cell r="E258" t="str">
            <v>ACAMBARO, GTO.</v>
          </cell>
          <cell r="F258" t="str">
            <v/>
          </cell>
          <cell r="G258" t="str">
            <v>(417) 117-5531 CEL</v>
          </cell>
          <cell r="H258" t="str">
            <v>ENCARNACION SILVA</v>
          </cell>
          <cell r="I258" t="str">
            <v>ENCARNACION SILVA</v>
          </cell>
          <cell r="J258" t="str">
            <v>J06</v>
          </cell>
          <cell r="K258" t="str">
            <v/>
          </cell>
          <cell r="L258">
            <v>0</v>
          </cell>
          <cell r="M258">
            <v>261</v>
          </cell>
          <cell r="N258" t="str">
            <v>A</v>
          </cell>
          <cell r="O258">
            <v>41832</v>
          </cell>
          <cell r="P258" t="str">
            <v xml:space="preserve">    1</v>
          </cell>
          <cell r="Q258">
            <v>0</v>
          </cell>
          <cell r="R258">
            <v>0</v>
          </cell>
          <cell r="S258">
            <v>0</v>
          </cell>
          <cell r="T258">
            <v>6076</v>
          </cell>
          <cell r="U258">
            <v>10</v>
          </cell>
          <cell r="V258" t="str">
            <v/>
          </cell>
          <cell r="W258" t="str">
            <v/>
          </cell>
          <cell r="X258" t="str">
            <v/>
          </cell>
          <cell r="Y258" t="str">
            <v/>
          </cell>
          <cell r="Z258" t="str">
            <v/>
          </cell>
          <cell r="AA258" t="str">
            <v>(417) 117-5531 CEL</v>
          </cell>
          <cell r="AB258" t="str">
            <v xml:space="preserve">  DEV-108</v>
          </cell>
          <cell r="AC258" t="str">
            <v>F0463</v>
          </cell>
          <cell r="AD258" t="str">
            <v/>
          </cell>
          <cell r="AE258" t="str">
            <v/>
          </cell>
          <cell r="AF258" t="str">
            <v/>
          </cell>
          <cell r="AG258">
            <v>41174</v>
          </cell>
          <cell r="AH258" t="str">
            <v>N</v>
          </cell>
          <cell r="AI258">
            <v>0</v>
          </cell>
          <cell r="AJ258">
            <v>0</v>
          </cell>
          <cell r="AK258">
            <v>0</v>
          </cell>
          <cell r="AL258">
            <v>765</v>
          </cell>
          <cell r="AM258">
            <v>2271</v>
          </cell>
          <cell r="AN258">
            <v>0</v>
          </cell>
        </row>
        <row r="259">
          <cell r="A259">
            <v>2159</v>
          </cell>
          <cell r="B259" t="str">
            <v>FRANCISCO OLVERA RESENDIZ (CADEREYTA)</v>
          </cell>
          <cell r="C259" t="str">
            <v/>
          </cell>
          <cell r="D259" t="str">
            <v>LOC. 26 Y 27 MERCADO DE CADEREYTA</v>
          </cell>
          <cell r="E259" t="str">
            <v>CADEREYTA, QRO.</v>
          </cell>
          <cell r="F259" t="str">
            <v/>
          </cell>
          <cell r="G259" t="str">
            <v>(441) 276-1661</v>
          </cell>
          <cell r="H259" t="str">
            <v>FRANCISCO OLVERA RES</v>
          </cell>
          <cell r="I259" t="str">
            <v>FRANCISCO OLVERA RES</v>
          </cell>
          <cell r="J259" t="str">
            <v>BAJA</v>
          </cell>
          <cell r="K259" t="str">
            <v/>
          </cell>
          <cell r="L259">
            <v>0</v>
          </cell>
          <cell r="M259">
            <v>262</v>
          </cell>
          <cell r="N259" t="str">
            <v>A</v>
          </cell>
          <cell r="O259">
            <v>41389</v>
          </cell>
          <cell r="P259" t="str">
            <v xml:space="preserve">    6</v>
          </cell>
          <cell r="Q259">
            <v>0</v>
          </cell>
          <cell r="R259">
            <v>0</v>
          </cell>
          <cell r="S259">
            <v>0</v>
          </cell>
          <cell r="T259">
            <v>10563</v>
          </cell>
          <cell r="U259">
            <v>0</v>
          </cell>
          <cell r="V259" t="str">
            <v>CENTRO</v>
          </cell>
          <cell r="W259" t="str">
            <v/>
          </cell>
          <cell r="X259" t="str">
            <v/>
          </cell>
          <cell r="Y259" t="str">
            <v/>
          </cell>
          <cell r="Z259" t="str">
            <v/>
          </cell>
          <cell r="AA259" t="str">
            <v>(441) 276-1661</v>
          </cell>
          <cell r="AB259" t="str">
            <v/>
          </cell>
          <cell r="AC259" t="str">
            <v>P0126</v>
          </cell>
          <cell r="AD259" t="str">
            <v/>
          </cell>
          <cell r="AE259" t="str">
            <v/>
          </cell>
          <cell r="AF259" t="str">
            <v/>
          </cell>
          <cell r="AH259" t="str">
            <v>N</v>
          </cell>
          <cell r="AI259">
            <v>0</v>
          </cell>
          <cell r="AJ259">
            <v>0</v>
          </cell>
          <cell r="AK259">
            <v>0</v>
          </cell>
          <cell r="AL259">
            <v>0</v>
          </cell>
          <cell r="AM259">
            <v>5712</v>
          </cell>
          <cell r="AN259">
            <v>0</v>
          </cell>
        </row>
        <row r="260">
          <cell r="A260">
            <v>2160</v>
          </cell>
          <cell r="B260" t="str">
            <v>INES ALLENDE SALAS (TEOLOYUCAN)</v>
          </cell>
          <cell r="C260" t="str">
            <v/>
          </cell>
          <cell r="D260" t="str">
            <v/>
          </cell>
          <cell r="E260" t="str">
            <v>TEOLOYUCAN, EDO. DE MEXICO</v>
          </cell>
          <cell r="F260" t="str">
            <v/>
          </cell>
          <cell r="G260" t="str">
            <v/>
          </cell>
          <cell r="H260" t="str">
            <v>INES ALLENDE SALAS</v>
          </cell>
          <cell r="I260" t="str">
            <v>INES ALLENDE SALAS</v>
          </cell>
          <cell r="J260" t="str">
            <v>M01</v>
          </cell>
          <cell r="K260" t="str">
            <v/>
          </cell>
          <cell r="L260">
            <v>0</v>
          </cell>
          <cell r="M260">
            <v>263</v>
          </cell>
          <cell r="N260" t="str">
            <v>A</v>
          </cell>
          <cell r="O260">
            <v>42044</v>
          </cell>
          <cell r="P260" t="str">
            <v xml:space="preserve">    3</v>
          </cell>
          <cell r="Q260">
            <v>0</v>
          </cell>
          <cell r="R260">
            <v>0</v>
          </cell>
          <cell r="S260">
            <v>0</v>
          </cell>
          <cell r="T260">
            <v>13458</v>
          </cell>
          <cell r="U260">
            <v>0</v>
          </cell>
          <cell r="V260" t="str">
            <v/>
          </cell>
          <cell r="W260" t="str">
            <v/>
          </cell>
          <cell r="X260" t="str">
            <v/>
          </cell>
          <cell r="Y260" t="str">
            <v/>
          </cell>
          <cell r="Z260" t="str">
            <v/>
          </cell>
          <cell r="AA260" t="str">
            <v/>
          </cell>
          <cell r="AB260" t="str">
            <v/>
          </cell>
          <cell r="AC260" t="str">
            <v>M-0744</v>
          </cell>
          <cell r="AD260" t="str">
            <v/>
          </cell>
          <cell r="AE260" t="str">
            <v/>
          </cell>
          <cell r="AF260" t="str">
            <v/>
          </cell>
          <cell r="AH260" t="str">
            <v>N</v>
          </cell>
          <cell r="AI260">
            <v>0</v>
          </cell>
          <cell r="AJ260">
            <v>0</v>
          </cell>
          <cell r="AK260">
            <v>0</v>
          </cell>
          <cell r="AL260">
            <v>0</v>
          </cell>
          <cell r="AM260">
            <v>2600</v>
          </cell>
          <cell r="AN260">
            <v>0</v>
          </cell>
        </row>
        <row r="261">
          <cell r="A261">
            <v>2161</v>
          </cell>
          <cell r="B261" t="str">
            <v>VIANEY CRUZ (IXMIQUILPAN)</v>
          </cell>
          <cell r="C261" t="str">
            <v/>
          </cell>
          <cell r="D261" t="str">
            <v/>
          </cell>
          <cell r="E261" t="str">
            <v>IXMIQUILPAN, HGO.</v>
          </cell>
          <cell r="F261" t="str">
            <v/>
          </cell>
          <cell r="G261" t="str">
            <v/>
          </cell>
          <cell r="H261" t="str">
            <v>VIANEY CRUZ</v>
          </cell>
          <cell r="I261" t="str">
            <v>VIANEY CRUZ</v>
          </cell>
          <cell r="J261" t="str">
            <v>BAJA</v>
          </cell>
          <cell r="K261" t="str">
            <v/>
          </cell>
          <cell r="L261">
            <v>0</v>
          </cell>
          <cell r="M261">
            <v>264</v>
          </cell>
          <cell r="N261" t="str">
            <v>A</v>
          </cell>
          <cell r="O261">
            <v>41367</v>
          </cell>
          <cell r="P261" t="str">
            <v xml:space="preserve">    1</v>
          </cell>
          <cell r="Q261">
            <v>0</v>
          </cell>
          <cell r="R261">
            <v>0</v>
          </cell>
          <cell r="S261">
            <v>0</v>
          </cell>
          <cell r="T261">
            <v>1932</v>
          </cell>
          <cell r="U261">
            <v>0</v>
          </cell>
          <cell r="V261" t="str">
            <v/>
          </cell>
          <cell r="W261" t="str">
            <v/>
          </cell>
          <cell r="X261" t="str">
            <v/>
          </cell>
          <cell r="Y261" t="str">
            <v/>
          </cell>
          <cell r="Z261" t="str">
            <v/>
          </cell>
          <cell r="AA261" t="str">
            <v/>
          </cell>
          <cell r="AB261" t="str">
            <v/>
          </cell>
          <cell r="AC261" t="str">
            <v>P0090</v>
          </cell>
          <cell r="AD261" t="str">
            <v/>
          </cell>
          <cell r="AE261" t="str">
            <v/>
          </cell>
          <cell r="AF261" t="str">
            <v/>
          </cell>
          <cell r="AH261" t="str">
            <v>N</v>
          </cell>
          <cell r="AI261">
            <v>0</v>
          </cell>
          <cell r="AJ261">
            <v>0</v>
          </cell>
          <cell r="AK261">
            <v>0</v>
          </cell>
          <cell r="AL261">
            <v>0</v>
          </cell>
          <cell r="AM261">
            <v>685</v>
          </cell>
          <cell r="AN261">
            <v>0</v>
          </cell>
        </row>
        <row r="262">
          <cell r="A262">
            <v>2162</v>
          </cell>
          <cell r="B262" t="str">
            <v>ROSARIO DIEGO VELAZQUEZ (VILLA)</v>
          </cell>
          <cell r="C262" t="str">
            <v/>
          </cell>
          <cell r="D262" t="str">
            <v>JENGIBRE #168</v>
          </cell>
          <cell r="E262" t="str">
            <v>COACALCO, EDO. DE MEXICO</v>
          </cell>
          <cell r="F262" t="str">
            <v/>
          </cell>
          <cell r="G262" t="str">
            <v/>
          </cell>
          <cell r="H262" t="str">
            <v>ROSARIO DIEGO V.</v>
          </cell>
          <cell r="I262" t="str">
            <v>ROSARIO DIEGO V.</v>
          </cell>
          <cell r="J262" t="str">
            <v>BAJA</v>
          </cell>
          <cell r="K262" t="str">
            <v/>
          </cell>
          <cell r="L262">
            <v>0</v>
          </cell>
          <cell r="M262">
            <v>265</v>
          </cell>
          <cell r="N262" t="str">
            <v>S</v>
          </cell>
          <cell r="O262">
            <v>40999</v>
          </cell>
          <cell r="P262" t="str">
            <v xml:space="preserve">   18</v>
          </cell>
          <cell r="Q262">
            <v>0</v>
          </cell>
          <cell r="R262">
            <v>0</v>
          </cell>
          <cell r="S262">
            <v>0</v>
          </cell>
          <cell r="T262">
            <v>850</v>
          </cell>
          <cell r="U262">
            <v>0</v>
          </cell>
          <cell r="V262" t="str">
            <v>VILLA DE LAS FLORES</v>
          </cell>
          <cell r="W262" t="str">
            <v/>
          </cell>
          <cell r="X262" t="str">
            <v>M01</v>
          </cell>
          <cell r="Y262" t="str">
            <v/>
          </cell>
          <cell r="Z262" t="str">
            <v/>
          </cell>
          <cell r="AA262" t="str">
            <v/>
          </cell>
          <cell r="AB262" t="str">
            <v xml:space="preserve">     INCO</v>
          </cell>
          <cell r="AC262" t="str">
            <v>A-0436</v>
          </cell>
          <cell r="AD262" t="str">
            <v/>
          </cell>
          <cell r="AE262" t="str">
            <v/>
          </cell>
          <cell r="AF262" t="str">
            <v/>
          </cell>
          <cell r="AG262">
            <v>41760</v>
          </cell>
          <cell r="AH262" t="str">
            <v>N</v>
          </cell>
          <cell r="AI262">
            <v>0</v>
          </cell>
          <cell r="AJ262">
            <v>0</v>
          </cell>
          <cell r="AK262">
            <v>0</v>
          </cell>
          <cell r="AL262">
            <v>450</v>
          </cell>
          <cell r="AM262">
            <v>850</v>
          </cell>
          <cell r="AN262">
            <v>0</v>
          </cell>
        </row>
        <row r="263">
          <cell r="A263">
            <v>2163</v>
          </cell>
          <cell r="B263" t="str">
            <v>JOEL SANCHEZ (TULA)</v>
          </cell>
          <cell r="C263" t="str">
            <v/>
          </cell>
          <cell r="D263" t="str">
            <v>MERCADO MUNICIPAL INT. 2</v>
          </cell>
          <cell r="E263" t="str">
            <v>TULA, HGO.</v>
          </cell>
          <cell r="F263" t="str">
            <v/>
          </cell>
          <cell r="G263" t="str">
            <v/>
          </cell>
          <cell r="H263" t="str">
            <v>JOEL SANCHEZ</v>
          </cell>
          <cell r="I263" t="str">
            <v>JOEL SANCHEZ</v>
          </cell>
          <cell r="J263" t="str">
            <v>BAJA</v>
          </cell>
          <cell r="K263" t="str">
            <v/>
          </cell>
          <cell r="L263">
            <v>0</v>
          </cell>
          <cell r="M263">
            <v>266</v>
          </cell>
          <cell r="N263" t="str">
            <v>A</v>
          </cell>
          <cell r="O263">
            <v>41563</v>
          </cell>
          <cell r="P263" t="str">
            <v xml:space="preserve">    1</v>
          </cell>
          <cell r="Q263">
            <v>0</v>
          </cell>
          <cell r="R263">
            <v>0</v>
          </cell>
          <cell r="S263">
            <v>0</v>
          </cell>
          <cell r="T263">
            <v>1129</v>
          </cell>
          <cell r="U263">
            <v>0</v>
          </cell>
          <cell r="V263" t="str">
            <v>CENTRO</v>
          </cell>
          <cell r="W263" t="str">
            <v/>
          </cell>
          <cell r="X263" t="str">
            <v/>
          </cell>
          <cell r="Y263" t="str">
            <v/>
          </cell>
          <cell r="Z263" t="str">
            <v/>
          </cell>
          <cell r="AA263" t="str">
            <v/>
          </cell>
          <cell r="AB263" t="str">
            <v/>
          </cell>
          <cell r="AC263" t="str">
            <v>M012</v>
          </cell>
          <cell r="AD263" t="str">
            <v/>
          </cell>
          <cell r="AE263" t="str">
            <v/>
          </cell>
          <cell r="AF263" t="str">
            <v/>
          </cell>
          <cell r="AH263" t="str">
            <v>N</v>
          </cell>
          <cell r="AI263">
            <v>0</v>
          </cell>
          <cell r="AJ263">
            <v>0</v>
          </cell>
          <cell r="AK263">
            <v>0</v>
          </cell>
          <cell r="AL263">
            <v>0</v>
          </cell>
          <cell r="AM263">
            <v>255</v>
          </cell>
          <cell r="AN263">
            <v>0</v>
          </cell>
        </row>
        <row r="264">
          <cell r="A264">
            <v>2164</v>
          </cell>
          <cell r="B264" t="str">
            <v>REGALOS ANA-MEL (ACTOPAN)</v>
          </cell>
          <cell r="C264" t="str">
            <v/>
          </cell>
          <cell r="D264" t="str">
            <v>MINA #8</v>
          </cell>
          <cell r="E264" t="str">
            <v>ACTOPAN, HGO.</v>
          </cell>
          <cell r="F264" t="str">
            <v/>
          </cell>
          <cell r="G264" t="str">
            <v/>
          </cell>
          <cell r="H264" t="str">
            <v/>
          </cell>
          <cell r="I264" t="str">
            <v/>
          </cell>
          <cell r="J264" t="str">
            <v>BAJA</v>
          </cell>
          <cell r="K264" t="str">
            <v/>
          </cell>
          <cell r="L264">
            <v>0</v>
          </cell>
          <cell r="M264">
            <v>267</v>
          </cell>
          <cell r="N264" t="str">
            <v>A</v>
          </cell>
          <cell r="O264">
            <v>41313</v>
          </cell>
          <cell r="P264" t="str">
            <v xml:space="preserve">    9</v>
          </cell>
          <cell r="Q264">
            <v>0</v>
          </cell>
          <cell r="R264">
            <v>0</v>
          </cell>
          <cell r="S264">
            <v>0</v>
          </cell>
          <cell r="T264">
            <v>2048</v>
          </cell>
          <cell r="U264">
            <v>0</v>
          </cell>
          <cell r="V264" t="str">
            <v>CENTRO</v>
          </cell>
          <cell r="W264" t="str">
            <v/>
          </cell>
          <cell r="X264" t="str">
            <v/>
          </cell>
          <cell r="Y264" t="str">
            <v/>
          </cell>
          <cell r="Z264" t="str">
            <v/>
          </cell>
          <cell r="AA264" t="str">
            <v/>
          </cell>
          <cell r="AB264" t="str">
            <v/>
          </cell>
          <cell r="AC264" t="str">
            <v>M0171</v>
          </cell>
          <cell r="AD264" t="str">
            <v/>
          </cell>
          <cell r="AE264" t="str">
            <v/>
          </cell>
          <cell r="AF264" t="str">
            <v/>
          </cell>
          <cell r="AH264" t="str">
            <v>N</v>
          </cell>
          <cell r="AI264">
            <v>0</v>
          </cell>
          <cell r="AJ264">
            <v>0</v>
          </cell>
          <cell r="AK264">
            <v>0</v>
          </cell>
          <cell r="AL264">
            <v>0</v>
          </cell>
          <cell r="AM264">
            <v>320</v>
          </cell>
          <cell r="AN264">
            <v>0</v>
          </cell>
        </row>
        <row r="265">
          <cell r="A265">
            <v>2165</v>
          </cell>
          <cell r="B265" t="str">
            <v>CASA PINCA (TEOTIHUACAN)</v>
          </cell>
          <cell r="C265" t="str">
            <v/>
          </cell>
          <cell r="D265" t="str">
            <v>BRAVO #4</v>
          </cell>
          <cell r="E265" t="str">
            <v>TEOTIHUACAN, EDO. DE MEXICO</v>
          </cell>
          <cell r="F265" t="str">
            <v/>
          </cell>
          <cell r="G265" t="str">
            <v>(594) 956-0331</v>
          </cell>
          <cell r="H265" t="str">
            <v/>
          </cell>
          <cell r="I265" t="str">
            <v/>
          </cell>
          <cell r="J265" t="str">
            <v>BAJA</v>
          </cell>
          <cell r="K265" t="str">
            <v/>
          </cell>
          <cell r="L265">
            <v>0</v>
          </cell>
          <cell r="M265">
            <v>269</v>
          </cell>
          <cell r="N265" t="str">
            <v>A</v>
          </cell>
          <cell r="O265">
            <v>41011</v>
          </cell>
          <cell r="P265" t="str">
            <v xml:space="preserve">    1</v>
          </cell>
          <cell r="Q265">
            <v>0</v>
          </cell>
          <cell r="R265">
            <v>0</v>
          </cell>
          <cell r="S265">
            <v>0</v>
          </cell>
          <cell r="T265">
            <v>338</v>
          </cell>
          <cell r="U265">
            <v>0</v>
          </cell>
          <cell r="V265" t="str">
            <v>CENTRO</v>
          </cell>
          <cell r="W265" t="str">
            <v/>
          </cell>
          <cell r="X265" t="str">
            <v/>
          </cell>
          <cell r="Y265" t="str">
            <v/>
          </cell>
          <cell r="Z265" t="str">
            <v/>
          </cell>
          <cell r="AA265" t="str">
            <v>(594) 956-0331</v>
          </cell>
          <cell r="AB265" t="str">
            <v/>
          </cell>
          <cell r="AC265" t="str">
            <v>A-0236</v>
          </cell>
          <cell r="AD265" t="str">
            <v/>
          </cell>
          <cell r="AE265" t="str">
            <v/>
          </cell>
          <cell r="AF265" t="str">
            <v/>
          </cell>
          <cell r="AH265" t="str">
            <v>N</v>
          </cell>
          <cell r="AI265">
            <v>0</v>
          </cell>
          <cell r="AJ265">
            <v>0</v>
          </cell>
          <cell r="AK265">
            <v>0</v>
          </cell>
          <cell r="AL265">
            <v>0</v>
          </cell>
          <cell r="AM265">
            <v>338</v>
          </cell>
          <cell r="AN265">
            <v>0</v>
          </cell>
        </row>
        <row r="266">
          <cell r="A266">
            <v>2166</v>
          </cell>
          <cell r="B266" t="str">
            <v>INES PINEDA MANZANO (TEOLOYUCAN)</v>
          </cell>
          <cell r="C266" t="str">
            <v/>
          </cell>
          <cell r="D266" t="str">
            <v>DOLORES #41</v>
          </cell>
          <cell r="E266" t="str">
            <v>TEOLOYUCAN, EDO. DE MEXICO</v>
          </cell>
          <cell r="F266" t="str">
            <v/>
          </cell>
          <cell r="G266" t="str">
            <v>(55) 2403-9137</v>
          </cell>
          <cell r="H266" t="str">
            <v>INES PINEDA AMPA</v>
          </cell>
          <cell r="I266" t="str">
            <v>INES PINEDA AMPA</v>
          </cell>
          <cell r="J266" t="str">
            <v>M01</v>
          </cell>
          <cell r="K266" t="str">
            <v/>
          </cell>
          <cell r="L266">
            <v>0</v>
          </cell>
          <cell r="M266">
            <v>270</v>
          </cell>
          <cell r="N266" t="str">
            <v>A</v>
          </cell>
          <cell r="O266">
            <v>41823</v>
          </cell>
          <cell r="P266" t="str">
            <v xml:space="preserve">    1</v>
          </cell>
          <cell r="Q266">
            <v>0</v>
          </cell>
          <cell r="R266">
            <v>0</v>
          </cell>
          <cell r="S266">
            <v>0</v>
          </cell>
          <cell r="T266">
            <v>9256</v>
          </cell>
          <cell r="U266">
            <v>0</v>
          </cell>
          <cell r="V266" t="str">
            <v>TLALILCO</v>
          </cell>
          <cell r="W266" t="str">
            <v/>
          </cell>
          <cell r="X266" t="str">
            <v/>
          </cell>
          <cell r="Y266" t="str">
            <v/>
          </cell>
          <cell r="Z266" t="str">
            <v/>
          </cell>
          <cell r="AA266" t="str">
            <v>(55) 2403-9137</v>
          </cell>
          <cell r="AB266" t="str">
            <v/>
          </cell>
          <cell r="AC266" t="str">
            <v>M050</v>
          </cell>
          <cell r="AD266" t="str">
            <v/>
          </cell>
          <cell r="AE266" t="str">
            <v/>
          </cell>
          <cell r="AF266" t="str">
            <v/>
          </cell>
          <cell r="AH266" t="str">
            <v>N</v>
          </cell>
          <cell r="AI266">
            <v>0</v>
          </cell>
          <cell r="AJ266">
            <v>0</v>
          </cell>
          <cell r="AK266">
            <v>0</v>
          </cell>
          <cell r="AL266">
            <v>0</v>
          </cell>
          <cell r="AM266">
            <v>1303</v>
          </cell>
          <cell r="AN266">
            <v>0</v>
          </cell>
        </row>
        <row r="267">
          <cell r="A267">
            <v>2167</v>
          </cell>
          <cell r="B267" t="str">
            <v>LUISA CORTES HERNANDEZ (TEXCOCO)</v>
          </cell>
          <cell r="C267" t="str">
            <v/>
          </cell>
          <cell r="D267" t="str">
            <v/>
          </cell>
          <cell r="E267" t="str">
            <v>TEXCOCO, EDO. DE MEXICO</v>
          </cell>
          <cell r="F267" t="str">
            <v/>
          </cell>
          <cell r="G267" t="str">
            <v>(591) 911-3448</v>
          </cell>
          <cell r="H267" t="str">
            <v>LUISA CORTES H.</v>
          </cell>
          <cell r="I267" t="str">
            <v>LUISA CORTES H.</v>
          </cell>
          <cell r="J267" t="str">
            <v>BAJA</v>
          </cell>
          <cell r="K267" t="str">
            <v/>
          </cell>
          <cell r="L267">
            <v>0</v>
          </cell>
          <cell r="M267">
            <v>271</v>
          </cell>
          <cell r="N267" t="str">
            <v>A</v>
          </cell>
          <cell r="O267">
            <v>41013</v>
          </cell>
          <cell r="P267" t="str">
            <v xml:space="preserve">    1</v>
          </cell>
          <cell r="Q267">
            <v>0</v>
          </cell>
          <cell r="R267">
            <v>0</v>
          </cell>
          <cell r="S267">
            <v>0</v>
          </cell>
          <cell r="T267">
            <v>226</v>
          </cell>
          <cell r="U267">
            <v>0</v>
          </cell>
          <cell r="V267" t="str">
            <v/>
          </cell>
          <cell r="W267" t="str">
            <v/>
          </cell>
          <cell r="X267" t="str">
            <v/>
          </cell>
          <cell r="Y267" t="str">
            <v/>
          </cell>
          <cell r="Z267" t="str">
            <v/>
          </cell>
          <cell r="AA267" t="str">
            <v>(591) 911-3448</v>
          </cell>
          <cell r="AB267" t="str">
            <v/>
          </cell>
          <cell r="AC267" t="str">
            <v xml:space="preserve">   0959</v>
          </cell>
          <cell r="AD267" t="str">
            <v/>
          </cell>
          <cell r="AE267" t="str">
            <v/>
          </cell>
          <cell r="AF267" t="str">
            <v/>
          </cell>
          <cell r="AH267" t="str">
            <v>N</v>
          </cell>
          <cell r="AI267">
            <v>0</v>
          </cell>
          <cell r="AJ267">
            <v>0</v>
          </cell>
          <cell r="AK267">
            <v>0</v>
          </cell>
          <cell r="AL267">
            <v>0</v>
          </cell>
          <cell r="AM267">
            <v>226</v>
          </cell>
          <cell r="AN267">
            <v>0</v>
          </cell>
        </row>
        <row r="268">
          <cell r="A268">
            <v>2168</v>
          </cell>
          <cell r="B268" t="str">
            <v>FLAVIA RAMIREZ CASTRO (APAXCO)</v>
          </cell>
          <cell r="C268" t="str">
            <v/>
          </cell>
          <cell r="D268" t="str">
            <v>MARTE ESQ. CENTRAL DE ABASTOS</v>
          </cell>
          <cell r="E268" t="str">
            <v>APAXCO, EDO. DE MEXICO</v>
          </cell>
          <cell r="F268" t="str">
            <v/>
          </cell>
          <cell r="G268" t="str">
            <v>(599)998-4028</v>
          </cell>
          <cell r="H268" t="str">
            <v>FLAVIA RAMIREZ C.</v>
          </cell>
          <cell r="I268" t="str">
            <v>FLAVIA RAMIREZ C.</v>
          </cell>
          <cell r="J268" t="str">
            <v>BAJA</v>
          </cell>
          <cell r="K268" t="str">
            <v/>
          </cell>
          <cell r="L268">
            <v>0</v>
          </cell>
          <cell r="M268">
            <v>272</v>
          </cell>
          <cell r="N268" t="str">
            <v>A</v>
          </cell>
          <cell r="O268">
            <v>41128</v>
          </cell>
          <cell r="P268" t="str">
            <v xml:space="preserve">    1</v>
          </cell>
          <cell r="Q268">
            <v>0</v>
          </cell>
          <cell r="R268">
            <v>0</v>
          </cell>
          <cell r="S268">
            <v>0</v>
          </cell>
          <cell r="T268">
            <v>5439</v>
          </cell>
          <cell r="U268">
            <v>0</v>
          </cell>
          <cell r="V268" t="str">
            <v>CENTRO</v>
          </cell>
          <cell r="W268" t="str">
            <v>(55) 3975-4428</v>
          </cell>
          <cell r="X268" t="str">
            <v/>
          </cell>
          <cell r="Y268" t="str">
            <v/>
          </cell>
          <cell r="Z268" t="str">
            <v/>
          </cell>
          <cell r="AA268" t="str">
            <v>(599)998-4028</v>
          </cell>
          <cell r="AB268" t="str">
            <v xml:space="preserve">  MUESTRA</v>
          </cell>
          <cell r="AC268" t="str">
            <v xml:space="preserve">     87</v>
          </cell>
          <cell r="AD268" t="str">
            <v/>
          </cell>
          <cell r="AE268" t="str">
            <v/>
          </cell>
          <cell r="AF268" t="str">
            <v/>
          </cell>
          <cell r="AG268">
            <v>41128</v>
          </cell>
          <cell r="AH268" t="str">
            <v>N</v>
          </cell>
          <cell r="AI268">
            <v>0</v>
          </cell>
          <cell r="AJ268">
            <v>0</v>
          </cell>
          <cell r="AK268">
            <v>0</v>
          </cell>
          <cell r="AL268">
            <v>110</v>
          </cell>
          <cell r="AM268">
            <v>1290</v>
          </cell>
          <cell r="AN268">
            <v>0</v>
          </cell>
        </row>
        <row r="269">
          <cell r="A269">
            <v>2169</v>
          </cell>
          <cell r="B269" t="str">
            <v>EL FRESNO (TULTEPEC)</v>
          </cell>
          <cell r="C269" t="str">
            <v/>
          </cell>
          <cell r="D269" t="str">
            <v>JOAQUIN MONTE NEGRO #36</v>
          </cell>
          <cell r="E269" t="str">
            <v>TULTEPEC, EDO. DE MEXICO</v>
          </cell>
          <cell r="F269" t="str">
            <v/>
          </cell>
          <cell r="G269" t="str">
            <v/>
          </cell>
          <cell r="H269" t="str">
            <v/>
          </cell>
          <cell r="I269" t="str">
            <v/>
          </cell>
          <cell r="J269" t="str">
            <v>M01</v>
          </cell>
          <cell r="K269" t="str">
            <v/>
          </cell>
          <cell r="L269">
            <v>0</v>
          </cell>
          <cell r="M269">
            <v>273</v>
          </cell>
          <cell r="N269" t="str">
            <v>A</v>
          </cell>
          <cell r="O269">
            <v>42409</v>
          </cell>
          <cell r="P269" t="str">
            <v xml:space="preserve">    1</v>
          </cell>
          <cell r="Q269">
            <v>0</v>
          </cell>
          <cell r="R269">
            <v>0</v>
          </cell>
          <cell r="S269">
            <v>0</v>
          </cell>
          <cell r="T269">
            <v>38940</v>
          </cell>
          <cell r="U269">
            <v>0</v>
          </cell>
          <cell r="V269" t="str">
            <v/>
          </cell>
          <cell r="W269" t="str">
            <v/>
          </cell>
          <cell r="X269" t="str">
            <v/>
          </cell>
          <cell r="Y269" t="str">
            <v/>
          </cell>
          <cell r="Z269" t="str">
            <v/>
          </cell>
          <cell r="AA269" t="str">
            <v/>
          </cell>
          <cell r="AB269" t="str">
            <v/>
          </cell>
          <cell r="AC269" t="str">
            <v>M842761</v>
          </cell>
          <cell r="AD269" t="str">
            <v/>
          </cell>
          <cell r="AE269" t="str">
            <v/>
          </cell>
          <cell r="AF269" t="str">
            <v/>
          </cell>
          <cell r="AH269" t="str">
            <v>N</v>
          </cell>
          <cell r="AI269">
            <v>0</v>
          </cell>
          <cell r="AJ269">
            <v>0</v>
          </cell>
          <cell r="AK269">
            <v>0</v>
          </cell>
          <cell r="AL269">
            <v>0</v>
          </cell>
          <cell r="AM269">
            <v>1110</v>
          </cell>
          <cell r="AN269">
            <v>0</v>
          </cell>
        </row>
        <row r="270">
          <cell r="A270">
            <v>2170</v>
          </cell>
          <cell r="B270" t="str">
            <v>SOLEDAD CRUZ RUEDA (ATIZAPAN)</v>
          </cell>
          <cell r="C270" t="str">
            <v/>
          </cell>
          <cell r="D270" t="str">
            <v>PASEO SAN FRANCISCO #</v>
          </cell>
          <cell r="E270" t="str">
            <v>ATIZAPAN, EDO. DE MEXICO</v>
          </cell>
          <cell r="F270" t="str">
            <v/>
          </cell>
          <cell r="G270" t="str">
            <v>(55) 5379-3884 CASA</v>
          </cell>
          <cell r="H270" t="str">
            <v>SOL CRUZ RUEDA</v>
          </cell>
          <cell r="I270" t="str">
            <v>SOL CRUZ RUEDA</v>
          </cell>
          <cell r="J270" t="str">
            <v>BAJA</v>
          </cell>
          <cell r="K270" t="str">
            <v/>
          </cell>
          <cell r="L270">
            <v>0</v>
          </cell>
          <cell r="M270">
            <v>274</v>
          </cell>
          <cell r="N270" t="str">
            <v>A</v>
          </cell>
          <cell r="O270">
            <v>41253</v>
          </cell>
          <cell r="P270" t="str">
            <v xml:space="preserve">    1</v>
          </cell>
          <cell r="Q270">
            <v>0</v>
          </cell>
          <cell r="R270">
            <v>0</v>
          </cell>
          <cell r="S270">
            <v>0</v>
          </cell>
          <cell r="T270">
            <v>28037.65</v>
          </cell>
          <cell r="U270">
            <v>0</v>
          </cell>
          <cell r="V270" t="str">
            <v>PASEO DE ATIZAPAN</v>
          </cell>
          <cell r="W270" t="str">
            <v xml:space="preserve"> (55) 3334-9263 CEL</v>
          </cell>
          <cell r="X270" t="str">
            <v/>
          </cell>
          <cell r="Y270" t="str">
            <v/>
          </cell>
          <cell r="Z270" t="str">
            <v/>
          </cell>
          <cell r="AA270" t="str">
            <v>(55) 5379-3884 CASA</v>
          </cell>
          <cell r="AB270" t="str">
            <v/>
          </cell>
          <cell r="AC270" t="str">
            <v xml:space="preserve">    121</v>
          </cell>
          <cell r="AD270" t="str">
            <v/>
          </cell>
          <cell r="AE270" t="str">
            <v/>
          </cell>
          <cell r="AF270" t="str">
            <v/>
          </cell>
          <cell r="AH270" t="str">
            <v>N</v>
          </cell>
          <cell r="AI270">
            <v>0</v>
          </cell>
          <cell r="AJ270">
            <v>0</v>
          </cell>
          <cell r="AK270">
            <v>0</v>
          </cell>
          <cell r="AL270">
            <v>0</v>
          </cell>
          <cell r="AM270">
            <v>930</v>
          </cell>
          <cell r="AN270">
            <v>0</v>
          </cell>
        </row>
        <row r="271">
          <cell r="A271">
            <v>2171</v>
          </cell>
          <cell r="B271" t="str">
            <v>MARIA LUISA DIAZ VALDEZ (PROGRESO)</v>
          </cell>
          <cell r="C271" t="str">
            <v/>
          </cell>
          <cell r="D271" t="str">
            <v>MERCADO PROGRESO LOC. 72</v>
          </cell>
          <cell r="E271" t="str">
            <v>PROGRESO, HGO.</v>
          </cell>
          <cell r="F271" t="str">
            <v/>
          </cell>
          <cell r="G271" t="str">
            <v>(772) 101-9328 CEL</v>
          </cell>
          <cell r="H271" t="str">
            <v>MARIA LUISA DIAZ V.</v>
          </cell>
          <cell r="I271" t="str">
            <v>MARIA LUISA DIAZ V.</v>
          </cell>
          <cell r="J271" t="str">
            <v>F02</v>
          </cell>
          <cell r="K271" t="str">
            <v/>
          </cell>
          <cell r="L271">
            <v>0</v>
          </cell>
          <cell r="M271">
            <v>275</v>
          </cell>
          <cell r="N271" t="str">
            <v>A</v>
          </cell>
          <cell r="O271">
            <v>42525</v>
          </cell>
          <cell r="P271" t="str">
            <v xml:space="preserve">    1</v>
          </cell>
          <cell r="Q271">
            <v>0</v>
          </cell>
          <cell r="R271">
            <v>0</v>
          </cell>
          <cell r="S271">
            <v>9923</v>
          </cell>
          <cell r="T271">
            <v>283300.95</v>
          </cell>
          <cell r="U271">
            <v>0</v>
          </cell>
          <cell r="V271" t="str">
            <v>CENTRO</v>
          </cell>
          <cell r="W271" t="str">
            <v/>
          </cell>
          <cell r="X271" t="str">
            <v/>
          </cell>
          <cell r="Y271" t="str">
            <v/>
          </cell>
          <cell r="Z271" t="str">
            <v/>
          </cell>
          <cell r="AA271" t="str">
            <v>(772) 101-9328 CEL</v>
          </cell>
          <cell r="AB271" t="str">
            <v xml:space="preserve">   DEV-92</v>
          </cell>
          <cell r="AC271" t="str">
            <v>F0505</v>
          </cell>
          <cell r="AD271" t="str">
            <v/>
          </cell>
          <cell r="AE271" t="str">
            <v/>
          </cell>
          <cell r="AF271" t="str">
            <v/>
          </cell>
          <cell r="AG271">
            <v>41139</v>
          </cell>
          <cell r="AH271" t="str">
            <v>N</v>
          </cell>
          <cell r="AI271">
            <v>0</v>
          </cell>
          <cell r="AJ271">
            <v>0</v>
          </cell>
          <cell r="AK271">
            <v>0</v>
          </cell>
          <cell r="AL271">
            <v>87</v>
          </cell>
          <cell r="AM271">
            <v>4887</v>
          </cell>
          <cell r="AN271">
            <v>0</v>
          </cell>
        </row>
        <row r="272">
          <cell r="A272">
            <v>2172</v>
          </cell>
          <cell r="B272" t="str">
            <v>MARIA DE LA LUZ ALFARO (PROGRESO)</v>
          </cell>
          <cell r="C272" t="str">
            <v/>
          </cell>
          <cell r="D272" t="str">
            <v>MATAMOROS #46</v>
          </cell>
          <cell r="E272" t="str">
            <v>PROGRESO, HGO.</v>
          </cell>
          <cell r="F272" t="str">
            <v/>
          </cell>
          <cell r="G272" t="str">
            <v>(738) 725-0393</v>
          </cell>
          <cell r="H272" t="str">
            <v>MA. DE LA LUZ ALFARO</v>
          </cell>
          <cell r="I272" t="str">
            <v>MA. DE LA LUZ ALFARO</v>
          </cell>
          <cell r="J272" t="str">
            <v>BAJA</v>
          </cell>
          <cell r="K272" t="str">
            <v/>
          </cell>
          <cell r="L272">
            <v>0</v>
          </cell>
          <cell r="M272">
            <v>276</v>
          </cell>
          <cell r="N272" t="str">
            <v>A</v>
          </cell>
          <cell r="O272">
            <v>41088</v>
          </cell>
          <cell r="P272" t="str">
            <v xml:space="preserve">    1</v>
          </cell>
          <cell r="Q272">
            <v>0</v>
          </cell>
          <cell r="R272">
            <v>0</v>
          </cell>
          <cell r="S272">
            <v>0</v>
          </cell>
          <cell r="T272">
            <v>3896</v>
          </cell>
          <cell r="U272">
            <v>0</v>
          </cell>
          <cell r="V272" t="str">
            <v>CENTRO</v>
          </cell>
          <cell r="W272" t="str">
            <v/>
          </cell>
          <cell r="X272" t="str">
            <v/>
          </cell>
          <cell r="Y272" t="str">
            <v/>
          </cell>
          <cell r="Z272" t="str">
            <v/>
          </cell>
          <cell r="AA272" t="str">
            <v>(738) 725-0393</v>
          </cell>
          <cell r="AB272" t="str">
            <v/>
          </cell>
          <cell r="AC272" t="str">
            <v xml:space="preserve">   0807</v>
          </cell>
          <cell r="AD272" t="str">
            <v/>
          </cell>
          <cell r="AE272" t="str">
            <v/>
          </cell>
          <cell r="AF272" t="str">
            <v/>
          </cell>
          <cell r="AH272" t="str">
            <v>N</v>
          </cell>
          <cell r="AI272">
            <v>0</v>
          </cell>
          <cell r="AJ272">
            <v>0</v>
          </cell>
          <cell r="AK272">
            <v>0</v>
          </cell>
          <cell r="AL272">
            <v>0</v>
          </cell>
          <cell r="AM272">
            <v>274</v>
          </cell>
          <cell r="AN272">
            <v>0</v>
          </cell>
        </row>
        <row r="273">
          <cell r="A273">
            <v>2173</v>
          </cell>
          <cell r="B273" t="str">
            <v>YANIN PEREZ (ZUMPANGO)</v>
          </cell>
          <cell r="C273" t="str">
            <v/>
          </cell>
          <cell r="D273" t="str">
            <v>JESUS CARRANZA</v>
          </cell>
          <cell r="E273" t="str">
            <v>ZUMPANGO, EDO. DE MEXICO</v>
          </cell>
          <cell r="F273" t="str">
            <v/>
          </cell>
          <cell r="G273" t="str">
            <v/>
          </cell>
          <cell r="H273" t="str">
            <v>YANIN PEREZ</v>
          </cell>
          <cell r="I273" t="str">
            <v>YANIN PEREZ</v>
          </cell>
          <cell r="J273" t="str">
            <v>BAJA</v>
          </cell>
          <cell r="K273" t="str">
            <v/>
          </cell>
          <cell r="L273">
            <v>0</v>
          </cell>
          <cell r="M273">
            <v>277</v>
          </cell>
          <cell r="N273" t="str">
            <v>A</v>
          </cell>
          <cell r="O273">
            <v>41034</v>
          </cell>
          <cell r="P273" t="str">
            <v xml:space="preserve">   18</v>
          </cell>
          <cell r="Q273">
            <v>0</v>
          </cell>
          <cell r="R273">
            <v>0</v>
          </cell>
          <cell r="S273">
            <v>0</v>
          </cell>
          <cell r="T273">
            <v>308</v>
          </cell>
          <cell r="U273">
            <v>0</v>
          </cell>
          <cell r="V273" t="str">
            <v>CENTRO</v>
          </cell>
          <cell r="W273" t="str">
            <v/>
          </cell>
          <cell r="X273" t="str">
            <v/>
          </cell>
          <cell r="Y273" t="str">
            <v/>
          </cell>
          <cell r="Z273" t="str">
            <v/>
          </cell>
          <cell r="AA273" t="str">
            <v/>
          </cell>
          <cell r="AB273" t="str">
            <v/>
          </cell>
          <cell r="AC273" t="str">
            <v xml:space="preserve">   0924</v>
          </cell>
          <cell r="AD273" t="str">
            <v/>
          </cell>
          <cell r="AE273" t="str">
            <v/>
          </cell>
          <cell r="AF273" t="str">
            <v/>
          </cell>
          <cell r="AH273" t="str">
            <v>N</v>
          </cell>
          <cell r="AI273">
            <v>0</v>
          </cell>
          <cell r="AJ273">
            <v>0</v>
          </cell>
          <cell r="AK273">
            <v>0</v>
          </cell>
          <cell r="AL273">
            <v>0</v>
          </cell>
          <cell r="AM273">
            <v>308</v>
          </cell>
          <cell r="AN273">
            <v>0</v>
          </cell>
        </row>
        <row r="274">
          <cell r="A274">
            <v>2174</v>
          </cell>
          <cell r="B274" t="str">
            <v>ISABEL PEREZ (EZEQUIEL MONTES)</v>
          </cell>
          <cell r="C274" t="str">
            <v/>
          </cell>
          <cell r="D274" t="str">
            <v>AV. CONSTITUCION</v>
          </cell>
          <cell r="E274" t="str">
            <v>EZEQUIEL MONTES, QRO.</v>
          </cell>
          <cell r="F274" t="str">
            <v/>
          </cell>
          <cell r="G274" t="str">
            <v>(441) 277-2928</v>
          </cell>
          <cell r="H274" t="str">
            <v>ISABEL PEREZ</v>
          </cell>
          <cell r="I274" t="str">
            <v>ISABEL PEREZ</v>
          </cell>
          <cell r="J274" t="str">
            <v>BAJA</v>
          </cell>
          <cell r="K274" t="str">
            <v/>
          </cell>
          <cell r="L274">
            <v>0</v>
          </cell>
          <cell r="M274">
            <v>278</v>
          </cell>
          <cell r="N274" t="str">
            <v>A</v>
          </cell>
          <cell r="O274">
            <v>41039</v>
          </cell>
          <cell r="P274" t="str">
            <v xml:space="preserve">    3</v>
          </cell>
          <cell r="Q274">
            <v>0</v>
          </cell>
          <cell r="R274">
            <v>0</v>
          </cell>
          <cell r="S274">
            <v>0</v>
          </cell>
          <cell r="T274">
            <v>5744</v>
          </cell>
          <cell r="U274">
            <v>0</v>
          </cell>
          <cell r="V274" t="str">
            <v>CENTRO</v>
          </cell>
          <cell r="W274" t="str">
            <v>(441) 117-3657 CEL</v>
          </cell>
          <cell r="X274" t="str">
            <v/>
          </cell>
          <cell r="Y274" t="str">
            <v/>
          </cell>
          <cell r="Z274" t="str">
            <v/>
          </cell>
          <cell r="AA274" t="str">
            <v>(441) 277-2928</v>
          </cell>
          <cell r="AB274" t="str">
            <v/>
          </cell>
          <cell r="AC274" t="str">
            <v>A-0322</v>
          </cell>
          <cell r="AD274" t="str">
            <v/>
          </cell>
          <cell r="AE274" t="str">
            <v/>
          </cell>
          <cell r="AF274" t="str">
            <v/>
          </cell>
          <cell r="AH274" t="str">
            <v>N</v>
          </cell>
          <cell r="AI274">
            <v>0</v>
          </cell>
          <cell r="AJ274">
            <v>0</v>
          </cell>
          <cell r="AK274">
            <v>0</v>
          </cell>
          <cell r="AL274">
            <v>0</v>
          </cell>
          <cell r="AM274">
            <v>930</v>
          </cell>
          <cell r="AN274">
            <v>0</v>
          </cell>
        </row>
        <row r="275">
          <cell r="A275">
            <v>2175</v>
          </cell>
          <cell r="B275" t="str">
            <v>JUVENTINO SOTO (QUERETARO)</v>
          </cell>
          <cell r="C275" t="str">
            <v/>
          </cell>
          <cell r="D275" t="str">
            <v>MERCADO ESCOBEDO LOC. 51 Y 52</v>
          </cell>
          <cell r="E275" t="str">
            <v>QUERETARO, QRO.</v>
          </cell>
          <cell r="F275" t="str">
            <v/>
          </cell>
          <cell r="G275" t="str">
            <v>(442) 212-4066</v>
          </cell>
          <cell r="H275" t="str">
            <v>JUVENTINO SOTO</v>
          </cell>
          <cell r="I275" t="str">
            <v>JUVENTINO SOTO</v>
          </cell>
          <cell r="J275" t="str">
            <v>L04</v>
          </cell>
          <cell r="K275" t="str">
            <v/>
          </cell>
          <cell r="L275">
            <v>0</v>
          </cell>
          <cell r="M275">
            <v>279</v>
          </cell>
          <cell r="N275" t="str">
            <v>A</v>
          </cell>
          <cell r="O275">
            <v>42486</v>
          </cell>
          <cell r="P275" t="str">
            <v xml:space="preserve">    3</v>
          </cell>
          <cell r="Q275">
            <v>0</v>
          </cell>
          <cell r="R275">
            <v>0</v>
          </cell>
          <cell r="S275">
            <v>0</v>
          </cell>
          <cell r="T275">
            <v>431289</v>
          </cell>
          <cell r="U275">
            <v>0</v>
          </cell>
          <cell r="V275" t="str">
            <v>CENTRO</v>
          </cell>
          <cell r="W275" t="str">
            <v/>
          </cell>
          <cell r="X275" t="str">
            <v/>
          </cell>
          <cell r="Y275" t="str">
            <v/>
          </cell>
          <cell r="Z275" t="str">
            <v/>
          </cell>
          <cell r="AA275" t="str">
            <v>(442) 212-4066</v>
          </cell>
          <cell r="AB275" t="str">
            <v xml:space="preserve">      EFE</v>
          </cell>
          <cell r="AC275" t="str">
            <v>R-1064</v>
          </cell>
          <cell r="AD275" t="str">
            <v/>
          </cell>
          <cell r="AE275" t="str">
            <v/>
          </cell>
          <cell r="AF275" t="str">
            <v/>
          </cell>
          <cell r="AG275">
            <v>41852</v>
          </cell>
          <cell r="AH275" t="str">
            <v>N</v>
          </cell>
          <cell r="AI275">
            <v>0</v>
          </cell>
          <cell r="AJ275">
            <v>0</v>
          </cell>
          <cell r="AK275">
            <v>0</v>
          </cell>
          <cell r="AL275">
            <v>3393</v>
          </cell>
          <cell r="AM275">
            <v>3343</v>
          </cell>
          <cell r="AN275">
            <v>0</v>
          </cell>
        </row>
        <row r="276">
          <cell r="A276">
            <v>2176</v>
          </cell>
          <cell r="B276" t="str">
            <v>ANA BERTHA SANTOYO MELO (PACHUCA)</v>
          </cell>
          <cell r="C276" t="str">
            <v/>
          </cell>
          <cell r="D276" t="str">
            <v>ZARAGOZA #119-D</v>
          </cell>
          <cell r="E276" t="str">
            <v>PACHUCA, HGO.</v>
          </cell>
          <cell r="F276" t="str">
            <v/>
          </cell>
          <cell r="G276" t="str">
            <v>(771) 715-2827</v>
          </cell>
          <cell r="H276" t="str">
            <v>ANA BERTHA SANTOYO M</v>
          </cell>
          <cell r="I276" t="str">
            <v>ANA BERTHA SANTOYO M</v>
          </cell>
          <cell r="J276" t="str">
            <v>BAJA</v>
          </cell>
          <cell r="K276" t="str">
            <v/>
          </cell>
          <cell r="L276">
            <v>0</v>
          </cell>
          <cell r="M276">
            <v>280</v>
          </cell>
          <cell r="N276" t="str">
            <v>S</v>
          </cell>
          <cell r="O276">
            <v>41041</v>
          </cell>
          <cell r="P276" t="str">
            <v xml:space="preserve">    1</v>
          </cell>
          <cell r="Q276">
            <v>0</v>
          </cell>
          <cell r="R276">
            <v>0</v>
          </cell>
          <cell r="S276">
            <v>0</v>
          </cell>
          <cell r="T276">
            <v>7346</v>
          </cell>
          <cell r="U276">
            <v>0</v>
          </cell>
          <cell r="V276" t="str">
            <v>CENTRO</v>
          </cell>
          <cell r="W276" t="str">
            <v/>
          </cell>
          <cell r="X276" t="str">
            <v/>
          </cell>
          <cell r="Y276" t="str">
            <v/>
          </cell>
          <cell r="Z276" t="str">
            <v/>
          </cell>
          <cell r="AA276" t="str">
            <v>(771) 715-2827</v>
          </cell>
          <cell r="AB276" t="str">
            <v/>
          </cell>
          <cell r="AC276" t="str">
            <v xml:space="preserve">   0984</v>
          </cell>
          <cell r="AD276" t="str">
            <v/>
          </cell>
          <cell r="AE276" t="str">
            <v/>
          </cell>
          <cell r="AF276" t="str">
            <v/>
          </cell>
          <cell r="AH276" t="str">
            <v>N</v>
          </cell>
          <cell r="AI276">
            <v>0</v>
          </cell>
          <cell r="AJ276">
            <v>0</v>
          </cell>
          <cell r="AK276">
            <v>0</v>
          </cell>
          <cell r="AL276">
            <v>0</v>
          </cell>
          <cell r="AM276">
            <v>7346</v>
          </cell>
          <cell r="AN276">
            <v>0</v>
          </cell>
        </row>
        <row r="277">
          <cell r="A277">
            <v>2177</v>
          </cell>
          <cell r="B277" t="str">
            <v>ESTER GAMEZ (POTRERO)</v>
          </cell>
          <cell r="C277" t="str">
            <v/>
          </cell>
          <cell r="D277" t="str">
            <v/>
          </cell>
          <cell r="E277" t="str">
            <v>COACALCO, EDO. DE MEXICO</v>
          </cell>
          <cell r="F277" t="str">
            <v/>
          </cell>
          <cell r="G277" t="str">
            <v/>
          </cell>
          <cell r="H277" t="str">
            <v>ESTER GAMEZ</v>
          </cell>
          <cell r="I277" t="str">
            <v>ESTER GAMEZ</v>
          </cell>
          <cell r="J277" t="str">
            <v>BAJA</v>
          </cell>
          <cell r="K277" t="str">
            <v/>
          </cell>
          <cell r="L277">
            <v>0</v>
          </cell>
          <cell r="M277">
            <v>281</v>
          </cell>
          <cell r="N277" t="str">
            <v>A</v>
          </cell>
          <cell r="O277">
            <v>42383</v>
          </cell>
          <cell r="P277" t="str">
            <v xml:space="preserve">   18</v>
          </cell>
          <cell r="Q277">
            <v>0</v>
          </cell>
          <cell r="R277">
            <v>0</v>
          </cell>
          <cell r="S277">
            <v>917</v>
          </cell>
          <cell r="T277">
            <v>1311</v>
          </cell>
          <cell r="U277">
            <v>0</v>
          </cell>
          <cell r="V277" t="str">
            <v>POTRERO LA LAGUNA</v>
          </cell>
          <cell r="W277" t="str">
            <v/>
          </cell>
          <cell r="X277" t="str">
            <v/>
          </cell>
          <cell r="Y277" t="str">
            <v/>
          </cell>
          <cell r="Z277" t="str">
            <v/>
          </cell>
          <cell r="AA277" t="str">
            <v/>
          </cell>
          <cell r="AB277" t="str">
            <v/>
          </cell>
          <cell r="AC277" t="str">
            <v>M584</v>
          </cell>
          <cell r="AD277" t="str">
            <v/>
          </cell>
          <cell r="AE277" t="str">
            <v/>
          </cell>
          <cell r="AF277" t="str">
            <v/>
          </cell>
          <cell r="AH277" t="str">
            <v>N</v>
          </cell>
          <cell r="AI277">
            <v>0</v>
          </cell>
          <cell r="AJ277">
            <v>0</v>
          </cell>
          <cell r="AK277">
            <v>0</v>
          </cell>
          <cell r="AL277">
            <v>0</v>
          </cell>
          <cell r="AM277">
            <v>917</v>
          </cell>
          <cell r="AN277">
            <v>0</v>
          </cell>
        </row>
        <row r="278">
          <cell r="A278">
            <v>2178</v>
          </cell>
          <cell r="B278" t="str">
            <v>MIGUEL VELAZQUEZ (TLALNEPANTLA)</v>
          </cell>
          <cell r="C278" t="str">
            <v/>
          </cell>
          <cell r="D278" t="str">
            <v/>
          </cell>
          <cell r="E278" t="str">
            <v>TLALNEPANTLA, EDO. DE MEXICO</v>
          </cell>
          <cell r="F278" t="str">
            <v/>
          </cell>
          <cell r="G278" t="str">
            <v>(55) 4480-0287 CEL</v>
          </cell>
          <cell r="H278" t="str">
            <v>MIGUEL VELAZQUEZ</v>
          </cell>
          <cell r="I278" t="str">
            <v>MIGUEL VELAZQUEZ</v>
          </cell>
          <cell r="J278" t="str">
            <v>M02</v>
          </cell>
          <cell r="K278" t="str">
            <v/>
          </cell>
          <cell r="L278">
            <v>0</v>
          </cell>
          <cell r="M278">
            <v>282</v>
          </cell>
          <cell r="N278" t="str">
            <v>A</v>
          </cell>
          <cell r="O278">
            <v>41886</v>
          </cell>
          <cell r="P278" t="str">
            <v xml:space="preserve">   18</v>
          </cell>
          <cell r="Q278">
            <v>0</v>
          </cell>
          <cell r="R278">
            <v>0</v>
          </cell>
          <cell r="S278">
            <v>374</v>
          </cell>
          <cell r="T278">
            <v>124813</v>
          </cell>
          <cell r="U278">
            <v>0</v>
          </cell>
          <cell r="V278" t="str">
            <v/>
          </cell>
          <cell r="W278" t="str">
            <v>(55) 3673-0811</v>
          </cell>
          <cell r="X278" t="str">
            <v/>
          </cell>
          <cell r="Y278" t="str">
            <v/>
          </cell>
          <cell r="Z278" t="str">
            <v/>
          </cell>
          <cell r="AA278" t="str">
            <v>(55) 4480-0287 CEL</v>
          </cell>
          <cell r="AB278" t="str">
            <v/>
          </cell>
          <cell r="AC278" t="str">
            <v>M105</v>
          </cell>
          <cell r="AD278" t="str">
            <v/>
          </cell>
          <cell r="AE278" t="str">
            <v/>
          </cell>
          <cell r="AF278" t="str">
            <v/>
          </cell>
          <cell r="AH278" t="str">
            <v>N</v>
          </cell>
          <cell r="AI278">
            <v>0</v>
          </cell>
          <cell r="AJ278">
            <v>0</v>
          </cell>
          <cell r="AK278">
            <v>0</v>
          </cell>
          <cell r="AL278">
            <v>0</v>
          </cell>
          <cell r="AM278">
            <v>4874</v>
          </cell>
          <cell r="AN278">
            <v>0</v>
          </cell>
        </row>
        <row r="279">
          <cell r="A279">
            <v>2179</v>
          </cell>
          <cell r="B279" t="str">
            <v>JENIFER PORTILLO BAÑUELOS (TEXCOCO)</v>
          </cell>
          <cell r="C279" t="str">
            <v/>
          </cell>
          <cell r="D279" t="str">
            <v>FRAY PEDRO DE GANTE ESQ. COLON #18E</v>
          </cell>
          <cell r="E279" t="str">
            <v>TEXCOCO, EDO. DE MEXICO</v>
          </cell>
          <cell r="F279" t="str">
            <v/>
          </cell>
          <cell r="G279" t="str">
            <v>(55) 3505-3971 CEL</v>
          </cell>
          <cell r="H279" t="str">
            <v>JENY PORTILLO B.</v>
          </cell>
          <cell r="I279" t="str">
            <v>JENY PORTILLO B.</v>
          </cell>
          <cell r="J279" t="str">
            <v>BAJA</v>
          </cell>
          <cell r="K279" t="str">
            <v/>
          </cell>
          <cell r="L279">
            <v>0</v>
          </cell>
          <cell r="M279">
            <v>283</v>
          </cell>
          <cell r="N279" t="str">
            <v>A</v>
          </cell>
          <cell r="O279">
            <v>41255</v>
          </cell>
          <cell r="P279" t="str">
            <v xml:space="preserve">   18</v>
          </cell>
          <cell r="Q279">
            <v>0</v>
          </cell>
          <cell r="R279">
            <v>0</v>
          </cell>
          <cell r="S279">
            <v>0</v>
          </cell>
          <cell r="T279">
            <v>71313</v>
          </cell>
          <cell r="U279">
            <v>0</v>
          </cell>
          <cell r="V279" t="str">
            <v>CENTRO</v>
          </cell>
          <cell r="W279" t="str">
            <v/>
          </cell>
          <cell r="X279" t="str">
            <v/>
          </cell>
          <cell r="Y279" t="str">
            <v/>
          </cell>
          <cell r="Z279" t="str">
            <v/>
          </cell>
          <cell r="AA279" t="str">
            <v>(55) 3505-3971 CEL</v>
          </cell>
          <cell r="AB279" t="str">
            <v/>
          </cell>
          <cell r="AC279" t="str">
            <v xml:space="preserve">    123</v>
          </cell>
          <cell r="AD279" t="str">
            <v/>
          </cell>
          <cell r="AE279" t="str">
            <v/>
          </cell>
          <cell r="AF279" t="str">
            <v/>
          </cell>
          <cell r="AH279" t="str">
            <v>N</v>
          </cell>
          <cell r="AI279">
            <v>0</v>
          </cell>
          <cell r="AJ279">
            <v>0</v>
          </cell>
          <cell r="AK279">
            <v>0</v>
          </cell>
          <cell r="AL279">
            <v>0</v>
          </cell>
          <cell r="AM279">
            <v>1420</v>
          </cell>
          <cell r="AN279">
            <v>0</v>
          </cell>
        </row>
        <row r="280">
          <cell r="A280">
            <v>2180</v>
          </cell>
          <cell r="B280" t="str">
            <v>MAXIMILIANO ROMERO FLORES (TULANCINGO)</v>
          </cell>
          <cell r="C280" t="str">
            <v/>
          </cell>
          <cell r="D280" t="str">
            <v>1º DE MAYO PASAJE MERCADO INT. 5</v>
          </cell>
          <cell r="E280" t="str">
            <v>TULANCINGO. HGO.</v>
          </cell>
          <cell r="F280" t="str">
            <v/>
          </cell>
          <cell r="G280" t="str">
            <v>(775) 135-7319</v>
          </cell>
          <cell r="H280" t="str">
            <v>MAXIMILIANO ROMERO</v>
          </cell>
          <cell r="I280" t="str">
            <v>MAXIMILIANO ROMERO</v>
          </cell>
          <cell r="J280" t="str">
            <v>M03</v>
          </cell>
          <cell r="K280" t="str">
            <v/>
          </cell>
          <cell r="L280">
            <v>0</v>
          </cell>
          <cell r="M280">
            <v>284</v>
          </cell>
          <cell r="N280" t="str">
            <v>A</v>
          </cell>
          <cell r="O280">
            <v>42472</v>
          </cell>
          <cell r="P280" t="str">
            <v xml:space="preserve">    1</v>
          </cell>
          <cell r="Q280">
            <v>0</v>
          </cell>
          <cell r="R280">
            <v>0</v>
          </cell>
          <cell r="S280">
            <v>0</v>
          </cell>
          <cell r="T280">
            <v>37322.35</v>
          </cell>
          <cell r="U280">
            <v>0</v>
          </cell>
          <cell r="V280" t="str">
            <v>CENTRO</v>
          </cell>
          <cell r="W280" t="str">
            <v/>
          </cell>
          <cell r="X280" t="str">
            <v/>
          </cell>
          <cell r="Y280" t="str">
            <v/>
          </cell>
          <cell r="Z280" t="str">
            <v/>
          </cell>
          <cell r="AA280" t="str">
            <v>(775) 135-7319</v>
          </cell>
          <cell r="AB280" t="str">
            <v xml:space="preserve"> COPP FER</v>
          </cell>
          <cell r="AC280" t="str">
            <v>M942841</v>
          </cell>
          <cell r="AD280" t="str">
            <v/>
          </cell>
          <cell r="AE280" t="str">
            <v/>
          </cell>
          <cell r="AF280" t="str">
            <v/>
          </cell>
          <cell r="AG280">
            <v>41405</v>
          </cell>
          <cell r="AH280" t="str">
            <v>N</v>
          </cell>
          <cell r="AI280">
            <v>0</v>
          </cell>
          <cell r="AJ280">
            <v>0</v>
          </cell>
          <cell r="AK280">
            <v>0</v>
          </cell>
          <cell r="AL280">
            <v>1370</v>
          </cell>
          <cell r="AM280">
            <v>576</v>
          </cell>
          <cell r="AN280">
            <v>0</v>
          </cell>
        </row>
        <row r="281">
          <cell r="A281">
            <v>2181</v>
          </cell>
          <cell r="B281" t="str">
            <v>ALEJANDRO ROMERO FLORES (TULANCINGO)</v>
          </cell>
          <cell r="C281" t="str">
            <v/>
          </cell>
          <cell r="D281" t="str">
            <v>MANUEL FERNANDO SOTO #201 LOC. B</v>
          </cell>
          <cell r="E281" t="str">
            <v>TULANCINGO, HGO.</v>
          </cell>
          <cell r="F281" t="str">
            <v/>
          </cell>
          <cell r="G281" t="str">
            <v>(775) 145-7983 CEL</v>
          </cell>
          <cell r="H281" t="str">
            <v>ALEJANDRO ROMERO F</v>
          </cell>
          <cell r="I281" t="str">
            <v>ALEJANDRO ROMERO F</v>
          </cell>
          <cell r="J281" t="str">
            <v>M03</v>
          </cell>
          <cell r="K281" t="str">
            <v/>
          </cell>
          <cell r="L281">
            <v>0</v>
          </cell>
          <cell r="M281">
            <v>285</v>
          </cell>
          <cell r="N281" t="str">
            <v>A</v>
          </cell>
          <cell r="O281">
            <v>42088</v>
          </cell>
          <cell r="P281" t="str">
            <v xml:space="preserve">    1</v>
          </cell>
          <cell r="Q281">
            <v>0</v>
          </cell>
          <cell r="R281">
            <v>0</v>
          </cell>
          <cell r="S281">
            <v>0</v>
          </cell>
          <cell r="T281">
            <v>47896</v>
          </cell>
          <cell r="U281">
            <v>0</v>
          </cell>
          <cell r="V281" t="str">
            <v>CENTRO</v>
          </cell>
          <cell r="W281" t="str">
            <v/>
          </cell>
          <cell r="X281" t="str">
            <v/>
          </cell>
          <cell r="Y281" t="str">
            <v/>
          </cell>
          <cell r="Z281" t="str">
            <v/>
          </cell>
          <cell r="AA281" t="str">
            <v>(775) 145-7983 CEL</v>
          </cell>
          <cell r="AB281" t="str">
            <v xml:space="preserve">  DEV-174</v>
          </cell>
          <cell r="AC281" t="str">
            <v>M203</v>
          </cell>
          <cell r="AD281" t="str">
            <v/>
          </cell>
          <cell r="AE281" t="str">
            <v/>
          </cell>
          <cell r="AF281" t="str">
            <v/>
          </cell>
          <cell r="AG281">
            <v>41558</v>
          </cell>
          <cell r="AH281" t="str">
            <v>N</v>
          </cell>
          <cell r="AI281">
            <v>0</v>
          </cell>
          <cell r="AJ281">
            <v>0</v>
          </cell>
          <cell r="AK281">
            <v>0</v>
          </cell>
          <cell r="AL281">
            <v>630</v>
          </cell>
          <cell r="AM281">
            <v>6608</v>
          </cell>
          <cell r="AN281">
            <v>0</v>
          </cell>
        </row>
        <row r="282">
          <cell r="A282">
            <v>2182</v>
          </cell>
          <cell r="B282" t="str">
            <v>JUAN ROMERO FLORES (TULANCINGO)</v>
          </cell>
          <cell r="C282" t="str">
            <v/>
          </cell>
          <cell r="D282" t="str">
            <v>1º DE MAYO PASAJE MERCADO LOC. 2</v>
          </cell>
          <cell r="E282" t="str">
            <v>TULANCINGO, HGO.</v>
          </cell>
          <cell r="F282" t="str">
            <v/>
          </cell>
          <cell r="G282" t="str">
            <v>(775) 129-1211</v>
          </cell>
          <cell r="H282" t="str">
            <v>JUAN ROMERO FLORES</v>
          </cell>
          <cell r="I282" t="str">
            <v>JUAN ROMERO FLORES</v>
          </cell>
          <cell r="J282" t="str">
            <v>M03</v>
          </cell>
          <cell r="K282" t="str">
            <v/>
          </cell>
          <cell r="L282">
            <v>0</v>
          </cell>
          <cell r="M282">
            <v>286</v>
          </cell>
          <cell r="N282" t="str">
            <v>A</v>
          </cell>
          <cell r="O282">
            <v>41722</v>
          </cell>
          <cell r="P282" t="str">
            <v xml:space="preserve">    1</v>
          </cell>
          <cell r="Q282">
            <v>0</v>
          </cell>
          <cell r="R282">
            <v>0</v>
          </cell>
          <cell r="S282">
            <v>0</v>
          </cell>
          <cell r="T282">
            <v>16746</v>
          </cell>
          <cell r="U282">
            <v>0</v>
          </cell>
          <cell r="V282" t="str">
            <v>CENTRO</v>
          </cell>
          <cell r="W282" t="str">
            <v/>
          </cell>
          <cell r="X282" t="str">
            <v/>
          </cell>
          <cell r="Y282" t="str">
            <v/>
          </cell>
          <cell r="Z282" t="str">
            <v/>
          </cell>
          <cell r="AA282" t="str">
            <v>(775) 129-1211</v>
          </cell>
          <cell r="AB282" t="str">
            <v xml:space="preserve">     DESC</v>
          </cell>
          <cell r="AC282" t="str">
            <v xml:space="preserve">    197</v>
          </cell>
          <cell r="AD282" t="str">
            <v/>
          </cell>
          <cell r="AE282" t="str">
            <v/>
          </cell>
          <cell r="AF282" t="str">
            <v/>
          </cell>
          <cell r="AG282">
            <v>41722</v>
          </cell>
          <cell r="AH282" t="str">
            <v>N</v>
          </cell>
          <cell r="AI282">
            <v>0</v>
          </cell>
          <cell r="AJ282">
            <v>0</v>
          </cell>
          <cell r="AK282">
            <v>0</v>
          </cell>
          <cell r="AL282">
            <v>-2</v>
          </cell>
          <cell r="AM282">
            <v>1002</v>
          </cell>
          <cell r="AN282">
            <v>0</v>
          </cell>
        </row>
        <row r="283">
          <cell r="A283">
            <v>2183</v>
          </cell>
          <cell r="B283" t="str">
            <v>NAYELI PERALTA LICONA (TULTEPEC)</v>
          </cell>
          <cell r="C283" t="str">
            <v/>
          </cell>
          <cell r="D283" t="str">
            <v>GALEANA S/N</v>
          </cell>
          <cell r="E283" t="str">
            <v>TULTEPEC, EDO. DE MEXICO</v>
          </cell>
          <cell r="F283" t="str">
            <v/>
          </cell>
          <cell r="G283" t="str">
            <v/>
          </cell>
          <cell r="H283" t="str">
            <v>NAYELI PERALTA L</v>
          </cell>
          <cell r="I283" t="str">
            <v>NAYELI PERALTA L</v>
          </cell>
          <cell r="J283" t="str">
            <v>BAJA</v>
          </cell>
          <cell r="K283" t="str">
            <v/>
          </cell>
          <cell r="L283">
            <v>0</v>
          </cell>
          <cell r="M283">
            <v>287</v>
          </cell>
          <cell r="N283" t="str">
            <v>A</v>
          </cell>
          <cell r="O283">
            <v>41048</v>
          </cell>
          <cell r="P283" t="str">
            <v xml:space="preserve">   18</v>
          </cell>
          <cell r="Q283">
            <v>0</v>
          </cell>
          <cell r="R283">
            <v>0</v>
          </cell>
          <cell r="S283">
            <v>0</v>
          </cell>
          <cell r="T283">
            <v>969</v>
          </cell>
          <cell r="U283">
            <v>0</v>
          </cell>
          <cell r="V283" t="str">
            <v>ENIQUEA</v>
          </cell>
          <cell r="W283" t="str">
            <v/>
          </cell>
          <cell r="X283" t="str">
            <v/>
          </cell>
          <cell r="Y283" t="str">
            <v/>
          </cell>
          <cell r="Z283" t="str">
            <v/>
          </cell>
          <cell r="AA283" t="str">
            <v/>
          </cell>
          <cell r="AB283" t="str">
            <v/>
          </cell>
          <cell r="AC283" t="str">
            <v xml:space="preserve">   0991</v>
          </cell>
          <cell r="AD283" t="str">
            <v/>
          </cell>
          <cell r="AE283" t="str">
            <v/>
          </cell>
          <cell r="AF283" t="str">
            <v/>
          </cell>
          <cell r="AH283" t="str">
            <v>N</v>
          </cell>
          <cell r="AI283">
            <v>0</v>
          </cell>
          <cell r="AJ283">
            <v>0</v>
          </cell>
          <cell r="AK283">
            <v>0</v>
          </cell>
          <cell r="AL283">
            <v>0</v>
          </cell>
          <cell r="AM283">
            <v>969</v>
          </cell>
          <cell r="AN283">
            <v>0</v>
          </cell>
        </row>
        <row r="284">
          <cell r="A284">
            <v>2184</v>
          </cell>
          <cell r="B284" t="str">
            <v>VALENTIN RAMIREZ GONZALEZ (PROGRESO)</v>
          </cell>
          <cell r="C284" t="str">
            <v/>
          </cell>
          <cell r="D284" t="str">
            <v>MERCADO PROGRESO LOC. 113</v>
          </cell>
          <cell r="E284" t="str">
            <v>PROGRESO, HGO.</v>
          </cell>
          <cell r="F284" t="str">
            <v/>
          </cell>
          <cell r="G284" t="str">
            <v>(772) 133-3512</v>
          </cell>
          <cell r="H284" t="str">
            <v>VALENTIN RAMIREZ G.</v>
          </cell>
          <cell r="I284" t="str">
            <v>VALENTIN RAMIREZ G.</v>
          </cell>
          <cell r="J284" t="str">
            <v>F02</v>
          </cell>
          <cell r="K284" t="str">
            <v/>
          </cell>
          <cell r="L284">
            <v>0</v>
          </cell>
          <cell r="M284">
            <v>288</v>
          </cell>
          <cell r="N284" t="str">
            <v>A</v>
          </cell>
          <cell r="O284">
            <v>42231</v>
          </cell>
          <cell r="P284" t="str">
            <v xml:space="preserve">    1</v>
          </cell>
          <cell r="Q284">
            <v>0</v>
          </cell>
          <cell r="R284">
            <v>0</v>
          </cell>
          <cell r="S284">
            <v>0</v>
          </cell>
          <cell r="T284">
            <v>5579</v>
          </cell>
          <cell r="U284">
            <v>0</v>
          </cell>
          <cell r="V284" t="str">
            <v>CENTRO</v>
          </cell>
          <cell r="W284" t="str">
            <v/>
          </cell>
          <cell r="X284" t="str">
            <v/>
          </cell>
          <cell r="Y284" t="str">
            <v/>
          </cell>
          <cell r="Z284" t="str">
            <v/>
          </cell>
          <cell r="AA284" t="str">
            <v>(772) 133-3512</v>
          </cell>
          <cell r="AB284" t="str">
            <v/>
          </cell>
          <cell r="AC284" t="str">
            <v>F159</v>
          </cell>
          <cell r="AD284" t="str">
            <v/>
          </cell>
          <cell r="AE284" t="str">
            <v/>
          </cell>
          <cell r="AF284" t="str">
            <v/>
          </cell>
          <cell r="AH284" t="str">
            <v>N</v>
          </cell>
          <cell r="AI284">
            <v>0</v>
          </cell>
          <cell r="AJ284">
            <v>0</v>
          </cell>
          <cell r="AK284">
            <v>0</v>
          </cell>
          <cell r="AL284">
            <v>0</v>
          </cell>
          <cell r="AM284">
            <v>744</v>
          </cell>
          <cell r="AN284">
            <v>0</v>
          </cell>
        </row>
        <row r="285">
          <cell r="A285">
            <v>2185</v>
          </cell>
          <cell r="B285" t="str">
            <v>ROSAURA SERRANO AGUILAR (TEPATEPEC)</v>
          </cell>
          <cell r="C285" t="str">
            <v/>
          </cell>
          <cell r="D285" t="str">
            <v>PLAZA 31 DE MAYO LOC. 15-B</v>
          </cell>
          <cell r="E285" t="str">
            <v>TEPATEPEC, HGO.</v>
          </cell>
          <cell r="F285" t="str">
            <v/>
          </cell>
          <cell r="G285" t="str">
            <v>(738) 724-0237</v>
          </cell>
          <cell r="H285" t="str">
            <v>ROSAURA SERRANO A.</v>
          </cell>
          <cell r="I285" t="str">
            <v>ROSAURA SERRANO A.</v>
          </cell>
          <cell r="J285" t="str">
            <v>BAJA</v>
          </cell>
          <cell r="K285" t="str">
            <v/>
          </cell>
          <cell r="L285">
            <v>0</v>
          </cell>
          <cell r="M285">
            <v>289</v>
          </cell>
          <cell r="N285" t="str">
            <v>S</v>
          </cell>
          <cell r="O285">
            <v>41139</v>
          </cell>
          <cell r="P285" t="str">
            <v xml:space="preserve">    1</v>
          </cell>
          <cell r="Q285">
            <v>0</v>
          </cell>
          <cell r="R285">
            <v>0</v>
          </cell>
          <cell r="S285">
            <v>0</v>
          </cell>
          <cell r="T285">
            <v>18063</v>
          </cell>
          <cell r="U285">
            <v>0</v>
          </cell>
          <cell r="V285" t="str">
            <v>CENTRO</v>
          </cell>
          <cell r="W285" t="str">
            <v>(771) 144-5052</v>
          </cell>
          <cell r="X285" t="str">
            <v/>
          </cell>
          <cell r="Y285" t="str">
            <v/>
          </cell>
          <cell r="Z285" t="str">
            <v/>
          </cell>
          <cell r="AA285" t="str">
            <v>(738) 724-0237</v>
          </cell>
          <cell r="AB285" t="str">
            <v xml:space="preserve">   DEV-91</v>
          </cell>
          <cell r="AC285" t="str">
            <v xml:space="preserve">     91</v>
          </cell>
          <cell r="AD285" t="str">
            <v/>
          </cell>
          <cell r="AE285" t="str">
            <v/>
          </cell>
          <cell r="AF285" t="str">
            <v/>
          </cell>
          <cell r="AG285">
            <v>41139</v>
          </cell>
          <cell r="AH285" t="str">
            <v>N</v>
          </cell>
          <cell r="AI285">
            <v>0</v>
          </cell>
          <cell r="AJ285">
            <v>0</v>
          </cell>
          <cell r="AK285">
            <v>0</v>
          </cell>
          <cell r="AL285">
            <v>197</v>
          </cell>
          <cell r="AM285">
            <v>197</v>
          </cell>
          <cell r="AN285">
            <v>0</v>
          </cell>
        </row>
        <row r="286">
          <cell r="A286">
            <v>2186</v>
          </cell>
          <cell r="B286" t="str">
            <v>VERONICA DIAZ URVANO (PROGRESO)</v>
          </cell>
          <cell r="C286" t="str">
            <v/>
          </cell>
          <cell r="D286" t="str">
            <v>IGNACIO DE LA LLAVE #1</v>
          </cell>
          <cell r="E286" t="str">
            <v>PROGRESO, HGO.</v>
          </cell>
          <cell r="F286" t="str">
            <v>42730</v>
          </cell>
          <cell r="G286" t="str">
            <v>(772) 736-3503 CEL</v>
          </cell>
          <cell r="H286" t="str">
            <v>VERONICA DIAZ URVANO</v>
          </cell>
          <cell r="I286" t="str">
            <v>VERONICA DIAZ URVANO</v>
          </cell>
          <cell r="J286" t="str">
            <v>BAJA</v>
          </cell>
          <cell r="K286" t="str">
            <v/>
          </cell>
          <cell r="L286">
            <v>0</v>
          </cell>
          <cell r="M286">
            <v>290</v>
          </cell>
          <cell r="N286" t="str">
            <v>A</v>
          </cell>
          <cell r="O286">
            <v>41088</v>
          </cell>
          <cell r="P286" t="str">
            <v xml:space="preserve">    1</v>
          </cell>
          <cell r="Q286">
            <v>0</v>
          </cell>
          <cell r="R286">
            <v>0</v>
          </cell>
          <cell r="S286">
            <v>0</v>
          </cell>
          <cell r="T286">
            <v>7275</v>
          </cell>
          <cell r="U286">
            <v>0</v>
          </cell>
          <cell r="V286" t="str">
            <v>CENTRO</v>
          </cell>
          <cell r="W286" t="str">
            <v/>
          </cell>
          <cell r="X286" t="str">
            <v/>
          </cell>
          <cell r="Y286" t="str">
            <v/>
          </cell>
          <cell r="Z286" t="str">
            <v/>
          </cell>
          <cell r="AA286" t="str">
            <v>(772) 736-3503 CEL</v>
          </cell>
          <cell r="AB286" t="str">
            <v/>
          </cell>
          <cell r="AC286" t="str">
            <v xml:space="preserve">     79</v>
          </cell>
          <cell r="AD286" t="str">
            <v/>
          </cell>
          <cell r="AE286" t="str">
            <v/>
          </cell>
          <cell r="AF286" t="str">
            <v/>
          </cell>
          <cell r="AH286" t="str">
            <v>N</v>
          </cell>
          <cell r="AI286">
            <v>0</v>
          </cell>
          <cell r="AJ286">
            <v>0</v>
          </cell>
          <cell r="AK286">
            <v>0</v>
          </cell>
          <cell r="AL286">
            <v>0</v>
          </cell>
          <cell r="AM286">
            <v>812</v>
          </cell>
          <cell r="AN286">
            <v>0</v>
          </cell>
        </row>
        <row r="287">
          <cell r="A287">
            <v>2187</v>
          </cell>
          <cell r="B287" t="str">
            <v>BEATRIZ SILVA HERNANDEZ (TULTEPEC)</v>
          </cell>
          <cell r="C287" t="str">
            <v/>
          </cell>
          <cell r="D287" t="str">
            <v>AV. MORELOS #100</v>
          </cell>
          <cell r="E287" t="str">
            <v>TULTEPEC, EDO. DE MEXICO</v>
          </cell>
          <cell r="F287" t="str">
            <v/>
          </cell>
          <cell r="G287" t="str">
            <v/>
          </cell>
          <cell r="H287" t="str">
            <v>BEATRIZ SILVA H.</v>
          </cell>
          <cell r="I287" t="str">
            <v>BEATRIZ SILVA H.</v>
          </cell>
          <cell r="J287" t="str">
            <v>M01</v>
          </cell>
          <cell r="K287" t="str">
            <v/>
          </cell>
          <cell r="L287">
            <v>0</v>
          </cell>
          <cell r="M287">
            <v>291</v>
          </cell>
          <cell r="N287" t="str">
            <v>A</v>
          </cell>
          <cell r="O287">
            <v>42338</v>
          </cell>
          <cell r="P287" t="str">
            <v xml:space="preserve">   18</v>
          </cell>
          <cell r="Q287">
            <v>0</v>
          </cell>
          <cell r="R287">
            <v>0</v>
          </cell>
          <cell r="S287">
            <v>0</v>
          </cell>
          <cell r="T287">
            <v>3594</v>
          </cell>
          <cell r="U287">
            <v>0</v>
          </cell>
          <cell r="V287" t="str">
            <v>BARRIO SAN RAFAEL</v>
          </cell>
          <cell r="W287" t="str">
            <v/>
          </cell>
          <cell r="X287" t="str">
            <v/>
          </cell>
          <cell r="Y287" t="str">
            <v/>
          </cell>
          <cell r="Z287" t="str">
            <v/>
          </cell>
          <cell r="AA287" t="str">
            <v/>
          </cell>
          <cell r="AB287" t="str">
            <v/>
          </cell>
          <cell r="AC287" t="str">
            <v xml:space="preserve">    315</v>
          </cell>
          <cell r="AD287" t="str">
            <v/>
          </cell>
          <cell r="AE287" t="str">
            <v/>
          </cell>
          <cell r="AF287" t="str">
            <v/>
          </cell>
          <cell r="AH287" t="str">
            <v>N</v>
          </cell>
          <cell r="AI287">
            <v>0</v>
          </cell>
          <cell r="AJ287">
            <v>0</v>
          </cell>
          <cell r="AK287">
            <v>0</v>
          </cell>
          <cell r="AL287">
            <v>0</v>
          </cell>
          <cell r="AM287">
            <v>970</v>
          </cell>
          <cell r="AN287">
            <v>0</v>
          </cell>
        </row>
        <row r="288">
          <cell r="A288">
            <v>2188</v>
          </cell>
          <cell r="B288" t="str">
            <v>SERGIO MENDOZA (JILOTEPEC)</v>
          </cell>
          <cell r="C288" t="str">
            <v/>
          </cell>
          <cell r="D288" t="str">
            <v>HIDALGO #112</v>
          </cell>
          <cell r="E288" t="str">
            <v>JILOTEPEC, EDO. DE MEXICO</v>
          </cell>
          <cell r="F288" t="str">
            <v/>
          </cell>
          <cell r="G288" t="str">
            <v>734-0010</v>
          </cell>
          <cell r="H288" t="str">
            <v>SERGIO MENDOZA</v>
          </cell>
          <cell r="I288" t="str">
            <v>SERGIO MENDOZA</v>
          </cell>
          <cell r="J288" t="str">
            <v>BAJA</v>
          </cell>
          <cell r="K288" t="str">
            <v/>
          </cell>
          <cell r="L288">
            <v>0</v>
          </cell>
          <cell r="M288">
            <v>292</v>
          </cell>
          <cell r="N288" t="str">
            <v>A</v>
          </cell>
          <cell r="O288">
            <v>41065</v>
          </cell>
          <cell r="P288" t="str">
            <v xml:space="preserve">    1</v>
          </cell>
          <cell r="Q288">
            <v>0</v>
          </cell>
          <cell r="R288">
            <v>0</v>
          </cell>
          <cell r="S288">
            <v>0</v>
          </cell>
          <cell r="T288">
            <v>541</v>
          </cell>
          <cell r="U288">
            <v>0</v>
          </cell>
          <cell r="V288" t="str">
            <v>CENTRO</v>
          </cell>
          <cell r="W288" t="str">
            <v/>
          </cell>
          <cell r="X288" t="str">
            <v/>
          </cell>
          <cell r="Y288" t="str">
            <v/>
          </cell>
          <cell r="Z288" t="str">
            <v/>
          </cell>
          <cell r="AA288" t="str">
            <v>734-0010</v>
          </cell>
          <cell r="AB288" t="str">
            <v/>
          </cell>
          <cell r="AC288" t="str">
            <v xml:space="preserve">   1235</v>
          </cell>
          <cell r="AD288" t="str">
            <v/>
          </cell>
          <cell r="AE288" t="str">
            <v/>
          </cell>
          <cell r="AF288" t="str">
            <v/>
          </cell>
          <cell r="AH288" t="str">
            <v>N</v>
          </cell>
          <cell r="AI288">
            <v>0</v>
          </cell>
          <cell r="AJ288">
            <v>0</v>
          </cell>
          <cell r="AK288">
            <v>0</v>
          </cell>
          <cell r="AL288">
            <v>0</v>
          </cell>
          <cell r="AM288">
            <v>541</v>
          </cell>
          <cell r="AN288">
            <v>0</v>
          </cell>
        </row>
        <row r="289">
          <cell r="A289">
            <v>2189</v>
          </cell>
          <cell r="B289" t="str">
            <v>CARLOS ESTEVES FLORES (TOLUCA)</v>
          </cell>
          <cell r="C289" t="str">
            <v/>
          </cell>
          <cell r="D289" t="str">
            <v>MERCADO BENITO JUAREZ L. 987</v>
          </cell>
          <cell r="E289" t="str">
            <v>TOLUCA, EDO. DE MEXICO</v>
          </cell>
          <cell r="F289" t="str">
            <v/>
          </cell>
          <cell r="G289" t="str">
            <v/>
          </cell>
          <cell r="H289" t="str">
            <v>CARLOS ESTEVES F.</v>
          </cell>
          <cell r="I289" t="str">
            <v>CARLOS ESTEVES F.</v>
          </cell>
          <cell r="J289" t="str">
            <v>BAJA</v>
          </cell>
          <cell r="K289" t="str">
            <v/>
          </cell>
          <cell r="L289">
            <v>0</v>
          </cell>
          <cell r="M289">
            <v>293</v>
          </cell>
          <cell r="N289" t="str">
            <v>S</v>
          </cell>
          <cell r="O289">
            <v>41147</v>
          </cell>
          <cell r="P289" t="str">
            <v xml:space="preserve">    1</v>
          </cell>
          <cell r="Q289">
            <v>0</v>
          </cell>
          <cell r="R289">
            <v>0</v>
          </cell>
          <cell r="S289">
            <v>0</v>
          </cell>
          <cell r="T289">
            <v>52745</v>
          </cell>
          <cell r="U289">
            <v>0</v>
          </cell>
          <cell r="V289" t="str">
            <v>CENTRO</v>
          </cell>
          <cell r="W289" t="str">
            <v/>
          </cell>
          <cell r="X289" t="str">
            <v/>
          </cell>
          <cell r="Y289" t="str">
            <v/>
          </cell>
          <cell r="Z289" t="str">
            <v/>
          </cell>
          <cell r="AA289" t="str">
            <v/>
          </cell>
          <cell r="AB289" t="str">
            <v xml:space="preserve">     INCO</v>
          </cell>
          <cell r="AC289" t="str">
            <v>C306</v>
          </cell>
          <cell r="AD289" t="str">
            <v/>
          </cell>
          <cell r="AE289" t="str">
            <v/>
          </cell>
          <cell r="AF289" t="str">
            <v/>
          </cell>
          <cell r="AG289">
            <v>42004</v>
          </cell>
          <cell r="AH289" t="str">
            <v>N</v>
          </cell>
          <cell r="AI289">
            <v>0</v>
          </cell>
          <cell r="AJ289">
            <v>0</v>
          </cell>
          <cell r="AK289">
            <v>0</v>
          </cell>
          <cell r="AL289">
            <v>436</v>
          </cell>
          <cell r="AM289">
            <v>2484</v>
          </cell>
          <cell r="AN289">
            <v>0</v>
          </cell>
        </row>
        <row r="290">
          <cell r="A290">
            <v>2190</v>
          </cell>
          <cell r="B290" t="str">
            <v>ROSA MARIA RIVERA FERNANDEZ (TECAMAC)</v>
          </cell>
          <cell r="C290" t="str">
            <v/>
          </cell>
          <cell r="D290" t="str">
            <v>AV. 5 DE MAYO #12</v>
          </cell>
          <cell r="E290" t="str">
            <v>TECAMAC, EDO. DE MEXICO</v>
          </cell>
          <cell r="F290" t="str">
            <v/>
          </cell>
          <cell r="G290" t="str">
            <v>(55) 5934-6268</v>
          </cell>
          <cell r="H290" t="str">
            <v>ROSA MARIA RIVERA F.</v>
          </cell>
          <cell r="I290" t="str">
            <v>ROSA MARIA RIVERA F.</v>
          </cell>
          <cell r="J290" t="str">
            <v>BAJA</v>
          </cell>
          <cell r="K290" t="str">
            <v/>
          </cell>
          <cell r="L290">
            <v>0</v>
          </cell>
          <cell r="M290">
            <v>294</v>
          </cell>
          <cell r="N290" t="str">
            <v>S</v>
          </cell>
          <cell r="O290">
            <v>41143</v>
          </cell>
          <cell r="P290" t="str">
            <v xml:space="preserve">   18</v>
          </cell>
          <cell r="Q290">
            <v>0</v>
          </cell>
          <cell r="R290">
            <v>0</v>
          </cell>
          <cell r="S290">
            <v>0</v>
          </cell>
          <cell r="T290">
            <v>21858.7</v>
          </cell>
          <cell r="U290">
            <v>0</v>
          </cell>
          <cell r="V290" t="str">
            <v>CENTRO</v>
          </cell>
          <cell r="W290" t="str">
            <v/>
          </cell>
          <cell r="X290" t="str">
            <v/>
          </cell>
          <cell r="Y290" t="str">
            <v/>
          </cell>
          <cell r="Z290" t="str">
            <v/>
          </cell>
          <cell r="AA290" t="str">
            <v>(55) 5934-6268</v>
          </cell>
          <cell r="AB290" t="str">
            <v xml:space="preserve">  DEV-080</v>
          </cell>
          <cell r="AC290" t="str">
            <v xml:space="preserve">   0894</v>
          </cell>
          <cell r="AD290" t="str">
            <v/>
          </cell>
          <cell r="AE290" t="str">
            <v/>
          </cell>
          <cell r="AF290" t="str">
            <v/>
          </cell>
          <cell r="AG290">
            <v>41090</v>
          </cell>
          <cell r="AH290" t="str">
            <v>N</v>
          </cell>
          <cell r="AI290">
            <v>0</v>
          </cell>
          <cell r="AJ290">
            <v>0</v>
          </cell>
          <cell r="AK290">
            <v>0</v>
          </cell>
          <cell r="AL290">
            <v>866</v>
          </cell>
          <cell r="AM290">
            <v>6594.9000000000005</v>
          </cell>
          <cell r="AN290">
            <v>0</v>
          </cell>
        </row>
        <row r="291">
          <cell r="A291">
            <v>2191</v>
          </cell>
          <cell r="B291" t="str">
            <v>BEATRIZ CORREA (ZINAPECUARO)</v>
          </cell>
          <cell r="C291" t="str">
            <v/>
          </cell>
          <cell r="D291" t="str">
            <v>MORELOS #5</v>
          </cell>
          <cell r="E291" t="str">
            <v>ZINAPECUARO, MICH.</v>
          </cell>
          <cell r="F291" t="str">
            <v/>
          </cell>
          <cell r="G291" t="str">
            <v>(451) 355-2787 LOCAL</v>
          </cell>
          <cell r="H291" t="str">
            <v>BEATRIZ CORREA</v>
          </cell>
          <cell r="I291" t="str">
            <v>BEATRIZ CORREA</v>
          </cell>
          <cell r="J291" t="str">
            <v>J06</v>
          </cell>
          <cell r="K291" t="str">
            <v/>
          </cell>
          <cell r="L291">
            <v>0</v>
          </cell>
          <cell r="M291">
            <v>295</v>
          </cell>
          <cell r="N291" t="str">
            <v>A</v>
          </cell>
          <cell r="O291">
            <v>42511</v>
          </cell>
          <cell r="P291" t="str">
            <v xml:space="preserve">    1</v>
          </cell>
          <cell r="Q291">
            <v>0</v>
          </cell>
          <cell r="R291">
            <v>0</v>
          </cell>
          <cell r="S291">
            <v>1597</v>
          </cell>
          <cell r="T291">
            <v>91320</v>
          </cell>
          <cell r="U291">
            <v>0</v>
          </cell>
          <cell r="V291" t="str">
            <v>CENTRO</v>
          </cell>
          <cell r="W291" t="str">
            <v/>
          </cell>
          <cell r="X291" t="str">
            <v/>
          </cell>
          <cell r="Y291" t="str">
            <v/>
          </cell>
          <cell r="Z291" t="str">
            <v/>
          </cell>
          <cell r="AA291" t="str">
            <v>(451) 355-2787 LOCAL</v>
          </cell>
          <cell r="AB291" t="str">
            <v xml:space="preserve">  DEV 277</v>
          </cell>
          <cell r="AC291" t="str">
            <v>J0393</v>
          </cell>
          <cell r="AD291" t="str">
            <v/>
          </cell>
          <cell r="AE291" t="str">
            <v/>
          </cell>
          <cell r="AF291" t="str">
            <v/>
          </cell>
          <cell r="AG291">
            <v>42175</v>
          </cell>
          <cell r="AH291" t="str">
            <v>N</v>
          </cell>
          <cell r="AI291">
            <v>0</v>
          </cell>
          <cell r="AJ291">
            <v>0</v>
          </cell>
          <cell r="AK291">
            <v>0</v>
          </cell>
          <cell r="AL291">
            <v>800</v>
          </cell>
          <cell r="AM291">
            <v>3597</v>
          </cell>
          <cell r="AN291">
            <v>0</v>
          </cell>
        </row>
        <row r="292">
          <cell r="A292">
            <v>2192</v>
          </cell>
          <cell r="B292" t="str">
            <v>CARMEN HERRERA (TENANGO)</v>
          </cell>
          <cell r="C292" t="str">
            <v/>
          </cell>
          <cell r="D292" t="str">
            <v>HIDALGO #214</v>
          </cell>
          <cell r="E292" t="str">
            <v>TENANGO DEL VALLE, EDO. MEXICO</v>
          </cell>
          <cell r="F292" t="str">
            <v/>
          </cell>
          <cell r="G292" t="str">
            <v/>
          </cell>
          <cell r="H292" t="str">
            <v>CARMEN HERRERA</v>
          </cell>
          <cell r="I292" t="str">
            <v>CARMEN HERRERA</v>
          </cell>
          <cell r="J292" t="str">
            <v>BAJA</v>
          </cell>
          <cell r="K292" t="str">
            <v/>
          </cell>
          <cell r="L292">
            <v>0</v>
          </cell>
          <cell r="M292">
            <v>296</v>
          </cell>
          <cell r="N292" t="str">
            <v>A</v>
          </cell>
          <cell r="O292">
            <v>41079</v>
          </cell>
          <cell r="P292" t="str">
            <v xml:space="preserve">    9</v>
          </cell>
          <cell r="Q292">
            <v>0</v>
          </cell>
          <cell r="R292">
            <v>0</v>
          </cell>
          <cell r="S292">
            <v>0</v>
          </cell>
          <cell r="T292">
            <v>1528</v>
          </cell>
          <cell r="U292">
            <v>0</v>
          </cell>
          <cell r="V292" t="str">
            <v>CENTRO</v>
          </cell>
          <cell r="W292" t="str">
            <v/>
          </cell>
          <cell r="X292" t="str">
            <v/>
          </cell>
          <cell r="Y292" t="str">
            <v/>
          </cell>
          <cell r="Z292" t="str">
            <v/>
          </cell>
          <cell r="AA292" t="str">
            <v/>
          </cell>
          <cell r="AB292" t="str">
            <v/>
          </cell>
          <cell r="AC292" t="str">
            <v>C470</v>
          </cell>
          <cell r="AD292" t="str">
            <v/>
          </cell>
          <cell r="AE292" t="str">
            <v/>
          </cell>
          <cell r="AF292" t="str">
            <v/>
          </cell>
          <cell r="AH292" t="str">
            <v>N</v>
          </cell>
          <cell r="AI292">
            <v>0</v>
          </cell>
          <cell r="AJ292">
            <v>0</v>
          </cell>
          <cell r="AK292">
            <v>0</v>
          </cell>
          <cell r="AL292">
            <v>0</v>
          </cell>
          <cell r="AM292">
            <v>1528</v>
          </cell>
          <cell r="AN292">
            <v>0</v>
          </cell>
        </row>
        <row r="293">
          <cell r="A293">
            <v>2193</v>
          </cell>
          <cell r="B293" t="str">
            <v>AURORA SALINAS MERCADO (TOLUCA)</v>
          </cell>
          <cell r="C293" t="str">
            <v/>
          </cell>
          <cell r="D293" t="str">
            <v>16 DE SEPTIEMBRE LOCAL 9-11</v>
          </cell>
          <cell r="E293" t="str">
            <v>TOLUCA, EDO. DE MEXICO</v>
          </cell>
          <cell r="F293" t="str">
            <v/>
          </cell>
          <cell r="G293" t="str">
            <v>(722) 213-9468</v>
          </cell>
          <cell r="H293" t="str">
            <v>AURORA SALINAS M.</v>
          </cell>
          <cell r="I293" t="str">
            <v>AURORA SALINAS M.</v>
          </cell>
          <cell r="J293" t="str">
            <v>BAJA</v>
          </cell>
          <cell r="K293" t="str">
            <v/>
          </cell>
          <cell r="L293">
            <v>20</v>
          </cell>
          <cell r="M293">
            <v>297</v>
          </cell>
          <cell r="N293" t="str">
            <v>S</v>
          </cell>
          <cell r="O293">
            <v>41164</v>
          </cell>
          <cell r="P293" t="str">
            <v xml:space="preserve">    9</v>
          </cell>
          <cell r="Q293">
            <v>0</v>
          </cell>
          <cell r="R293">
            <v>0</v>
          </cell>
          <cell r="S293">
            <v>0</v>
          </cell>
          <cell r="T293">
            <v>4624</v>
          </cell>
          <cell r="U293">
            <v>0</v>
          </cell>
          <cell r="V293" t="str">
            <v>SANTA CLARA</v>
          </cell>
          <cell r="W293" t="str">
            <v>(722) 378-8336 CEL</v>
          </cell>
          <cell r="X293" t="str">
            <v/>
          </cell>
          <cell r="Y293" t="str">
            <v/>
          </cell>
          <cell r="Z293" t="str">
            <v/>
          </cell>
          <cell r="AA293" t="str">
            <v>(722) 213-9468</v>
          </cell>
          <cell r="AB293" t="str">
            <v xml:space="preserve">     INCO</v>
          </cell>
          <cell r="AC293" t="str">
            <v xml:space="preserve">    102</v>
          </cell>
          <cell r="AD293" t="str">
            <v/>
          </cell>
          <cell r="AE293" t="str">
            <v/>
          </cell>
          <cell r="AF293" t="str">
            <v/>
          </cell>
          <cell r="AG293">
            <v>42004</v>
          </cell>
          <cell r="AH293" t="str">
            <v>N</v>
          </cell>
          <cell r="AI293">
            <v>0</v>
          </cell>
          <cell r="AJ293">
            <v>0</v>
          </cell>
          <cell r="AK293">
            <v>0</v>
          </cell>
          <cell r="AL293">
            <v>724</v>
          </cell>
          <cell r="AM293">
            <v>2337</v>
          </cell>
          <cell r="AN293">
            <v>0</v>
          </cell>
        </row>
        <row r="294">
          <cell r="A294">
            <v>2194</v>
          </cell>
          <cell r="B294" t="str">
            <v>MA. DEL CARMEN REYES PEREZ (ROMERO)</v>
          </cell>
          <cell r="C294" t="str">
            <v>REPC-780716-PB7</v>
          </cell>
          <cell r="D294" t="str">
            <v>EXP. MERCADO MUNICIPAL LOC. 50,47,45 Z-2</v>
          </cell>
          <cell r="E294" t="str">
            <v>CUAUTITLAN, EDO. DE MEXICO</v>
          </cell>
          <cell r="F294" t="str">
            <v>54800</v>
          </cell>
          <cell r="G294" t="str">
            <v>(55) 5870-2792</v>
          </cell>
          <cell r="H294" t="str">
            <v>CARMEN REYES</v>
          </cell>
          <cell r="I294" t="str">
            <v>CARMEN REYES</v>
          </cell>
          <cell r="J294" t="str">
            <v>M01</v>
          </cell>
          <cell r="K294" t="str">
            <v/>
          </cell>
          <cell r="L294">
            <v>0</v>
          </cell>
          <cell r="M294">
            <v>298</v>
          </cell>
          <cell r="N294" t="str">
            <v>A</v>
          </cell>
          <cell r="O294">
            <v>42513</v>
          </cell>
          <cell r="P294" t="str">
            <v xml:space="preserve">    9</v>
          </cell>
          <cell r="Q294">
            <v>0</v>
          </cell>
          <cell r="R294">
            <v>0</v>
          </cell>
          <cell r="S294">
            <v>8001</v>
          </cell>
          <cell r="T294">
            <v>278226</v>
          </cell>
          <cell r="U294">
            <v>0</v>
          </cell>
          <cell r="V294" t="str">
            <v>CENTRO</v>
          </cell>
          <cell r="W294" t="str">
            <v/>
          </cell>
          <cell r="X294" t="str">
            <v/>
          </cell>
          <cell r="Y294" t="str">
            <v/>
          </cell>
          <cell r="Z294" t="str">
            <v/>
          </cell>
          <cell r="AA294" t="str">
            <v>(55) 5870-2792</v>
          </cell>
          <cell r="AB294" t="str">
            <v xml:space="preserve">     DESC</v>
          </cell>
          <cell r="AC294" t="str">
            <v>M111145</v>
          </cell>
          <cell r="AD294" t="str">
            <v/>
          </cell>
          <cell r="AE294" t="str">
            <v/>
          </cell>
          <cell r="AF294" t="str">
            <v/>
          </cell>
          <cell r="AG294">
            <v>42468</v>
          </cell>
          <cell r="AH294" t="str">
            <v>N</v>
          </cell>
          <cell r="AI294">
            <v>0</v>
          </cell>
          <cell r="AJ294">
            <v>0</v>
          </cell>
          <cell r="AK294">
            <v>0</v>
          </cell>
          <cell r="AL294">
            <v>1275</v>
          </cell>
          <cell r="AM294">
            <v>1700</v>
          </cell>
          <cell r="AN294">
            <v>0</v>
          </cell>
        </row>
        <row r="295">
          <cell r="A295">
            <v>2195</v>
          </cell>
          <cell r="B295" t="str">
            <v>MARIA MORA SAN JUAN (PACHUCA)</v>
          </cell>
          <cell r="C295" t="str">
            <v/>
          </cell>
          <cell r="D295" t="str">
            <v>GUERRERO #620</v>
          </cell>
          <cell r="E295" t="str">
            <v>PACHUCA, HGO.</v>
          </cell>
          <cell r="F295" t="str">
            <v/>
          </cell>
          <cell r="G295" t="str">
            <v>(771) 715-1483</v>
          </cell>
          <cell r="H295" t="str">
            <v>MARIA MORA SAN JUAN</v>
          </cell>
          <cell r="I295" t="str">
            <v>MARIA MORA SAN JUAN</v>
          </cell>
          <cell r="J295" t="str">
            <v>BAJA</v>
          </cell>
          <cell r="K295" t="str">
            <v/>
          </cell>
          <cell r="L295">
            <v>0</v>
          </cell>
          <cell r="M295">
            <v>299</v>
          </cell>
          <cell r="N295" t="str">
            <v>S</v>
          </cell>
          <cell r="O295">
            <v>41090</v>
          </cell>
          <cell r="P295" t="str">
            <v xml:space="preserve">    9</v>
          </cell>
          <cell r="Q295">
            <v>0</v>
          </cell>
          <cell r="R295">
            <v>0</v>
          </cell>
          <cell r="S295">
            <v>0</v>
          </cell>
          <cell r="T295">
            <v>5232</v>
          </cell>
          <cell r="U295">
            <v>0</v>
          </cell>
          <cell r="V295" t="str">
            <v>CENTRO</v>
          </cell>
          <cell r="W295" t="str">
            <v/>
          </cell>
          <cell r="X295" t="str">
            <v/>
          </cell>
          <cell r="Y295" t="str">
            <v/>
          </cell>
          <cell r="Z295" t="str">
            <v/>
          </cell>
          <cell r="AA295" t="str">
            <v>(771) 715-1483</v>
          </cell>
          <cell r="AB295" t="str">
            <v/>
          </cell>
          <cell r="AC295" t="str">
            <v xml:space="preserve">   0856</v>
          </cell>
          <cell r="AD295" t="str">
            <v/>
          </cell>
          <cell r="AE295" t="str">
            <v/>
          </cell>
          <cell r="AF295" t="str">
            <v/>
          </cell>
          <cell r="AH295" t="str">
            <v>N</v>
          </cell>
          <cell r="AI295">
            <v>0</v>
          </cell>
          <cell r="AJ295">
            <v>0</v>
          </cell>
          <cell r="AK295">
            <v>0</v>
          </cell>
          <cell r="AL295">
            <v>0</v>
          </cell>
          <cell r="AM295">
            <v>5232</v>
          </cell>
          <cell r="AN295">
            <v>0</v>
          </cell>
        </row>
        <row r="296">
          <cell r="A296">
            <v>2196</v>
          </cell>
          <cell r="B296" t="str">
            <v>ERIKA CAMPOS MORAN (TULANCINGO)</v>
          </cell>
          <cell r="C296" t="str">
            <v/>
          </cell>
          <cell r="D296" t="str">
            <v>LUIS PONCE #411 SUR</v>
          </cell>
          <cell r="E296" t="str">
            <v>TULANCINGO, HGO.</v>
          </cell>
          <cell r="F296" t="str">
            <v/>
          </cell>
          <cell r="G296" t="str">
            <v>(775) 108-4635 CEL</v>
          </cell>
          <cell r="H296" t="str">
            <v>ERIKA CAMPOS MORAN</v>
          </cell>
          <cell r="I296" t="str">
            <v>ERIKA CAMPOS MORAN</v>
          </cell>
          <cell r="J296" t="str">
            <v>M03</v>
          </cell>
          <cell r="K296" t="str">
            <v/>
          </cell>
          <cell r="L296">
            <v>0</v>
          </cell>
          <cell r="M296">
            <v>300</v>
          </cell>
          <cell r="N296" t="str">
            <v>A</v>
          </cell>
          <cell r="O296">
            <v>41977</v>
          </cell>
          <cell r="P296" t="str">
            <v xml:space="preserve">    9</v>
          </cell>
          <cell r="Q296">
            <v>0</v>
          </cell>
          <cell r="R296">
            <v>0</v>
          </cell>
          <cell r="S296">
            <v>0</v>
          </cell>
          <cell r="T296">
            <v>62771</v>
          </cell>
          <cell r="U296">
            <v>0</v>
          </cell>
          <cell r="V296" t="str">
            <v>CENTRO</v>
          </cell>
          <cell r="W296" t="str">
            <v>(775) 755-3228 RECADOS</v>
          </cell>
          <cell r="X296" t="str">
            <v/>
          </cell>
          <cell r="Y296" t="str">
            <v/>
          </cell>
          <cell r="Z296" t="str">
            <v/>
          </cell>
          <cell r="AA296" t="str">
            <v>(775) 108-4635 CEL</v>
          </cell>
          <cell r="AB296" t="str">
            <v xml:space="preserve">  DEV-177</v>
          </cell>
          <cell r="AC296" t="str">
            <v>M-I9017</v>
          </cell>
          <cell r="AD296" t="str">
            <v/>
          </cell>
          <cell r="AE296" t="str">
            <v/>
          </cell>
          <cell r="AF296" t="str">
            <v/>
          </cell>
          <cell r="AG296">
            <v>41558</v>
          </cell>
          <cell r="AH296" t="str">
            <v>N</v>
          </cell>
          <cell r="AI296">
            <v>0</v>
          </cell>
          <cell r="AJ296">
            <v>0</v>
          </cell>
          <cell r="AK296">
            <v>0</v>
          </cell>
          <cell r="AL296">
            <v>45</v>
          </cell>
          <cell r="AM296">
            <v>5596</v>
          </cell>
          <cell r="AN296">
            <v>0</v>
          </cell>
        </row>
        <row r="297">
          <cell r="A297">
            <v>2197</v>
          </cell>
          <cell r="B297" t="str">
            <v>GUADALUPE NUÑEZ (TEMAZCALCINGO)</v>
          </cell>
          <cell r="C297" t="str">
            <v/>
          </cell>
          <cell r="D297" t="str">
            <v>CARR. ACAMBAY-TEMAZCALCINGO</v>
          </cell>
          <cell r="E297" t="str">
            <v>TEMAZCALCINGO, HGO.</v>
          </cell>
          <cell r="F297" t="str">
            <v/>
          </cell>
          <cell r="G297" t="str">
            <v>(718) 127-8538</v>
          </cell>
          <cell r="H297" t="e">
            <v>#VALUE!</v>
          </cell>
          <cell r="I297" t="str">
            <v>GUADALUPE NUÑEZ</v>
          </cell>
          <cell r="J297" t="str">
            <v>BAJA</v>
          </cell>
          <cell r="K297" t="str">
            <v/>
          </cell>
          <cell r="L297">
            <v>0</v>
          </cell>
          <cell r="M297">
            <v>301</v>
          </cell>
          <cell r="N297" t="str">
            <v>A</v>
          </cell>
          <cell r="O297">
            <v>41325</v>
          </cell>
          <cell r="P297" t="str">
            <v xml:space="preserve">    3</v>
          </cell>
          <cell r="Q297">
            <v>0</v>
          </cell>
          <cell r="R297">
            <v>0</v>
          </cell>
          <cell r="S297">
            <v>0</v>
          </cell>
          <cell r="T297">
            <v>9323</v>
          </cell>
          <cell r="U297">
            <v>0</v>
          </cell>
          <cell r="V297" t="str">
            <v>LA MAGDALENA</v>
          </cell>
          <cell r="W297" t="str">
            <v/>
          </cell>
          <cell r="X297" t="str">
            <v/>
          </cell>
          <cell r="Y297" t="str">
            <v/>
          </cell>
          <cell r="Z297" t="str">
            <v/>
          </cell>
          <cell r="AA297" t="str">
            <v>(718) 127-8538</v>
          </cell>
          <cell r="AB297" t="str">
            <v/>
          </cell>
          <cell r="AC297" t="str">
            <v>R-0263</v>
          </cell>
          <cell r="AD297" t="str">
            <v/>
          </cell>
          <cell r="AE297" t="str">
            <v/>
          </cell>
          <cell r="AF297" t="str">
            <v/>
          </cell>
          <cell r="AH297" t="str">
            <v>N</v>
          </cell>
          <cell r="AI297">
            <v>0</v>
          </cell>
          <cell r="AJ297">
            <v>0</v>
          </cell>
          <cell r="AK297">
            <v>0</v>
          </cell>
          <cell r="AL297">
            <v>0</v>
          </cell>
          <cell r="AM297">
            <v>4036</v>
          </cell>
          <cell r="AN297">
            <v>0</v>
          </cell>
        </row>
        <row r="298">
          <cell r="A298">
            <v>2198</v>
          </cell>
          <cell r="B298" t="str">
            <v>JULIAN VALDEZ (PROGRESO)</v>
          </cell>
          <cell r="C298" t="str">
            <v/>
          </cell>
          <cell r="D298" t="str">
            <v>MATAMOROS</v>
          </cell>
          <cell r="E298" t="str">
            <v>PROGRESO, HGO.</v>
          </cell>
          <cell r="F298" t="str">
            <v/>
          </cell>
          <cell r="G298" t="str">
            <v/>
          </cell>
          <cell r="H298" t="str">
            <v>JULIAN VALDEZ</v>
          </cell>
          <cell r="I298" t="str">
            <v>JULIAN VALDEZ</v>
          </cell>
          <cell r="J298" t="str">
            <v>BAJA</v>
          </cell>
          <cell r="K298" t="str">
            <v/>
          </cell>
          <cell r="L298">
            <v>0</v>
          </cell>
          <cell r="M298">
            <v>302</v>
          </cell>
          <cell r="N298" t="str">
            <v>A</v>
          </cell>
          <cell r="O298">
            <v>41100</v>
          </cell>
          <cell r="P298" t="str">
            <v xml:space="preserve">    1</v>
          </cell>
          <cell r="Q298">
            <v>0</v>
          </cell>
          <cell r="R298">
            <v>0</v>
          </cell>
          <cell r="S298">
            <v>0</v>
          </cell>
          <cell r="T298">
            <v>1922</v>
          </cell>
          <cell r="U298">
            <v>0</v>
          </cell>
          <cell r="V298" t="str">
            <v>CENTRO</v>
          </cell>
          <cell r="W298" t="str">
            <v/>
          </cell>
          <cell r="X298" t="str">
            <v/>
          </cell>
          <cell r="Y298" t="str">
            <v/>
          </cell>
          <cell r="Z298" t="str">
            <v/>
          </cell>
          <cell r="AA298" t="str">
            <v/>
          </cell>
          <cell r="AB298" t="str">
            <v/>
          </cell>
          <cell r="AC298" t="str">
            <v>C284</v>
          </cell>
          <cell r="AD298" t="str">
            <v/>
          </cell>
          <cell r="AE298" t="str">
            <v/>
          </cell>
          <cell r="AF298" t="str">
            <v/>
          </cell>
          <cell r="AH298" t="str">
            <v>N</v>
          </cell>
          <cell r="AI298">
            <v>0</v>
          </cell>
          <cell r="AJ298">
            <v>0</v>
          </cell>
          <cell r="AK298">
            <v>0</v>
          </cell>
          <cell r="AL298">
            <v>0</v>
          </cell>
          <cell r="AM298">
            <v>1922</v>
          </cell>
          <cell r="AN298">
            <v>0</v>
          </cell>
        </row>
        <row r="299">
          <cell r="A299">
            <v>2199</v>
          </cell>
          <cell r="B299" t="str">
            <v>NORMA BEATRIZ LARA CONTRERAS (TOLUCA)</v>
          </cell>
          <cell r="C299" t="str">
            <v/>
          </cell>
          <cell r="D299" t="str">
            <v>MERCADO JUAREZ LOC. 780</v>
          </cell>
          <cell r="E299" t="str">
            <v>TOLUCA, EDO. DE MEXICO</v>
          </cell>
          <cell r="F299" t="str">
            <v/>
          </cell>
          <cell r="G299" t="str">
            <v>(722) 410-3086</v>
          </cell>
          <cell r="H299" t="str">
            <v>NORMA LARA CONTRERAS</v>
          </cell>
          <cell r="I299" t="str">
            <v>NORMA LARA CONTRERAS</v>
          </cell>
          <cell r="J299" t="str">
            <v>BAJA</v>
          </cell>
          <cell r="K299" t="str">
            <v/>
          </cell>
          <cell r="L299">
            <v>0</v>
          </cell>
          <cell r="M299">
            <v>303</v>
          </cell>
          <cell r="N299" t="str">
            <v>S</v>
          </cell>
          <cell r="O299">
            <v>41102</v>
          </cell>
          <cell r="P299" t="str">
            <v xml:space="preserve">    1</v>
          </cell>
          <cell r="Q299">
            <v>0</v>
          </cell>
          <cell r="R299">
            <v>0</v>
          </cell>
          <cell r="S299">
            <v>0</v>
          </cell>
          <cell r="T299">
            <v>1246</v>
          </cell>
          <cell r="U299">
            <v>0</v>
          </cell>
          <cell r="V299" t="str">
            <v>CENTRO</v>
          </cell>
          <cell r="W299" t="str">
            <v/>
          </cell>
          <cell r="X299" t="str">
            <v/>
          </cell>
          <cell r="Y299" t="str">
            <v/>
          </cell>
          <cell r="Z299" t="str">
            <v/>
          </cell>
          <cell r="AA299" t="str">
            <v>(722) 410-3086</v>
          </cell>
          <cell r="AB299" t="str">
            <v/>
          </cell>
          <cell r="AC299" t="str">
            <v xml:space="preserve">   7660</v>
          </cell>
          <cell r="AD299" t="str">
            <v/>
          </cell>
          <cell r="AE299" t="str">
            <v/>
          </cell>
          <cell r="AF299" t="str">
            <v/>
          </cell>
          <cell r="AH299" t="str">
            <v>N</v>
          </cell>
          <cell r="AI299">
            <v>0</v>
          </cell>
          <cell r="AJ299">
            <v>0</v>
          </cell>
          <cell r="AK299">
            <v>0</v>
          </cell>
          <cell r="AL299">
            <v>0</v>
          </cell>
          <cell r="AM299">
            <v>1246</v>
          </cell>
          <cell r="AN299">
            <v>0</v>
          </cell>
        </row>
        <row r="300">
          <cell r="A300">
            <v>2200</v>
          </cell>
          <cell r="B300" t="str">
            <v>ERICKA SALCEDO BADILLO (IXMIQUILPAN)</v>
          </cell>
          <cell r="C300" t="str">
            <v/>
          </cell>
          <cell r="D300" t="str">
            <v>INSURGENTES #128</v>
          </cell>
          <cell r="E300" t="str">
            <v>IXMIQUILPAN, HGO.</v>
          </cell>
          <cell r="F300" t="str">
            <v/>
          </cell>
          <cell r="G300" t="str">
            <v>(772) 111-4191</v>
          </cell>
          <cell r="H300">
            <v>0</v>
          </cell>
          <cell r="I300">
            <v>0</v>
          </cell>
          <cell r="J300" t="str">
            <v>F01</v>
          </cell>
          <cell r="K300" t="str">
            <v/>
          </cell>
          <cell r="L300">
            <v>0</v>
          </cell>
          <cell r="M300">
            <v>304</v>
          </cell>
          <cell r="N300" t="str">
            <v>A</v>
          </cell>
          <cell r="O300">
            <v>41111</v>
          </cell>
          <cell r="P300" t="str">
            <v xml:space="preserve">    1</v>
          </cell>
          <cell r="Q300">
            <v>0</v>
          </cell>
          <cell r="R300">
            <v>0</v>
          </cell>
          <cell r="S300">
            <v>0</v>
          </cell>
          <cell r="T300">
            <v>906</v>
          </cell>
          <cell r="U300">
            <v>0</v>
          </cell>
          <cell r="V300" t="str">
            <v>CENTRO</v>
          </cell>
          <cell r="W300">
            <v>0</v>
          </cell>
          <cell r="X300" t="str">
            <v/>
          </cell>
          <cell r="Y300" t="str">
            <v/>
          </cell>
          <cell r="Z300" t="str">
            <v/>
          </cell>
          <cell r="AB300" t="str">
            <v/>
          </cell>
          <cell r="AD300" t="str">
            <v/>
          </cell>
          <cell r="AE300" t="str">
            <v/>
          </cell>
          <cell r="AF300" t="str">
            <v/>
          </cell>
          <cell r="AH300" t="str">
            <v>N</v>
          </cell>
          <cell r="AI300">
            <v>0</v>
          </cell>
          <cell r="AJ300">
            <v>0</v>
          </cell>
          <cell r="AK300">
            <v>0</v>
          </cell>
          <cell r="AL300">
            <v>0</v>
          </cell>
          <cell r="AM300">
            <v>906</v>
          </cell>
          <cell r="AN300">
            <v>0</v>
          </cell>
        </row>
        <row r="301">
          <cell r="A301">
            <v>2201</v>
          </cell>
          <cell r="B301" t="str">
            <v>DULCE UGALDE (SAN JUAN)</v>
          </cell>
          <cell r="C301" t="str">
            <v/>
          </cell>
          <cell r="D301" t="str">
            <v/>
          </cell>
          <cell r="E301" t="str">
            <v>SAN JUAN DEL RIO, QRO.</v>
          </cell>
          <cell r="F301" t="str">
            <v/>
          </cell>
          <cell r="G301">
            <v>0</v>
          </cell>
          <cell r="H301" t="str">
            <v>DILCE OLGUIN</v>
          </cell>
          <cell r="I301" t="str">
            <v>DILCE OLGUIN</v>
          </cell>
          <cell r="J301" t="str">
            <v>BAJA</v>
          </cell>
          <cell r="K301" t="str">
            <v/>
          </cell>
          <cell r="L301">
            <v>0</v>
          </cell>
          <cell r="M301">
            <v>305</v>
          </cell>
          <cell r="N301" t="str">
            <v>A</v>
          </cell>
          <cell r="O301">
            <v>41111</v>
          </cell>
          <cell r="P301" t="str">
            <v xml:space="preserve">   97</v>
          </cell>
          <cell r="Q301">
            <v>0</v>
          </cell>
          <cell r="R301">
            <v>0</v>
          </cell>
          <cell r="S301">
            <v>0</v>
          </cell>
          <cell r="T301">
            <v>592</v>
          </cell>
          <cell r="U301">
            <v>0</v>
          </cell>
          <cell r="V301" t="str">
            <v>CENTRO</v>
          </cell>
          <cell r="W301" t="str">
            <v/>
          </cell>
          <cell r="X301" t="str">
            <v/>
          </cell>
          <cell r="Y301" t="str">
            <v/>
          </cell>
          <cell r="Z301" t="str">
            <v/>
          </cell>
          <cell r="AA301" t="str">
            <v>(427) 219-5060 CEL</v>
          </cell>
          <cell r="AB301" t="str">
            <v/>
          </cell>
          <cell r="AC301" t="str">
            <v>R-0119</v>
          </cell>
          <cell r="AD301" t="str">
            <v/>
          </cell>
          <cell r="AE301" t="str">
            <v/>
          </cell>
          <cell r="AF301" t="str">
            <v/>
          </cell>
          <cell r="AH301" t="str">
            <v>N</v>
          </cell>
          <cell r="AI301">
            <v>0</v>
          </cell>
          <cell r="AJ301">
            <v>0</v>
          </cell>
          <cell r="AK301">
            <v>0</v>
          </cell>
          <cell r="AL301">
            <v>0</v>
          </cell>
          <cell r="AM301">
            <v>592</v>
          </cell>
          <cell r="AN301">
            <v>0</v>
          </cell>
        </row>
        <row r="302">
          <cell r="A302">
            <v>2203</v>
          </cell>
          <cell r="B302" t="str">
            <v>MARIA DEL ROSARIO OLVERA PEREZ (SAN JUAN)</v>
          </cell>
          <cell r="C302" t="str">
            <v>OEPR-590927-GF7</v>
          </cell>
          <cell r="D302" t="str">
            <v>HIDALGO NTE. #65-A</v>
          </cell>
          <cell r="E302" t="str">
            <v>SAN JUAN DEL RIO, QRO.</v>
          </cell>
          <cell r="F302" t="str">
            <v>76800</v>
          </cell>
          <cell r="G302" t="str">
            <v>(427) 272-1278</v>
          </cell>
          <cell r="H302" t="str">
            <v>ROSARIO OLVERA PEREZ</v>
          </cell>
          <cell r="I302" t="str">
            <v>ROSARIO OLVERA PEREZ</v>
          </cell>
          <cell r="J302" t="str">
            <v>L01</v>
          </cell>
          <cell r="K302" t="str">
            <v/>
          </cell>
          <cell r="L302">
            <v>0</v>
          </cell>
          <cell r="M302">
            <v>306</v>
          </cell>
          <cell r="N302" t="str">
            <v>A</v>
          </cell>
          <cell r="O302">
            <v>41793</v>
          </cell>
          <cell r="P302" t="str">
            <v xml:space="preserve">    1</v>
          </cell>
          <cell r="Q302">
            <v>0</v>
          </cell>
          <cell r="R302">
            <v>0</v>
          </cell>
          <cell r="S302">
            <v>0</v>
          </cell>
          <cell r="T302">
            <v>4400</v>
          </cell>
          <cell r="U302">
            <v>0</v>
          </cell>
          <cell r="V302" t="str">
            <v>CENTRO</v>
          </cell>
          <cell r="W302" t="str">
            <v>(247) 219-5060 CEL</v>
          </cell>
          <cell r="X302" t="str">
            <v>exclusivasglamour@live.com.mx</v>
          </cell>
          <cell r="Y302" t="str">
            <v/>
          </cell>
          <cell r="Z302" t="str">
            <v/>
          </cell>
          <cell r="AA302" t="str">
            <v>(427) 272-1278</v>
          </cell>
          <cell r="AB302" t="str">
            <v/>
          </cell>
          <cell r="AC302" t="str">
            <v>R-0657</v>
          </cell>
          <cell r="AD302" t="str">
            <v/>
          </cell>
          <cell r="AE302" t="str">
            <v/>
          </cell>
          <cell r="AF302" t="str">
            <v/>
          </cell>
          <cell r="AH302" t="str">
            <v>N</v>
          </cell>
          <cell r="AI302">
            <v>0</v>
          </cell>
          <cell r="AJ302">
            <v>0</v>
          </cell>
          <cell r="AK302">
            <v>0</v>
          </cell>
          <cell r="AL302">
            <v>0</v>
          </cell>
          <cell r="AM302">
            <v>750</v>
          </cell>
          <cell r="AN302">
            <v>0</v>
          </cell>
        </row>
        <row r="303">
          <cell r="A303">
            <v>2204</v>
          </cell>
          <cell r="B303" t="str">
            <v>PAMELA RAMIREZ (MIXQUIAHUALA)</v>
          </cell>
          <cell r="C303" t="str">
            <v/>
          </cell>
          <cell r="D303" t="str">
            <v>AV. HIDALGO #55</v>
          </cell>
          <cell r="E303" t="str">
            <v>MIXQUIAHUALA, HGO.</v>
          </cell>
          <cell r="F303" t="str">
            <v/>
          </cell>
          <cell r="G303">
            <v>0</v>
          </cell>
          <cell r="H303">
            <v>0</v>
          </cell>
          <cell r="I303">
            <v>0</v>
          </cell>
          <cell r="J303" t="str">
            <v>F02</v>
          </cell>
          <cell r="K303" t="str">
            <v/>
          </cell>
          <cell r="L303">
            <v>0</v>
          </cell>
          <cell r="M303">
            <v>0</v>
          </cell>
          <cell r="N303">
            <v>0</v>
          </cell>
          <cell r="O303">
            <v>0</v>
          </cell>
          <cell r="P303">
            <v>0</v>
          </cell>
          <cell r="Q303">
            <v>0</v>
          </cell>
          <cell r="R303">
            <v>0</v>
          </cell>
          <cell r="S303">
            <v>0</v>
          </cell>
          <cell r="T303">
            <v>0</v>
          </cell>
          <cell r="U303">
            <v>0</v>
          </cell>
          <cell r="V303">
            <v>0</v>
          </cell>
          <cell r="W303">
            <v>0</v>
          </cell>
          <cell r="X303">
            <v>0</v>
          </cell>
        </row>
        <row r="304">
          <cell r="A304">
            <v>2205</v>
          </cell>
          <cell r="B304" t="str">
            <v>MA. DE LOS ANGELES GARCIA LOPEZ (ACAMBARO)</v>
          </cell>
          <cell r="C304" t="str">
            <v/>
          </cell>
          <cell r="D304" t="str">
            <v>AV. 1º DE MAYO</v>
          </cell>
          <cell r="E304" t="str">
            <v>ACAMBARO, GTO.</v>
          </cell>
          <cell r="F304" t="str">
            <v/>
          </cell>
          <cell r="G304" t="str">
            <v>(417) 172-0969</v>
          </cell>
          <cell r="H304" t="str">
            <v>ANGELES GARCIA</v>
          </cell>
          <cell r="I304" t="str">
            <v>ANGELES GARCIA</v>
          </cell>
          <cell r="J304" t="str">
            <v>J06P</v>
          </cell>
          <cell r="K304" t="str">
            <v/>
          </cell>
          <cell r="L304">
            <v>0</v>
          </cell>
          <cell r="M304">
            <v>308</v>
          </cell>
          <cell r="N304" t="str">
            <v>A</v>
          </cell>
          <cell r="O304">
            <v>42445</v>
          </cell>
          <cell r="P304" t="str">
            <v xml:space="preserve">    1</v>
          </cell>
          <cell r="Q304">
            <v>0</v>
          </cell>
          <cell r="R304">
            <v>0</v>
          </cell>
          <cell r="S304">
            <v>0</v>
          </cell>
          <cell r="T304">
            <v>28044</v>
          </cell>
          <cell r="U304">
            <v>0</v>
          </cell>
          <cell r="V304" t="str">
            <v>CENTRO</v>
          </cell>
          <cell r="W304" t="str">
            <v/>
          </cell>
          <cell r="X304" t="str">
            <v/>
          </cell>
          <cell r="Y304" t="str">
            <v/>
          </cell>
          <cell r="Z304" t="str">
            <v/>
          </cell>
          <cell r="AA304" t="str">
            <v>(417) 172-0969</v>
          </cell>
          <cell r="AB304" t="str">
            <v/>
          </cell>
          <cell r="AC304" t="str">
            <v>J0042</v>
          </cell>
          <cell r="AD304" t="str">
            <v/>
          </cell>
          <cell r="AE304" t="str">
            <v/>
          </cell>
          <cell r="AF304" t="str">
            <v/>
          </cell>
          <cell r="AH304" t="str">
            <v>N</v>
          </cell>
          <cell r="AI304">
            <v>0</v>
          </cell>
          <cell r="AJ304">
            <v>0</v>
          </cell>
          <cell r="AK304">
            <v>0</v>
          </cell>
          <cell r="AL304">
            <v>0</v>
          </cell>
          <cell r="AM304">
            <v>1330</v>
          </cell>
          <cell r="AN304">
            <v>0</v>
          </cell>
        </row>
        <row r="305">
          <cell r="A305">
            <v>2206</v>
          </cell>
          <cell r="B305" t="str">
            <v>ADELA CORREA GONZALEZ (ZINAPECUARO)</v>
          </cell>
          <cell r="C305" t="str">
            <v/>
          </cell>
          <cell r="D305" t="str">
            <v>MORELOS #21-A</v>
          </cell>
          <cell r="E305" t="str">
            <v>ZINAPECUARO, MICH.</v>
          </cell>
          <cell r="F305" t="str">
            <v/>
          </cell>
          <cell r="G305" t="str">
            <v>(451) 355-0519</v>
          </cell>
          <cell r="H305" t="str">
            <v>ADELA CORREA</v>
          </cell>
          <cell r="I305" t="str">
            <v>ADELA CORREA G</v>
          </cell>
          <cell r="J305" t="str">
            <v>J06P</v>
          </cell>
          <cell r="K305" t="str">
            <v/>
          </cell>
          <cell r="L305">
            <v>0</v>
          </cell>
          <cell r="M305">
            <v>309</v>
          </cell>
          <cell r="N305" t="str">
            <v>A</v>
          </cell>
          <cell r="O305">
            <v>42406</v>
          </cell>
          <cell r="P305" t="str">
            <v xml:space="preserve">    1</v>
          </cell>
          <cell r="Q305">
            <v>0</v>
          </cell>
          <cell r="R305">
            <v>0</v>
          </cell>
          <cell r="S305">
            <v>0</v>
          </cell>
          <cell r="T305">
            <v>56797</v>
          </cell>
          <cell r="U305">
            <v>0</v>
          </cell>
          <cell r="V305" t="str">
            <v>CENTRO</v>
          </cell>
          <cell r="W305" t="str">
            <v xml:space="preserve"> </v>
          </cell>
          <cell r="X305" t="str">
            <v>florade@prodigy.net.mx</v>
          </cell>
          <cell r="Y305" t="str">
            <v/>
          </cell>
          <cell r="Z305" t="str">
            <v/>
          </cell>
          <cell r="AA305" t="str">
            <v>(451) 355-0519</v>
          </cell>
          <cell r="AB305" t="str">
            <v/>
          </cell>
          <cell r="AC305" t="str">
            <v>J165868</v>
          </cell>
          <cell r="AD305" t="str">
            <v/>
          </cell>
          <cell r="AE305" t="str">
            <v/>
          </cell>
          <cell r="AF305" t="str">
            <v/>
          </cell>
          <cell r="AH305" t="str">
            <v>N</v>
          </cell>
          <cell r="AI305">
            <v>0</v>
          </cell>
          <cell r="AJ305">
            <v>0</v>
          </cell>
          <cell r="AK305">
            <v>0</v>
          </cell>
          <cell r="AL305">
            <v>0</v>
          </cell>
          <cell r="AM305">
            <v>320</v>
          </cell>
          <cell r="AN305">
            <v>0</v>
          </cell>
        </row>
        <row r="306">
          <cell r="A306">
            <v>2207</v>
          </cell>
          <cell r="B306" t="str">
            <v>IVONNE CALDERON (ACAMBARO)</v>
          </cell>
          <cell r="C306" t="str">
            <v/>
          </cell>
          <cell r="D306" t="str">
            <v>1º DE MAYO #1301</v>
          </cell>
          <cell r="E306" t="str">
            <v>ACAMBARO, GTO.</v>
          </cell>
          <cell r="F306" t="str">
            <v/>
          </cell>
          <cell r="G306" t="str">
            <v>(443) 223-7477 CEL</v>
          </cell>
          <cell r="H306" t="str">
            <v>IVONNE CALDERON</v>
          </cell>
          <cell r="I306" t="str">
            <v>IVONNE CALDERON</v>
          </cell>
          <cell r="J306" t="str">
            <v>BAJA</v>
          </cell>
          <cell r="K306" t="str">
            <v/>
          </cell>
          <cell r="L306">
            <v>0</v>
          </cell>
          <cell r="M306">
            <v>310</v>
          </cell>
          <cell r="N306" t="str">
            <v>A</v>
          </cell>
          <cell r="O306">
            <v>41316</v>
          </cell>
          <cell r="P306" t="str">
            <v xml:space="preserve">    1</v>
          </cell>
          <cell r="Q306">
            <v>0</v>
          </cell>
          <cell r="R306">
            <v>0</v>
          </cell>
          <cell r="S306">
            <v>0</v>
          </cell>
          <cell r="T306">
            <v>6065</v>
          </cell>
          <cell r="U306">
            <v>0</v>
          </cell>
          <cell r="V306" t="str">
            <v>CENTRO</v>
          </cell>
          <cell r="W306" t="str">
            <v/>
          </cell>
          <cell r="X306" t="str">
            <v/>
          </cell>
          <cell r="Y306" t="str">
            <v/>
          </cell>
          <cell r="Z306" t="str">
            <v/>
          </cell>
          <cell r="AA306" t="str">
            <v>(443) 223-7477 CEL</v>
          </cell>
          <cell r="AB306" t="str">
            <v/>
          </cell>
          <cell r="AC306" t="str">
            <v>C629</v>
          </cell>
          <cell r="AD306" t="str">
            <v/>
          </cell>
          <cell r="AE306" t="str">
            <v/>
          </cell>
          <cell r="AF306" t="str">
            <v/>
          </cell>
          <cell r="AH306" t="str">
            <v>N</v>
          </cell>
          <cell r="AI306">
            <v>0</v>
          </cell>
          <cell r="AJ306">
            <v>0</v>
          </cell>
          <cell r="AK306">
            <v>0</v>
          </cell>
          <cell r="AL306">
            <v>0</v>
          </cell>
          <cell r="AM306">
            <v>3520</v>
          </cell>
          <cell r="AN306">
            <v>0</v>
          </cell>
        </row>
        <row r="307">
          <cell r="A307">
            <v>2208</v>
          </cell>
          <cell r="B307" t="str">
            <v>MA. CONCEPCION GOMEZ GARCIA (TOLUCA)</v>
          </cell>
          <cell r="C307" t="str">
            <v/>
          </cell>
          <cell r="D307" t="str">
            <v>REFORMA #529</v>
          </cell>
          <cell r="E307" t="str">
            <v>TOLUCA, EDO. DE MEXICO</v>
          </cell>
          <cell r="F307" t="str">
            <v/>
          </cell>
          <cell r="G307" t="str">
            <v/>
          </cell>
          <cell r="H307" t="str">
            <v>CONCEPCION GOMEZ</v>
          </cell>
          <cell r="I307" t="str">
            <v>CONCEPCION GOMEZ</v>
          </cell>
          <cell r="J307" t="str">
            <v>BAJA</v>
          </cell>
          <cell r="K307" t="str">
            <v/>
          </cell>
          <cell r="L307">
            <v>0</v>
          </cell>
          <cell r="M307">
            <v>320</v>
          </cell>
          <cell r="N307" t="str">
            <v>S</v>
          </cell>
          <cell r="O307">
            <v>41139</v>
          </cell>
          <cell r="P307" t="str">
            <v xml:space="preserve">    1</v>
          </cell>
          <cell r="Q307">
            <v>0</v>
          </cell>
          <cell r="R307">
            <v>0</v>
          </cell>
          <cell r="S307">
            <v>0</v>
          </cell>
          <cell r="T307">
            <v>9172</v>
          </cell>
          <cell r="U307">
            <v>0</v>
          </cell>
          <cell r="V307" t="str">
            <v>CAPULFITLAN</v>
          </cell>
          <cell r="W307" t="str">
            <v/>
          </cell>
          <cell r="X307" t="str">
            <v/>
          </cell>
          <cell r="Y307" t="str">
            <v/>
          </cell>
          <cell r="Z307" t="str">
            <v/>
          </cell>
          <cell r="AA307" t="str">
            <v/>
          </cell>
          <cell r="AB307" t="str">
            <v/>
          </cell>
          <cell r="AC307" t="str">
            <v>C299</v>
          </cell>
          <cell r="AD307" t="str">
            <v/>
          </cell>
          <cell r="AE307" t="str">
            <v/>
          </cell>
          <cell r="AF307" t="str">
            <v/>
          </cell>
          <cell r="AH307" t="str">
            <v>N</v>
          </cell>
          <cell r="AI307">
            <v>0</v>
          </cell>
          <cell r="AJ307">
            <v>0</v>
          </cell>
          <cell r="AK307">
            <v>0</v>
          </cell>
          <cell r="AL307">
            <v>0</v>
          </cell>
          <cell r="AM307">
            <v>2610</v>
          </cell>
          <cell r="AN307">
            <v>0</v>
          </cell>
        </row>
        <row r="308">
          <cell r="A308">
            <v>2209</v>
          </cell>
          <cell r="B308" t="str">
            <v xml:space="preserve">ISABEL LANDEROS R. (ESCOBEDO)                               </v>
          </cell>
          <cell r="C308" t="str">
            <v/>
          </cell>
          <cell r="D308" t="str">
            <v xml:space="preserve">PANAMERICANA #37 "A"                    </v>
          </cell>
          <cell r="E308" t="str">
            <v xml:space="preserve">PEDRO ESCOBEDO, QRO.          </v>
          </cell>
          <cell r="F308" t="str">
            <v/>
          </cell>
          <cell r="G308" t="str">
            <v>(448) 110-6404</v>
          </cell>
          <cell r="H308" t="str">
            <v>MARGARITA OLVERA</v>
          </cell>
          <cell r="I308" t="str">
            <v>MARGARITA OLVERA</v>
          </cell>
          <cell r="J308" t="str">
            <v>L04</v>
          </cell>
          <cell r="K308" t="str">
            <v/>
          </cell>
          <cell r="L308">
            <v>0</v>
          </cell>
          <cell r="M308">
            <v>312</v>
          </cell>
          <cell r="N308" t="str">
            <v>A</v>
          </cell>
          <cell r="O308">
            <v>41274</v>
          </cell>
          <cell r="P308" t="str">
            <v xml:space="preserve">   11</v>
          </cell>
          <cell r="Q308">
            <v>0</v>
          </cell>
          <cell r="R308">
            <v>0</v>
          </cell>
          <cell r="S308">
            <v>0</v>
          </cell>
          <cell r="T308">
            <v>6772.84</v>
          </cell>
          <cell r="U308">
            <v>0</v>
          </cell>
          <cell r="V308" t="str">
            <v>CENTRO</v>
          </cell>
          <cell r="W308" t="str">
            <v/>
          </cell>
          <cell r="X308" t="str">
            <v/>
          </cell>
          <cell r="Y308" t="str">
            <v/>
          </cell>
          <cell r="Z308" t="str">
            <v/>
          </cell>
          <cell r="AA308" t="str">
            <v>(738) 725-2151</v>
          </cell>
          <cell r="AB308" t="str">
            <v/>
          </cell>
          <cell r="AC308" t="str">
            <v xml:space="preserve">   0109</v>
          </cell>
          <cell r="AD308" t="str">
            <v/>
          </cell>
          <cell r="AE308" t="str">
            <v/>
          </cell>
          <cell r="AF308" t="str">
            <v/>
          </cell>
          <cell r="AH308" t="str">
            <v>N</v>
          </cell>
          <cell r="AI308">
            <v>0</v>
          </cell>
          <cell r="AJ308">
            <v>0</v>
          </cell>
          <cell r="AK308">
            <v>0</v>
          </cell>
          <cell r="AL308">
            <v>0</v>
          </cell>
          <cell r="AM308">
            <v>475</v>
          </cell>
          <cell r="AN308">
            <v>0</v>
          </cell>
        </row>
        <row r="309">
          <cell r="A309">
            <v>2210</v>
          </cell>
          <cell r="B309" t="str">
            <v>MA. TERESA BAUTISTA DE ROLDAN (TEMASCALCINGO)</v>
          </cell>
          <cell r="C309" t="str">
            <v/>
          </cell>
          <cell r="D309" t="str">
            <v>AV. JESUS CHAPARRO S/N</v>
          </cell>
          <cell r="E309" t="str">
            <v>TEMAZCALCINGO, HGO.</v>
          </cell>
          <cell r="F309" t="str">
            <v/>
          </cell>
          <cell r="G309" t="str">
            <v>(712) 164-9059 CEL</v>
          </cell>
          <cell r="H309" t="str">
            <v>MA. TERESA BAUTISTA</v>
          </cell>
          <cell r="I309" t="str">
            <v>MA. TERESA BAUTISTA</v>
          </cell>
          <cell r="J309" t="str">
            <v>BAJA</v>
          </cell>
          <cell r="K309" t="str">
            <v/>
          </cell>
          <cell r="L309">
            <v>0</v>
          </cell>
          <cell r="M309">
            <v>313</v>
          </cell>
          <cell r="N309" t="str">
            <v>A</v>
          </cell>
          <cell r="O309">
            <v>41136</v>
          </cell>
          <cell r="P309" t="str">
            <v xml:space="preserve">    3</v>
          </cell>
          <cell r="Q309">
            <v>0</v>
          </cell>
          <cell r="R309">
            <v>0</v>
          </cell>
          <cell r="S309">
            <v>0</v>
          </cell>
          <cell r="T309">
            <v>6300</v>
          </cell>
          <cell r="U309">
            <v>0</v>
          </cell>
          <cell r="V309" t="str">
            <v/>
          </cell>
          <cell r="W309" t="str">
            <v>(718) 126-1568</v>
          </cell>
          <cell r="X309" t="str">
            <v/>
          </cell>
          <cell r="Y309" t="str">
            <v/>
          </cell>
          <cell r="Z309" t="str">
            <v/>
          </cell>
          <cell r="AA309" t="str">
            <v>(712) 164-9059 CEL</v>
          </cell>
          <cell r="AB309" t="str">
            <v/>
          </cell>
          <cell r="AC309" t="str">
            <v>A-0477</v>
          </cell>
          <cell r="AD309" t="str">
            <v/>
          </cell>
          <cell r="AE309" t="str">
            <v/>
          </cell>
          <cell r="AF309" t="str">
            <v/>
          </cell>
          <cell r="AH309" t="str">
            <v>N</v>
          </cell>
          <cell r="AI309">
            <v>0</v>
          </cell>
          <cell r="AJ309">
            <v>0</v>
          </cell>
          <cell r="AK309">
            <v>0</v>
          </cell>
          <cell r="AL309">
            <v>0</v>
          </cell>
          <cell r="AM309">
            <v>1575</v>
          </cell>
          <cell r="AN309">
            <v>0</v>
          </cell>
        </row>
        <row r="310">
          <cell r="A310">
            <v>2211</v>
          </cell>
          <cell r="B310" t="str">
            <v>ALMA ROSA ROMERO (ZINAPECUARO)</v>
          </cell>
          <cell r="C310" t="str">
            <v/>
          </cell>
          <cell r="D310" t="str">
            <v>MORELOS #29</v>
          </cell>
          <cell r="E310" t="str">
            <v>ZINAPECUARO, MICH.</v>
          </cell>
          <cell r="F310" t="str">
            <v/>
          </cell>
          <cell r="G310" t="str">
            <v>(443) 123-0029 CEL</v>
          </cell>
          <cell r="H310" t="str">
            <v>ALMA ROSA ROMERO</v>
          </cell>
          <cell r="I310" t="str">
            <v>ALMA ROSA ROMERO</v>
          </cell>
          <cell r="J310" t="str">
            <v>J06</v>
          </cell>
          <cell r="K310" t="str">
            <v/>
          </cell>
          <cell r="L310">
            <v>0</v>
          </cell>
          <cell r="M310">
            <v>314</v>
          </cell>
          <cell r="N310" t="str">
            <v>A</v>
          </cell>
          <cell r="O310">
            <v>42244</v>
          </cell>
          <cell r="P310" t="str">
            <v xml:space="preserve">    1</v>
          </cell>
          <cell r="Q310">
            <v>0</v>
          </cell>
          <cell r="R310">
            <v>0</v>
          </cell>
          <cell r="S310">
            <v>0</v>
          </cell>
          <cell r="T310">
            <v>15577</v>
          </cell>
          <cell r="U310">
            <v>0</v>
          </cell>
          <cell r="V310" t="str">
            <v>CENTRO</v>
          </cell>
          <cell r="W310" t="str">
            <v>(451) 355-2616 CASA</v>
          </cell>
          <cell r="X310" t="str">
            <v/>
          </cell>
          <cell r="Y310" t="str">
            <v/>
          </cell>
          <cell r="Z310" t="str">
            <v/>
          </cell>
          <cell r="AA310" t="str">
            <v>(443) 123-0029 CEL</v>
          </cell>
          <cell r="AB310" t="str">
            <v/>
          </cell>
          <cell r="AC310" t="str">
            <v>F380</v>
          </cell>
          <cell r="AD310" t="str">
            <v/>
          </cell>
          <cell r="AE310" t="str">
            <v/>
          </cell>
          <cell r="AF310" t="str">
            <v/>
          </cell>
          <cell r="AH310" t="str">
            <v>N</v>
          </cell>
          <cell r="AI310">
            <v>0</v>
          </cell>
          <cell r="AJ310">
            <v>0</v>
          </cell>
          <cell r="AK310">
            <v>0</v>
          </cell>
          <cell r="AL310">
            <v>0</v>
          </cell>
          <cell r="AM310">
            <v>2675</v>
          </cell>
          <cell r="AN310">
            <v>0</v>
          </cell>
        </row>
        <row r="311">
          <cell r="A311">
            <v>2212</v>
          </cell>
          <cell r="B311" t="str">
            <v>ALMA DURAN SANCHEZ (COYOTEPEC)</v>
          </cell>
          <cell r="C311" t="str">
            <v/>
          </cell>
          <cell r="D311" t="str">
            <v>DOMINGO CASTRO</v>
          </cell>
          <cell r="E311" t="str">
            <v>COYOTEPEC, EDO. DE MEXICO</v>
          </cell>
          <cell r="F311" t="str">
            <v/>
          </cell>
          <cell r="G311" t="str">
            <v/>
          </cell>
          <cell r="H311" t="str">
            <v>ALMA DURAN SANCHEZ</v>
          </cell>
          <cell r="I311" t="str">
            <v>ALMA DURAN SANCHEZ</v>
          </cell>
          <cell r="J311" t="str">
            <v>BAJA</v>
          </cell>
          <cell r="K311" t="str">
            <v/>
          </cell>
          <cell r="L311">
            <v>0</v>
          </cell>
          <cell r="M311">
            <v>315</v>
          </cell>
          <cell r="N311" t="str">
            <v>A</v>
          </cell>
          <cell r="O311">
            <v>41122</v>
          </cell>
          <cell r="P311" t="str">
            <v xml:space="preserve">    9</v>
          </cell>
          <cell r="Q311">
            <v>0</v>
          </cell>
          <cell r="R311">
            <v>0</v>
          </cell>
          <cell r="S311">
            <v>0</v>
          </cell>
          <cell r="T311">
            <v>1444</v>
          </cell>
          <cell r="U311">
            <v>0</v>
          </cell>
          <cell r="V311" t="str">
            <v>CENTRO</v>
          </cell>
          <cell r="W311" t="str">
            <v/>
          </cell>
          <cell r="X311" t="str">
            <v/>
          </cell>
          <cell r="Y311" t="str">
            <v/>
          </cell>
          <cell r="Z311" t="str">
            <v/>
          </cell>
          <cell r="AA311" t="str">
            <v/>
          </cell>
          <cell r="AB311" t="str">
            <v/>
          </cell>
          <cell r="AC311" t="str">
            <v>C510</v>
          </cell>
          <cell r="AD311" t="str">
            <v/>
          </cell>
          <cell r="AE311" t="str">
            <v/>
          </cell>
          <cell r="AF311" t="str">
            <v/>
          </cell>
          <cell r="AH311" t="str">
            <v>N</v>
          </cell>
          <cell r="AI311">
            <v>0</v>
          </cell>
          <cell r="AJ311">
            <v>0</v>
          </cell>
          <cell r="AK311">
            <v>0</v>
          </cell>
          <cell r="AL311">
            <v>0</v>
          </cell>
          <cell r="AM311">
            <v>687</v>
          </cell>
          <cell r="AN311">
            <v>0</v>
          </cell>
        </row>
        <row r="312">
          <cell r="A312">
            <v>2213</v>
          </cell>
          <cell r="B312" t="str">
            <v>MA. GUADALUPE FERREL OVIEDO (SAN JUAN)</v>
          </cell>
          <cell r="C312" t="str">
            <v/>
          </cell>
          <cell r="D312" t="str">
            <v>MINA #67</v>
          </cell>
          <cell r="E312" t="str">
            <v>SAN JUAN DEL RIO, QRO.</v>
          </cell>
          <cell r="F312" t="str">
            <v/>
          </cell>
          <cell r="G312" t="str">
            <v/>
          </cell>
          <cell r="H312" t="str">
            <v>MA. GUADALUPE FERREL</v>
          </cell>
          <cell r="I312" t="str">
            <v>MA. GUADALUPE FERREL</v>
          </cell>
          <cell r="J312" t="str">
            <v>L01P</v>
          </cell>
          <cell r="K312" t="str">
            <v/>
          </cell>
          <cell r="L312">
            <v>0</v>
          </cell>
          <cell r="M312">
            <v>316</v>
          </cell>
          <cell r="N312" t="str">
            <v>A</v>
          </cell>
          <cell r="O312">
            <v>42336</v>
          </cell>
          <cell r="P312" t="str">
            <v xml:space="preserve">    1</v>
          </cell>
          <cell r="Q312">
            <v>0</v>
          </cell>
          <cell r="R312">
            <v>0</v>
          </cell>
          <cell r="S312">
            <v>0</v>
          </cell>
          <cell r="T312">
            <v>37706</v>
          </cell>
          <cell r="U312">
            <v>0</v>
          </cell>
          <cell r="V312" t="str">
            <v>CENTRO</v>
          </cell>
          <cell r="W312" t="str">
            <v/>
          </cell>
          <cell r="X312" t="str">
            <v/>
          </cell>
          <cell r="Y312" t="str">
            <v/>
          </cell>
          <cell r="Z312" t="str">
            <v/>
          </cell>
          <cell r="AA312" t="str">
            <v/>
          </cell>
          <cell r="AB312" t="str">
            <v/>
          </cell>
          <cell r="AC312" t="str">
            <v>L0086</v>
          </cell>
          <cell r="AD312" t="str">
            <v/>
          </cell>
          <cell r="AE312" t="str">
            <v/>
          </cell>
          <cell r="AF312" t="str">
            <v/>
          </cell>
          <cell r="AH312" t="str">
            <v>N</v>
          </cell>
          <cell r="AI312">
            <v>0</v>
          </cell>
          <cell r="AJ312">
            <v>0</v>
          </cell>
          <cell r="AK312">
            <v>0</v>
          </cell>
          <cell r="AL312">
            <v>0</v>
          </cell>
          <cell r="AM312">
            <v>2867</v>
          </cell>
          <cell r="AN312">
            <v>0</v>
          </cell>
        </row>
        <row r="313">
          <cell r="A313">
            <v>2214</v>
          </cell>
          <cell r="B313" t="str">
            <v>ARACELI CRUZ HERNANDEZ (QUERETARO)</v>
          </cell>
          <cell r="C313" t="str">
            <v/>
          </cell>
          <cell r="D313" t="str">
            <v>GUERRERO S/N</v>
          </cell>
          <cell r="E313" t="str">
            <v>EL COLORADO, QRO.</v>
          </cell>
          <cell r="F313" t="str">
            <v/>
          </cell>
          <cell r="G313" t="str">
            <v/>
          </cell>
          <cell r="H313" t="str">
            <v>ARACELI CRUZ H.</v>
          </cell>
          <cell r="I313" t="str">
            <v>ARACELI CRUZ H.</v>
          </cell>
          <cell r="J313" t="str">
            <v>BAJA</v>
          </cell>
          <cell r="K313" t="str">
            <v/>
          </cell>
          <cell r="L313">
            <v>0</v>
          </cell>
          <cell r="M313">
            <v>317</v>
          </cell>
          <cell r="N313" t="str">
            <v>A</v>
          </cell>
          <cell r="O313">
            <v>41128</v>
          </cell>
          <cell r="P313" t="str">
            <v xml:space="preserve">    1</v>
          </cell>
          <cell r="Q313">
            <v>0</v>
          </cell>
          <cell r="R313">
            <v>0</v>
          </cell>
          <cell r="S313">
            <v>0</v>
          </cell>
          <cell r="T313">
            <v>505</v>
          </cell>
          <cell r="U313">
            <v>0</v>
          </cell>
          <cell r="V313" t="str">
            <v>CENTRO</v>
          </cell>
          <cell r="W313" t="str">
            <v/>
          </cell>
          <cell r="X313" t="str">
            <v/>
          </cell>
          <cell r="Y313" t="str">
            <v/>
          </cell>
          <cell r="Z313" t="str">
            <v/>
          </cell>
          <cell r="AA313" t="str">
            <v/>
          </cell>
          <cell r="AB313" t="str">
            <v/>
          </cell>
          <cell r="AC313" t="str">
            <v>P0010</v>
          </cell>
          <cell r="AD313" t="str">
            <v/>
          </cell>
          <cell r="AE313" t="str">
            <v/>
          </cell>
          <cell r="AF313" t="str">
            <v/>
          </cell>
          <cell r="AH313" t="str">
            <v>N</v>
          </cell>
          <cell r="AI313">
            <v>0</v>
          </cell>
          <cell r="AJ313">
            <v>0</v>
          </cell>
          <cell r="AK313">
            <v>0</v>
          </cell>
          <cell r="AL313">
            <v>0</v>
          </cell>
          <cell r="AM313">
            <v>505</v>
          </cell>
          <cell r="AN313">
            <v>0</v>
          </cell>
        </row>
        <row r="314">
          <cell r="A314">
            <v>2215</v>
          </cell>
          <cell r="B314" t="str">
            <v>JUAN CARLOS GONZALEZ RODRIGUEZ (TLALNEPANTLA)</v>
          </cell>
          <cell r="C314" t="str">
            <v/>
          </cell>
          <cell r="D314" t="str">
            <v>PLAZA CASA BLANCA LOC. 28, 29 Y 30</v>
          </cell>
          <cell r="E314" t="str">
            <v>TLALNEPANTLA, EDO. DE MEXICO</v>
          </cell>
          <cell r="F314" t="str">
            <v>54000</v>
          </cell>
          <cell r="G314" t="str">
            <v>(55) 4974-1285</v>
          </cell>
          <cell r="H314" t="str">
            <v>JUAN CARLOS GONZALEZ</v>
          </cell>
          <cell r="I314" t="str">
            <v>JUAN CARLOS GONZALEZ</v>
          </cell>
          <cell r="J314" t="str">
            <v>M02</v>
          </cell>
          <cell r="K314" t="str">
            <v/>
          </cell>
          <cell r="L314">
            <v>0</v>
          </cell>
          <cell r="M314">
            <v>318</v>
          </cell>
          <cell r="N314" t="str">
            <v>A</v>
          </cell>
          <cell r="O314">
            <v>41848</v>
          </cell>
          <cell r="P314" t="str">
            <v xml:space="preserve">    9</v>
          </cell>
          <cell r="Q314">
            <v>0</v>
          </cell>
          <cell r="R314">
            <v>0</v>
          </cell>
          <cell r="S314">
            <v>0</v>
          </cell>
          <cell r="T314">
            <v>27935.8</v>
          </cell>
          <cell r="U314">
            <v>7</v>
          </cell>
          <cell r="V314" t="str">
            <v>CENTRO</v>
          </cell>
          <cell r="W314" t="str">
            <v/>
          </cell>
          <cell r="X314" t="str">
            <v/>
          </cell>
          <cell r="Y314" t="str">
            <v/>
          </cell>
          <cell r="Z314" t="str">
            <v/>
          </cell>
          <cell r="AA314" t="str">
            <v>(55) 4974-1285</v>
          </cell>
          <cell r="AB314" t="str">
            <v/>
          </cell>
          <cell r="AC314" t="str">
            <v>M074</v>
          </cell>
          <cell r="AD314" t="str">
            <v/>
          </cell>
          <cell r="AE314" t="str">
            <v/>
          </cell>
          <cell r="AF314" t="str">
            <v/>
          </cell>
          <cell r="AH314" t="str">
            <v>N</v>
          </cell>
          <cell r="AI314">
            <v>0</v>
          </cell>
          <cell r="AJ314">
            <v>0</v>
          </cell>
          <cell r="AK314">
            <v>0</v>
          </cell>
          <cell r="AL314">
            <v>0</v>
          </cell>
          <cell r="AM314">
            <v>4247</v>
          </cell>
          <cell r="AN314">
            <v>0</v>
          </cell>
        </row>
        <row r="315">
          <cell r="A315">
            <v>2216</v>
          </cell>
          <cell r="B315" t="str">
            <v>LEOVIGILDO MATEOS LOPEZ (TLALNEPANTLA)</v>
          </cell>
          <cell r="C315" t="str">
            <v/>
          </cell>
          <cell r="D315" t="str">
            <v>MERCADO DE TLALNEPANTLA LOC. 11</v>
          </cell>
          <cell r="E315" t="str">
            <v>TLALNEPANTLA, EDO. DE MEXICO</v>
          </cell>
          <cell r="F315" t="str">
            <v/>
          </cell>
          <cell r="G315" t="str">
            <v>(55) 5236-5019</v>
          </cell>
          <cell r="H315" t="str">
            <v>LEOVIGILDO MATEOS L.</v>
          </cell>
          <cell r="I315" t="str">
            <v>LEOVIGILDO MATEOS L.</v>
          </cell>
          <cell r="J315" t="str">
            <v>M02</v>
          </cell>
          <cell r="K315" t="str">
            <v/>
          </cell>
          <cell r="L315">
            <v>0</v>
          </cell>
          <cell r="M315">
            <v>319</v>
          </cell>
          <cell r="N315" t="str">
            <v>A</v>
          </cell>
          <cell r="O315">
            <v>41801</v>
          </cell>
          <cell r="P315" t="str">
            <v xml:space="preserve">    9</v>
          </cell>
          <cell r="Q315">
            <v>0</v>
          </cell>
          <cell r="R315">
            <v>0</v>
          </cell>
          <cell r="S315">
            <v>0</v>
          </cell>
          <cell r="T315">
            <v>47329</v>
          </cell>
          <cell r="U315">
            <v>0</v>
          </cell>
          <cell r="V315" t="str">
            <v>CENTRO</v>
          </cell>
          <cell r="W315" t="str">
            <v>(55) 1335-8679 CEL</v>
          </cell>
          <cell r="X315" t="str">
            <v/>
          </cell>
          <cell r="Y315" t="str">
            <v/>
          </cell>
          <cell r="Z315" t="str">
            <v/>
          </cell>
          <cell r="AA315" t="str">
            <v>(55) 5236-5019</v>
          </cell>
          <cell r="AB315" t="str">
            <v xml:space="preserve">  DEV-154</v>
          </cell>
          <cell r="AC315" t="str">
            <v>M2514</v>
          </cell>
          <cell r="AD315" t="str">
            <v/>
          </cell>
          <cell r="AE315" t="str">
            <v/>
          </cell>
          <cell r="AF315" t="str">
            <v/>
          </cell>
          <cell r="AG315">
            <v>41472</v>
          </cell>
          <cell r="AH315" t="str">
            <v>N</v>
          </cell>
          <cell r="AI315">
            <v>0</v>
          </cell>
          <cell r="AJ315">
            <v>0</v>
          </cell>
          <cell r="AK315">
            <v>0</v>
          </cell>
          <cell r="AL315">
            <v>236</v>
          </cell>
          <cell r="AM315">
            <v>5012</v>
          </cell>
          <cell r="AN315">
            <v>0</v>
          </cell>
        </row>
        <row r="316">
          <cell r="A316">
            <v>2217</v>
          </cell>
          <cell r="B316" t="str">
            <v>KARINA GONZALEZ RUIZ (SAN JUAN)</v>
          </cell>
          <cell r="C316" t="str">
            <v/>
          </cell>
          <cell r="D316" t="str">
            <v>AV. DE LOS GANZOS #45</v>
          </cell>
          <cell r="E316" t="str">
            <v>SAN JUAN DEL RIO, QRO.</v>
          </cell>
          <cell r="F316" t="str">
            <v/>
          </cell>
          <cell r="G316" t="str">
            <v>(427) 110-4647</v>
          </cell>
          <cell r="H316" t="str">
            <v>KARINA GONZALEZ</v>
          </cell>
          <cell r="I316" t="str">
            <v>KARINA GONZALEZ</v>
          </cell>
          <cell r="J316" t="str">
            <v>L01P</v>
          </cell>
          <cell r="K316" t="str">
            <v/>
          </cell>
          <cell r="L316">
            <v>0</v>
          </cell>
          <cell r="M316">
            <v>321</v>
          </cell>
          <cell r="N316" t="str">
            <v>A</v>
          </cell>
          <cell r="O316">
            <v>42394</v>
          </cell>
          <cell r="P316" t="str">
            <v xml:space="preserve">   97</v>
          </cell>
          <cell r="Q316">
            <v>0</v>
          </cell>
          <cell r="R316">
            <v>0</v>
          </cell>
          <cell r="S316">
            <v>732</v>
          </cell>
          <cell r="T316">
            <v>32316.5</v>
          </cell>
          <cell r="U316">
            <v>0</v>
          </cell>
          <cell r="V316" t="str">
            <v>INDECO</v>
          </cell>
          <cell r="W316" t="str">
            <v/>
          </cell>
          <cell r="X316" t="str">
            <v/>
          </cell>
          <cell r="Y316" t="str">
            <v/>
          </cell>
          <cell r="Z316" t="str">
            <v/>
          </cell>
          <cell r="AA316" t="str">
            <v>(427) 110-4647</v>
          </cell>
          <cell r="AB316" t="str">
            <v/>
          </cell>
          <cell r="AC316" t="str">
            <v>L841410</v>
          </cell>
          <cell r="AD316" t="str">
            <v/>
          </cell>
          <cell r="AE316" t="str">
            <v/>
          </cell>
          <cell r="AF316" t="str">
            <v/>
          </cell>
          <cell r="AH316" t="str">
            <v>N</v>
          </cell>
          <cell r="AI316">
            <v>0</v>
          </cell>
          <cell r="AJ316">
            <v>0</v>
          </cell>
          <cell r="AK316">
            <v>0</v>
          </cell>
          <cell r="AL316">
            <v>0</v>
          </cell>
          <cell r="AM316">
            <v>3042</v>
          </cell>
          <cell r="AN316">
            <v>0</v>
          </cell>
        </row>
        <row r="317">
          <cell r="A317">
            <v>2218</v>
          </cell>
          <cell r="B317" t="str">
            <v>CONRADO MANZUT GONZALEZ (TEQUIS)</v>
          </cell>
          <cell r="C317" t="str">
            <v/>
          </cell>
          <cell r="D317" t="str">
            <v>PALMAS #1</v>
          </cell>
          <cell r="E317" t="str">
            <v xml:space="preserve">TEQUISQUIAPAN, QRO.           </v>
          </cell>
          <cell r="F317" t="str">
            <v/>
          </cell>
          <cell r="G317" t="str">
            <v>(414) 100-2194</v>
          </cell>
          <cell r="H317" t="str">
            <v>ISABEL ACEVEDO M.</v>
          </cell>
          <cell r="I317" t="str">
            <v>ISABEL ACEVEDO M.</v>
          </cell>
          <cell r="J317" t="str">
            <v>J02</v>
          </cell>
          <cell r="K317" t="str">
            <v/>
          </cell>
          <cell r="L317">
            <v>0</v>
          </cell>
          <cell r="M317">
            <v>322</v>
          </cell>
          <cell r="N317" t="str">
            <v>A</v>
          </cell>
          <cell r="O317">
            <v>41142</v>
          </cell>
          <cell r="P317" t="str">
            <v xml:space="preserve">    1</v>
          </cell>
          <cell r="Q317">
            <v>0</v>
          </cell>
          <cell r="R317">
            <v>0</v>
          </cell>
          <cell r="S317">
            <v>0</v>
          </cell>
          <cell r="T317">
            <v>1348</v>
          </cell>
          <cell r="U317">
            <v>0</v>
          </cell>
          <cell r="V317" t="str">
            <v xml:space="preserve">LOS SABINOS         </v>
          </cell>
          <cell r="W317" t="str">
            <v/>
          </cell>
          <cell r="X317" t="str">
            <v/>
          </cell>
          <cell r="Y317" t="str">
            <v/>
          </cell>
          <cell r="Z317" t="str">
            <v/>
          </cell>
          <cell r="AA317" t="str">
            <v/>
          </cell>
          <cell r="AB317" t="str">
            <v/>
          </cell>
          <cell r="AC317" t="str">
            <v>P0012</v>
          </cell>
          <cell r="AD317" t="str">
            <v/>
          </cell>
          <cell r="AE317" t="str">
            <v/>
          </cell>
          <cell r="AF317" t="str">
            <v/>
          </cell>
          <cell r="AH317" t="str">
            <v>N</v>
          </cell>
          <cell r="AI317">
            <v>0</v>
          </cell>
          <cell r="AJ317">
            <v>0</v>
          </cell>
          <cell r="AK317">
            <v>0</v>
          </cell>
          <cell r="AL317">
            <v>0</v>
          </cell>
          <cell r="AM317">
            <v>1348</v>
          </cell>
          <cell r="AN317">
            <v>0</v>
          </cell>
        </row>
        <row r="318">
          <cell r="A318">
            <v>2219</v>
          </cell>
          <cell r="B318" t="str">
            <v>NOE ADRIAN TERCERO GALLEGOS (ZINAPECUARO)</v>
          </cell>
          <cell r="C318" t="str">
            <v/>
          </cell>
          <cell r="D318" t="str">
            <v>MORELOS 21A</v>
          </cell>
          <cell r="E318" t="str">
            <v>ZINAPECUARO, MICH.</v>
          </cell>
          <cell r="F318" t="str">
            <v/>
          </cell>
          <cell r="G318" t="str">
            <v>(443) 328-1233 CEL</v>
          </cell>
          <cell r="H318" t="str">
            <v>NOE ADRIAN TERCERO G</v>
          </cell>
          <cell r="I318" t="str">
            <v>NOE ADRIAN TERCERO G</v>
          </cell>
          <cell r="J318" t="str">
            <v>J06P</v>
          </cell>
          <cell r="K318" t="str">
            <v/>
          </cell>
          <cell r="L318">
            <v>0</v>
          </cell>
          <cell r="M318">
            <v>323</v>
          </cell>
          <cell r="N318" t="str">
            <v>A</v>
          </cell>
          <cell r="O318">
            <v>41698</v>
          </cell>
          <cell r="P318" t="str">
            <v xml:space="preserve">    1</v>
          </cell>
          <cell r="Q318">
            <v>0</v>
          </cell>
          <cell r="R318">
            <v>0</v>
          </cell>
          <cell r="S318">
            <v>0</v>
          </cell>
          <cell r="T318">
            <v>35402</v>
          </cell>
          <cell r="U318">
            <v>0</v>
          </cell>
          <cell r="V318" t="str">
            <v>CENTRO</v>
          </cell>
          <cell r="W318" t="str">
            <v>(443) 355-0519 FLORERIA</v>
          </cell>
          <cell r="X318" t="str">
            <v/>
          </cell>
          <cell r="Y318" t="str">
            <v/>
          </cell>
          <cell r="Z318" t="str">
            <v/>
          </cell>
          <cell r="AA318" t="str">
            <v>(443) 328-1233 CEL</v>
          </cell>
          <cell r="AB318" t="str">
            <v/>
          </cell>
          <cell r="AC318" t="str">
            <v xml:space="preserve">  F0264</v>
          </cell>
          <cell r="AD318" t="str">
            <v/>
          </cell>
          <cell r="AE318" t="str">
            <v/>
          </cell>
          <cell r="AF318" t="str">
            <v/>
          </cell>
          <cell r="AH318" t="str">
            <v>N</v>
          </cell>
          <cell r="AI318">
            <v>0</v>
          </cell>
          <cell r="AJ318">
            <v>0</v>
          </cell>
          <cell r="AK318">
            <v>0</v>
          </cell>
          <cell r="AL318">
            <v>0</v>
          </cell>
          <cell r="AM318">
            <v>988</v>
          </cell>
          <cell r="AN318">
            <v>0</v>
          </cell>
        </row>
        <row r="319">
          <cell r="A319">
            <v>2220</v>
          </cell>
          <cell r="B319" t="str">
            <v>RICARDO CASAS REYES (TEOLOYUCAN)</v>
          </cell>
          <cell r="C319" t="str">
            <v/>
          </cell>
          <cell r="D319" t="str">
            <v>AV. 5 DE MAYO # 5</v>
          </cell>
          <cell r="E319" t="str">
            <v>TEOLOYUCAN, EDO. DE MEXICO</v>
          </cell>
          <cell r="F319" t="str">
            <v/>
          </cell>
          <cell r="G319" t="str">
            <v/>
          </cell>
          <cell r="H319" t="str">
            <v>RICARDO CASAS REYES</v>
          </cell>
          <cell r="I319" t="str">
            <v>RICARDO CASAS REYES</v>
          </cell>
          <cell r="J319" t="str">
            <v>M01</v>
          </cell>
          <cell r="K319" t="str">
            <v/>
          </cell>
          <cell r="L319">
            <v>0</v>
          </cell>
          <cell r="M319">
            <v>324</v>
          </cell>
          <cell r="N319" t="str">
            <v>A</v>
          </cell>
          <cell r="O319">
            <v>42383</v>
          </cell>
          <cell r="P319" t="str">
            <v xml:space="preserve">    9</v>
          </cell>
          <cell r="Q319">
            <v>0</v>
          </cell>
          <cell r="R319">
            <v>0</v>
          </cell>
          <cell r="S319">
            <v>806</v>
          </cell>
          <cell r="T319">
            <v>5034</v>
          </cell>
          <cell r="U319">
            <v>0</v>
          </cell>
          <cell r="V319" t="str">
            <v>BARRIO DE CUAXOXOCA</v>
          </cell>
          <cell r="W319" t="str">
            <v/>
          </cell>
          <cell r="X319" t="str">
            <v/>
          </cell>
          <cell r="Y319" t="str">
            <v/>
          </cell>
          <cell r="Z319" t="str">
            <v/>
          </cell>
          <cell r="AA319" t="str">
            <v/>
          </cell>
          <cell r="AB319" t="str">
            <v>BNTE MARY</v>
          </cell>
          <cell r="AC319" t="str">
            <v>M583</v>
          </cell>
          <cell r="AD319" t="str">
            <v/>
          </cell>
          <cell r="AE319" t="str">
            <v/>
          </cell>
          <cell r="AF319" t="str">
            <v/>
          </cell>
          <cell r="AG319">
            <v>41431</v>
          </cell>
          <cell r="AH319" t="str">
            <v>N</v>
          </cell>
          <cell r="AI319">
            <v>0</v>
          </cell>
          <cell r="AJ319">
            <v>0</v>
          </cell>
          <cell r="AK319">
            <v>0</v>
          </cell>
          <cell r="AL319">
            <v>166</v>
          </cell>
          <cell r="AM319">
            <v>806</v>
          </cell>
          <cell r="AN319">
            <v>0</v>
          </cell>
        </row>
        <row r="320">
          <cell r="A320">
            <v>2221</v>
          </cell>
          <cell r="B320" t="str">
            <v xml:space="preserve">MARIA ARCE (JUVENTINO)                                      </v>
          </cell>
          <cell r="C320" t="str">
            <v/>
          </cell>
          <cell r="D320" t="str">
            <v xml:space="preserve">HIDALGO #319                            </v>
          </cell>
          <cell r="E320" t="str">
            <v xml:space="preserve">JUVENTINO ROSAS, GTO.         </v>
          </cell>
          <cell r="F320" t="str">
            <v/>
          </cell>
          <cell r="G320">
            <v>0</v>
          </cell>
          <cell r="H320" t="str">
            <v>ELENA ROMERO MUÑOZ</v>
          </cell>
          <cell r="I320" t="str">
            <v>ELENA ROMERO MUÑOZ</v>
          </cell>
          <cell r="J320" t="str">
            <v>F04</v>
          </cell>
          <cell r="K320" t="str">
            <v/>
          </cell>
          <cell r="L320">
            <v>0</v>
          </cell>
          <cell r="M320">
            <v>325</v>
          </cell>
          <cell r="N320" t="str">
            <v>A</v>
          </cell>
          <cell r="O320">
            <v>41213</v>
          </cell>
          <cell r="P320" t="str">
            <v xml:space="preserve">    3</v>
          </cell>
          <cell r="Q320">
            <v>0</v>
          </cell>
          <cell r="R320">
            <v>0</v>
          </cell>
          <cell r="S320">
            <v>0</v>
          </cell>
          <cell r="T320">
            <v>12772</v>
          </cell>
          <cell r="U320">
            <v>0</v>
          </cell>
          <cell r="V320" t="str">
            <v>CENTRO</v>
          </cell>
          <cell r="W320" t="str">
            <v/>
          </cell>
          <cell r="X320" t="str">
            <v/>
          </cell>
          <cell r="Y320" t="str">
            <v/>
          </cell>
          <cell r="Z320" t="str">
            <v/>
          </cell>
          <cell r="AA320" t="str">
            <v>(442) 274-2263 CEL</v>
          </cell>
          <cell r="AB320" t="str">
            <v/>
          </cell>
          <cell r="AC320" t="str">
            <v>R-0168</v>
          </cell>
          <cell r="AD320" t="str">
            <v/>
          </cell>
          <cell r="AE320" t="str">
            <v/>
          </cell>
          <cell r="AF320" t="str">
            <v/>
          </cell>
          <cell r="AH320" t="str">
            <v>N</v>
          </cell>
          <cell r="AI320">
            <v>0</v>
          </cell>
          <cell r="AJ320">
            <v>0</v>
          </cell>
          <cell r="AK320">
            <v>0</v>
          </cell>
          <cell r="AL320">
            <v>0</v>
          </cell>
          <cell r="AM320">
            <v>6550</v>
          </cell>
          <cell r="AN320">
            <v>0</v>
          </cell>
        </row>
        <row r="321">
          <cell r="A321">
            <v>2222</v>
          </cell>
          <cell r="B321" t="str">
            <v>MARCO ANTONIO ROCHA (SAN JUAN)</v>
          </cell>
          <cell r="C321" t="str">
            <v/>
          </cell>
          <cell r="D321" t="str">
            <v/>
          </cell>
          <cell r="E321" t="str">
            <v>SAN JUAN DEL RIO, QRO.</v>
          </cell>
          <cell r="F321" t="str">
            <v/>
          </cell>
          <cell r="G321" t="str">
            <v/>
          </cell>
          <cell r="H321" t="str">
            <v>MARCO ANTONIO ROCHA</v>
          </cell>
          <cell r="I321" t="str">
            <v>MARCO ANTONIO ROCHA</v>
          </cell>
          <cell r="J321" t="str">
            <v>BAJA</v>
          </cell>
          <cell r="K321" t="str">
            <v/>
          </cell>
          <cell r="L321">
            <v>0</v>
          </cell>
          <cell r="M321">
            <v>326</v>
          </cell>
          <cell r="N321" t="str">
            <v>A</v>
          </cell>
          <cell r="O321">
            <v>41155</v>
          </cell>
          <cell r="P321" t="str">
            <v xml:space="preserve">    1</v>
          </cell>
          <cell r="Q321">
            <v>0</v>
          </cell>
          <cell r="R321">
            <v>0</v>
          </cell>
          <cell r="S321">
            <v>0</v>
          </cell>
          <cell r="T321">
            <v>1021</v>
          </cell>
          <cell r="U321">
            <v>0</v>
          </cell>
          <cell r="V321" t="str">
            <v/>
          </cell>
          <cell r="W321" t="str">
            <v/>
          </cell>
          <cell r="X321" t="str">
            <v/>
          </cell>
          <cell r="Y321" t="str">
            <v/>
          </cell>
          <cell r="Z321" t="str">
            <v/>
          </cell>
          <cell r="AA321" t="str">
            <v/>
          </cell>
          <cell r="AB321" t="str">
            <v/>
          </cell>
          <cell r="AC321" t="str">
            <v>P0014</v>
          </cell>
          <cell r="AD321" t="str">
            <v/>
          </cell>
          <cell r="AE321" t="str">
            <v/>
          </cell>
          <cell r="AF321" t="str">
            <v/>
          </cell>
          <cell r="AH321" t="str">
            <v>N</v>
          </cell>
          <cell r="AI321">
            <v>0</v>
          </cell>
          <cell r="AJ321">
            <v>0</v>
          </cell>
          <cell r="AK321">
            <v>0</v>
          </cell>
          <cell r="AL321">
            <v>0</v>
          </cell>
          <cell r="AM321">
            <v>1021</v>
          </cell>
          <cell r="AN321">
            <v>0</v>
          </cell>
        </row>
        <row r="322">
          <cell r="A322">
            <v>2223</v>
          </cell>
          <cell r="B322" t="str">
            <v>ANA LAURA ROCHA FERREL (SAN JUAN)</v>
          </cell>
          <cell r="C322" t="str">
            <v/>
          </cell>
          <cell r="D322" t="str">
            <v>CUAUHTEMOC #8</v>
          </cell>
          <cell r="E322" t="str">
            <v>PEDRO ESCOBEDO, QRO.</v>
          </cell>
          <cell r="F322" t="str">
            <v/>
          </cell>
          <cell r="G322" t="str">
            <v>(427) 130-9565</v>
          </cell>
          <cell r="H322" t="str">
            <v>ANA LAURA ROCHA F.</v>
          </cell>
          <cell r="I322" t="str">
            <v>ANA LAURA ROCHA F.</v>
          </cell>
          <cell r="J322" t="str">
            <v>BAJA</v>
          </cell>
          <cell r="K322" t="str">
            <v/>
          </cell>
          <cell r="L322">
            <v>0</v>
          </cell>
          <cell r="M322">
            <v>327</v>
          </cell>
          <cell r="N322" t="str">
            <v>A</v>
          </cell>
          <cell r="O322">
            <v>41463</v>
          </cell>
          <cell r="P322" t="str">
            <v xml:space="preserve">    1</v>
          </cell>
          <cell r="Q322">
            <v>0</v>
          </cell>
          <cell r="R322">
            <v>0</v>
          </cell>
          <cell r="S322">
            <v>0</v>
          </cell>
          <cell r="T322">
            <v>851</v>
          </cell>
          <cell r="U322">
            <v>0</v>
          </cell>
          <cell r="V322" t="str">
            <v>CENTRO</v>
          </cell>
          <cell r="W322" t="str">
            <v/>
          </cell>
          <cell r="X322" t="str">
            <v/>
          </cell>
          <cell r="Y322" t="str">
            <v/>
          </cell>
          <cell r="Z322" t="str">
            <v/>
          </cell>
          <cell r="AA322" t="str">
            <v>(427) 130-9565</v>
          </cell>
          <cell r="AB322" t="str">
            <v/>
          </cell>
          <cell r="AC322" t="str">
            <v>F0360</v>
          </cell>
          <cell r="AD322" t="str">
            <v/>
          </cell>
          <cell r="AE322" t="str">
            <v/>
          </cell>
          <cell r="AF322" t="str">
            <v/>
          </cell>
          <cell r="AH322" t="str">
            <v>N</v>
          </cell>
          <cell r="AI322">
            <v>0</v>
          </cell>
          <cell r="AJ322">
            <v>0</v>
          </cell>
          <cell r="AK322">
            <v>0</v>
          </cell>
          <cell r="AL322">
            <v>0</v>
          </cell>
          <cell r="AM322">
            <v>336</v>
          </cell>
          <cell r="AN322">
            <v>0</v>
          </cell>
        </row>
        <row r="323">
          <cell r="A323">
            <v>2224</v>
          </cell>
          <cell r="B323" t="str">
            <v>JULIETA GUTIERRES M. (PIRAMIDES)</v>
          </cell>
          <cell r="C323" t="str">
            <v/>
          </cell>
          <cell r="D323" t="str">
            <v>AV. 16 DE SEPTIEMBRE #16</v>
          </cell>
          <cell r="E323" t="str">
            <v>SAN MARTN PIRAMIDES, EDO. MEX.</v>
          </cell>
          <cell r="F323" t="str">
            <v/>
          </cell>
          <cell r="G323" t="str">
            <v>(55) 3136-9623 CEL</v>
          </cell>
          <cell r="H323" t="str">
            <v>JULIETA GUTIERRES M.</v>
          </cell>
          <cell r="I323" t="str">
            <v>JULIETA GUTIERRES M.</v>
          </cell>
          <cell r="J323" t="str">
            <v>BAJA</v>
          </cell>
          <cell r="K323" t="str">
            <v/>
          </cell>
          <cell r="L323">
            <v>0</v>
          </cell>
          <cell r="M323">
            <v>328</v>
          </cell>
          <cell r="N323" t="str">
            <v>A</v>
          </cell>
          <cell r="O323">
            <v>41157</v>
          </cell>
          <cell r="P323" t="str">
            <v xml:space="preserve">    9</v>
          </cell>
          <cell r="Q323">
            <v>0</v>
          </cell>
          <cell r="R323">
            <v>0</v>
          </cell>
          <cell r="S323">
            <v>0</v>
          </cell>
          <cell r="T323">
            <v>822</v>
          </cell>
          <cell r="U323">
            <v>0</v>
          </cell>
          <cell r="V323" t="str">
            <v>CENTRO</v>
          </cell>
          <cell r="W323" t="str">
            <v/>
          </cell>
          <cell r="X323" t="str">
            <v/>
          </cell>
          <cell r="Y323" t="str">
            <v/>
          </cell>
          <cell r="Z323" t="str">
            <v/>
          </cell>
          <cell r="AA323" t="str">
            <v>(55) 3136-9623 CEL</v>
          </cell>
          <cell r="AB323" t="str">
            <v/>
          </cell>
          <cell r="AC323" t="str">
            <v>C537</v>
          </cell>
          <cell r="AD323" t="str">
            <v/>
          </cell>
          <cell r="AE323" t="str">
            <v/>
          </cell>
          <cell r="AF323" t="str">
            <v/>
          </cell>
          <cell r="AH323" t="str">
            <v>N</v>
          </cell>
          <cell r="AI323">
            <v>0</v>
          </cell>
          <cell r="AJ323">
            <v>0</v>
          </cell>
          <cell r="AK323">
            <v>0</v>
          </cell>
          <cell r="AL323">
            <v>0</v>
          </cell>
          <cell r="AM323">
            <v>822</v>
          </cell>
          <cell r="AN323">
            <v>0</v>
          </cell>
        </row>
        <row r="324">
          <cell r="A324">
            <v>2225</v>
          </cell>
          <cell r="B324" t="str">
            <v>ALEJANDRO MARTINEZ CAMACHO (AMEALCO)</v>
          </cell>
          <cell r="C324" t="str">
            <v/>
          </cell>
          <cell r="D324" t="str">
            <v/>
          </cell>
          <cell r="E324" t="str">
            <v>AMEALCO, QRO.</v>
          </cell>
          <cell r="F324" t="str">
            <v/>
          </cell>
          <cell r="G324" t="str">
            <v>(448) 278-0164</v>
          </cell>
          <cell r="H324" t="str">
            <v>ALEJANDRO MARTINEZ C</v>
          </cell>
          <cell r="I324" t="str">
            <v>ALEJANDRO MARTINEZ C</v>
          </cell>
          <cell r="J324" t="str">
            <v>L06</v>
          </cell>
          <cell r="K324" t="str">
            <v/>
          </cell>
          <cell r="L324">
            <v>0</v>
          </cell>
          <cell r="M324">
            <v>329</v>
          </cell>
          <cell r="N324" t="str">
            <v>A</v>
          </cell>
          <cell r="O324">
            <v>42236</v>
          </cell>
          <cell r="P324" t="str">
            <v xml:space="preserve">    1</v>
          </cell>
          <cell r="Q324">
            <v>0</v>
          </cell>
          <cell r="R324">
            <v>0</v>
          </cell>
          <cell r="S324">
            <v>0</v>
          </cell>
          <cell r="T324">
            <v>27067</v>
          </cell>
          <cell r="U324">
            <v>0</v>
          </cell>
          <cell r="V324" t="str">
            <v/>
          </cell>
          <cell r="W324" t="str">
            <v/>
          </cell>
          <cell r="X324" t="str">
            <v/>
          </cell>
          <cell r="Y324" t="str">
            <v/>
          </cell>
          <cell r="Z324" t="str">
            <v/>
          </cell>
          <cell r="AA324" t="str">
            <v>(448) 278-0164</v>
          </cell>
          <cell r="AB324" t="str">
            <v/>
          </cell>
          <cell r="AC324" t="str">
            <v>L0006</v>
          </cell>
          <cell r="AD324" t="str">
            <v/>
          </cell>
          <cell r="AE324" t="str">
            <v/>
          </cell>
          <cell r="AF324" t="str">
            <v/>
          </cell>
          <cell r="AH324" t="str">
            <v>N</v>
          </cell>
          <cell r="AI324">
            <v>0</v>
          </cell>
          <cell r="AJ324">
            <v>0</v>
          </cell>
          <cell r="AK324">
            <v>0</v>
          </cell>
          <cell r="AL324">
            <v>0</v>
          </cell>
          <cell r="AM324">
            <v>4020</v>
          </cell>
          <cell r="AN324">
            <v>0</v>
          </cell>
        </row>
        <row r="325">
          <cell r="A325">
            <v>2226</v>
          </cell>
          <cell r="B325" t="str">
            <v>ROSA ELENA RODRIGUEZ (SANTA ROSA)</v>
          </cell>
          <cell r="C325" t="str">
            <v/>
          </cell>
          <cell r="D325" t="str">
            <v>INDEPENDENCIA NTE. #513</v>
          </cell>
          <cell r="E325" t="str">
            <v>SANTA ROSA JAUREGUI, QRO.</v>
          </cell>
          <cell r="F325" t="str">
            <v/>
          </cell>
          <cell r="G325" t="str">
            <v>(442) 291-0898</v>
          </cell>
          <cell r="H325" t="str">
            <v>ROSA ELENA RODRIGUEZ</v>
          </cell>
          <cell r="I325" t="str">
            <v>ROSA ELENA RODRIGUEZ</v>
          </cell>
          <cell r="J325" t="str">
            <v>BAJA</v>
          </cell>
          <cell r="K325" t="str">
            <v/>
          </cell>
          <cell r="L325">
            <v>0</v>
          </cell>
          <cell r="M325">
            <v>330</v>
          </cell>
          <cell r="N325" t="str">
            <v>A</v>
          </cell>
          <cell r="O325">
            <v>41159</v>
          </cell>
          <cell r="P325" t="str">
            <v xml:space="preserve">   14</v>
          </cell>
          <cell r="Q325">
            <v>0</v>
          </cell>
          <cell r="R325">
            <v>0</v>
          </cell>
          <cell r="S325">
            <v>0</v>
          </cell>
          <cell r="T325">
            <v>14368</v>
          </cell>
          <cell r="U325">
            <v>0</v>
          </cell>
          <cell r="V325" t="str">
            <v>CENTRO</v>
          </cell>
          <cell r="W325" t="str">
            <v/>
          </cell>
          <cell r="X325" t="str">
            <v/>
          </cell>
          <cell r="Y325" t="str">
            <v/>
          </cell>
          <cell r="Z325" t="str">
            <v/>
          </cell>
          <cell r="AA325" t="str">
            <v>(442) 291-0898</v>
          </cell>
          <cell r="AB325" t="str">
            <v/>
          </cell>
          <cell r="AC325" t="str">
            <v>R-0133</v>
          </cell>
          <cell r="AD325" t="str">
            <v/>
          </cell>
          <cell r="AE325" t="str">
            <v/>
          </cell>
          <cell r="AF325" t="str">
            <v/>
          </cell>
          <cell r="AH325" t="str">
            <v>N</v>
          </cell>
          <cell r="AI325">
            <v>0</v>
          </cell>
          <cell r="AJ325">
            <v>0</v>
          </cell>
          <cell r="AK325">
            <v>0</v>
          </cell>
          <cell r="AL325">
            <v>0</v>
          </cell>
          <cell r="AM325">
            <v>14368</v>
          </cell>
          <cell r="AN325">
            <v>0</v>
          </cell>
        </row>
        <row r="326">
          <cell r="A326">
            <v>2227</v>
          </cell>
          <cell r="B326" t="str">
            <v>CARLOS CRUZ MARTINEZ (JILOTEPEC)</v>
          </cell>
          <cell r="C326" t="str">
            <v/>
          </cell>
          <cell r="D326" t="str">
            <v>PLAZA JUVILO #11, CENTRO COMERCIAL "DON</v>
          </cell>
          <cell r="E326" t="str">
            <v>JILOTEPEC, EDO. DE MEXICO</v>
          </cell>
          <cell r="F326" t="str">
            <v/>
          </cell>
          <cell r="G326" t="str">
            <v>(55) 1016-8980 CEL</v>
          </cell>
          <cell r="H326" t="str">
            <v>CARLOS CRUZ MARTINEZ</v>
          </cell>
          <cell r="I326" t="str">
            <v>CARLOS CRUZ MARTINEZ</v>
          </cell>
          <cell r="J326" t="str">
            <v>BAJA</v>
          </cell>
          <cell r="K326" t="str">
            <v/>
          </cell>
          <cell r="L326">
            <v>0</v>
          </cell>
          <cell r="M326">
            <v>331</v>
          </cell>
          <cell r="N326" t="str">
            <v>A</v>
          </cell>
          <cell r="O326">
            <v>41160</v>
          </cell>
          <cell r="P326" t="str">
            <v xml:space="preserve">    9</v>
          </cell>
          <cell r="Q326">
            <v>0</v>
          </cell>
          <cell r="R326">
            <v>0</v>
          </cell>
          <cell r="S326">
            <v>0</v>
          </cell>
          <cell r="T326">
            <v>2535</v>
          </cell>
          <cell r="U326">
            <v>0</v>
          </cell>
          <cell r="V326" t="str">
            <v>CENTRO</v>
          </cell>
          <cell r="W326" t="str">
            <v/>
          </cell>
          <cell r="X326" t="str">
            <v/>
          </cell>
          <cell r="Y326" t="str">
            <v/>
          </cell>
          <cell r="Z326" t="str">
            <v/>
          </cell>
          <cell r="AA326" t="str">
            <v>(55) 1016-8980 CEL</v>
          </cell>
          <cell r="AB326" t="str">
            <v/>
          </cell>
          <cell r="AC326" t="str">
            <v>C542</v>
          </cell>
          <cell r="AD326" t="str">
            <v/>
          </cell>
          <cell r="AE326" t="str">
            <v/>
          </cell>
          <cell r="AF326" t="str">
            <v/>
          </cell>
          <cell r="AH326" t="str">
            <v>N</v>
          </cell>
          <cell r="AI326">
            <v>0</v>
          </cell>
          <cell r="AJ326">
            <v>0</v>
          </cell>
          <cell r="AK326">
            <v>0</v>
          </cell>
          <cell r="AL326">
            <v>0</v>
          </cell>
          <cell r="AM326">
            <v>2535</v>
          </cell>
          <cell r="AN326">
            <v>0</v>
          </cell>
        </row>
        <row r="327">
          <cell r="A327">
            <v>2228</v>
          </cell>
          <cell r="B327" t="str">
            <v>ESTEBAN CASAS (TEPEJI)</v>
          </cell>
          <cell r="C327" t="str">
            <v/>
          </cell>
          <cell r="D327" t="str">
            <v>IGNACIO COMONFORT S/N</v>
          </cell>
          <cell r="E327" t="str">
            <v>TEPEJI DEL RIO, HGO.</v>
          </cell>
          <cell r="F327" t="str">
            <v/>
          </cell>
          <cell r="G327" t="str">
            <v>(773) 108-4514 CEL</v>
          </cell>
          <cell r="H327" t="str">
            <v>ESTEBAN CASAS</v>
          </cell>
          <cell r="I327" t="str">
            <v>ESTEBAN CASAS</v>
          </cell>
          <cell r="J327" t="str">
            <v>BAJA</v>
          </cell>
          <cell r="K327" t="str">
            <v/>
          </cell>
          <cell r="L327">
            <v>0</v>
          </cell>
          <cell r="M327">
            <v>332</v>
          </cell>
          <cell r="N327" t="str">
            <v>A</v>
          </cell>
          <cell r="O327">
            <v>41160</v>
          </cell>
          <cell r="P327" t="str">
            <v xml:space="preserve">    9</v>
          </cell>
          <cell r="Q327">
            <v>0</v>
          </cell>
          <cell r="R327">
            <v>0</v>
          </cell>
          <cell r="S327">
            <v>0</v>
          </cell>
          <cell r="T327">
            <v>648</v>
          </cell>
          <cell r="U327">
            <v>0</v>
          </cell>
          <cell r="V327" t="str">
            <v>CENTRO</v>
          </cell>
          <cell r="W327" t="str">
            <v/>
          </cell>
          <cell r="X327" t="str">
            <v/>
          </cell>
          <cell r="Y327" t="str">
            <v/>
          </cell>
          <cell r="Z327" t="str">
            <v/>
          </cell>
          <cell r="AA327" t="str">
            <v>(773) 108-4514 CEL</v>
          </cell>
          <cell r="AB327" t="str">
            <v/>
          </cell>
          <cell r="AC327" t="str">
            <v>C543</v>
          </cell>
          <cell r="AD327" t="str">
            <v/>
          </cell>
          <cell r="AE327" t="str">
            <v/>
          </cell>
          <cell r="AF327" t="str">
            <v/>
          </cell>
          <cell r="AH327" t="str">
            <v>N</v>
          </cell>
          <cell r="AI327">
            <v>0</v>
          </cell>
          <cell r="AJ327">
            <v>0</v>
          </cell>
          <cell r="AK327">
            <v>0</v>
          </cell>
          <cell r="AL327">
            <v>0</v>
          </cell>
          <cell r="AM327">
            <v>648</v>
          </cell>
          <cell r="AN327">
            <v>0</v>
          </cell>
        </row>
        <row r="328">
          <cell r="A328">
            <v>2229</v>
          </cell>
          <cell r="B328" t="str">
            <v>ISABEL CRUZ LOPEZ (COACALCO)</v>
          </cell>
          <cell r="C328" t="str">
            <v/>
          </cell>
          <cell r="D328" t="str">
            <v>INDEPENDENCIA #1</v>
          </cell>
          <cell r="E328" t="str">
            <v>COACALCO, EDO. DE MEXICO</v>
          </cell>
          <cell r="F328" t="str">
            <v/>
          </cell>
          <cell r="G328" t="str">
            <v>(55) 5865-2622</v>
          </cell>
          <cell r="H328" t="str">
            <v>ISABEL CRUZ LOPEZ</v>
          </cell>
          <cell r="I328" t="str">
            <v>ISABEL CRUZ LOPEZ</v>
          </cell>
          <cell r="J328" t="str">
            <v>BAJA</v>
          </cell>
          <cell r="K328" t="str">
            <v/>
          </cell>
          <cell r="L328">
            <v>0</v>
          </cell>
          <cell r="M328">
            <v>333</v>
          </cell>
          <cell r="N328" t="str">
            <v>A</v>
          </cell>
          <cell r="O328">
            <v>41163</v>
          </cell>
          <cell r="P328" t="str">
            <v xml:space="preserve">    9</v>
          </cell>
          <cell r="Q328">
            <v>0</v>
          </cell>
          <cell r="R328">
            <v>0</v>
          </cell>
          <cell r="S328">
            <v>0</v>
          </cell>
          <cell r="T328">
            <v>573</v>
          </cell>
          <cell r="U328">
            <v>0</v>
          </cell>
          <cell r="V328" t="str">
            <v>SAN LORENZO</v>
          </cell>
          <cell r="W328" t="str">
            <v/>
          </cell>
          <cell r="X328" t="str">
            <v/>
          </cell>
          <cell r="Y328" t="str">
            <v/>
          </cell>
          <cell r="Z328" t="str">
            <v/>
          </cell>
          <cell r="AA328" t="str">
            <v>(55) 5865-2622</v>
          </cell>
          <cell r="AB328" t="str">
            <v/>
          </cell>
          <cell r="AC328" t="str">
            <v>C547</v>
          </cell>
          <cell r="AD328" t="str">
            <v/>
          </cell>
          <cell r="AE328" t="str">
            <v/>
          </cell>
          <cell r="AF328" t="str">
            <v/>
          </cell>
          <cell r="AH328" t="str">
            <v>N</v>
          </cell>
          <cell r="AI328">
            <v>0</v>
          </cell>
          <cell r="AJ328">
            <v>0</v>
          </cell>
          <cell r="AK328">
            <v>0</v>
          </cell>
          <cell r="AL328">
            <v>0</v>
          </cell>
          <cell r="AM328">
            <v>573</v>
          </cell>
          <cell r="AN328">
            <v>0</v>
          </cell>
        </row>
        <row r="329">
          <cell r="A329">
            <v>2230</v>
          </cell>
          <cell r="B329" t="str">
            <v>ARTURO NIETO SANCHEZ (TOLUCA)</v>
          </cell>
          <cell r="C329" t="str">
            <v/>
          </cell>
          <cell r="D329" t="str">
            <v>AV. INDEPENDENCIA #107, INT. 105</v>
          </cell>
          <cell r="E329" t="str">
            <v>TOLUCA, EDO. DE MEXICO</v>
          </cell>
          <cell r="F329" t="str">
            <v>50060</v>
          </cell>
          <cell r="G329" t="str">
            <v>(722) 215-5970</v>
          </cell>
          <cell r="H329" t="str">
            <v>ARTURO NIETO SANCHEZ</v>
          </cell>
          <cell r="I329" t="str">
            <v>ARTURO NIETO SANCHEZ</v>
          </cell>
          <cell r="J329" t="str">
            <v>BAJA</v>
          </cell>
          <cell r="K329" t="str">
            <v/>
          </cell>
          <cell r="L329">
            <v>0</v>
          </cell>
          <cell r="M329">
            <v>334</v>
          </cell>
          <cell r="N329" t="str">
            <v>S</v>
          </cell>
          <cell r="O329">
            <v>41166</v>
          </cell>
          <cell r="P329" t="str">
            <v xml:space="preserve">    1</v>
          </cell>
          <cell r="Q329">
            <v>0</v>
          </cell>
          <cell r="R329">
            <v>0</v>
          </cell>
          <cell r="S329">
            <v>0</v>
          </cell>
          <cell r="T329">
            <v>24210</v>
          </cell>
          <cell r="U329">
            <v>0</v>
          </cell>
          <cell r="V329" t="str">
            <v>SANTA CLARA</v>
          </cell>
          <cell r="W329" t="str">
            <v/>
          </cell>
          <cell r="X329" t="str">
            <v/>
          </cell>
          <cell r="Y329" t="str">
            <v/>
          </cell>
          <cell r="Z329" t="str">
            <v/>
          </cell>
          <cell r="AA329" t="str">
            <v>(722) 215-5970</v>
          </cell>
          <cell r="AB329" t="str">
            <v/>
          </cell>
          <cell r="AC329" t="str">
            <v>R-0136</v>
          </cell>
          <cell r="AD329" t="str">
            <v/>
          </cell>
          <cell r="AE329" t="str">
            <v/>
          </cell>
          <cell r="AF329" t="str">
            <v/>
          </cell>
          <cell r="AH329" t="str">
            <v>N</v>
          </cell>
          <cell r="AI329">
            <v>0</v>
          </cell>
          <cell r="AJ329">
            <v>0</v>
          </cell>
          <cell r="AK329">
            <v>0</v>
          </cell>
          <cell r="AL329">
            <v>0</v>
          </cell>
          <cell r="AM329">
            <v>24210</v>
          </cell>
          <cell r="AN329">
            <v>0</v>
          </cell>
        </row>
        <row r="330">
          <cell r="A330">
            <v>2231</v>
          </cell>
          <cell r="B330" t="str">
            <v>MA. DE JESUS RODRIGUEZ RODRIGUEZ (TEOTIHUACAN)</v>
          </cell>
          <cell r="C330" t="str">
            <v/>
          </cell>
          <cell r="D330" t="str">
            <v>PLAZA DE LA PARROQUIA #2, PLANTA ALTA</v>
          </cell>
          <cell r="E330" t="str">
            <v>TEOTIHUACAN, EDO. DE MEXICO</v>
          </cell>
          <cell r="F330" t="str">
            <v/>
          </cell>
          <cell r="G330" t="str">
            <v>(55) 1379-8316 CEL</v>
          </cell>
          <cell r="H330" t="str">
            <v>MA. DE JESUS RODRIGU</v>
          </cell>
          <cell r="I330" t="str">
            <v>MA. DE JESUS RODRIGU</v>
          </cell>
          <cell r="J330" t="str">
            <v>BAJA</v>
          </cell>
          <cell r="K330" t="str">
            <v/>
          </cell>
          <cell r="L330">
            <v>0</v>
          </cell>
          <cell r="M330">
            <v>335</v>
          </cell>
          <cell r="N330" t="str">
            <v>A</v>
          </cell>
          <cell r="O330">
            <v>41171</v>
          </cell>
          <cell r="P330" t="str">
            <v xml:space="preserve">    9</v>
          </cell>
          <cell r="Q330">
            <v>0</v>
          </cell>
          <cell r="R330">
            <v>0</v>
          </cell>
          <cell r="S330">
            <v>0</v>
          </cell>
          <cell r="T330">
            <v>821</v>
          </cell>
          <cell r="U330">
            <v>0</v>
          </cell>
          <cell r="V330" t="str">
            <v>CENTRO</v>
          </cell>
          <cell r="W330" t="str">
            <v/>
          </cell>
          <cell r="X330" t="str">
            <v/>
          </cell>
          <cell r="Y330" t="str">
            <v/>
          </cell>
          <cell r="Z330" t="str">
            <v/>
          </cell>
          <cell r="AA330" t="str">
            <v>(55) 1379-8316 CEL</v>
          </cell>
          <cell r="AB330" t="str">
            <v/>
          </cell>
          <cell r="AC330" t="str">
            <v xml:space="preserve">   0898</v>
          </cell>
          <cell r="AD330" t="str">
            <v/>
          </cell>
          <cell r="AE330" t="str">
            <v/>
          </cell>
          <cell r="AF330" t="str">
            <v/>
          </cell>
          <cell r="AH330" t="str">
            <v>N</v>
          </cell>
          <cell r="AI330">
            <v>0</v>
          </cell>
          <cell r="AJ330">
            <v>0</v>
          </cell>
          <cell r="AK330">
            <v>0</v>
          </cell>
          <cell r="AL330">
            <v>0</v>
          </cell>
          <cell r="AM330">
            <v>821</v>
          </cell>
          <cell r="AN330">
            <v>0</v>
          </cell>
        </row>
        <row r="331">
          <cell r="A331">
            <v>2232</v>
          </cell>
          <cell r="B331" t="str">
            <v>SARA DIAZ RANGEL (ACTOPAN)  JANET</v>
          </cell>
          <cell r="C331" t="str">
            <v/>
          </cell>
          <cell r="D331" t="str">
            <v>CUAUHTEMOC #1</v>
          </cell>
          <cell r="E331" t="str">
            <v>ACTOPAN, HGO.</v>
          </cell>
          <cell r="F331" t="str">
            <v/>
          </cell>
          <cell r="G331" t="str">
            <v>(772) 727-3991/727-0531 C</v>
          </cell>
          <cell r="H331" t="str">
            <v>JANTEH DIAZ RANGEL</v>
          </cell>
          <cell r="I331" t="str">
            <v>SARA DIAZ RANGEL</v>
          </cell>
          <cell r="J331" t="str">
            <v>F02</v>
          </cell>
          <cell r="K331" t="str">
            <v/>
          </cell>
          <cell r="L331">
            <v>0</v>
          </cell>
          <cell r="M331">
            <v>336</v>
          </cell>
          <cell r="N331" t="str">
            <v>A</v>
          </cell>
          <cell r="O331">
            <v>41348</v>
          </cell>
          <cell r="P331" t="str">
            <v xml:space="preserve">    9</v>
          </cell>
          <cell r="Q331">
            <v>0</v>
          </cell>
          <cell r="R331">
            <v>0</v>
          </cell>
          <cell r="S331">
            <v>864</v>
          </cell>
          <cell r="T331">
            <v>12987</v>
          </cell>
          <cell r="U331">
            <v>0</v>
          </cell>
          <cell r="V331" t="str">
            <v>CENTRO</v>
          </cell>
          <cell r="W331" t="str">
            <v>(772) 118-1837 CEL</v>
          </cell>
          <cell r="X331" t="str">
            <v>(772) 123-1981 JANET</v>
          </cell>
          <cell r="Y331" t="str">
            <v/>
          </cell>
          <cell r="Z331" t="str">
            <v/>
          </cell>
          <cell r="AA331" t="str">
            <v>(772) 727-3991/727-0531 CASA</v>
          </cell>
          <cell r="AB331" t="str">
            <v xml:space="preserve">  DEV-212</v>
          </cell>
          <cell r="AC331" t="str">
            <v>C1017</v>
          </cell>
          <cell r="AD331" t="str">
            <v/>
          </cell>
          <cell r="AE331" t="str">
            <v/>
          </cell>
          <cell r="AF331" t="str">
            <v/>
          </cell>
          <cell r="AG331">
            <v>41797</v>
          </cell>
          <cell r="AH331" t="str">
            <v>N</v>
          </cell>
          <cell r="AI331">
            <v>0</v>
          </cell>
          <cell r="AJ331">
            <v>0</v>
          </cell>
          <cell r="AK331">
            <v>0</v>
          </cell>
          <cell r="AL331">
            <v>-205</v>
          </cell>
          <cell r="AM331">
            <v>2907</v>
          </cell>
          <cell r="AN331">
            <v>0</v>
          </cell>
        </row>
        <row r="332">
          <cell r="A332">
            <v>2233</v>
          </cell>
          <cell r="B332" t="str">
            <v>MARTHA PATRICIA PEREZ LOPEZ (ACTOPAN)</v>
          </cell>
          <cell r="C332" t="str">
            <v/>
          </cell>
          <cell r="D332" t="str">
            <v>PASAJE VICTORIA INT. 20</v>
          </cell>
          <cell r="E332" t="str">
            <v>ACTOPAN, HGO.</v>
          </cell>
          <cell r="F332" t="str">
            <v/>
          </cell>
          <cell r="G332" t="str">
            <v>(772) 129-6655 CEL</v>
          </cell>
          <cell r="H332" t="str">
            <v>MARTHA PATRICIA P.</v>
          </cell>
          <cell r="I332" t="str">
            <v>MARTHA PATRICIA P.</v>
          </cell>
          <cell r="J332" t="str">
            <v>BAJA</v>
          </cell>
          <cell r="K332" t="str">
            <v/>
          </cell>
          <cell r="L332">
            <v>0</v>
          </cell>
          <cell r="M332">
            <v>337</v>
          </cell>
          <cell r="N332" t="str">
            <v>A</v>
          </cell>
          <cell r="O332">
            <v>41174</v>
          </cell>
          <cell r="P332" t="str">
            <v xml:space="preserve">    9</v>
          </cell>
          <cell r="Q332">
            <v>0</v>
          </cell>
          <cell r="R332">
            <v>0</v>
          </cell>
          <cell r="S332">
            <v>0</v>
          </cell>
          <cell r="T332">
            <v>187</v>
          </cell>
          <cell r="U332">
            <v>0</v>
          </cell>
          <cell r="V332" t="str">
            <v>CENTRO</v>
          </cell>
          <cell r="W332" t="str">
            <v/>
          </cell>
          <cell r="X332" t="str">
            <v/>
          </cell>
          <cell r="Y332" t="str">
            <v/>
          </cell>
          <cell r="Z332" t="str">
            <v/>
          </cell>
          <cell r="AA332" t="str">
            <v>(772) 129-6655 CEL</v>
          </cell>
          <cell r="AB332" t="str">
            <v/>
          </cell>
          <cell r="AC332" t="str">
            <v>C556</v>
          </cell>
          <cell r="AD332" t="str">
            <v/>
          </cell>
          <cell r="AE332" t="str">
            <v/>
          </cell>
          <cell r="AF332" t="str">
            <v/>
          </cell>
          <cell r="AH332" t="str">
            <v>N</v>
          </cell>
          <cell r="AI332">
            <v>0</v>
          </cell>
          <cell r="AJ332">
            <v>0</v>
          </cell>
          <cell r="AK332">
            <v>0</v>
          </cell>
          <cell r="AL332">
            <v>0</v>
          </cell>
          <cell r="AM332">
            <v>187</v>
          </cell>
          <cell r="AN332">
            <v>0</v>
          </cell>
        </row>
        <row r="333">
          <cell r="A333">
            <v>2234</v>
          </cell>
          <cell r="B333" t="str">
            <v>ANDREA LAURA HERNANDEZ HERNANDEZ (JERECUARO)</v>
          </cell>
          <cell r="C333" t="str">
            <v/>
          </cell>
          <cell r="D333" t="str">
            <v>FRAY ANGEL JUAREZ #23</v>
          </cell>
          <cell r="E333" t="str">
            <v>JERECUARO, GTO.</v>
          </cell>
          <cell r="F333" t="str">
            <v/>
          </cell>
          <cell r="G333" t="str">
            <v>(421) 476-0158 DESPACHO</v>
          </cell>
          <cell r="H333" t="str">
            <v>ANDREA LAURA HDZ.</v>
          </cell>
          <cell r="I333" t="str">
            <v>ANDREA LAURA HDZ</v>
          </cell>
          <cell r="J333" t="str">
            <v>J06P</v>
          </cell>
          <cell r="K333" t="str">
            <v/>
          </cell>
          <cell r="L333">
            <v>0</v>
          </cell>
          <cell r="M333">
            <v>338</v>
          </cell>
          <cell r="N333" t="str">
            <v>A</v>
          </cell>
          <cell r="O333">
            <v>42392</v>
          </cell>
          <cell r="P333" t="str">
            <v xml:space="preserve">    1</v>
          </cell>
          <cell r="Q333">
            <v>0</v>
          </cell>
          <cell r="R333">
            <v>0</v>
          </cell>
          <cell r="S333">
            <v>0</v>
          </cell>
          <cell r="T333">
            <v>82603</v>
          </cell>
          <cell r="U333">
            <v>0</v>
          </cell>
          <cell r="V333" t="str">
            <v>CENTRO</v>
          </cell>
          <cell r="W333" t="str">
            <v>(421) 103-9301 CEL</v>
          </cell>
          <cell r="X333" t="str">
            <v/>
          </cell>
          <cell r="Y333" t="str">
            <v/>
          </cell>
          <cell r="Z333" t="str">
            <v/>
          </cell>
          <cell r="AA333" t="str">
            <v>(421) 476-0158 DESPACHO</v>
          </cell>
          <cell r="AB333" t="str">
            <v/>
          </cell>
          <cell r="AC333" t="str">
            <v>F841401</v>
          </cell>
          <cell r="AD333" t="str">
            <v/>
          </cell>
          <cell r="AE333" t="str">
            <v/>
          </cell>
          <cell r="AF333" t="str">
            <v/>
          </cell>
          <cell r="AH333" t="str">
            <v>N</v>
          </cell>
          <cell r="AI333">
            <v>0</v>
          </cell>
          <cell r="AJ333">
            <v>0</v>
          </cell>
          <cell r="AK333">
            <v>0</v>
          </cell>
          <cell r="AL333">
            <v>0</v>
          </cell>
          <cell r="AM333">
            <v>10737</v>
          </cell>
          <cell r="AN333">
            <v>0</v>
          </cell>
        </row>
        <row r="334">
          <cell r="A334">
            <v>2235</v>
          </cell>
          <cell r="B334" t="str">
            <v>REGALOS "SORI"</v>
          </cell>
          <cell r="C334" t="str">
            <v/>
          </cell>
          <cell r="D334" t="str">
            <v>JACARANDAS #26-B</v>
          </cell>
          <cell r="E334" t="str">
            <v>YURIRIA, GTO.</v>
          </cell>
          <cell r="F334" t="str">
            <v/>
          </cell>
          <cell r="G334" t="str">
            <v/>
          </cell>
          <cell r="H334" t="str">
            <v/>
          </cell>
          <cell r="I334" t="str">
            <v/>
          </cell>
          <cell r="J334" t="str">
            <v>BAJA</v>
          </cell>
          <cell r="K334" t="str">
            <v/>
          </cell>
          <cell r="L334">
            <v>0</v>
          </cell>
          <cell r="M334">
            <v>339</v>
          </cell>
          <cell r="N334" t="str">
            <v>A</v>
          </cell>
          <cell r="O334">
            <v>41191</v>
          </cell>
          <cell r="P334" t="str">
            <v xml:space="preserve">    3</v>
          </cell>
          <cell r="Q334">
            <v>0</v>
          </cell>
          <cell r="R334">
            <v>0</v>
          </cell>
          <cell r="S334">
            <v>0</v>
          </cell>
          <cell r="T334">
            <v>727</v>
          </cell>
          <cell r="U334">
            <v>0</v>
          </cell>
          <cell r="V334" t="str">
            <v>CENTRO</v>
          </cell>
          <cell r="W334" t="str">
            <v/>
          </cell>
          <cell r="X334" t="str">
            <v/>
          </cell>
          <cell r="Y334" t="str">
            <v/>
          </cell>
          <cell r="Z334" t="str">
            <v/>
          </cell>
          <cell r="AA334" t="str">
            <v/>
          </cell>
          <cell r="AB334" t="str">
            <v/>
          </cell>
          <cell r="AC334" t="str">
            <v>A-0484</v>
          </cell>
          <cell r="AD334" t="str">
            <v/>
          </cell>
          <cell r="AE334" t="str">
            <v/>
          </cell>
          <cell r="AF334" t="str">
            <v/>
          </cell>
          <cell r="AH334" t="str">
            <v>N</v>
          </cell>
          <cell r="AI334">
            <v>0</v>
          </cell>
          <cell r="AJ334">
            <v>0</v>
          </cell>
          <cell r="AK334">
            <v>0</v>
          </cell>
          <cell r="AL334">
            <v>0</v>
          </cell>
          <cell r="AM334">
            <v>727</v>
          </cell>
          <cell r="AN334">
            <v>0</v>
          </cell>
        </row>
        <row r="335">
          <cell r="A335">
            <v>2236</v>
          </cell>
          <cell r="B335" t="str">
            <v>IRMA VENCES "CASA MIR" (D.F.)</v>
          </cell>
          <cell r="C335" t="str">
            <v/>
          </cell>
          <cell r="D335" t="str">
            <v>REPUBLICA DE CHILE #57-B</v>
          </cell>
          <cell r="E335" t="str">
            <v>MEXICO, D.F.</v>
          </cell>
          <cell r="F335" t="str">
            <v/>
          </cell>
          <cell r="G335" t="str">
            <v>(55) 5526-6868</v>
          </cell>
          <cell r="H335" t="str">
            <v>IRMA VENCES</v>
          </cell>
          <cell r="I335" t="str">
            <v>IRMA VENCES</v>
          </cell>
          <cell r="J335" t="str">
            <v>BAJA</v>
          </cell>
          <cell r="K335" t="str">
            <v/>
          </cell>
          <cell r="L335">
            <v>0</v>
          </cell>
          <cell r="M335">
            <v>340</v>
          </cell>
          <cell r="N335" t="str">
            <v>S</v>
          </cell>
          <cell r="O335">
            <v>41198</v>
          </cell>
          <cell r="P335" t="str">
            <v xml:space="preserve">    9</v>
          </cell>
          <cell r="Q335">
            <v>0</v>
          </cell>
          <cell r="R335">
            <v>0</v>
          </cell>
          <cell r="S335">
            <v>0</v>
          </cell>
          <cell r="T335">
            <v>4988.9000000000005</v>
          </cell>
          <cell r="U335">
            <v>0</v>
          </cell>
          <cell r="V335" t="str">
            <v>CENTRO</v>
          </cell>
          <cell r="W335" t="str">
            <v/>
          </cell>
          <cell r="X335" t="str">
            <v/>
          </cell>
          <cell r="Y335" t="str">
            <v/>
          </cell>
          <cell r="Z335" t="str">
            <v/>
          </cell>
          <cell r="AA335" t="str">
            <v>(55) 5526-6868</v>
          </cell>
          <cell r="AB335" t="str">
            <v/>
          </cell>
          <cell r="AC335" t="str">
            <v xml:space="preserve">   1009</v>
          </cell>
          <cell r="AD335" t="str">
            <v/>
          </cell>
          <cell r="AE335" t="str">
            <v/>
          </cell>
          <cell r="AF335" t="str">
            <v/>
          </cell>
          <cell r="AH335" t="str">
            <v>N</v>
          </cell>
          <cell r="AI335">
            <v>0</v>
          </cell>
          <cell r="AJ335">
            <v>0</v>
          </cell>
          <cell r="AK335">
            <v>0</v>
          </cell>
          <cell r="AL335">
            <v>0</v>
          </cell>
          <cell r="AM335">
            <v>693</v>
          </cell>
          <cell r="AN335">
            <v>0</v>
          </cell>
        </row>
        <row r="336">
          <cell r="A336">
            <v>2237</v>
          </cell>
          <cell r="B336" t="str">
            <v>VICTOR LOPEZ GUITIERREZ - RITA MARTINEZ JUAREZ (SALAMANCA)</v>
          </cell>
          <cell r="C336" t="str">
            <v/>
          </cell>
          <cell r="D336" t="str">
            <v>TENIXTEPEC #206 A</v>
          </cell>
          <cell r="E336" t="str">
            <v>SALAMANCA, GTO.</v>
          </cell>
          <cell r="F336" t="str">
            <v>36730</v>
          </cell>
          <cell r="G336" t="str">
            <v>(464) 639-8072</v>
          </cell>
          <cell r="H336" t="str">
            <v>VICTOR LOPEZ G.</v>
          </cell>
          <cell r="I336" t="str">
            <v>VICTOR LOPEZ G.</v>
          </cell>
          <cell r="J336" t="str">
            <v>BAJA</v>
          </cell>
          <cell r="K336" t="str">
            <v/>
          </cell>
          <cell r="L336">
            <v>0</v>
          </cell>
          <cell r="M336">
            <v>341</v>
          </cell>
          <cell r="N336" t="str">
            <v>A</v>
          </cell>
          <cell r="O336">
            <v>41199</v>
          </cell>
          <cell r="P336" t="str">
            <v xml:space="preserve">    3</v>
          </cell>
          <cell r="Q336">
            <v>0</v>
          </cell>
          <cell r="R336">
            <v>0</v>
          </cell>
          <cell r="S336">
            <v>0</v>
          </cell>
          <cell r="T336">
            <v>893</v>
          </cell>
          <cell r="U336">
            <v>0</v>
          </cell>
          <cell r="V336" t="str">
            <v>BELLA VISTA</v>
          </cell>
          <cell r="W336" t="str">
            <v/>
          </cell>
          <cell r="X336" t="str">
            <v/>
          </cell>
          <cell r="Y336" t="str">
            <v/>
          </cell>
          <cell r="Z336" t="str">
            <v/>
          </cell>
          <cell r="AA336" t="str">
            <v>(464) 639-8072</v>
          </cell>
          <cell r="AB336" t="str">
            <v xml:space="preserve">     DESC</v>
          </cell>
          <cell r="AC336" t="str">
            <v>A-0486</v>
          </cell>
          <cell r="AD336" t="str">
            <v/>
          </cell>
          <cell r="AE336" t="str">
            <v/>
          </cell>
          <cell r="AF336" t="str">
            <v/>
          </cell>
          <cell r="AG336">
            <v>41199</v>
          </cell>
          <cell r="AH336" t="str">
            <v>N</v>
          </cell>
          <cell r="AI336">
            <v>0</v>
          </cell>
          <cell r="AJ336">
            <v>0</v>
          </cell>
          <cell r="AK336">
            <v>0</v>
          </cell>
          <cell r="AL336">
            <v>92</v>
          </cell>
          <cell r="AM336">
            <v>893</v>
          </cell>
          <cell r="AN336">
            <v>0</v>
          </cell>
        </row>
        <row r="337">
          <cell r="A337">
            <v>2238</v>
          </cell>
          <cell r="B337" t="str">
            <v>REGALOS NICOLE (TASQUILLO)</v>
          </cell>
          <cell r="C337" t="str">
            <v/>
          </cell>
          <cell r="D337" t="str">
            <v>BELISARIO DOMINGUEZ #8</v>
          </cell>
          <cell r="E337" t="str">
            <v>TASQUILLO, HGO.</v>
          </cell>
          <cell r="F337" t="str">
            <v/>
          </cell>
          <cell r="G337" t="str">
            <v/>
          </cell>
          <cell r="H337" t="str">
            <v/>
          </cell>
          <cell r="I337" t="str">
            <v/>
          </cell>
          <cell r="J337" t="str">
            <v>BAJA</v>
          </cell>
          <cell r="K337" t="str">
            <v/>
          </cell>
          <cell r="L337">
            <v>0</v>
          </cell>
          <cell r="M337">
            <v>342</v>
          </cell>
          <cell r="N337" t="str">
            <v>S</v>
          </cell>
          <cell r="O337">
            <v>41191</v>
          </cell>
          <cell r="P337" t="str">
            <v xml:space="preserve">    1</v>
          </cell>
          <cell r="Q337">
            <v>0</v>
          </cell>
          <cell r="R337">
            <v>0</v>
          </cell>
          <cell r="S337">
            <v>0</v>
          </cell>
          <cell r="T337">
            <v>435</v>
          </cell>
          <cell r="U337">
            <v>0</v>
          </cell>
          <cell r="V337" t="str">
            <v>CENTRO</v>
          </cell>
          <cell r="W337" t="str">
            <v/>
          </cell>
          <cell r="X337" t="str">
            <v/>
          </cell>
          <cell r="Y337" t="str">
            <v/>
          </cell>
          <cell r="Z337" t="str">
            <v/>
          </cell>
          <cell r="AA337" t="str">
            <v/>
          </cell>
          <cell r="AB337" t="str">
            <v/>
          </cell>
          <cell r="AC337" t="str">
            <v>C316</v>
          </cell>
          <cell r="AD337" t="str">
            <v/>
          </cell>
          <cell r="AE337" t="str">
            <v/>
          </cell>
          <cell r="AF337" t="str">
            <v/>
          </cell>
          <cell r="AH337" t="str">
            <v>N</v>
          </cell>
          <cell r="AI337">
            <v>0</v>
          </cell>
          <cell r="AJ337">
            <v>0</v>
          </cell>
          <cell r="AK337">
            <v>0</v>
          </cell>
          <cell r="AL337">
            <v>0</v>
          </cell>
          <cell r="AM337">
            <v>435</v>
          </cell>
          <cell r="AN337">
            <v>0</v>
          </cell>
        </row>
        <row r="338">
          <cell r="A338">
            <v>2239</v>
          </cell>
          <cell r="B338" t="str">
            <v xml:space="preserve">PATRICIA ALVAREZ DIAZ (TLAXCOAPAN)                          </v>
          </cell>
          <cell r="C338" t="str">
            <v/>
          </cell>
          <cell r="D338" t="str">
            <v xml:space="preserve">FCO. I. MADERO S/N                      </v>
          </cell>
          <cell r="E338" t="str">
            <v xml:space="preserve">TLAXCOAPAN, HGO.              </v>
          </cell>
          <cell r="F338" t="str">
            <v/>
          </cell>
          <cell r="G338" t="str">
            <v>(55) 7229-5527</v>
          </cell>
          <cell r="H338">
            <v>0</v>
          </cell>
          <cell r="I338">
            <v>0</v>
          </cell>
          <cell r="J338" t="str">
            <v>F02</v>
          </cell>
          <cell r="K338" t="str">
            <v/>
          </cell>
          <cell r="L338">
            <v>0</v>
          </cell>
          <cell r="M338">
            <v>343</v>
          </cell>
          <cell r="N338" t="str">
            <v>A</v>
          </cell>
          <cell r="O338">
            <v>41191</v>
          </cell>
          <cell r="P338" t="str">
            <v xml:space="preserve">    1</v>
          </cell>
          <cell r="Q338">
            <v>0</v>
          </cell>
          <cell r="R338">
            <v>0</v>
          </cell>
          <cell r="S338">
            <v>0</v>
          </cell>
          <cell r="T338">
            <v>1215</v>
          </cell>
          <cell r="U338">
            <v>0</v>
          </cell>
          <cell r="V338" t="str">
            <v>CENTRO</v>
          </cell>
          <cell r="W338" t="str">
            <v/>
          </cell>
          <cell r="X338" t="str">
            <v/>
          </cell>
          <cell r="Y338" t="str">
            <v/>
          </cell>
          <cell r="Z338" t="str">
            <v/>
          </cell>
          <cell r="AA338" t="str">
            <v>(772) 132-2536</v>
          </cell>
          <cell r="AB338" t="str">
            <v/>
          </cell>
          <cell r="AC338" t="str">
            <v>C317</v>
          </cell>
          <cell r="AD338" t="str">
            <v/>
          </cell>
          <cell r="AE338" t="str">
            <v/>
          </cell>
          <cell r="AF338" t="str">
            <v/>
          </cell>
          <cell r="AH338" t="str">
            <v>N</v>
          </cell>
          <cell r="AI338">
            <v>0</v>
          </cell>
          <cell r="AJ338">
            <v>0</v>
          </cell>
          <cell r="AK338">
            <v>0</v>
          </cell>
          <cell r="AL338">
            <v>0</v>
          </cell>
          <cell r="AM338">
            <v>1215</v>
          </cell>
          <cell r="AN338">
            <v>0</v>
          </cell>
        </row>
        <row r="339">
          <cell r="A339">
            <v>2240</v>
          </cell>
          <cell r="B339" t="str">
            <v>ROSAURA VIOLETA NIETO DE LA VEGA (QUERETRO)</v>
          </cell>
          <cell r="C339" t="str">
            <v/>
          </cell>
          <cell r="D339" t="str">
            <v>PROL. ZARAGOZA #507</v>
          </cell>
          <cell r="E339" t="str">
            <v>QUERETARO, QRO.</v>
          </cell>
          <cell r="F339" t="str">
            <v/>
          </cell>
          <cell r="G339" t="str">
            <v>(442) 216-2332</v>
          </cell>
          <cell r="H339" t="str">
            <v>ROSAURA NIETO</v>
          </cell>
          <cell r="I339" t="str">
            <v>ROSAURA NIETO</v>
          </cell>
          <cell r="J339" t="str">
            <v>BAJA</v>
          </cell>
          <cell r="K339" t="str">
            <v/>
          </cell>
          <cell r="L339">
            <v>0</v>
          </cell>
          <cell r="M339">
            <v>344</v>
          </cell>
          <cell r="N339" t="str">
            <v>A</v>
          </cell>
          <cell r="O339">
            <v>41205</v>
          </cell>
          <cell r="P339" t="str">
            <v xml:space="preserve">    3</v>
          </cell>
          <cell r="Q339">
            <v>0</v>
          </cell>
          <cell r="R339">
            <v>0</v>
          </cell>
          <cell r="S339">
            <v>0</v>
          </cell>
          <cell r="T339">
            <v>3694</v>
          </cell>
          <cell r="U339">
            <v>0</v>
          </cell>
          <cell r="V339" t="str">
            <v>JARDINES DE LA HACIE</v>
          </cell>
          <cell r="W339" t="str">
            <v>(442) 206-4767</v>
          </cell>
          <cell r="X339" t="str">
            <v/>
          </cell>
          <cell r="Y339" t="str">
            <v/>
          </cell>
          <cell r="Z339" t="str">
            <v/>
          </cell>
          <cell r="AA339" t="str">
            <v>(442) 216-2332</v>
          </cell>
          <cell r="AB339" t="str">
            <v/>
          </cell>
          <cell r="AC339" t="str">
            <v>R-0159</v>
          </cell>
          <cell r="AD339" t="str">
            <v/>
          </cell>
          <cell r="AE339" t="str">
            <v/>
          </cell>
          <cell r="AF339" t="str">
            <v/>
          </cell>
          <cell r="AH339" t="str">
            <v>N</v>
          </cell>
          <cell r="AI339">
            <v>0</v>
          </cell>
          <cell r="AJ339">
            <v>0</v>
          </cell>
          <cell r="AK339">
            <v>0</v>
          </cell>
          <cell r="AL339">
            <v>0</v>
          </cell>
          <cell r="AM339">
            <v>3694</v>
          </cell>
          <cell r="AN339">
            <v>0</v>
          </cell>
        </row>
        <row r="340">
          <cell r="A340">
            <v>2241</v>
          </cell>
          <cell r="B340" t="str">
            <v>RICARDO MOLGADO (ACTOPAN)</v>
          </cell>
          <cell r="C340" t="str">
            <v/>
          </cell>
          <cell r="D340" t="str">
            <v>ESCOBEDO #5</v>
          </cell>
          <cell r="E340" t="str">
            <v>ACTOPAN, HGO.</v>
          </cell>
          <cell r="F340" t="str">
            <v/>
          </cell>
          <cell r="G340" t="str">
            <v>(772) 115-6442 CEL</v>
          </cell>
          <cell r="H340" t="str">
            <v>RICARDO MARGADO</v>
          </cell>
          <cell r="I340" t="str">
            <v>RICARDO MARGADO</v>
          </cell>
          <cell r="J340" t="str">
            <v>F02P</v>
          </cell>
          <cell r="K340" t="str">
            <v/>
          </cell>
          <cell r="L340">
            <v>0</v>
          </cell>
          <cell r="M340">
            <v>345</v>
          </cell>
          <cell r="N340" t="str">
            <v>A</v>
          </cell>
          <cell r="O340">
            <v>42325</v>
          </cell>
          <cell r="P340" t="str">
            <v xml:space="preserve">    9</v>
          </cell>
          <cell r="Q340">
            <v>0</v>
          </cell>
          <cell r="R340">
            <v>0</v>
          </cell>
          <cell r="S340">
            <v>2469</v>
          </cell>
          <cell r="T340">
            <v>7310</v>
          </cell>
          <cell r="U340">
            <v>0</v>
          </cell>
          <cell r="V340" t="str">
            <v>CENTRO</v>
          </cell>
          <cell r="W340" t="str">
            <v/>
          </cell>
          <cell r="X340" t="str">
            <v/>
          </cell>
          <cell r="Y340" t="str">
            <v/>
          </cell>
          <cell r="Z340" t="str">
            <v/>
          </cell>
          <cell r="AA340" t="str">
            <v>(772) 115-6442 CEL</v>
          </cell>
          <cell r="AB340" t="str">
            <v/>
          </cell>
          <cell r="AC340" t="str">
            <v>F438</v>
          </cell>
          <cell r="AD340" t="str">
            <v/>
          </cell>
          <cell r="AE340" t="str">
            <v/>
          </cell>
          <cell r="AF340" t="str">
            <v/>
          </cell>
          <cell r="AH340" t="str">
            <v>N</v>
          </cell>
          <cell r="AI340">
            <v>0</v>
          </cell>
          <cell r="AJ340">
            <v>0</v>
          </cell>
          <cell r="AK340">
            <v>0</v>
          </cell>
          <cell r="AL340">
            <v>0</v>
          </cell>
          <cell r="AM340">
            <v>2469</v>
          </cell>
          <cell r="AN340">
            <v>0</v>
          </cell>
        </row>
        <row r="341">
          <cell r="A341">
            <v>2242</v>
          </cell>
          <cell r="B341" t="str">
            <v>RAQUEL SANCHEZ PRADO (ACTOPAN)</v>
          </cell>
          <cell r="C341" t="str">
            <v/>
          </cell>
          <cell r="D341" t="str">
            <v>VICTORIA #2</v>
          </cell>
          <cell r="E341" t="str">
            <v>ACTOPAN, HGO.</v>
          </cell>
          <cell r="F341" t="str">
            <v/>
          </cell>
          <cell r="G341" t="str">
            <v>(772) 132-7581</v>
          </cell>
          <cell r="H341" t="str">
            <v>RAQUEL SANCHEZ PRADO</v>
          </cell>
          <cell r="I341" t="str">
            <v>RAQUEL SANCHEZ PRADO</v>
          </cell>
          <cell r="J341" t="str">
            <v>BAJA</v>
          </cell>
          <cell r="K341" t="str">
            <v/>
          </cell>
          <cell r="L341">
            <v>0</v>
          </cell>
          <cell r="M341">
            <v>346</v>
          </cell>
          <cell r="N341" t="str">
            <v>A</v>
          </cell>
          <cell r="O341">
            <v>41202</v>
          </cell>
          <cell r="P341" t="str">
            <v xml:space="preserve">    9</v>
          </cell>
          <cell r="Q341">
            <v>0</v>
          </cell>
          <cell r="R341">
            <v>0</v>
          </cell>
          <cell r="S341">
            <v>0</v>
          </cell>
          <cell r="T341">
            <v>1520</v>
          </cell>
          <cell r="U341">
            <v>0</v>
          </cell>
          <cell r="V341" t="str">
            <v>CENTRO</v>
          </cell>
          <cell r="W341" t="str">
            <v/>
          </cell>
          <cell r="X341" t="str">
            <v/>
          </cell>
          <cell r="Y341" t="str">
            <v/>
          </cell>
          <cell r="Z341" t="str">
            <v/>
          </cell>
          <cell r="AA341" t="str">
            <v>(772) 132-7581</v>
          </cell>
          <cell r="AB341" t="str">
            <v/>
          </cell>
          <cell r="AC341" t="str">
            <v>R-0161</v>
          </cell>
          <cell r="AD341" t="str">
            <v/>
          </cell>
          <cell r="AE341" t="str">
            <v/>
          </cell>
          <cell r="AF341" t="str">
            <v/>
          </cell>
          <cell r="AH341" t="str">
            <v>N</v>
          </cell>
          <cell r="AI341">
            <v>0</v>
          </cell>
          <cell r="AJ341">
            <v>0</v>
          </cell>
          <cell r="AK341">
            <v>0</v>
          </cell>
          <cell r="AL341">
            <v>0</v>
          </cell>
          <cell r="AM341">
            <v>1520</v>
          </cell>
          <cell r="AN341">
            <v>0</v>
          </cell>
        </row>
        <row r="342">
          <cell r="A342">
            <v>2243</v>
          </cell>
          <cell r="B342" t="str">
            <v>SERGIO GALICIA CAMACHO (D.F.)</v>
          </cell>
          <cell r="C342" t="str">
            <v/>
          </cell>
          <cell r="D342" t="str">
            <v>MERCADO TACUBA LOC. 301-302</v>
          </cell>
          <cell r="E342" t="str">
            <v>MEXICO, D.F.</v>
          </cell>
          <cell r="F342" t="str">
            <v/>
          </cell>
          <cell r="G342" t="str">
            <v/>
          </cell>
          <cell r="H342" t="str">
            <v>SERGIO GALICIA C.</v>
          </cell>
          <cell r="I342" t="str">
            <v>SERGIO GALICIA C.</v>
          </cell>
          <cell r="J342" t="str">
            <v>BAJA</v>
          </cell>
          <cell r="K342" t="str">
            <v/>
          </cell>
          <cell r="L342">
            <v>0</v>
          </cell>
          <cell r="M342">
            <v>347</v>
          </cell>
          <cell r="N342" t="str">
            <v>S</v>
          </cell>
          <cell r="O342">
            <v>41205</v>
          </cell>
          <cell r="P342" t="str">
            <v xml:space="preserve">    9</v>
          </cell>
          <cell r="Q342">
            <v>0</v>
          </cell>
          <cell r="R342">
            <v>0</v>
          </cell>
          <cell r="S342">
            <v>0</v>
          </cell>
          <cell r="T342">
            <v>865</v>
          </cell>
          <cell r="U342">
            <v>0</v>
          </cell>
          <cell r="V342" t="str">
            <v/>
          </cell>
          <cell r="W342" t="str">
            <v/>
          </cell>
          <cell r="X342" t="str">
            <v/>
          </cell>
          <cell r="Y342" t="str">
            <v/>
          </cell>
          <cell r="Z342" t="str">
            <v/>
          </cell>
          <cell r="AA342" t="str">
            <v/>
          </cell>
          <cell r="AB342" t="str">
            <v/>
          </cell>
          <cell r="AC342" t="str">
            <v>C590</v>
          </cell>
          <cell r="AD342" t="str">
            <v/>
          </cell>
          <cell r="AE342" t="str">
            <v/>
          </cell>
          <cell r="AF342" t="str">
            <v/>
          </cell>
          <cell r="AH342" t="str">
            <v>N</v>
          </cell>
          <cell r="AI342">
            <v>0</v>
          </cell>
          <cell r="AJ342">
            <v>0</v>
          </cell>
          <cell r="AK342">
            <v>0</v>
          </cell>
          <cell r="AL342">
            <v>0</v>
          </cell>
          <cell r="AM342">
            <v>865</v>
          </cell>
          <cell r="AN342">
            <v>0</v>
          </cell>
        </row>
        <row r="343">
          <cell r="A343">
            <v>2244</v>
          </cell>
          <cell r="B343" t="str">
            <v>CONSUELO RUEDA JIMENEZ (NICOLAS ROMERO)</v>
          </cell>
          <cell r="C343" t="str">
            <v/>
          </cell>
          <cell r="D343" t="str">
            <v>AV. 16 DE SEPTIEMBRE #47</v>
          </cell>
          <cell r="E343" t="str">
            <v>NICOLAS ROMERO, EDO. DE MEXICO</v>
          </cell>
          <cell r="F343" t="str">
            <v/>
          </cell>
          <cell r="G343" t="str">
            <v>(55) 5821-2056</v>
          </cell>
          <cell r="H343" t="str">
            <v>CONSUELO RUEDA J.</v>
          </cell>
          <cell r="I343" t="str">
            <v>CONSUELO RUEDA J.</v>
          </cell>
          <cell r="J343" t="str">
            <v>M02</v>
          </cell>
          <cell r="K343" t="str">
            <v/>
          </cell>
          <cell r="L343">
            <v>0</v>
          </cell>
          <cell r="M343">
            <v>348</v>
          </cell>
          <cell r="N343" t="str">
            <v>A</v>
          </cell>
          <cell r="O343">
            <v>42481</v>
          </cell>
          <cell r="P343" t="str">
            <v xml:space="preserve">    9</v>
          </cell>
          <cell r="Q343">
            <v>0</v>
          </cell>
          <cell r="R343">
            <v>0</v>
          </cell>
          <cell r="S343">
            <v>10937</v>
          </cell>
          <cell r="T343">
            <v>211341</v>
          </cell>
          <cell r="U343">
            <v>0</v>
          </cell>
          <cell r="V343" t="str">
            <v>CENTRO</v>
          </cell>
          <cell r="W343" t="str">
            <v/>
          </cell>
          <cell r="X343" t="str">
            <v>jofiel_lopez@hotmail.com</v>
          </cell>
          <cell r="Y343" t="str">
            <v/>
          </cell>
          <cell r="Z343" t="str">
            <v/>
          </cell>
          <cell r="AA343" t="str">
            <v>(55) 5821-2056</v>
          </cell>
          <cell r="AB343" t="str">
            <v xml:space="preserve">  DEV-239</v>
          </cell>
          <cell r="AC343" t="str">
            <v>M608</v>
          </cell>
          <cell r="AD343" t="str">
            <v/>
          </cell>
          <cell r="AE343" t="str">
            <v/>
          </cell>
          <cell r="AF343" t="str">
            <v/>
          </cell>
          <cell r="AG343">
            <v>41935</v>
          </cell>
          <cell r="AH343" t="str">
            <v>N</v>
          </cell>
          <cell r="AI343">
            <v>0</v>
          </cell>
          <cell r="AJ343">
            <v>0</v>
          </cell>
          <cell r="AK343">
            <v>0</v>
          </cell>
          <cell r="AL343">
            <v>340</v>
          </cell>
          <cell r="AM343">
            <v>7196</v>
          </cell>
          <cell r="AN343">
            <v>0</v>
          </cell>
        </row>
        <row r="344">
          <cell r="A344">
            <v>2245</v>
          </cell>
          <cell r="B344" t="str">
            <v>PEDRO VALDEZ JUAREZ (ACAMBARO)</v>
          </cell>
          <cell r="C344" t="str">
            <v/>
          </cell>
          <cell r="D344" t="str">
            <v>GUILLERMO PRIETO #4</v>
          </cell>
          <cell r="E344" t="str">
            <v>ACAMBARO, GTO.</v>
          </cell>
          <cell r="F344" t="str">
            <v/>
          </cell>
          <cell r="G344" t="str">
            <v>(417) 172-0199 CASA</v>
          </cell>
          <cell r="H344" t="str">
            <v>PEDRO VALDEZ JUAREZ</v>
          </cell>
          <cell r="I344" t="str">
            <v>PEDRO VALDEZ JUAREZ</v>
          </cell>
          <cell r="J344" t="str">
            <v>J06</v>
          </cell>
          <cell r="K344" t="str">
            <v/>
          </cell>
          <cell r="L344">
            <v>0</v>
          </cell>
          <cell r="M344">
            <v>349</v>
          </cell>
          <cell r="N344" t="str">
            <v>A</v>
          </cell>
          <cell r="O344">
            <v>42511</v>
          </cell>
          <cell r="P344" t="str">
            <v xml:space="preserve">    1</v>
          </cell>
          <cell r="Q344">
            <v>0</v>
          </cell>
          <cell r="R344">
            <v>0</v>
          </cell>
          <cell r="S344">
            <v>10277</v>
          </cell>
          <cell r="T344">
            <v>223344</v>
          </cell>
          <cell r="U344">
            <v>0</v>
          </cell>
          <cell r="V344" t="str">
            <v>CENTRO</v>
          </cell>
          <cell r="W344" t="str">
            <v>(417) 111-6080 CEL</v>
          </cell>
          <cell r="X344" t="str">
            <v/>
          </cell>
          <cell r="Y344" t="str">
            <v/>
          </cell>
          <cell r="Z344" t="str">
            <v/>
          </cell>
          <cell r="AA344" t="str">
            <v>(417) 172-0199 CASA</v>
          </cell>
          <cell r="AB344" t="str">
            <v>DEV X DEF</v>
          </cell>
          <cell r="AC344" t="str">
            <v>J0387</v>
          </cell>
          <cell r="AD344" t="str">
            <v/>
          </cell>
          <cell r="AE344" t="str">
            <v/>
          </cell>
          <cell r="AF344" t="str">
            <v/>
          </cell>
          <cell r="AG344">
            <v>42426</v>
          </cell>
          <cell r="AH344" t="str">
            <v>N</v>
          </cell>
          <cell r="AI344">
            <v>0</v>
          </cell>
          <cell r="AJ344">
            <v>0</v>
          </cell>
          <cell r="AK344">
            <v>0</v>
          </cell>
          <cell r="AL344">
            <v>100</v>
          </cell>
          <cell r="AM344">
            <v>1945</v>
          </cell>
          <cell r="AN344">
            <v>0</v>
          </cell>
        </row>
        <row r="345">
          <cell r="A345">
            <v>2246</v>
          </cell>
          <cell r="B345" t="str">
            <v>SOLEDAD CASTILLO VEGA (TULA)</v>
          </cell>
          <cell r="C345" t="str">
            <v/>
          </cell>
          <cell r="D345" t="str">
            <v>MERCADO FELIPE CARBAJAL LOC. 54</v>
          </cell>
          <cell r="E345" t="str">
            <v>TULA, HGO.</v>
          </cell>
          <cell r="F345" t="str">
            <v/>
          </cell>
          <cell r="G345" t="str">
            <v>(773) 23735</v>
          </cell>
          <cell r="H345" t="str">
            <v>SOLEDAD CASTILLO V.</v>
          </cell>
          <cell r="I345" t="str">
            <v>SOLEDAD CASTILLO V.</v>
          </cell>
          <cell r="J345" t="str">
            <v>BAJA</v>
          </cell>
          <cell r="K345" t="str">
            <v/>
          </cell>
          <cell r="L345">
            <v>0</v>
          </cell>
          <cell r="M345">
            <v>350</v>
          </cell>
          <cell r="N345" t="str">
            <v>A</v>
          </cell>
          <cell r="O345">
            <v>41218</v>
          </cell>
          <cell r="P345" t="str">
            <v xml:space="preserve">    9</v>
          </cell>
          <cell r="Q345">
            <v>0</v>
          </cell>
          <cell r="R345">
            <v>0</v>
          </cell>
          <cell r="S345">
            <v>0</v>
          </cell>
          <cell r="T345">
            <v>353</v>
          </cell>
          <cell r="U345">
            <v>0</v>
          </cell>
          <cell r="V345" t="str">
            <v>CENTRO</v>
          </cell>
          <cell r="W345" t="str">
            <v/>
          </cell>
          <cell r="X345" t="str">
            <v/>
          </cell>
          <cell r="Y345" t="str">
            <v/>
          </cell>
          <cell r="Z345" t="str">
            <v/>
          </cell>
          <cell r="AA345" t="str">
            <v>(773) 23735</v>
          </cell>
          <cell r="AB345" t="str">
            <v/>
          </cell>
          <cell r="AC345" t="str">
            <v>C605</v>
          </cell>
          <cell r="AD345" t="str">
            <v/>
          </cell>
          <cell r="AE345" t="str">
            <v/>
          </cell>
          <cell r="AF345" t="str">
            <v/>
          </cell>
          <cell r="AH345" t="str">
            <v>N</v>
          </cell>
          <cell r="AI345">
            <v>0</v>
          </cell>
          <cell r="AJ345">
            <v>0</v>
          </cell>
          <cell r="AK345">
            <v>0</v>
          </cell>
          <cell r="AL345">
            <v>0</v>
          </cell>
          <cell r="AM345">
            <v>353</v>
          </cell>
          <cell r="AN345">
            <v>0</v>
          </cell>
        </row>
        <row r="346">
          <cell r="A346">
            <v>2247</v>
          </cell>
          <cell r="B346" t="str">
            <v>BONETERIA "MODAS RODCE" (TEMAZCALAPAN)</v>
          </cell>
          <cell r="C346" t="str">
            <v/>
          </cell>
          <cell r="D346" t="str">
            <v>AV. GUSTAVO BAS #14</v>
          </cell>
          <cell r="E346" t="str">
            <v>TEMAZCALAPA, EDO. DE MEXICO</v>
          </cell>
          <cell r="F346" t="str">
            <v/>
          </cell>
          <cell r="G346" t="str">
            <v/>
          </cell>
          <cell r="H346" t="str">
            <v/>
          </cell>
          <cell r="I346" t="str">
            <v/>
          </cell>
          <cell r="J346" t="str">
            <v>BAJA</v>
          </cell>
          <cell r="K346" t="str">
            <v/>
          </cell>
          <cell r="L346">
            <v>0</v>
          </cell>
          <cell r="M346">
            <v>351</v>
          </cell>
          <cell r="N346" t="str">
            <v>A</v>
          </cell>
          <cell r="O346">
            <v>41220</v>
          </cell>
          <cell r="P346" t="str">
            <v xml:space="preserve">    9</v>
          </cell>
          <cell r="Q346">
            <v>0</v>
          </cell>
          <cell r="R346">
            <v>0</v>
          </cell>
          <cell r="S346">
            <v>0</v>
          </cell>
          <cell r="T346">
            <v>457</v>
          </cell>
          <cell r="U346">
            <v>0</v>
          </cell>
          <cell r="V346" t="str">
            <v>CENTRO</v>
          </cell>
          <cell r="W346" t="str">
            <v/>
          </cell>
          <cell r="X346" t="str">
            <v/>
          </cell>
          <cell r="Y346" t="str">
            <v/>
          </cell>
          <cell r="Z346" t="str">
            <v/>
          </cell>
          <cell r="AA346" t="str">
            <v/>
          </cell>
          <cell r="AB346" t="str">
            <v/>
          </cell>
          <cell r="AC346" t="str">
            <v>C608</v>
          </cell>
          <cell r="AD346" t="str">
            <v/>
          </cell>
          <cell r="AE346" t="str">
            <v/>
          </cell>
          <cell r="AF346" t="str">
            <v/>
          </cell>
          <cell r="AH346" t="str">
            <v>N</v>
          </cell>
          <cell r="AI346">
            <v>0</v>
          </cell>
          <cell r="AJ346">
            <v>0</v>
          </cell>
          <cell r="AK346">
            <v>0</v>
          </cell>
          <cell r="AL346">
            <v>0</v>
          </cell>
          <cell r="AM346">
            <v>457</v>
          </cell>
          <cell r="AN346">
            <v>0</v>
          </cell>
        </row>
        <row r="347">
          <cell r="A347">
            <v>2248</v>
          </cell>
          <cell r="B347" t="str">
            <v>REYNA MONTIEL CARDENAS (ATLACOMULCO)</v>
          </cell>
          <cell r="C347" t="str">
            <v/>
          </cell>
          <cell r="D347" t="str">
            <v>JOSE VICENTE VILLADA #8</v>
          </cell>
          <cell r="E347" t="str">
            <v>ATLACOMULCO, EDO. DE MEXICO</v>
          </cell>
          <cell r="F347" t="str">
            <v/>
          </cell>
          <cell r="G347" t="str">
            <v>72*586145*2</v>
          </cell>
          <cell r="H347" t="str">
            <v>REYNA MONTIEL C.</v>
          </cell>
          <cell r="I347" t="str">
            <v>REYNA MONTIEL C.</v>
          </cell>
          <cell r="J347" t="str">
            <v>L08</v>
          </cell>
          <cell r="K347" t="str">
            <v/>
          </cell>
          <cell r="L347">
            <v>0</v>
          </cell>
          <cell r="M347">
            <v>352</v>
          </cell>
          <cell r="N347" t="str">
            <v>A</v>
          </cell>
          <cell r="O347">
            <v>42459</v>
          </cell>
          <cell r="P347" t="str">
            <v xml:space="preserve">    3</v>
          </cell>
          <cell r="Q347">
            <v>0</v>
          </cell>
          <cell r="R347">
            <v>0</v>
          </cell>
          <cell r="S347">
            <v>4011</v>
          </cell>
          <cell r="T347">
            <v>124633</v>
          </cell>
          <cell r="U347">
            <v>0</v>
          </cell>
          <cell r="V347" t="str">
            <v>CENTRO</v>
          </cell>
          <cell r="W347" t="str">
            <v>(712) 113-9853 CEL</v>
          </cell>
          <cell r="X347" t="str">
            <v/>
          </cell>
          <cell r="Y347" t="str">
            <v/>
          </cell>
          <cell r="Z347" t="str">
            <v/>
          </cell>
          <cell r="AA347" t="str">
            <v>72*586145*2</v>
          </cell>
          <cell r="AB347" t="str">
            <v xml:space="preserve">  DEV-301</v>
          </cell>
          <cell r="AC347" t="str">
            <v>L841433</v>
          </cell>
          <cell r="AD347" t="str">
            <v/>
          </cell>
          <cell r="AE347" t="str">
            <v/>
          </cell>
          <cell r="AF347" t="str">
            <v/>
          </cell>
          <cell r="AG347">
            <v>42264</v>
          </cell>
          <cell r="AH347" t="str">
            <v>N</v>
          </cell>
          <cell r="AI347">
            <v>0</v>
          </cell>
          <cell r="AJ347">
            <v>0</v>
          </cell>
          <cell r="AK347">
            <v>0</v>
          </cell>
          <cell r="AL347">
            <v>690</v>
          </cell>
          <cell r="AM347">
            <v>1253</v>
          </cell>
          <cell r="AN347">
            <v>0</v>
          </cell>
        </row>
        <row r="348">
          <cell r="A348">
            <v>2249</v>
          </cell>
          <cell r="B348" t="str">
            <v>CATALINA SALINAS TORREZ (TECOZAHUTLA)</v>
          </cell>
          <cell r="C348" t="str">
            <v/>
          </cell>
          <cell r="D348" t="str">
            <v/>
          </cell>
          <cell r="E348" t="str">
            <v>TECOZAHUTLA, HGO.</v>
          </cell>
          <cell r="F348" t="str">
            <v/>
          </cell>
          <cell r="G348" t="str">
            <v/>
          </cell>
          <cell r="H348" t="str">
            <v>CATALINA SALINAS T.</v>
          </cell>
          <cell r="I348" t="str">
            <v>CATALINA SALINAS T.</v>
          </cell>
          <cell r="J348" t="str">
            <v>BAJA</v>
          </cell>
          <cell r="K348" t="str">
            <v/>
          </cell>
          <cell r="L348">
            <v>0</v>
          </cell>
          <cell r="M348">
            <v>353</v>
          </cell>
          <cell r="N348" t="str">
            <v>A</v>
          </cell>
          <cell r="O348">
            <v>41220</v>
          </cell>
          <cell r="P348" t="str">
            <v xml:space="preserve">   13</v>
          </cell>
          <cell r="Q348">
            <v>0</v>
          </cell>
          <cell r="R348">
            <v>0</v>
          </cell>
          <cell r="S348">
            <v>0</v>
          </cell>
          <cell r="T348">
            <v>1314</v>
          </cell>
          <cell r="U348">
            <v>0</v>
          </cell>
          <cell r="V348" t="str">
            <v/>
          </cell>
          <cell r="W348" t="str">
            <v/>
          </cell>
          <cell r="X348" t="str">
            <v/>
          </cell>
          <cell r="Y348" t="str">
            <v/>
          </cell>
          <cell r="Z348" t="str">
            <v/>
          </cell>
          <cell r="AA348" t="str">
            <v/>
          </cell>
          <cell r="AB348" t="str">
            <v/>
          </cell>
          <cell r="AC348" t="str">
            <v>C324</v>
          </cell>
          <cell r="AD348" t="str">
            <v/>
          </cell>
          <cell r="AE348" t="str">
            <v/>
          </cell>
          <cell r="AF348" t="str">
            <v/>
          </cell>
          <cell r="AH348" t="str">
            <v>N</v>
          </cell>
          <cell r="AI348">
            <v>0</v>
          </cell>
          <cell r="AJ348">
            <v>0</v>
          </cell>
          <cell r="AK348">
            <v>0</v>
          </cell>
          <cell r="AL348">
            <v>0</v>
          </cell>
          <cell r="AM348">
            <v>1314</v>
          </cell>
          <cell r="AN348">
            <v>0</v>
          </cell>
        </row>
        <row r="349">
          <cell r="A349">
            <v>2250</v>
          </cell>
          <cell r="B349" t="str">
            <v xml:space="preserve">ESTEFANIA ANDRADE CRISOSTOMO (TLALNE)                       </v>
          </cell>
          <cell r="C349" t="str">
            <v/>
          </cell>
          <cell r="D349" t="str">
            <v xml:space="preserve">PLAZA CASAS BLANCA LOC. 111-112         </v>
          </cell>
          <cell r="E349" t="str">
            <v xml:space="preserve">TLALNEPANTLA, EDO. DE MEXICO  </v>
          </cell>
          <cell r="F349" t="str">
            <v/>
          </cell>
          <cell r="G349" t="str">
            <v/>
          </cell>
          <cell r="H349">
            <v>0</v>
          </cell>
          <cell r="I349">
            <v>0</v>
          </cell>
          <cell r="J349" t="str">
            <v>F02</v>
          </cell>
          <cell r="K349" t="str">
            <v/>
          </cell>
          <cell r="L349">
            <v>0</v>
          </cell>
          <cell r="M349">
            <v>354</v>
          </cell>
          <cell r="N349" t="str">
            <v>A</v>
          </cell>
          <cell r="O349">
            <v>41220</v>
          </cell>
          <cell r="P349" t="str">
            <v xml:space="preserve">   13</v>
          </cell>
          <cell r="Q349">
            <v>0</v>
          </cell>
          <cell r="R349">
            <v>0</v>
          </cell>
          <cell r="S349">
            <v>0</v>
          </cell>
          <cell r="T349">
            <v>770</v>
          </cell>
          <cell r="U349">
            <v>0</v>
          </cell>
          <cell r="V349" t="str">
            <v/>
          </cell>
          <cell r="W349" t="str">
            <v/>
          </cell>
          <cell r="X349" t="str">
            <v/>
          </cell>
          <cell r="Y349" t="str">
            <v/>
          </cell>
          <cell r="Z349" t="str">
            <v/>
          </cell>
          <cell r="AA349" t="str">
            <v/>
          </cell>
          <cell r="AB349" t="str">
            <v/>
          </cell>
          <cell r="AC349" t="str">
            <v>P0022</v>
          </cell>
          <cell r="AD349" t="str">
            <v/>
          </cell>
          <cell r="AE349" t="str">
            <v/>
          </cell>
          <cell r="AF349" t="str">
            <v/>
          </cell>
          <cell r="AH349" t="str">
            <v>N</v>
          </cell>
          <cell r="AI349">
            <v>0</v>
          </cell>
          <cell r="AJ349">
            <v>0</v>
          </cell>
          <cell r="AK349">
            <v>0</v>
          </cell>
          <cell r="AL349">
            <v>0</v>
          </cell>
          <cell r="AM349">
            <v>770</v>
          </cell>
          <cell r="AN349">
            <v>0</v>
          </cell>
        </row>
        <row r="350">
          <cell r="A350">
            <v>2251</v>
          </cell>
          <cell r="B350" t="str">
            <v>TERESA HERNANDEZ FLORES (HUICHAPAN)</v>
          </cell>
          <cell r="C350" t="str">
            <v/>
          </cell>
          <cell r="D350" t="str">
            <v>MERCADO HUICHAPAN INT. 5</v>
          </cell>
          <cell r="E350" t="str">
            <v>HUICHAPAN, HGO.</v>
          </cell>
          <cell r="F350" t="str">
            <v/>
          </cell>
          <cell r="G350" t="str">
            <v>(761) 782-1954</v>
          </cell>
          <cell r="H350" t="str">
            <v>TERESA HERNANDEZ F.</v>
          </cell>
          <cell r="I350" t="str">
            <v>TERESA HERNANDEZ F.</v>
          </cell>
          <cell r="J350" t="str">
            <v>BAJA</v>
          </cell>
          <cell r="K350" t="str">
            <v/>
          </cell>
          <cell r="L350">
            <v>0</v>
          </cell>
          <cell r="M350">
            <v>355</v>
          </cell>
          <cell r="N350" t="str">
            <v>A</v>
          </cell>
          <cell r="O350">
            <v>41366</v>
          </cell>
          <cell r="P350" t="str">
            <v xml:space="preserve">    1</v>
          </cell>
          <cell r="Q350">
            <v>0</v>
          </cell>
          <cell r="R350">
            <v>0</v>
          </cell>
          <cell r="S350">
            <v>0</v>
          </cell>
          <cell r="T350">
            <v>4539</v>
          </cell>
          <cell r="U350">
            <v>0</v>
          </cell>
          <cell r="V350" t="str">
            <v>CENTRO</v>
          </cell>
          <cell r="W350" t="str">
            <v/>
          </cell>
          <cell r="X350" t="str">
            <v/>
          </cell>
          <cell r="Y350" t="str">
            <v/>
          </cell>
          <cell r="Z350" t="str">
            <v/>
          </cell>
          <cell r="AA350" t="str">
            <v>(761) 782-1954</v>
          </cell>
          <cell r="AB350" t="str">
            <v/>
          </cell>
          <cell r="AC350" t="str">
            <v>P0085</v>
          </cell>
          <cell r="AD350" t="str">
            <v/>
          </cell>
          <cell r="AE350" t="str">
            <v/>
          </cell>
          <cell r="AF350" t="str">
            <v/>
          </cell>
          <cell r="AH350" t="str">
            <v>N</v>
          </cell>
          <cell r="AI350">
            <v>0</v>
          </cell>
          <cell r="AJ350">
            <v>0</v>
          </cell>
          <cell r="AK350">
            <v>0</v>
          </cell>
          <cell r="AL350">
            <v>0</v>
          </cell>
          <cell r="AM350">
            <v>1072</v>
          </cell>
          <cell r="AN350">
            <v>0</v>
          </cell>
        </row>
        <row r="351">
          <cell r="A351">
            <v>2252</v>
          </cell>
          <cell r="B351" t="str">
            <v>LIDYA HURTADO (TACUBA)</v>
          </cell>
          <cell r="C351" t="str">
            <v/>
          </cell>
          <cell r="D351" t="str">
            <v>MERCADO TACUBA LOC. 251-253</v>
          </cell>
          <cell r="E351" t="str">
            <v/>
          </cell>
          <cell r="F351" t="str">
            <v/>
          </cell>
          <cell r="G351" t="str">
            <v>(55) 5399-0202</v>
          </cell>
          <cell r="H351" t="str">
            <v/>
          </cell>
          <cell r="I351" t="str">
            <v/>
          </cell>
          <cell r="J351" t="str">
            <v>BAJA</v>
          </cell>
          <cell r="K351" t="str">
            <v/>
          </cell>
          <cell r="L351">
            <v>0</v>
          </cell>
          <cell r="M351">
            <v>356</v>
          </cell>
          <cell r="N351" t="str">
            <v>S</v>
          </cell>
          <cell r="O351">
            <v>41221</v>
          </cell>
          <cell r="P351" t="str">
            <v/>
          </cell>
          <cell r="Q351">
            <v>0</v>
          </cell>
          <cell r="R351">
            <v>0</v>
          </cell>
          <cell r="S351">
            <v>0</v>
          </cell>
          <cell r="T351">
            <v>1070</v>
          </cell>
          <cell r="U351">
            <v>0</v>
          </cell>
          <cell r="V351" t="str">
            <v/>
          </cell>
          <cell r="W351" t="str">
            <v/>
          </cell>
          <cell r="X351" t="str">
            <v/>
          </cell>
          <cell r="Y351" t="str">
            <v/>
          </cell>
          <cell r="Z351" t="str">
            <v/>
          </cell>
          <cell r="AA351" t="str">
            <v>(55) 5399-0202</v>
          </cell>
          <cell r="AB351" t="str">
            <v/>
          </cell>
          <cell r="AC351" t="str">
            <v xml:space="preserve">   1019</v>
          </cell>
          <cell r="AD351" t="str">
            <v/>
          </cell>
          <cell r="AE351" t="str">
            <v/>
          </cell>
          <cell r="AF351" t="str">
            <v/>
          </cell>
          <cell r="AH351" t="str">
            <v>N</v>
          </cell>
          <cell r="AI351">
            <v>0</v>
          </cell>
          <cell r="AJ351">
            <v>0</v>
          </cell>
          <cell r="AK351">
            <v>0</v>
          </cell>
          <cell r="AL351">
            <v>0</v>
          </cell>
          <cell r="AM351">
            <v>1070</v>
          </cell>
          <cell r="AN351">
            <v>0</v>
          </cell>
        </row>
        <row r="352">
          <cell r="A352">
            <v>2253</v>
          </cell>
          <cell r="B352" t="str">
            <v>LETICIA GARDUÑO CRUZ (IZCALLI)</v>
          </cell>
          <cell r="C352" t="str">
            <v/>
          </cell>
          <cell r="D352" t="str">
            <v>MERCADO DEL CARMEN LOC. 229</v>
          </cell>
          <cell r="E352" t="str">
            <v>IZCALLI, EDO. DE MEXICO</v>
          </cell>
          <cell r="F352" t="str">
            <v/>
          </cell>
          <cell r="G352" t="str">
            <v>(55) 1676-1036</v>
          </cell>
          <cell r="H352" t="str">
            <v>LETICIA GARDUÑO CRUZ</v>
          </cell>
          <cell r="I352" t="str">
            <v>LETICIA GARDUÑO CRUZ</v>
          </cell>
          <cell r="J352" t="str">
            <v>BAJA</v>
          </cell>
          <cell r="K352" t="str">
            <v/>
          </cell>
          <cell r="L352">
            <v>0</v>
          </cell>
          <cell r="M352">
            <v>357</v>
          </cell>
          <cell r="N352" t="str">
            <v>A</v>
          </cell>
          <cell r="O352">
            <v>41227</v>
          </cell>
          <cell r="P352" t="str">
            <v xml:space="preserve">    9</v>
          </cell>
          <cell r="Q352">
            <v>0</v>
          </cell>
          <cell r="R352">
            <v>0</v>
          </cell>
          <cell r="S352">
            <v>0</v>
          </cell>
          <cell r="T352">
            <v>1449</v>
          </cell>
          <cell r="U352">
            <v>0</v>
          </cell>
          <cell r="V352" t="str">
            <v/>
          </cell>
          <cell r="W352" t="str">
            <v/>
          </cell>
          <cell r="X352" t="str">
            <v/>
          </cell>
          <cell r="Y352" t="str">
            <v/>
          </cell>
          <cell r="Z352" t="str">
            <v/>
          </cell>
          <cell r="AA352" t="str">
            <v>(55) 1676-1036</v>
          </cell>
          <cell r="AB352" t="str">
            <v/>
          </cell>
          <cell r="AC352" t="str">
            <v>R-0189</v>
          </cell>
          <cell r="AD352" t="str">
            <v/>
          </cell>
          <cell r="AE352" t="str">
            <v/>
          </cell>
          <cell r="AF352" t="str">
            <v/>
          </cell>
          <cell r="AH352" t="str">
            <v>N</v>
          </cell>
          <cell r="AI352">
            <v>0</v>
          </cell>
          <cell r="AJ352">
            <v>0</v>
          </cell>
          <cell r="AK352">
            <v>0</v>
          </cell>
          <cell r="AL352">
            <v>0</v>
          </cell>
          <cell r="AM352">
            <v>1449</v>
          </cell>
          <cell r="AN352">
            <v>0</v>
          </cell>
        </row>
        <row r="353">
          <cell r="A353">
            <v>2254</v>
          </cell>
          <cell r="B353" t="str">
            <v>CONSTANTINO ALBITER (ZUMPANGO)</v>
          </cell>
          <cell r="C353" t="str">
            <v/>
          </cell>
          <cell r="D353" t="str">
            <v>FEDERICO GOMEZ #5</v>
          </cell>
          <cell r="E353" t="str">
            <v>ZUMPANGO, EDO. DE MEXICO</v>
          </cell>
          <cell r="F353" t="str">
            <v/>
          </cell>
          <cell r="G353" t="str">
            <v>(55)1292-6210</v>
          </cell>
          <cell r="H353" t="str">
            <v>CONSTANTINO ALBITER</v>
          </cell>
          <cell r="I353" t="str">
            <v>CONSTANTINO ALBITER</v>
          </cell>
          <cell r="J353" t="str">
            <v>BAJA</v>
          </cell>
          <cell r="K353" t="str">
            <v/>
          </cell>
          <cell r="L353">
            <v>0</v>
          </cell>
          <cell r="M353">
            <v>358</v>
          </cell>
          <cell r="N353" t="str">
            <v>A</v>
          </cell>
          <cell r="O353">
            <v>41368</v>
          </cell>
          <cell r="P353" t="str">
            <v xml:space="preserve">    9</v>
          </cell>
          <cell r="Q353">
            <v>0</v>
          </cell>
          <cell r="R353">
            <v>0</v>
          </cell>
          <cell r="S353">
            <v>0</v>
          </cell>
          <cell r="T353">
            <v>9849.84</v>
          </cell>
          <cell r="U353">
            <v>0</v>
          </cell>
          <cell r="V353" t="str">
            <v>CENTRO</v>
          </cell>
          <cell r="W353" t="str">
            <v/>
          </cell>
          <cell r="X353" t="str">
            <v/>
          </cell>
          <cell r="Y353" t="str">
            <v/>
          </cell>
          <cell r="Z353" t="str">
            <v/>
          </cell>
          <cell r="AA353" t="str">
            <v>(55)1292-6210</v>
          </cell>
          <cell r="AB353" t="str">
            <v/>
          </cell>
          <cell r="AC353" t="str">
            <v>P0277</v>
          </cell>
          <cell r="AD353" t="str">
            <v/>
          </cell>
          <cell r="AE353" t="str">
            <v/>
          </cell>
          <cell r="AF353" t="str">
            <v/>
          </cell>
          <cell r="AH353" t="str">
            <v>N</v>
          </cell>
          <cell r="AI353">
            <v>0</v>
          </cell>
          <cell r="AJ353">
            <v>0</v>
          </cell>
          <cell r="AK353">
            <v>0</v>
          </cell>
          <cell r="AL353">
            <v>0</v>
          </cell>
          <cell r="AM353">
            <v>528</v>
          </cell>
          <cell r="AN353">
            <v>0</v>
          </cell>
        </row>
        <row r="354">
          <cell r="A354">
            <v>2255</v>
          </cell>
          <cell r="B354" t="str">
            <v>COMERCIALIZADORA NUPCIAL (VILLA)</v>
          </cell>
          <cell r="C354" t="str">
            <v/>
          </cell>
          <cell r="D354" t="str">
            <v>PLAZA LAS FLORES LOC. 81-82</v>
          </cell>
          <cell r="E354" t="str">
            <v>COACALCO, EDO. DE MEXICO</v>
          </cell>
          <cell r="F354" t="str">
            <v/>
          </cell>
          <cell r="G354" t="str">
            <v>(55) 1039-3140</v>
          </cell>
          <cell r="H354" t="str">
            <v/>
          </cell>
          <cell r="I354" t="str">
            <v/>
          </cell>
          <cell r="J354" t="str">
            <v>BAJA</v>
          </cell>
          <cell r="K354" t="str">
            <v/>
          </cell>
          <cell r="L354">
            <v>0</v>
          </cell>
          <cell r="M354">
            <v>359</v>
          </cell>
          <cell r="N354" t="str">
            <v>A</v>
          </cell>
          <cell r="O354">
            <v>41234</v>
          </cell>
          <cell r="P354" t="str">
            <v xml:space="preserve">    9</v>
          </cell>
          <cell r="Q354">
            <v>0</v>
          </cell>
          <cell r="R354">
            <v>0</v>
          </cell>
          <cell r="S354">
            <v>0</v>
          </cell>
          <cell r="T354">
            <v>3491</v>
          </cell>
          <cell r="U354">
            <v>0</v>
          </cell>
          <cell r="V354" t="str">
            <v>VILLA DE LAS FLORES</v>
          </cell>
          <cell r="W354" t="str">
            <v/>
          </cell>
          <cell r="X354" t="str">
            <v/>
          </cell>
          <cell r="Y354" t="str">
            <v/>
          </cell>
          <cell r="Z354" t="str">
            <v/>
          </cell>
          <cell r="AA354" t="str">
            <v>(55) 1039-3140</v>
          </cell>
          <cell r="AB354" t="str">
            <v/>
          </cell>
          <cell r="AC354" t="str">
            <v xml:space="preserve">   1026</v>
          </cell>
          <cell r="AD354" t="str">
            <v/>
          </cell>
          <cell r="AE354" t="str">
            <v/>
          </cell>
          <cell r="AF354" t="str">
            <v/>
          </cell>
          <cell r="AH354" t="str">
            <v>N</v>
          </cell>
          <cell r="AI354">
            <v>0</v>
          </cell>
          <cell r="AJ354">
            <v>0</v>
          </cell>
          <cell r="AK354">
            <v>0</v>
          </cell>
          <cell r="AL354">
            <v>0</v>
          </cell>
          <cell r="AM354">
            <v>3491</v>
          </cell>
          <cell r="AN354">
            <v>0</v>
          </cell>
        </row>
        <row r="355">
          <cell r="A355">
            <v>2256</v>
          </cell>
          <cell r="B355" t="str">
            <v>CLAUDETE VERONICA TUSIE RUIZ (SAN JOSE ITURBIDE)</v>
          </cell>
          <cell r="C355" t="str">
            <v/>
          </cell>
          <cell r="D355" t="str">
            <v>CARR. SAN LUIS #36</v>
          </cell>
          <cell r="E355" t="str">
            <v>SAN JOSE ITURBIDE, GTO.</v>
          </cell>
          <cell r="F355" t="str">
            <v/>
          </cell>
          <cell r="G355" t="str">
            <v>(419) 198-2649</v>
          </cell>
          <cell r="H355" t="str">
            <v>CLAUDETE TUSIE</v>
          </cell>
          <cell r="I355" t="str">
            <v>CLAUDETE TUSIE</v>
          </cell>
          <cell r="J355" t="str">
            <v>BAJA</v>
          </cell>
          <cell r="K355" t="str">
            <v/>
          </cell>
          <cell r="L355">
            <v>0</v>
          </cell>
          <cell r="M355">
            <v>360</v>
          </cell>
          <cell r="N355" t="str">
            <v>A</v>
          </cell>
          <cell r="O355">
            <v>41227</v>
          </cell>
          <cell r="P355" t="str">
            <v xml:space="preserve">    3</v>
          </cell>
          <cell r="Q355">
            <v>0</v>
          </cell>
          <cell r="R355">
            <v>0</v>
          </cell>
          <cell r="S355">
            <v>0</v>
          </cell>
          <cell r="T355">
            <v>2141</v>
          </cell>
          <cell r="U355">
            <v>0</v>
          </cell>
          <cell r="V355" t="str">
            <v>CENTRO (IMSS)</v>
          </cell>
          <cell r="W355" t="str">
            <v>(419) 114-9708 CEL</v>
          </cell>
          <cell r="X355" t="str">
            <v/>
          </cell>
          <cell r="Y355" t="str">
            <v/>
          </cell>
          <cell r="Z355" t="str">
            <v/>
          </cell>
          <cell r="AA355" t="str">
            <v>(419) 198-2649</v>
          </cell>
          <cell r="AB355" t="str">
            <v/>
          </cell>
          <cell r="AC355" t="str">
            <v>R-0188</v>
          </cell>
          <cell r="AD355" t="str">
            <v/>
          </cell>
          <cell r="AE355" t="str">
            <v/>
          </cell>
          <cell r="AF355" t="str">
            <v/>
          </cell>
          <cell r="AH355" t="str">
            <v>N</v>
          </cell>
          <cell r="AI355">
            <v>0</v>
          </cell>
          <cell r="AJ355">
            <v>0</v>
          </cell>
          <cell r="AK355">
            <v>0</v>
          </cell>
          <cell r="AL355">
            <v>0</v>
          </cell>
          <cell r="AM355">
            <v>2141</v>
          </cell>
          <cell r="AN355">
            <v>0</v>
          </cell>
        </row>
        <row r="356">
          <cell r="A356">
            <v>2257</v>
          </cell>
          <cell r="B356" t="str">
            <v>REGALOS GREGORY (SAN JUAN)</v>
          </cell>
          <cell r="C356" t="str">
            <v/>
          </cell>
          <cell r="D356" t="str">
            <v>MONTE PARNASO #37</v>
          </cell>
          <cell r="E356" t="str">
            <v>SAN JUAN DEL RIO, QRO.</v>
          </cell>
          <cell r="F356" t="str">
            <v/>
          </cell>
          <cell r="G356" t="str">
            <v>(427) 117-2205 CEL</v>
          </cell>
          <cell r="H356" t="str">
            <v>SRA. ANA</v>
          </cell>
          <cell r="I356" t="str">
            <v>SRA. ANA</v>
          </cell>
          <cell r="J356" t="str">
            <v>BAJA</v>
          </cell>
          <cell r="K356" t="str">
            <v/>
          </cell>
          <cell r="L356">
            <v>0</v>
          </cell>
          <cell r="M356">
            <v>361</v>
          </cell>
          <cell r="N356" t="str">
            <v>A</v>
          </cell>
          <cell r="O356">
            <v>41263</v>
          </cell>
          <cell r="P356" t="str">
            <v xml:space="preserve">    1</v>
          </cell>
          <cell r="Q356">
            <v>0</v>
          </cell>
          <cell r="R356">
            <v>0</v>
          </cell>
          <cell r="S356">
            <v>0</v>
          </cell>
          <cell r="T356">
            <v>2637</v>
          </cell>
          <cell r="U356">
            <v>0</v>
          </cell>
          <cell r="V356" t="str">
            <v>LOMAS DE SAN JUAN</v>
          </cell>
          <cell r="W356" t="str">
            <v/>
          </cell>
          <cell r="X356" t="str">
            <v/>
          </cell>
          <cell r="Y356" t="str">
            <v/>
          </cell>
          <cell r="Z356" t="str">
            <v/>
          </cell>
          <cell r="AA356" t="str">
            <v>(427) 117-2205 CEL</v>
          </cell>
          <cell r="AB356" t="str">
            <v/>
          </cell>
          <cell r="AC356" t="str">
            <v xml:space="preserve">    124</v>
          </cell>
          <cell r="AD356" t="str">
            <v/>
          </cell>
          <cell r="AE356" t="str">
            <v/>
          </cell>
          <cell r="AF356" t="str">
            <v/>
          </cell>
          <cell r="AH356" t="str">
            <v>N</v>
          </cell>
          <cell r="AI356">
            <v>0</v>
          </cell>
          <cell r="AJ356">
            <v>0</v>
          </cell>
          <cell r="AK356">
            <v>0</v>
          </cell>
          <cell r="AL356">
            <v>0</v>
          </cell>
          <cell r="AM356">
            <v>789</v>
          </cell>
          <cell r="AN356">
            <v>0</v>
          </cell>
        </row>
        <row r="357">
          <cell r="A357">
            <v>2258</v>
          </cell>
          <cell r="B357" t="str">
            <v>RICARDO GARCIA RODRIGUEZ (APASEO)</v>
          </cell>
          <cell r="C357" t="str">
            <v/>
          </cell>
          <cell r="D357" t="str">
            <v>ALDAMA #103</v>
          </cell>
          <cell r="E357" t="str">
            <v>APASEO EL ALTO, GTO.</v>
          </cell>
          <cell r="F357" t="str">
            <v/>
          </cell>
          <cell r="G357" t="str">
            <v>62*203835*3</v>
          </cell>
          <cell r="H357" t="str">
            <v>RICARDO GARCIA R.</v>
          </cell>
          <cell r="I357" t="str">
            <v>RICARDO GARCIA R.</v>
          </cell>
          <cell r="J357" t="str">
            <v>BAJA</v>
          </cell>
          <cell r="K357" t="str">
            <v/>
          </cell>
          <cell r="L357">
            <v>0</v>
          </cell>
          <cell r="M357">
            <v>362</v>
          </cell>
          <cell r="N357" t="str">
            <v>A</v>
          </cell>
          <cell r="O357">
            <v>41260</v>
          </cell>
          <cell r="P357" t="str">
            <v xml:space="preserve">    3</v>
          </cell>
          <cell r="Q357">
            <v>0</v>
          </cell>
          <cell r="R357">
            <v>0</v>
          </cell>
          <cell r="S357">
            <v>0</v>
          </cell>
          <cell r="T357">
            <v>5145</v>
          </cell>
          <cell r="U357">
            <v>0</v>
          </cell>
          <cell r="V357" t="str">
            <v>CENTRO</v>
          </cell>
          <cell r="W357" t="str">
            <v>(442) 125-8136</v>
          </cell>
          <cell r="X357" t="str">
            <v/>
          </cell>
          <cell r="Y357" t="str">
            <v/>
          </cell>
          <cell r="Z357" t="str">
            <v/>
          </cell>
          <cell r="AA357" t="str">
            <v>62*203835*3</v>
          </cell>
          <cell r="AB357" t="str">
            <v/>
          </cell>
          <cell r="AC357" t="str">
            <v xml:space="preserve">   0012</v>
          </cell>
          <cell r="AD357" t="str">
            <v/>
          </cell>
          <cell r="AE357" t="str">
            <v/>
          </cell>
          <cell r="AF357" t="str">
            <v/>
          </cell>
          <cell r="AH357" t="str">
            <v>N</v>
          </cell>
          <cell r="AI357">
            <v>0</v>
          </cell>
          <cell r="AJ357">
            <v>0</v>
          </cell>
          <cell r="AK357">
            <v>0</v>
          </cell>
          <cell r="AL357">
            <v>0</v>
          </cell>
          <cell r="AM357">
            <v>257</v>
          </cell>
          <cell r="AN357">
            <v>0</v>
          </cell>
        </row>
        <row r="358">
          <cell r="A358">
            <v>2259</v>
          </cell>
          <cell r="B358" t="str">
            <v>MARTHA MORALES LOPEZ (URIANGATO)</v>
          </cell>
          <cell r="C358" t="str">
            <v/>
          </cell>
          <cell r="D358" t="str">
            <v>HIDALGO #43</v>
          </cell>
          <cell r="E358" t="str">
            <v>URIANGATO, GTO.</v>
          </cell>
          <cell r="F358" t="str">
            <v/>
          </cell>
          <cell r="G358" t="str">
            <v>(445) 457-5892</v>
          </cell>
          <cell r="H358" t="str">
            <v>MATHA MORALES LOPEZ</v>
          </cell>
          <cell r="I358" t="str">
            <v>MATHA MORALES LOPEZ</v>
          </cell>
          <cell r="J358" t="str">
            <v>J05</v>
          </cell>
          <cell r="K358" t="str">
            <v/>
          </cell>
          <cell r="L358">
            <v>0</v>
          </cell>
          <cell r="M358">
            <v>363</v>
          </cell>
          <cell r="N358" t="str">
            <v>A</v>
          </cell>
          <cell r="O358">
            <v>42410</v>
          </cell>
          <cell r="P358" t="str">
            <v xml:space="preserve">   13</v>
          </cell>
          <cell r="Q358">
            <v>0</v>
          </cell>
          <cell r="R358">
            <v>0</v>
          </cell>
          <cell r="S358">
            <v>0</v>
          </cell>
          <cell r="T358">
            <v>38329.1</v>
          </cell>
          <cell r="U358">
            <v>0</v>
          </cell>
          <cell r="V358" t="str">
            <v>CENTRO</v>
          </cell>
          <cell r="W358" t="str">
            <v/>
          </cell>
          <cell r="X358" t="str">
            <v/>
          </cell>
          <cell r="Y358" t="str">
            <v/>
          </cell>
          <cell r="Z358" t="str">
            <v/>
          </cell>
          <cell r="AA358" t="str">
            <v>(445) 457-5892</v>
          </cell>
          <cell r="AB358" t="str">
            <v xml:space="preserve">     DESC</v>
          </cell>
          <cell r="AC358" t="str">
            <v>J165874</v>
          </cell>
          <cell r="AD358" t="str">
            <v/>
          </cell>
          <cell r="AE358" t="str">
            <v/>
          </cell>
          <cell r="AF358" t="str">
            <v/>
          </cell>
          <cell r="AG358">
            <v>42410</v>
          </cell>
          <cell r="AH358" t="str">
            <v>N</v>
          </cell>
          <cell r="AI358">
            <v>0</v>
          </cell>
          <cell r="AJ358">
            <v>0</v>
          </cell>
          <cell r="AK358">
            <v>0</v>
          </cell>
          <cell r="AL358">
            <v>20</v>
          </cell>
          <cell r="AM358">
            <v>4020</v>
          </cell>
          <cell r="AN358">
            <v>0</v>
          </cell>
        </row>
        <row r="359">
          <cell r="A359">
            <v>2260</v>
          </cell>
          <cell r="B359" t="str">
            <v>JUVENAL ALVARADO SERVIA (CUAREMARO)</v>
          </cell>
          <cell r="C359" t="str">
            <v/>
          </cell>
          <cell r="D359" t="str">
            <v>GALEANA #109</v>
          </cell>
          <cell r="E359" t="str">
            <v>CUERAMARO, GTO.</v>
          </cell>
          <cell r="F359" t="str">
            <v/>
          </cell>
          <cell r="G359" t="str">
            <v>(462) 164-8682</v>
          </cell>
          <cell r="H359" t="str">
            <v>JUVENAL ALVARADO S.</v>
          </cell>
          <cell r="I359" t="str">
            <v>JUVENAL ALVARADO S.</v>
          </cell>
          <cell r="J359" t="str">
            <v>BAJA</v>
          </cell>
          <cell r="K359" t="str">
            <v/>
          </cell>
          <cell r="L359">
            <v>0</v>
          </cell>
          <cell r="M359">
            <v>364</v>
          </cell>
          <cell r="N359" t="str">
            <v>A</v>
          </cell>
          <cell r="O359">
            <v>41251</v>
          </cell>
          <cell r="P359" t="str">
            <v xml:space="preserve">    3</v>
          </cell>
          <cell r="Q359">
            <v>0</v>
          </cell>
          <cell r="R359">
            <v>0</v>
          </cell>
          <cell r="S359">
            <v>0</v>
          </cell>
          <cell r="T359">
            <v>5508</v>
          </cell>
          <cell r="U359">
            <v>0</v>
          </cell>
          <cell r="V359" t="str">
            <v>CENTRO</v>
          </cell>
          <cell r="W359" t="str">
            <v/>
          </cell>
          <cell r="X359" t="str">
            <v/>
          </cell>
          <cell r="Y359" t="str">
            <v/>
          </cell>
          <cell r="Z359" t="str">
            <v/>
          </cell>
          <cell r="AA359" t="str">
            <v>(462) 164-8682</v>
          </cell>
          <cell r="AB359" t="str">
            <v/>
          </cell>
          <cell r="AC359" t="str">
            <v>R-0214</v>
          </cell>
          <cell r="AD359" t="str">
            <v/>
          </cell>
          <cell r="AE359" t="str">
            <v/>
          </cell>
          <cell r="AF359" t="str">
            <v/>
          </cell>
          <cell r="AH359" t="str">
            <v>N</v>
          </cell>
          <cell r="AI359">
            <v>0</v>
          </cell>
          <cell r="AJ359">
            <v>0</v>
          </cell>
          <cell r="AK359">
            <v>0</v>
          </cell>
          <cell r="AL359">
            <v>0</v>
          </cell>
          <cell r="AM359">
            <v>5508</v>
          </cell>
          <cell r="AN359">
            <v>0</v>
          </cell>
        </row>
        <row r="360">
          <cell r="A360">
            <v>2261</v>
          </cell>
          <cell r="B360" t="str">
            <v>JOSE JUAN GARCIA (TARIMORO)</v>
          </cell>
          <cell r="C360" t="str">
            <v/>
          </cell>
          <cell r="D360" t="str">
            <v>ZARAGOZA #35</v>
          </cell>
          <cell r="E360" t="str">
            <v>TARIMORO, GTO.</v>
          </cell>
          <cell r="F360" t="str">
            <v/>
          </cell>
          <cell r="G360" t="str">
            <v>(461) 200-7947</v>
          </cell>
          <cell r="H360" t="str">
            <v>JOSE JUAN GARCIA</v>
          </cell>
          <cell r="I360" t="str">
            <v>JOSE JUAN GARCIA</v>
          </cell>
          <cell r="J360" t="str">
            <v>BAJA</v>
          </cell>
          <cell r="K360" t="str">
            <v/>
          </cell>
          <cell r="L360">
            <v>0</v>
          </cell>
          <cell r="M360">
            <v>365</v>
          </cell>
          <cell r="N360" t="str">
            <v>A</v>
          </cell>
          <cell r="O360">
            <v>41251</v>
          </cell>
          <cell r="P360" t="str">
            <v xml:space="preserve">    3</v>
          </cell>
          <cell r="Q360">
            <v>0</v>
          </cell>
          <cell r="R360">
            <v>0</v>
          </cell>
          <cell r="S360">
            <v>0</v>
          </cell>
          <cell r="T360">
            <v>1664</v>
          </cell>
          <cell r="U360">
            <v>0</v>
          </cell>
          <cell r="V360" t="str">
            <v>CENTRO</v>
          </cell>
          <cell r="W360" t="str">
            <v/>
          </cell>
          <cell r="X360" t="str">
            <v/>
          </cell>
          <cell r="Y360" t="str">
            <v/>
          </cell>
          <cell r="Z360" t="str">
            <v/>
          </cell>
          <cell r="AA360" t="str">
            <v>(461) 200-7947</v>
          </cell>
          <cell r="AB360" t="str">
            <v/>
          </cell>
          <cell r="AC360" t="str">
            <v>R-0215</v>
          </cell>
          <cell r="AD360" t="str">
            <v/>
          </cell>
          <cell r="AE360" t="str">
            <v/>
          </cell>
          <cell r="AF360" t="str">
            <v/>
          </cell>
          <cell r="AH360" t="str">
            <v>N</v>
          </cell>
          <cell r="AI360">
            <v>0</v>
          </cell>
          <cell r="AJ360">
            <v>0</v>
          </cell>
          <cell r="AK360">
            <v>0</v>
          </cell>
          <cell r="AL360">
            <v>0</v>
          </cell>
          <cell r="AM360">
            <v>1664</v>
          </cell>
          <cell r="AN360">
            <v>0</v>
          </cell>
        </row>
        <row r="361">
          <cell r="A361">
            <v>2262</v>
          </cell>
          <cell r="B361" t="str">
            <v>VIANEY ANDRADE GONZALEZ (HUICHAPAN)</v>
          </cell>
          <cell r="C361" t="str">
            <v/>
          </cell>
          <cell r="D361" t="str">
            <v>PLAZA DE LA REFORMA #6</v>
          </cell>
          <cell r="E361" t="str">
            <v>HUICHAPAN, HGO.</v>
          </cell>
          <cell r="F361" t="str">
            <v/>
          </cell>
          <cell r="G361" t="str">
            <v>(427) 277-0614 CEL</v>
          </cell>
          <cell r="H361" t="str">
            <v>VIANEY ANDRADE G.</v>
          </cell>
          <cell r="I361" t="str">
            <v>VIANEY ANDRADE G.</v>
          </cell>
          <cell r="J361" t="str">
            <v>BAJA</v>
          </cell>
          <cell r="K361" t="str">
            <v/>
          </cell>
          <cell r="L361">
            <v>0</v>
          </cell>
          <cell r="M361">
            <v>366</v>
          </cell>
          <cell r="N361" t="str">
            <v>A</v>
          </cell>
          <cell r="O361">
            <v>41573</v>
          </cell>
          <cell r="P361" t="str">
            <v xml:space="preserve">    1</v>
          </cell>
          <cell r="Q361">
            <v>0</v>
          </cell>
          <cell r="R361">
            <v>0</v>
          </cell>
          <cell r="S361">
            <v>0</v>
          </cell>
          <cell r="T361">
            <v>10029</v>
          </cell>
          <cell r="U361">
            <v>0</v>
          </cell>
          <cell r="V361" t="str">
            <v>CENTRO</v>
          </cell>
          <cell r="W361" t="str">
            <v/>
          </cell>
          <cell r="X361" t="str">
            <v/>
          </cell>
          <cell r="Y361" t="str">
            <v/>
          </cell>
          <cell r="Z361" t="str">
            <v/>
          </cell>
          <cell r="AA361" t="str">
            <v>(427) 277-0614 CEL</v>
          </cell>
          <cell r="AB361" t="str">
            <v/>
          </cell>
          <cell r="AC361" t="str">
            <v>F0711</v>
          </cell>
          <cell r="AD361" t="str">
            <v/>
          </cell>
          <cell r="AE361" t="str">
            <v/>
          </cell>
          <cell r="AF361" t="str">
            <v/>
          </cell>
          <cell r="AH361" t="str">
            <v>N</v>
          </cell>
          <cell r="AI361">
            <v>0</v>
          </cell>
          <cell r="AJ361">
            <v>0</v>
          </cell>
          <cell r="AK361">
            <v>0</v>
          </cell>
          <cell r="AL361">
            <v>0</v>
          </cell>
          <cell r="AM361">
            <v>1920</v>
          </cell>
          <cell r="AN361">
            <v>0</v>
          </cell>
        </row>
        <row r="362">
          <cell r="A362">
            <v>2263</v>
          </cell>
          <cell r="B362" t="str">
            <v>REBECA BUSTAMANTE VELAZQUEZ (HUICHAPAN)</v>
          </cell>
          <cell r="C362" t="str">
            <v/>
          </cell>
          <cell r="D362" t="str">
            <v>JUAREZ #3</v>
          </cell>
          <cell r="E362" t="str">
            <v>HUICHAPAN, HGO.</v>
          </cell>
          <cell r="F362" t="str">
            <v/>
          </cell>
          <cell r="G362" t="str">
            <v>(761) 782-1605</v>
          </cell>
          <cell r="H362" t="str">
            <v>REBECA BUSTAMANTE V.</v>
          </cell>
          <cell r="I362" t="str">
            <v>REBECA BUSTAMANTE V.</v>
          </cell>
          <cell r="J362" t="str">
            <v>F02</v>
          </cell>
          <cell r="K362" t="str">
            <v/>
          </cell>
          <cell r="L362">
            <v>0</v>
          </cell>
          <cell r="M362">
            <v>367</v>
          </cell>
          <cell r="N362" t="str">
            <v>A</v>
          </cell>
          <cell r="O362">
            <v>42458</v>
          </cell>
          <cell r="P362" t="str">
            <v xml:space="preserve">    3</v>
          </cell>
          <cell r="Q362">
            <v>0</v>
          </cell>
          <cell r="R362">
            <v>0</v>
          </cell>
          <cell r="S362">
            <v>0</v>
          </cell>
          <cell r="T362">
            <v>61973</v>
          </cell>
          <cell r="U362">
            <v>0</v>
          </cell>
          <cell r="V362" t="str">
            <v>CENTRO</v>
          </cell>
          <cell r="W362" t="str">
            <v/>
          </cell>
          <cell r="X362" t="str">
            <v/>
          </cell>
          <cell r="Y362" t="str">
            <v/>
          </cell>
          <cell r="Z362" t="str">
            <v/>
          </cell>
          <cell r="AA362" t="str">
            <v>(761) 782-1605</v>
          </cell>
          <cell r="AB362" t="str">
            <v/>
          </cell>
          <cell r="AC362" t="str">
            <v>F-0051</v>
          </cell>
          <cell r="AD362" t="str">
            <v/>
          </cell>
          <cell r="AE362" t="str">
            <v/>
          </cell>
          <cell r="AF362" t="str">
            <v/>
          </cell>
          <cell r="AH362" t="str">
            <v>N</v>
          </cell>
          <cell r="AI362">
            <v>0</v>
          </cell>
          <cell r="AJ362">
            <v>0</v>
          </cell>
          <cell r="AK362">
            <v>0</v>
          </cell>
          <cell r="AL362">
            <v>0</v>
          </cell>
          <cell r="AM362">
            <v>1298</v>
          </cell>
          <cell r="AN362">
            <v>0</v>
          </cell>
        </row>
        <row r="363">
          <cell r="A363">
            <v>2264</v>
          </cell>
          <cell r="B363" t="str">
            <v>ANA LAURA PEREZ SANCHEZ (MIXQUIAHUALA)</v>
          </cell>
          <cell r="C363" t="str">
            <v/>
          </cell>
          <cell r="D363" t="str">
            <v>MERCADO MIXQUIAHUALA #25</v>
          </cell>
          <cell r="E363" t="str">
            <v>MIXQUIAHUALA, HGO.</v>
          </cell>
          <cell r="F363" t="str">
            <v/>
          </cell>
          <cell r="G363" t="str">
            <v>(772) 128-9298 CEL</v>
          </cell>
          <cell r="H363" t="str">
            <v>ANA LAURA PEREZ S.</v>
          </cell>
          <cell r="I363" t="str">
            <v>ANA LAURA PEREZ S.</v>
          </cell>
          <cell r="J363" t="str">
            <v>BAJA</v>
          </cell>
          <cell r="K363" t="str">
            <v/>
          </cell>
          <cell r="L363">
            <v>0</v>
          </cell>
          <cell r="M363">
            <v>368</v>
          </cell>
          <cell r="N363" t="str">
            <v>A</v>
          </cell>
          <cell r="O363">
            <v>41451</v>
          </cell>
          <cell r="P363" t="str">
            <v xml:space="preserve">    9</v>
          </cell>
          <cell r="Q363">
            <v>0</v>
          </cell>
          <cell r="R363">
            <v>0</v>
          </cell>
          <cell r="S363">
            <v>0</v>
          </cell>
          <cell r="T363">
            <v>5114</v>
          </cell>
          <cell r="U363">
            <v>0</v>
          </cell>
          <cell r="V363" t="str">
            <v>CENTRO</v>
          </cell>
          <cell r="W363" t="str">
            <v/>
          </cell>
          <cell r="X363" t="str">
            <v/>
          </cell>
          <cell r="Y363" t="str">
            <v/>
          </cell>
          <cell r="Z363" t="str">
            <v/>
          </cell>
          <cell r="AA363" t="str">
            <v>(772) 128-9298 CEL</v>
          </cell>
          <cell r="AB363" t="str">
            <v/>
          </cell>
          <cell r="AC363" t="str">
            <v>M0501</v>
          </cell>
          <cell r="AD363" t="str">
            <v/>
          </cell>
          <cell r="AE363" t="str">
            <v/>
          </cell>
          <cell r="AF363" t="str">
            <v/>
          </cell>
          <cell r="AH363" t="str">
            <v>N</v>
          </cell>
          <cell r="AI363">
            <v>0</v>
          </cell>
          <cell r="AJ363">
            <v>0</v>
          </cell>
          <cell r="AK363">
            <v>0</v>
          </cell>
          <cell r="AL363">
            <v>0</v>
          </cell>
          <cell r="AM363">
            <v>640</v>
          </cell>
          <cell r="AN363">
            <v>0</v>
          </cell>
        </row>
        <row r="364">
          <cell r="A364">
            <v>2265</v>
          </cell>
          <cell r="B364" t="str">
            <v>MAYRA LEDESMA BARRALES (TULA)</v>
          </cell>
          <cell r="C364" t="str">
            <v/>
          </cell>
          <cell r="D364" t="str">
            <v>MERCADO MUNICIPAL LOC. 2</v>
          </cell>
          <cell r="E364" t="str">
            <v>TULA, HGO.</v>
          </cell>
          <cell r="F364" t="str">
            <v/>
          </cell>
          <cell r="G364" t="str">
            <v>(773) 119-0512 CEL</v>
          </cell>
          <cell r="H364" t="str">
            <v>MAYRA LEDESMA B.</v>
          </cell>
          <cell r="I364" t="str">
            <v>MAYRA LEDESMA B.</v>
          </cell>
          <cell r="J364" t="str">
            <v>BAJA</v>
          </cell>
          <cell r="K364" t="str">
            <v/>
          </cell>
          <cell r="L364">
            <v>0</v>
          </cell>
          <cell r="M364">
            <v>369</v>
          </cell>
          <cell r="N364" t="str">
            <v>A</v>
          </cell>
          <cell r="O364">
            <v>41250</v>
          </cell>
          <cell r="P364" t="str">
            <v xml:space="preserve">    2</v>
          </cell>
          <cell r="Q364">
            <v>0</v>
          </cell>
          <cell r="R364">
            <v>0</v>
          </cell>
          <cell r="S364">
            <v>0</v>
          </cell>
          <cell r="T364">
            <v>1018</v>
          </cell>
          <cell r="U364">
            <v>0</v>
          </cell>
          <cell r="V364" t="str">
            <v>CENTRO</v>
          </cell>
          <cell r="W364" t="str">
            <v/>
          </cell>
          <cell r="X364" t="str">
            <v/>
          </cell>
          <cell r="Y364" t="str">
            <v/>
          </cell>
          <cell r="Z364" t="str">
            <v/>
          </cell>
          <cell r="AA364" t="str">
            <v>(773) 119-0512 CEL</v>
          </cell>
          <cell r="AB364" t="str">
            <v/>
          </cell>
          <cell r="AC364" t="str">
            <v xml:space="preserve">   0038</v>
          </cell>
          <cell r="AD364" t="str">
            <v/>
          </cell>
          <cell r="AE364" t="str">
            <v/>
          </cell>
          <cell r="AF364" t="str">
            <v/>
          </cell>
          <cell r="AH364" t="str">
            <v>N</v>
          </cell>
          <cell r="AI364">
            <v>0</v>
          </cell>
          <cell r="AJ364">
            <v>0</v>
          </cell>
          <cell r="AK364">
            <v>0</v>
          </cell>
          <cell r="AL364">
            <v>0</v>
          </cell>
          <cell r="AM364">
            <v>1018</v>
          </cell>
          <cell r="AN364">
            <v>0</v>
          </cell>
        </row>
        <row r="365">
          <cell r="A365">
            <v>2266</v>
          </cell>
          <cell r="B365" t="str">
            <v>ANDREA FLORES (TIZAYUCA)</v>
          </cell>
          <cell r="C365" t="str">
            <v/>
          </cell>
          <cell r="D365" t="str">
            <v>HIMNO NACIONAL #11-B</v>
          </cell>
          <cell r="E365" t="str">
            <v>TIZAYUCA, HGO.</v>
          </cell>
          <cell r="F365" t="str">
            <v/>
          </cell>
          <cell r="G365" t="str">
            <v>(779) 796-2706</v>
          </cell>
          <cell r="H365" t="str">
            <v>ANDREA FLORES</v>
          </cell>
          <cell r="I365" t="str">
            <v>ANDREA FLORES</v>
          </cell>
          <cell r="J365" t="str">
            <v>BAJA</v>
          </cell>
          <cell r="K365" t="str">
            <v/>
          </cell>
          <cell r="L365">
            <v>0</v>
          </cell>
          <cell r="M365">
            <v>371</v>
          </cell>
          <cell r="N365" t="str">
            <v>S</v>
          </cell>
          <cell r="O365">
            <v>41332</v>
          </cell>
          <cell r="P365" t="str">
            <v xml:space="preserve">    9</v>
          </cell>
          <cell r="Q365">
            <v>0</v>
          </cell>
          <cell r="R365">
            <v>0</v>
          </cell>
          <cell r="S365">
            <v>0</v>
          </cell>
          <cell r="T365">
            <v>6557.4000000000005</v>
          </cell>
          <cell r="U365">
            <v>0</v>
          </cell>
          <cell r="V365" t="str">
            <v>CENTRO</v>
          </cell>
          <cell r="W365" t="str">
            <v/>
          </cell>
          <cell r="X365" t="str">
            <v/>
          </cell>
          <cell r="Y365" t="str">
            <v/>
          </cell>
          <cell r="Z365" t="str">
            <v/>
          </cell>
          <cell r="AA365" t="str">
            <v>(779) 796-2706</v>
          </cell>
          <cell r="AB365" t="str">
            <v/>
          </cell>
          <cell r="AC365" t="str">
            <v>R-0271</v>
          </cell>
          <cell r="AD365" t="str">
            <v/>
          </cell>
          <cell r="AE365" t="str">
            <v/>
          </cell>
          <cell r="AF365" t="str">
            <v/>
          </cell>
          <cell r="AH365" t="str">
            <v>N</v>
          </cell>
          <cell r="AI365">
            <v>0</v>
          </cell>
          <cell r="AJ365">
            <v>0</v>
          </cell>
          <cell r="AK365">
            <v>0</v>
          </cell>
          <cell r="AL365">
            <v>0</v>
          </cell>
          <cell r="AM365">
            <v>3456</v>
          </cell>
          <cell r="AN365">
            <v>0</v>
          </cell>
        </row>
        <row r="366">
          <cell r="A366">
            <v>2267</v>
          </cell>
          <cell r="B366" t="str">
            <v>IRENE SANCHEZ SALINAS (TECOZAHUTLA)</v>
          </cell>
          <cell r="C366" t="str">
            <v/>
          </cell>
          <cell r="D366" t="str">
            <v>PLAZA DE LA CONSTITUCION S/N</v>
          </cell>
          <cell r="E366" t="str">
            <v>TECOZAHUTLA, HGO.</v>
          </cell>
          <cell r="F366" t="str">
            <v/>
          </cell>
          <cell r="G366" t="str">
            <v>(773) 121-9685 CEL</v>
          </cell>
          <cell r="H366" t="str">
            <v>IRENE SANCHEZ S.</v>
          </cell>
          <cell r="I366" t="str">
            <v>IRENE SANCHEZ S.</v>
          </cell>
          <cell r="J366" t="str">
            <v>F02</v>
          </cell>
          <cell r="K366" t="str">
            <v/>
          </cell>
          <cell r="L366">
            <v>0</v>
          </cell>
          <cell r="M366">
            <v>372</v>
          </cell>
          <cell r="N366" t="str">
            <v>A</v>
          </cell>
          <cell r="O366">
            <v>42490</v>
          </cell>
          <cell r="P366" t="str">
            <v xml:space="preserve">    1</v>
          </cell>
          <cell r="Q366">
            <v>0</v>
          </cell>
          <cell r="R366">
            <v>0</v>
          </cell>
          <cell r="S366">
            <v>0</v>
          </cell>
          <cell r="T366">
            <v>791801</v>
          </cell>
          <cell r="U366">
            <v>0</v>
          </cell>
          <cell r="V366" t="str">
            <v>CENTRO</v>
          </cell>
          <cell r="W366" t="str">
            <v>(773) 739-8721 CEL</v>
          </cell>
          <cell r="X366" t="str">
            <v>(773) 122-0156 CEL</v>
          </cell>
          <cell r="Y366" t="str">
            <v/>
          </cell>
          <cell r="Z366" t="str">
            <v/>
          </cell>
          <cell r="AA366" t="str">
            <v>(773) 121-9685 CEL</v>
          </cell>
          <cell r="AB366" t="str">
            <v xml:space="preserve">     DESC</v>
          </cell>
          <cell r="AC366" t="str">
            <v>F0341</v>
          </cell>
          <cell r="AD366" t="str">
            <v/>
          </cell>
          <cell r="AE366" t="str">
            <v/>
          </cell>
          <cell r="AF366" t="str">
            <v/>
          </cell>
          <cell r="AG366">
            <v>42399</v>
          </cell>
          <cell r="AH366" t="str">
            <v>N</v>
          </cell>
          <cell r="AI366">
            <v>0</v>
          </cell>
          <cell r="AJ366">
            <v>0</v>
          </cell>
          <cell r="AK366">
            <v>0</v>
          </cell>
          <cell r="AL366">
            <v>656</v>
          </cell>
          <cell r="AM366">
            <v>7015</v>
          </cell>
          <cell r="AN366">
            <v>0</v>
          </cell>
        </row>
        <row r="367">
          <cell r="A367">
            <v>2268</v>
          </cell>
          <cell r="B367" t="str">
            <v>IRMA RAMIREZ TREJO (EZEQUIEL MONTES)</v>
          </cell>
          <cell r="C367" t="str">
            <v/>
          </cell>
          <cell r="D367" t="str">
            <v>JOAQUIN VEGA #136</v>
          </cell>
          <cell r="E367" t="str">
            <v>EZEQUIEL MONTES, QRO.</v>
          </cell>
          <cell r="F367" t="str">
            <v/>
          </cell>
          <cell r="G367" t="str">
            <v>(441) 108-5620</v>
          </cell>
          <cell r="H367" t="str">
            <v>IRMA RAMIREZ TREJO</v>
          </cell>
          <cell r="I367" t="str">
            <v>IRMA RAMIREZ TREJO</v>
          </cell>
          <cell r="J367" t="str">
            <v>J02</v>
          </cell>
          <cell r="K367" t="str">
            <v/>
          </cell>
          <cell r="L367">
            <v>0</v>
          </cell>
          <cell r="M367">
            <v>373</v>
          </cell>
          <cell r="N367" t="str">
            <v>A</v>
          </cell>
          <cell r="O367">
            <v>41999</v>
          </cell>
          <cell r="P367" t="str">
            <v xml:space="preserve">    1</v>
          </cell>
          <cell r="Q367">
            <v>0</v>
          </cell>
          <cell r="R367">
            <v>0</v>
          </cell>
          <cell r="S367">
            <v>6632</v>
          </cell>
          <cell r="T367">
            <v>11086</v>
          </cell>
          <cell r="U367">
            <v>0</v>
          </cell>
          <cell r="V367" t="str">
            <v>CENTRO</v>
          </cell>
          <cell r="W367" t="str">
            <v/>
          </cell>
          <cell r="X367" t="str">
            <v/>
          </cell>
          <cell r="Y367" t="str">
            <v/>
          </cell>
          <cell r="Z367" t="str">
            <v/>
          </cell>
          <cell r="AA367" t="str">
            <v>(441) 108-5620</v>
          </cell>
          <cell r="AB367" t="str">
            <v/>
          </cell>
          <cell r="AC367" t="str">
            <v>F0675</v>
          </cell>
          <cell r="AD367" t="str">
            <v/>
          </cell>
          <cell r="AE367" t="str">
            <v/>
          </cell>
          <cell r="AF367" t="str">
            <v/>
          </cell>
          <cell r="AH367" t="str">
            <v>N</v>
          </cell>
          <cell r="AI367">
            <v>0</v>
          </cell>
          <cell r="AJ367">
            <v>0</v>
          </cell>
          <cell r="AK367">
            <v>0</v>
          </cell>
          <cell r="AL367">
            <v>0</v>
          </cell>
          <cell r="AM367">
            <v>6632</v>
          </cell>
          <cell r="AN367">
            <v>0</v>
          </cell>
        </row>
        <row r="368">
          <cell r="A368">
            <v>2269</v>
          </cell>
          <cell r="B368" t="str">
            <v>OMAR CRUZ BALLARTE (HUICHAPAN)</v>
          </cell>
          <cell r="C368" t="str">
            <v/>
          </cell>
          <cell r="D368" t="str">
            <v>AV. HIDALGO #3 INT. 3</v>
          </cell>
          <cell r="E368" t="str">
            <v>HUICHAPAN, HGO.</v>
          </cell>
          <cell r="F368" t="str">
            <v/>
          </cell>
          <cell r="G368" t="str">
            <v>(761) 782-2698</v>
          </cell>
          <cell r="H368" t="str">
            <v>OMAR CRUZ BALLARTE</v>
          </cell>
          <cell r="I368" t="str">
            <v>OMAR CRUZ BALLARTE</v>
          </cell>
          <cell r="J368" t="str">
            <v>BAJA</v>
          </cell>
          <cell r="K368" t="str">
            <v/>
          </cell>
          <cell r="L368">
            <v>0</v>
          </cell>
          <cell r="M368">
            <v>374</v>
          </cell>
          <cell r="N368" t="str">
            <v>A</v>
          </cell>
          <cell r="O368">
            <v>41473</v>
          </cell>
          <cell r="P368" t="str">
            <v xml:space="preserve">    1</v>
          </cell>
          <cell r="Q368">
            <v>0</v>
          </cell>
          <cell r="R368">
            <v>0</v>
          </cell>
          <cell r="S368">
            <v>0</v>
          </cell>
          <cell r="T368">
            <v>14014.800000000001</v>
          </cell>
          <cell r="U368">
            <v>0</v>
          </cell>
          <cell r="V368" t="str">
            <v>CENTRO</v>
          </cell>
          <cell r="W368" t="str">
            <v/>
          </cell>
          <cell r="X368" t="str">
            <v/>
          </cell>
          <cell r="Y368" t="str">
            <v/>
          </cell>
          <cell r="Z368" t="str">
            <v/>
          </cell>
          <cell r="AA368" t="str">
            <v>(761) 782-2698</v>
          </cell>
          <cell r="AB368" t="str">
            <v xml:space="preserve"> BMX MARY</v>
          </cell>
          <cell r="AC368" t="str">
            <v>F0367</v>
          </cell>
          <cell r="AD368" t="str">
            <v/>
          </cell>
          <cell r="AE368" t="str">
            <v/>
          </cell>
          <cell r="AF368" t="str">
            <v/>
          </cell>
          <cell r="AG368">
            <v>41485</v>
          </cell>
          <cell r="AH368" t="str">
            <v>N</v>
          </cell>
          <cell r="AI368">
            <v>0</v>
          </cell>
          <cell r="AJ368">
            <v>0</v>
          </cell>
          <cell r="AK368">
            <v>0</v>
          </cell>
          <cell r="AL368">
            <v>2079</v>
          </cell>
          <cell r="AM368">
            <v>2079</v>
          </cell>
          <cell r="AN368">
            <v>0</v>
          </cell>
        </row>
        <row r="369">
          <cell r="A369">
            <v>2270</v>
          </cell>
          <cell r="B369" t="str">
            <v>YADIRA VEGA (SAN JUAN)</v>
          </cell>
          <cell r="C369" t="str">
            <v/>
          </cell>
          <cell r="D369" t="str">
            <v>PARICUTIN #21</v>
          </cell>
          <cell r="E369" t="str">
            <v>SAN JUAN DEL RIO, QRO.</v>
          </cell>
          <cell r="F369" t="str">
            <v/>
          </cell>
          <cell r="G369" t="str">
            <v/>
          </cell>
          <cell r="H369" t="str">
            <v>YADIRA VEGA</v>
          </cell>
          <cell r="I369" t="str">
            <v>YADIRA VEGA</v>
          </cell>
          <cell r="J369" t="str">
            <v>BAJA</v>
          </cell>
          <cell r="K369" t="str">
            <v/>
          </cell>
          <cell r="L369">
            <v>0</v>
          </cell>
          <cell r="M369">
            <v>375</v>
          </cell>
          <cell r="N369" t="str">
            <v>A</v>
          </cell>
          <cell r="O369">
            <v>41288</v>
          </cell>
          <cell r="P369" t="str">
            <v xml:space="preserve">    1</v>
          </cell>
          <cell r="Q369">
            <v>0</v>
          </cell>
          <cell r="R369">
            <v>0</v>
          </cell>
          <cell r="S369">
            <v>0</v>
          </cell>
          <cell r="T369">
            <v>325</v>
          </cell>
          <cell r="U369">
            <v>0</v>
          </cell>
          <cell r="V369" t="str">
            <v>LOMAS DE SAN JUAN</v>
          </cell>
          <cell r="W369" t="str">
            <v/>
          </cell>
          <cell r="X369" t="str">
            <v/>
          </cell>
          <cell r="Y369" t="str">
            <v/>
          </cell>
          <cell r="Z369" t="str">
            <v/>
          </cell>
          <cell r="AA369" t="str">
            <v/>
          </cell>
          <cell r="AB369" t="str">
            <v/>
          </cell>
          <cell r="AC369" t="str">
            <v>P0201</v>
          </cell>
          <cell r="AD369" t="str">
            <v/>
          </cell>
          <cell r="AE369" t="str">
            <v/>
          </cell>
          <cell r="AF369" t="str">
            <v/>
          </cell>
          <cell r="AH369" t="str">
            <v>N</v>
          </cell>
          <cell r="AI369">
            <v>0</v>
          </cell>
          <cell r="AJ369">
            <v>0</v>
          </cell>
          <cell r="AK369">
            <v>0</v>
          </cell>
          <cell r="AL369">
            <v>0</v>
          </cell>
          <cell r="AM369">
            <v>325</v>
          </cell>
          <cell r="AN369">
            <v>0</v>
          </cell>
        </row>
        <row r="370">
          <cell r="A370">
            <v>2271</v>
          </cell>
          <cell r="B370" t="str">
            <v>ISABEL GARCIA PINEDA (COYOTEPEC)</v>
          </cell>
          <cell r="C370" t="str">
            <v/>
          </cell>
          <cell r="D370" t="str">
            <v>MERCADO MUNICIPAL DE COYOTEPEC L-43</v>
          </cell>
          <cell r="E370" t="str">
            <v>COYOTEPEC, EDO. DE MEXICO</v>
          </cell>
          <cell r="F370" t="str">
            <v/>
          </cell>
          <cell r="G370" t="str">
            <v>(55) 4945-9005 CEL</v>
          </cell>
          <cell r="H370" t="str">
            <v>ISABEL GARCIA PINEDA</v>
          </cell>
          <cell r="I370" t="str">
            <v>ISABEL GARCIA PINEDA</v>
          </cell>
          <cell r="J370" t="str">
            <v>M01</v>
          </cell>
          <cell r="K370" t="str">
            <v/>
          </cell>
          <cell r="L370">
            <v>0</v>
          </cell>
          <cell r="M370">
            <v>376</v>
          </cell>
          <cell r="N370" t="str">
            <v>A</v>
          </cell>
          <cell r="O370">
            <v>42453</v>
          </cell>
          <cell r="P370" t="str">
            <v xml:space="preserve">    5</v>
          </cell>
          <cell r="Q370">
            <v>0</v>
          </cell>
          <cell r="R370">
            <v>0</v>
          </cell>
          <cell r="S370">
            <v>1668</v>
          </cell>
          <cell r="T370">
            <v>46835</v>
          </cell>
          <cell r="U370">
            <v>0</v>
          </cell>
          <cell r="V370" t="str">
            <v>CENTRO</v>
          </cell>
          <cell r="W370" t="str">
            <v>(55) 3191-3642 CEL</v>
          </cell>
          <cell r="X370" t="str">
            <v/>
          </cell>
          <cell r="Y370" t="str">
            <v/>
          </cell>
          <cell r="Z370" t="str">
            <v/>
          </cell>
          <cell r="AA370" t="str">
            <v>(55) 4945-9005 CEL</v>
          </cell>
          <cell r="AB370" t="str">
            <v/>
          </cell>
          <cell r="AC370" t="str">
            <v>M942807</v>
          </cell>
          <cell r="AD370" t="str">
            <v/>
          </cell>
          <cell r="AE370" t="str">
            <v/>
          </cell>
          <cell r="AF370" t="str">
            <v/>
          </cell>
          <cell r="AH370" t="str">
            <v>N</v>
          </cell>
          <cell r="AI370">
            <v>0</v>
          </cell>
          <cell r="AJ370">
            <v>0</v>
          </cell>
          <cell r="AK370">
            <v>0</v>
          </cell>
          <cell r="AL370">
            <v>0</v>
          </cell>
          <cell r="AM370">
            <v>3368</v>
          </cell>
          <cell r="AN370">
            <v>0</v>
          </cell>
        </row>
        <row r="371">
          <cell r="A371">
            <v>2272</v>
          </cell>
          <cell r="B371" t="str">
            <v>LEOVA HERNANDEZ SANCHEZ (MIXQUIAHUALA)</v>
          </cell>
          <cell r="C371" t="str">
            <v/>
          </cell>
          <cell r="D371" t="str">
            <v/>
          </cell>
          <cell r="E371" t="str">
            <v>MIXQUIAHUALA, HGO.</v>
          </cell>
          <cell r="F371" t="str">
            <v/>
          </cell>
          <cell r="G371" t="str">
            <v>(772) 116-8029 CEL</v>
          </cell>
          <cell r="H371" t="str">
            <v>LEOVA HERNANDEZ S.</v>
          </cell>
          <cell r="I371" t="str">
            <v>LEOVA HERNANDEZ S.</v>
          </cell>
          <cell r="J371" t="str">
            <v>F02</v>
          </cell>
          <cell r="K371" t="str">
            <v/>
          </cell>
          <cell r="L371">
            <v>0</v>
          </cell>
          <cell r="M371">
            <v>377</v>
          </cell>
          <cell r="N371" t="str">
            <v>A</v>
          </cell>
          <cell r="O371">
            <v>42525</v>
          </cell>
          <cell r="P371" t="str">
            <v xml:space="preserve">    5</v>
          </cell>
          <cell r="Q371">
            <v>0</v>
          </cell>
          <cell r="R371">
            <v>0</v>
          </cell>
          <cell r="S371">
            <v>11662</v>
          </cell>
          <cell r="T371">
            <v>101010</v>
          </cell>
          <cell r="U371">
            <v>0</v>
          </cell>
          <cell r="V371" t="str">
            <v/>
          </cell>
          <cell r="W371" t="str">
            <v>(772) 121-1770</v>
          </cell>
          <cell r="X371" t="str">
            <v/>
          </cell>
          <cell r="Y371" t="str">
            <v/>
          </cell>
          <cell r="Z371" t="str">
            <v/>
          </cell>
          <cell r="AA371" t="str">
            <v>(772) 116-8029 CEL</v>
          </cell>
          <cell r="AB371" t="str">
            <v xml:space="preserve">  DEV-226</v>
          </cell>
          <cell r="AC371" t="str">
            <v>F-1102</v>
          </cell>
          <cell r="AD371" t="str">
            <v/>
          </cell>
          <cell r="AE371" t="str">
            <v/>
          </cell>
          <cell r="AF371" t="str">
            <v/>
          </cell>
          <cell r="AG371">
            <v>41857</v>
          </cell>
          <cell r="AH371" t="str">
            <v>N</v>
          </cell>
          <cell r="AI371">
            <v>0</v>
          </cell>
          <cell r="AJ371">
            <v>0</v>
          </cell>
          <cell r="AK371">
            <v>0</v>
          </cell>
          <cell r="AL371">
            <v>1600</v>
          </cell>
          <cell r="AM371">
            <v>4652</v>
          </cell>
          <cell r="AN371">
            <v>0</v>
          </cell>
        </row>
        <row r="372">
          <cell r="A372">
            <v>2273</v>
          </cell>
          <cell r="B372" t="str">
            <v>LETICIA TORRES GONZALEZ (MELCHOR OCAMPO)</v>
          </cell>
          <cell r="C372">
            <v>0</v>
          </cell>
          <cell r="D372">
            <v>0</v>
          </cell>
          <cell r="E372">
            <v>0</v>
          </cell>
          <cell r="F372" t="str">
            <v/>
          </cell>
          <cell r="G372" t="str">
            <v/>
          </cell>
          <cell r="H372" t="str">
            <v>WENDY CASTRO CASTRO</v>
          </cell>
          <cell r="I372" t="str">
            <v>WENDY CASTRO CASTRO</v>
          </cell>
          <cell r="J372" t="str">
            <v>BAJA</v>
          </cell>
          <cell r="K372" t="str">
            <v/>
          </cell>
          <cell r="L372">
            <v>0</v>
          </cell>
          <cell r="M372">
            <v>378</v>
          </cell>
          <cell r="N372" t="str">
            <v>A</v>
          </cell>
          <cell r="O372">
            <v>41295</v>
          </cell>
          <cell r="P372" t="str">
            <v xml:space="preserve">    1</v>
          </cell>
          <cell r="Q372">
            <v>0</v>
          </cell>
          <cell r="R372">
            <v>0</v>
          </cell>
          <cell r="S372">
            <v>0</v>
          </cell>
          <cell r="T372">
            <v>3089</v>
          </cell>
          <cell r="U372">
            <v>0</v>
          </cell>
          <cell r="V372" t="str">
            <v>CENTRO</v>
          </cell>
          <cell r="W372" t="str">
            <v/>
          </cell>
          <cell r="X372" t="str">
            <v/>
          </cell>
          <cell r="Y372" t="str">
            <v/>
          </cell>
          <cell r="Z372" t="str">
            <v/>
          </cell>
          <cell r="AA372" t="str">
            <v/>
          </cell>
          <cell r="AB372" t="str">
            <v/>
          </cell>
          <cell r="AC372" t="str">
            <v>P0219</v>
          </cell>
          <cell r="AD372" t="str">
            <v/>
          </cell>
          <cell r="AE372" t="str">
            <v/>
          </cell>
          <cell r="AF372" t="str">
            <v/>
          </cell>
          <cell r="AH372" t="str">
            <v>N</v>
          </cell>
          <cell r="AI372">
            <v>0</v>
          </cell>
          <cell r="AJ372">
            <v>0</v>
          </cell>
          <cell r="AK372">
            <v>0</v>
          </cell>
          <cell r="AL372">
            <v>0</v>
          </cell>
          <cell r="AM372">
            <v>1650</v>
          </cell>
          <cell r="AN372">
            <v>0</v>
          </cell>
        </row>
        <row r="373">
          <cell r="A373">
            <v>2274</v>
          </cell>
          <cell r="B373" t="str">
            <v>ROSA MARIA PAZ BARRIN (QUERETARO)</v>
          </cell>
          <cell r="C373" t="str">
            <v/>
          </cell>
          <cell r="D373" t="str">
            <v>PEÑAFIEL #101</v>
          </cell>
          <cell r="E373" t="str">
            <v>QUERETARO, QRO.</v>
          </cell>
          <cell r="F373" t="str">
            <v/>
          </cell>
          <cell r="G373" t="str">
            <v>(442) 186-1035</v>
          </cell>
          <cell r="H373" t="str">
            <v>ROSA MARIA PAZ B.</v>
          </cell>
          <cell r="I373" t="str">
            <v>ROSA MARIA PAZ B.</v>
          </cell>
          <cell r="J373" t="str">
            <v>BAJA</v>
          </cell>
          <cell r="K373" t="str">
            <v/>
          </cell>
          <cell r="L373">
            <v>0</v>
          </cell>
          <cell r="M373">
            <v>379</v>
          </cell>
          <cell r="N373" t="str">
            <v>A</v>
          </cell>
          <cell r="O373">
            <v>41314</v>
          </cell>
          <cell r="P373" t="str">
            <v xml:space="preserve">    1</v>
          </cell>
          <cell r="Q373">
            <v>0</v>
          </cell>
          <cell r="R373">
            <v>0</v>
          </cell>
          <cell r="S373">
            <v>0</v>
          </cell>
          <cell r="T373">
            <v>5247</v>
          </cell>
          <cell r="U373">
            <v>0</v>
          </cell>
          <cell r="V373" t="str">
            <v>LA PEÑA</v>
          </cell>
          <cell r="W373" t="str">
            <v>(442) 402-5469</v>
          </cell>
          <cell r="X373" t="str">
            <v/>
          </cell>
          <cell r="Y373" t="str">
            <v/>
          </cell>
          <cell r="Z373" t="str">
            <v/>
          </cell>
          <cell r="AA373" t="str">
            <v>(442) 186-1035</v>
          </cell>
          <cell r="AB373" t="str">
            <v/>
          </cell>
          <cell r="AC373" t="str">
            <v xml:space="preserve">   0120</v>
          </cell>
          <cell r="AD373" t="str">
            <v/>
          </cell>
          <cell r="AE373" t="str">
            <v/>
          </cell>
          <cell r="AF373" t="str">
            <v/>
          </cell>
          <cell r="AH373" t="str">
            <v>N</v>
          </cell>
          <cell r="AI373">
            <v>0</v>
          </cell>
          <cell r="AJ373">
            <v>0</v>
          </cell>
          <cell r="AK373">
            <v>0</v>
          </cell>
          <cell r="AL373">
            <v>0</v>
          </cell>
          <cell r="AM373">
            <v>2676</v>
          </cell>
          <cell r="AN373">
            <v>0</v>
          </cell>
        </row>
        <row r="374">
          <cell r="A374">
            <v>2275</v>
          </cell>
          <cell r="B374" t="str">
            <v>ROSA MARTHA ARGUETA (ACAMBARO)</v>
          </cell>
          <cell r="C374" t="str">
            <v/>
          </cell>
          <cell r="D374" t="str">
            <v xml:space="preserve">ALDAMA #22-B                            </v>
          </cell>
          <cell r="E374" t="str">
            <v xml:space="preserve">ACAMBARO, GTO.                </v>
          </cell>
          <cell r="F374" t="str">
            <v/>
          </cell>
          <cell r="G374" t="str">
            <v>(417) 100-1573</v>
          </cell>
          <cell r="H374" t="str">
            <v>ELENA ROMERO MUÑOZ</v>
          </cell>
          <cell r="I374" t="str">
            <v>ELENA ROMERO MUÑOZ</v>
          </cell>
          <cell r="J374" t="str">
            <v>J06</v>
          </cell>
          <cell r="K374" t="str">
            <v/>
          </cell>
          <cell r="L374">
            <v>0</v>
          </cell>
          <cell r="M374">
            <v>380</v>
          </cell>
          <cell r="N374" t="str">
            <v>A</v>
          </cell>
          <cell r="O374">
            <v>41290</v>
          </cell>
          <cell r="P374" t="str">
            <v xml:space="preserve">    1</v>
          </cell>
          <cell r="Q374">
            <v>0</v>
          </cell>
          <cell r="R374">
            <v>0</v>
          </cell>
          <cell r="S374">
            <v>0</v>
          </cell>
          <cell r="T374">
            <v>3789</v>
          </cell>
          <cell r="U374">
            <v>0</v>
          </cell>
          <cell r="V374" t="str">
            <v>CENTRO</v>
          </cell>
          <cell r="W374" t="str">
            <v/>
          </cell>
          <cell r="X374" t="str">
            <v/>
          </cell>
          <cell r="Y374" t="str">
            <v/>
          </cell>
          <cell r="Z374" t="str">
            <v/>
          </cell>
          <cell r="AA374" t="str">
            <v>(442) 274-2263 CEL</v>
          </cell>
          <cell r="AB374" t="str">
            <v/>
          </cell>
          <cell r="AC374" t="str">
            <v>P0212</v>
          </cell>
          <cell r="AD374" t="str">
            <v/>
          </cell>
          <cell r="AE374" t="str">
            <v/>
          </cell>
          <cell r="AF374" t="str">
            <v/>
          </cell>
          <cell r="AH374" t="str">
            <v>N</v>
          </cell>
          <cell r="AI374">
            <v>0</v>
          </cell>
          <cell r="AJ374">
            <v>0</v>
          </cell>
          <cell r="AK374">
            <v>0</v>
          </cell>
          <cell r="AL374">
            <v>0</v>
          </cell>
          <cell r="AM374">
            <v>3789</v>
          </cell>
          <cell r="AN374">
            <v>0</v>
          </cell>
        </row>
        <row r="375">
          <cell r="A375">
            <v>2276</v>
          </cell>
          <cell r="B375" t="str">
            <v>JAIR ORTIZ BENITES (TULANCINGO)</v>
          </cell>
          <cell r="C375" t="str">
            <v/>
          </cell>
          <cell r="D375" t="str">
            <v>1º DE MAYO #314 OTE.</v>
          </cell>
          <cell r="E375" t="str">
            <v>TULANCINGO, HGO.</v>
          </cell>
          <cell r="F375" t="str">
            <v/>
          </cell>
          <cell r="G375" t="str">
            <v>(775) 136-9867</v>
          </cell>
          <cell r="H375" t="str">
            <v>JAIR ORTIZ BENITES</v>
          </cell>
          <cell r="I375" t="str">
            <v>JAIR ORTIZ BENITES</v>
          </cell>
          <cell r="J375" t="str">
            <v>BAJA</v>
          </cell>
          <cell r="K375" t="str">
            <v/>
          </cell>
          <cell r="L375">
            <v>0</v>
          </cell>
          <cell r="M375">
            <v>381</v>
          </cell>
          <cell r="N375" t="str">
            <v>A</v>
          </cell>
          <cell r="O375">
            <v>41340</v>
          </cell>
          <cell r="P375" t="str">
            <v xml:space="preserve">   15</v>
          </cell>
          <cell r="Q375">
            <v>0</v>
          </cell>
          <cell r="R375">
            <v>0</v>
          </cell>
          <cell r="S375">
            <v>0</v>
          </cell>
          <cell r="T375">
            <v>1860</v>
          </cell>
          <cell r="U375">
            <v>0</v>
          </cell>
          <cell r="V375" t="str">
            <v>CENTRO</v>
          </cell>
          <cell r="W375" t="str">
            <v/>
          </cell>
          <cell r="X375" t="str">
            <v/>
          </cell>
          <cell r="Y375" t="str">
            <v/>
          </cell>
          <cell r="Z375" t="str">
            <v/>
          </cell>
          <cell r="AA375" t="str">
            <v>(775) 136-9867</v>
          </cell>
          <cell r="AB375" t="str">
            <v/>
          </cell>
          <cell r="AC375" t="str">
            <v xml:space="preserve">    131</v>
          </cell>
          <cell r="AD375" t="str">
            <v/>
          </cell>
          <cell r="AE375" t="str">
            <v/>
          </cell>
          <cell r="AF375" t="str">
            <v/>
          </cell>
          <cell r="AH375" t="str">
            <v>N</v>
          </cell>
          <cell r="AI375">
            <v>0</v>
          </cell>
          <cell r="AJ375">
            <v>0</v>
          </cell>
          <cell r="AK375">
            <v>0</v>
          </cell>
          <cell r="AL375">
            <v>0</v>
          </cell>
          <cell r="AM375">
            <v>4474</v>
          </cell>
          <cell r="AN375">
            <v>0</v>
          </cell>
        </row>
        <row r="376">
          <cell r="A376">
            <v>2277</v>
          </cell>
          <cell r="B376" t="str">
            <v>LOURDES MONTOYA (COACALCO)</v>
          </cell>
          <cell r="C376" t="str">
            <v/>
          </cell>
          <cell r="D376" t="str">
            <v>16 DE SEPTIEMBRE #12-A</v>
          </cell>
          <cell r="E376" t="str">
            <v>COACALCO, EDO. DE MEXICO</v>
          </cell>
          <cell r="F376" t="str">
            <v/>
          </cell>
          <cell r="G376" t="str">
            <v/>
          </cell>
          <cell r="H376" t="str">
            <v>LOURDES MONTOYA</v>
          </cell>
          <cell r="I376" t="str">
            <v>LOURDES MONTOYA</v>
          </cell>
          <cell r="J376" t="str">
            <v>BAJA</v>
          </cell>
          <cell r="K376" t="str">
            <v/>
          </cell>
          <cell r="L376">
            <v>0</v>
          </cell>
          <cell r="M376">
            <v>382</v>
          </cell>
          <cell r="N376" t="str">
            <v>A</v>
          </cell>
          <cell r="O376">
            <v>41300</v>
          </cell>
          <cell r="P376" t="str">
            <v xml:space="preserve">   16</v>
          </cell>
          <cell r="Q376">
            <v>0</v>
          </cell>
          <cell r="R376">
            <v>0</v>
          </cell>
          <cell r="S376">
            <v>0</v>
          </cell>
          <cell r="T376">
            <v>757</v>
          </cell>
          <cell r="U376">
            <v>0</v>
          </cell>
          <cell r="V376" t="str">
            <v/>
          </cell>
          <cell r="W376" t="str">
            <v/>
          </cell>
          <cell r="X376" t="str">
            <v/>
          </cell>
          <cell r="Y376" t="str">
            <v/>
          </cell>
          <cell r="Z376" t="str">
            <v/>
          </cell>
          <cell r="AA376" t="str">
            <v/>
          </cell>
          <cell r="AB376" t="str">
            <v/>
          </cell>
          <cell r="AC376" t="str">
            <v>C619</v>
          </cell>
          <cell r="AD376" t="str">
            <v/>
          </cell>
          <cell r="AE376" t="str">
            <v/>
          </cell>
          <cell r="AF376" t="str">
            <v/>
          </cell>
          <cell r="AH376" t="str">
            <v>N</v>
          </cell>
          <cell r="AI376">
            <v>0</v>
          </cell>
          <cell r="AJ376">
            <v>0</v>
          </cell>
          <cell r="AK376">
            <v>0</v>
          </cell>
          <cell r="AL376">
            <v>0</v>
          </cell>
          <cell r="AM376">
            <v>757</v>
          </cell>
          <cell r="AN376">
            <v>0</v>
          </cell>
        </row>
        <row r="377">
          <cell r="A377">
            <v>2278</v>
          </cell>
          <cell r="B377" t="str">
            <v>MERCEDES SILVA PELAEZ (TULTEPEC)</v>
          </cell>
          <cell r="C377" t="str">
            <v/>
          </cell>
          <cell r="D377" t="str">
            <v>VENUSTIANO CARRANZA #56</v>
          </cell>
          <cell r="E377" t="str">
            <v>TULTEPEC, EDO. DE MEXICO</v>
          </cell>
          <cell r="F377" t="str">
            <v/>
          </cell>
          <cell r="G377" t="str">
            <v/>
          </cell>
          <cell r="H377" t="str">
            <v>MERCEDES SILVA</v>
          </cell>
          <cell r="I377" t="str">
            <v>MERCEDES SILVA</v>
          </cell>
          <cell r="J377" t="str">
            <v>BAJA</v>
          </cell>
          <cell r="K377" t="str">
            <v/>
          </cell>
          <cell r="L377">
            <v>0</v>
          </cell>
          <cell r="M377">
            <v>383</v>
          </cell>
          <cell r="N377" t="str">
            <v>A</v>
          </cell>
          <cell r="O377">
            <v>41397</v>
          </cell>
          <cell r="P377" t="str">
            <v xml:space="preserve">   18</v>
          </cell>
          <cell r="Q377">
            <v>0</v>
          </cell>
          <cell r="R377">
            <v>0</v>
          </cell>
          <cell r="S377">
            <v>0</v>
          </cell>
          <cell r="T377">
            <v>0</v>
          </cell>
          <cell r="U377">
            <v>0</v>
          </cell>
          <cell r="V377" t="str">
            <v>BARRIO SAN MARTIN</v>
          </cell>
          <cell r="W377" t="str">
            <v/>
          </cell>
          <cell r="X377" t="str">
            <v/>
          </cell>
          <cell r="Y377" t="str">
            <v/>
          </cell>
          <cell r="Z377" t="str">
            <v/>
          </cell>
          <cell r="AA377" t="str">
            <v/>
          </cell>
          <cell r="AB377" t="str">
            <v/>
          </cell>
          <cell r="AC377" t="str">
            <v xml:space="preserve">    139</v>
          </cell>
          <cell r="AD377" t="str">
            <v/>
          </cell>
          <cell r="AE377" t="str">
            <v/>
          </cell>
          <cell r="AF377" t="str">
            <v/>
          </cell>
          <cell r="AH377" t="str">
            <v>N</v>
          </cell>
          <cell r="AI377">
            <v>0</v>
          </cell>
          <cell r="AJ377">
            <v>0</v>
          </cell>
          <cell r="AK377">
            <v>0</v>
          </cell>
          <cell r="AL377">
            <v>0</v>
          </cell>
          <cell r="AM377">
            <v>558</v>
          </cell>
          <cell r="AN377">
            <v>0</v>
          </cell>
        </row>
        <row r="378">
          <cell r="A378">
            <v>2279</v>
          </cell>
          <cell r="B378" t="str">
            <v>MARIBEL LOZADA MAPEL (TULTITLAN)</v>
          </cell>
          <cell r="C378" t="str">
            <v/>
          </cell>
          <cell r="D378" t="str">
            <v>EJE 3 S/N</v>
          </cell>
          <cell r="E378" t="str">
            <v>TULTITLAN, EDO. DE MEXICO</v>
          </cell>
          <cell r="F378" t="str">
            <v/>
          </cell>
          <cell r="G378" t="str">
            <v>(55) 5877-0196</v>
          </cell>
          <cell r="H378" t="str">
            <v>MARIBEL LOZADA MAPEL</v>
          </cell>
          <cell r="I378" t="str">
            <v>MARIBEL LOZADA MAPEL</v>
          </cell>
          <cell r="J378" t="str">
            <v>BAJA</v>
          </cell>
          <cell r="K378" t="str">
            <v/>
          </cell>
          <cell r="L378">
            <v>0</v>
          </cell>
          <cell r="M378">
            <v>384</v>
          </cell>
          <cell r="N378" t="str">
            <v>S</v>
          </cell>
          <cell r="O378">
            <v>41305</v>
          </cell>
          <cell r="P378" t="str">
            <v xml:space="preserve">   18</v>
          </cell>
          <cell r="Q378">
            <v>0</v>
          </cell>
          <cell r="R378">
            <v>0</v>
          </cell>
          <cell r="S378">
            <v>0</v>
          </cell>
          <cell r="T378">
            <v>738</v>
          </cell>
          <cell r="U378">
            <v>0</v>
          </cell>
          <cell r="V378" t="str">
            <v>IMEX #2</v>
          </cell>
          <cell r="W378" t="str">
            <v/>
          </cell>
          <cell r="X378" t="str">
            <v>M01</v>
          </cell>
          <cell r="Y378" t="str">
            <v/>
          </cell>
          <cell r="Z378" t="str">
            <v/>
          </cell>
          <cell r="AA378" t="str">
            <v>(55) 5877-0196</v>
          </cell>
          <cell r="AB378" t="str">
            <v xml:space="preserve">     INCO</v>
          </cell>
          <cell r="AC378" t="str">
            <v>M0186</v>
          </cell>
          <cell r="AD378" t="str">
            <v/>
          </cell>
          <cell r="AE378" t="str">
            <v/>
          </cell>
          <cell r="AF378" t="str">
            <v/>
          </cell>
          <cell r="AG378">
            <v>41760</v>
          </cell>
          <cell r="AH378" t="str">
            <v>N</v>
          </cell>
          <cell r="AI378">
            <v>0</v>
          </cell>
          <cell r="AJ378">
            <v>0</v>
          </cell>
          <cell r="AK378">
            <v>0</v>
          </cell>
          <cell r="AL378">
            <v>338</v>
          </cell>
          <cell r="AM378">
            <v>738</v>
          </cell>
          <cell r="AN378">
            <v>0</v>
          </cell>
        </row>
        <row r="379">
          <cell r="A379">
            <v>2280</v>
          </cell>
          <cell r="B379" t="str">
            <v>LAURA ACEVEDO MARTINEZ (JERECUARO)</v>
          </cell>
          <cell r="C379" t="str">
            <v/>
          </cell>
          <cell r="D379" t="str">
            <v>MORELOS #194</v>
          </cell>
          <cell r="E379" t="str">
            <v>JERECUARO, GTO.</v>
          </cell>
          <cell r="F379" t="str">
            <v/>
          </cell>
          <cell r="G379" t="str">
            <v>(421) 476-1435</v>
          </cell>
          <cell r="H379" t="str">
            <v>LAURA ACEVEDO M.</v>
          </cell>
          <cell r="I379" t="str">
            <v>LAURA ACEVEDO M.</v>
          </cell>
          <cell r="J379" t="str">
            <v>BAJA</v>
          </cell>
          <cell r="K379" t="str">
            <v/>
          </cell>
          <cell r="L379">
            <v>0</v>
          </cell>
          <cell r="M379">
            <v>385</v>
          </cell>
          <cell r="N379" t="str">
            <v>A</v>
          </cell>
          <cell r="O379">
            <v>41308</v>
          </cell>
          <cell r="P379" t="str">
            <v xml:space="preserve">    1</v>
          </cell>
          <cell r="Q379">
            <v>0</v>
          </cell>
          <cell r="R379">
            <v>0</v>
          </cell>
          <cell r="S379">
            <v>0</v>
          </cell>
          <cell r="T379">
            <v>528</v>
          </cell>
          <cell r="U379">
            <v>0</v>
          </cell>
          <cell r="V379" t="str">
            <v>CENTRO</v>
          </cell>
          <cell r="W379" t="str">
            <v/>
          </cell>
          <cell r="X379" t="str">
            <v/>
          </cell>
          <cell r="Y379" t="str">
            <v/>
          </cell>
          <cell r="Z379" t="str">
            <v/>
          </cell>
          <cell r="AA379" t="str">
            <v>(421) 476-1435</v>
          </cell>
          <cell r="AB379" t="str">
            <v/>
          </cell>
          <cell r="AC379" t="str">
            <v>P0233</v>
          </cell>
          <cell r="AD379" t="str">
            <v/>
          </cell>
          <cell r="AE379" t="str">
            <v/>
          </cell>
          <cell r="AF379" t="str">
            <v/>
          </cell>
          <cell r="AH379" t="str">
            <v>N</v>
          </cell>
          <cell r="AI379">
            <v>0</v>
          </cell>
          <cell r="AJ379">
            <v>0</v>
          </cell>
          <cell r="AK379">
            <v>0</v>
          </cell>
          <cell r="AL379">
            <v>0</v>
          </cell>
          <cell r="AM379">
            <v>528</v>
          </cell>
          <cell r="AN379">
            <v>0</v>
          </cell>
        </row>
        <row r="380">
          <cell r="A380">
            <v>2281</v>
          </cell>
          <cell r="B380" t="str">
            <v>AZUCENA HERNANDEZ (APAXCO)</v>
          </cell>
          <cell r="C380" t="str">
            <v/>
          </cell>
          <cell r="D380" t="str">
            <v>ABASOLO #61</v>
          </cell>
          <cell r="E380" t="str">
            <v>APAXCO, EDO. DE MEXICO</v>
          </cell>
          <cell r="F380" t="str">
            <v/>
          </cell>
          <cell r="G380" t="str">
            <v>(599) 998-0592</v>
          </cell>
          <cell r="H380" t="str">
            <v>AZUCENA HERNANDEZ</v>
          </cell>
          <cell r="I380" t="str">
            <v>AZUCENA HERNANDEZ</v>
          </cell>
          <cell r="J380" t="str">
            <v>M04</v>
          </cell>
          <cell r="K380" t="str">
            <v/>
          </cell>
          <cell r="L380">
            <v>0</v>
          </cell>
          <cell r="M380">
            <v>386</v>
          </cell>
          <cell r="N380" t="str">
            <v>A</v>
          </cell>
          <cell r="O380">
            <v>42405</v>
          </cell>
          <cell r="P380" t="str">
            <v xml:space="preserve">    9</v>
          </cell>
          <cell r="Q380">
            <v>0</v>
          </cell>
          <cell r="R380">
            <v>0</v>
          </cell>
          <cell r="S380">
            <v>0</v>
          </cell>
          <cell r="T380">
            <v>43513</v>
          </cell>
          <cell r="U380">
            <v>0</v>
          </cell>
          <cell r="V380" t="str">
            <v>CENTRO</v>
          </cell>
          <cell r="W380" t="str">
            <v>(55) 1512-0133</v>
          </cell>
          <cell r="X380" t="str">
            <v/>
          </cell>
          <cell r="Y380" t="str">
            <v/>
          </cell>
          <cell r="Z380" t="str">
            <v/>
          </cell>
          <cell r="AA380" t="str">
            <v>(599) 998-0592</v>
          </cell>
          <cell r="AB380" t="str">
            <v xml:space="preserve">  DEV-325</v>
          </cell>
          <cell r="AC380" t="str">
            <v>M842754</v>
          </cell>
          <cell r="AD380" t="str">
            <v/>
          </cell>
          <cell r="AE380" t="str">
            <v/>
          </cell>
          <cell r="AF380" t="str">
            <v/>
          </cell>
          <cell r="AG380">
            <v>42389</v>
          </cell>
          <cell r="AH380" t="str">
            <v>N</v>
          </cell>
          <cell r="AI380">
            <v>0</v>
          </cell>
          <cell r="AJ380">
            <v>0</v>
          </cell>
          <cell r="AK380">
            <v>0</v>
          </cell>
          <cell r="AL380">
            <v>144</v>
          </cell>
          <cell r="AM380">
            <v>2673</v>
          </cell>
          <cell r="AN380">
            <v>0</v>
          </cell>
        </row>
        <row r="381">
          <cell r="A381">
            <v>2282</v>
          </cell>
          <cell r="B381" t="str">
            <v>ROSA MARIA HERNANDEZ (ACTOPAN)</v>
          </cell>
          <cell r="C381" t="str">
            <v/>
          </cell>
          <cell r="D381" t="str">
            <v>LERDO DE TEJADA #70</v>
          </cell>
          <cell r="E381" t="str">
            <v>ACTOPAN, HGO.</v>
          </cell>
          <cell r="F381" t="str">
            <v/>
          </cell>
          <cell r="G381" t="str">
            <v/>
          </cell>
          <cell r="H381" t="str">
            <v>ROSA MARIA HERNANDEZ</v>
          </cell>
          <cell r="I381" t="str">
            <v>ROSA MARIA HERNANDEZ</v>
          </cell>
          <cell r="J381" t="str">
            <v>BAJA</v>
          </cell>
          <cell r="K381" t="str">
            <v/>
          </cell>
          <cell r="L381">
            <v>0</v>
          </cell>
          <cell r="M381">
            <v>387</v>
          </cell>
          <cell r="N381" t="str">
            <v>A</v>
          </cell>
          <cell r="O381">
            <v>41310</v>
          </cell>
          <cell r="P381" t="str">
            <v xml:space="preserve">    9</v>
          </cell>
          <cell r="Q381">
            <v>0</v>
          </cell>
          <cell r="R381">
            <v>0</v>
          </cell>
          <cell r="S381">
            <v>0</v>
          </cell>
          <cell r="T381">
            <v>92</v>
          </cell>
          <cell r="U381">
            <v>0</v>
          </cell>
          <cell r="V381" t="str">
            <v>CENTRO</v>
          </cell>
          <cell r="W381" t="str">
            <v/>
          </cell>
          <cell r="X381" t="str">
            <v/>
          </cell>
          <cell r="Y381" t="str">
            <v/>
          </cell>
          <cell r="Z381" t="str">
            <v/>
          </cell>
          <cell r="AA381" t="str">
            <v/>
          </cell>
          <cell r="AB381" t="str">
            <v/>
          </cell>
          <cell r="AC381" t="str">
            <v>M0168</v>
          </cell>
          <cell r="AD381" t="str">
            <v/>
          </cell>
          <cell r="AE381" t="str">
            <v/>
          </cell>
          <cell r="AF381" t="str">
            <v/>
          </cell>
          <cell r="AH381" t="str">
            <v>N</v>
          </cell>
          <cell r="AI381">
            <v>0</v>
          </cell>
          <cell r="AJ381">
            <v>0</v>
          </cell>
          <cell r="AK381">
            <v>0</v>
          </cell>
          <cell r="AL381">
            <v>0</v>
          </cell>
          <cell r="AM381">
            <v>92</v>
          </cell>
          <cell r="AN381">
            <v>0</v>
          </cell>
        </row>
        <row r="382">
          <cell r="A382">
            <v>2283</v>
          </cell>
          <cell r="B382" t="str">
            <v>REGALOS Y NOVEDADES RAGA (ATOTONILCO)</v>
          </cell>
          <cell r="C382" t="str">
            <v/>
          </cell>
          <cell r="D382" t="str">
            <v>AV. DEL TRABAJO S/N</v>
          </cell>
          <cell r="E382" t="str">
            <v>ATOTONILCO, HGO.</v>
          </cell>
          <cell r="F382" t="str">
            <v/>
          </cell>
          <cell r="G382" t="str">
            <v>(773) 108-3215 CEL</v>
          </cell>
          <cell r="H382" t="str">
            <v/>
          </cell>
          <cell r="I382" t="str">
            <v/>
          </cell>
          <cell r="J382" t="str">
            <v>BAJA</v>
          </cell>
          <cell r="K382" t="str">
            <v/>
          </cell>
          <cell r="L382">
            <v>0</v>
          </cell>
          <cell r="M382">
            <v>388</v>
          </cell>
          <cell r="N382" t="str">
            <v>A</v>
          </cell>
          <cell r="O382">
            <v>41318</v>
          </cell>
          <cell r="P382" t="str">
            <v xml:space="preserve">    9</v>
          </cell>
          <cell r="Q382">
            <v>0</v>
          </cell>
          <cell r="R382">
            <v>0</v>
          </cell>
          <cell r="S382">
            <v>0</v>
          </cell>
          <cell r="T382">
            <v>474</v>
          </cell>
          <cell r="U382">
            <v>0</v>
          </cell>
          <cell r="V382" t="str">
            <v>PROGRESO</v>
          </cell>
          <cell r="W382" t="str">
            <v/>
          </cell>
          <cell r="X382" t="str">
            <v/>
          </cell>
          <cell r="Y382" t="str">
            <v/>
          </cell>
          <cell r="Z382" t="str">
            <v/>
          </cell>
          <cell r="AA382" t="str">
            <v>(773) 108-3215 CEL</v>
          </cell>
          <cell r="AB382" t="str">
            <v/>
          </cell>
          <cell r="AC382" t="str">
            <v>C622</v>
          </cell>
          <cell r="AD382" t="str">
            <v/>
          </cell>
          <cell r="AE382" t="str">
            <v/>
          </cell>
          <cell r="AF382" t="str">
            <v/>
          </cell>
          <cell r="AH382" t="str">
            <v>N</v>
          </cell>
          <cell r="AI382">
            <v>0</v>
          </cell>
          <cell r="AJ382">
            <v>0</v>
          </cell>
          <cell r="AK382">
            <v>0</v>
          </cell>
          <cell r="AL382">
            <v>0</v>
          </cell>
          <cell r="AM382">
            <v>474</v>
          </cell>
          <cell r="AN382">
            <v>0</v>
          </cell>
        </row>
        <row r="383">
          <cell r="A383">
            <v>2284</v>
          </cell>
          <cell r="B383" t="str">
            <v>VICTOR HUGO AGUILAR (TEZONTEPEC)</v>
          </cell>
          <cell r="C383" t="str">
            <v/>
          </cell>
          <cell r="D383" t="str">
            <v>AV. INSURGENTES S/N</v>
          </cell>
          <cell r="E383" t="str">
            <v>TEZONTEPEC, HGO.</v>
          </cell>
          <cell r="F383" t="str">
            <v/>
          </cell>
          <cell r="G383" t="str">
            <v>(773) 739-9872</v>
          </cell>
          <cell r="H383" t="str">
            <v>VICTOR HUGO AGUILAR</v>
          </cell>
          <cell r="I383" t="str">
            <v>VICTOR HUGO AGUILAR</v>
          </cell>
          <cell r="J383" t="str">
            <v>BAJA</v>
          </cell>
          <cell r="K383" t="str">
            <v/>
          </cell>
          <cell r="L383">
            <v>0</v>
          </cell>
          <cell r="M383">
            <v>389</v>
          </cell>
          <cell r="N383" t="str">
            <v>A</v>
          </cell>
          <cell r="O383">
            <v>41318</v>
          </cell>
          <cell r="P383" t="str">
            <v xml:space="preserve">    9</v>
          </cell>
          <cell r="Q383">
            <v>0</v>
          </cell>
          <cell r="R383">
            <v>0</v>
          </cell>
          <cell r="S383">
            <v>0</v>
          </cell>
          <cell r="T383">
            <v>272</v>
          </cell>
          <cell r="U383">
            <v>0</v>
          </cell>
          <cell r="V383" t="str">
            <v/>
          </cell>
          <cell r="W383" t="str">
            <v/>
          </cell>
          <cell r="X383" t="str">
            <v/>
          </cell>
          <cell r="Y383" t="str">
            <v/>
          </cell>
          <cell r="Z383" t="str">
            <v/>
          </cell>
          <cell r="AA383" t="str">
            <v>(773) 739-9872</v>
          </cell>
          <cell r="AB383" t="str">
            <v/>
          </cell>
          <cell r="AC383" t="str">
            <v>C623</v>
          </cell>
          <cell r="AD383" t="str">
            <v/>
          </cell>
          <cell r="AE383" t="str">
            <v/>
          </cell>
          <cell r="AF383" t="str">
            <v/>
          </cell>
          <cell r="AH383" t="str">
            <v>N</v>
          </cell>
          <cell r="AI383">
            <v>0</v>
          </cell>
          <cell r="AJ383">
            <v>0</v>
          </cell>
          <cell r="AK383">
            <v>0</v>
          </cell>
          <cell r="AL383">
            <v>0</v>
          </cell>
          <cell r="AM383">
            <v>272</v>
          </cell>
          <cell r="AN383">
            <v>0</v>
          </cell>
        </row>
        <row r="384">
          <cell r="A384">
            <v>2285</v>
          </cell>
          <cell r="B384" t="str">
            <v xml:space="preserve">RAFAELA MANDUJANO GUERRERO (QUERETARO)                      </v>
          </cell>
          <cell r="C384" t="str">
            <v/>
          </cell>
          <cell r="D384" t="str">
            <v xml:space="preserve">MERCADO ESCOBEDO PASILLO 4 LOC. 102     </v>
          </cell>
          <cell r="E384" t="str">
            <v>QUERETARO, QRO.</v>
          </cell>
          <cell r="F384" t="str">
            <v/>
          </cell>
          <cell r="G384" t="str">
            <v/>
          </cell>
          <cell r="H384" t="str">
            <v>REYNA VIZUET</v>
          </cell>
          <cell r="I384" t="str">
            <v>REYNA VIZUET</v>
          </cell>
          <cell r="J384" t="str">
            <v>L04</v>
          </cell>
          <cell r="K384" t="str">
            <v/>
          </cell>
          <cell r="L384">
            <v>0</v>
          </cell>
          <cell r="M384">
            <v>390</v>
          </cell>
          <cell r="N384" t="str">
            <v>A</v>
          </cell>
          <cell r="O384">
            <v>41318</v>
          </cell>
          <cell r="P384" t="str">
            <v xml:space="preserve">    9</v>
          </cell>
          <cell r="Q384">
            <v>0</v>
          </cell>
          <cell r="R384">
            <v>0</v>
          </cell>
          <cell r="S384">
            <v>0</v>
          </cell>
          <cell r="T384">
            <v>223</v>
          </cell>
          <cell r="U384">
            <v>0</v>
          </cell>
          <cell r="V384">
            <v>0</v>
          </cell>
          <cell r="W384" t="str">
            <v/>
          </cell>
          <cell r="X384" t="str">
            <v/>
          </cell>
          <cell r="Y384" t="str">
            <v/>
          </cell>
          <cell r="Z384" t="str">
            <v/>
          </cell>
          <cell r="AA384" t="str">
            <v/>
          </cell>
          <cell r="AB384" t="str">
            <v/>
          </cell>
          <cell r="AC384" t="str">
            <v>C624</v>
          </cell>
          <cell r="AD384" t="str">
            <v/>
          </cell>
          <cell r="AE384" t="str">
            <v/>
          </cell>
          <cell r="AF384" t="str">
            <v/>
          </cell>
          <cell r="AH384" t="str">
            <v>N</v>
          </cell>
          <cell r="AI384">
            <v>0</v>
          </cell>
          <cell r="AJ384">
            <v>0</v>
          </cell>
          <cell r="AK384">
            <v>0</v>
          </cell>
          <cell r="AL384">
            <v>0</v>
          </cell>
          <cell r="AM384">
            <v>223</v>
          </cell>
          <cell r="AN384">
            <v>0</v>
          </cell>
        </row>
        <row r="385">
          <cell r="A385">
            <v>2286</v>
          </cell>
          <cell r="B385" t="str">
            <v>ALEJANDRA (PROGRESO)</v>
          </cell>
          <cell r="C385" t="str">
            <v/>
          </cell>
          <cell r="D385" t="str">
            <v/>
          </cell>
          <cell r="E385" t="str">
            <v>PROGRESO, HGO.</v>
          </cell>
          <cell r="F385" t="str">
            <v/>
          </cell>
          <cell r="G385" t="str">
            <v/>
          </cell>
          <cell r="H385" t="str">
            <v/>
          </cell>
          <cell r="I385" t="str">
            <v/>
          </cell>
          <cell r="J385" t="str">
            <v>F02P</v>
          </cell>
          <cell r="K385" t="str">
            <v/>
          </cell>
          <cell r="L385">
            <v>0</v>
          </cell>
          <cell r="M385">
            <v>391</v>
          </cell>
          <cell r="N385" t="str">
            <v>A</v>
          </cell>
          <cell r="O385">
            <v>42299</v>
          </cell>
          <cell r="P385" t="str">
            <v xml:space="preserve">    1</v>
          </cell>
          <cell r="Q385">
            <v>0</v>
          </cell>
          <cell r="R385">
            <v>0</v>
          </cell>
          <cell r="S385">
            <v>0</v>
          </cell>
          <cell r="T385">
            <v>1704</v>
          </cell>
          <cell r="U385">
            <v>0</v>
          </cell>
          <cell r="V385" t="str">
            <v/>
          </cell>
          <cell r="W385" t="str">
            <v/>
          </cell>
          <cell r="X385" t="str">
            <v/>
          </cell>
          <cell r="Y385" t="str">
            <v/>
          </cell>
          <cell r="Z385" t="str">
            <v/>
          </cell>
          <cell r="AA385" t="str">
            <v/>
          </cell>
          <cell r="AB385" t="str">
            <v/>
          </cell>
          <cell r="AC385" t="str">
            <v>F417</v>
          </cell>
          <cell r="AD385" t="str">
            <v/>
          </cell>
          <cell r="AE385" t="str">
            <v/>
          </cell>
          <cell r="AF385" t="str">
            <v/>
          </cell>
          <cell r="AH385" t="str">
            <v>N</v>
          </cell>
          <cell r="AI385">
            <v>0</v>
          </cell>
          <cell r="AJ385">
            <v>0</v>
          </cell>
          <cell r="AK385">
            <v>0</v>
          </cell>
          <cell r="AL385">
            <v>0</v>
          </cell>
          <cell r="AM385">
            <v>1585</v>
          </cell>
          <cell r="AN385">
            <v>0</v>
          </cell>
        </row>
        <row r="386">
          <cell r="A386">
            <v>2287</v>
          </cell>
          <cell r="B386" t="str">
            <v>MA. GUADALUPE LOPEZ GONZALEZ (TEYAHUALCO)</v>
          </cell>
          <cell r="C386" t="str">
            <v/>
          </cell>
          <cell r="D386" t="str">
            <v>AV. BENITO JUAREZ S/N</v>
          </cell>
          <cell r="E386" t="str">
            <v>TULTEPEC, EDO. DE MEXICO</v>
          </cell>
          <cell r="F386" t="str">
            <v/>
          </cell>
          <cell r="G386" t="str">
            <v>(55) 5885-4205</v>
          </cell>
          <cell r="H386" t="str">
            <v>MA. GUADALUPE LOPEZ</v>
          </cell>
          <cell r="I386" t="str">
            <v>MA. GUADALUPE LOPEZ</v>
          </cell>
          <cell r="J386" t="str">
            <v>M01</v>
          </cell>
          <cell r="K386" t="str">
            <v/>
          </cell>
          <cell r="L386">
            <v>0</v>
          </cell>
          <cell r="M386">
            <v>392</v>
          </cell>
          <cell r="N386" t="str">
            <v>A</v>
          </cell>
          <cell r="O386">
            <v>42266</v>
          </cell>
          <cell r="P386" t="str">
            <v xml:space="preserve">   16</v>
          </cell>
          <cell r="Q386">
            <v>0</v>
          </cell>
          <cell r="R386">
            <v>0</v>
          </cell>
          <cell r="S386">
            <v>0</v>
          </cell>
          <cell r="T386">
            <v>46642</v>
          </cell>
          <cell r="U386">
            <v>0</v>
          </cell>
          <cell r="V386" t="str">
            <v>SANTIAGO TEYAHUALCO</v>
          </cell>
          <cell r="W386" t="str">
            <v/>
          </cell>
          <cell r="X386" t="str">
            <v/>
          </cell>
          <cell r="Y386" t="str">
            <v/>
          </cell>
          <cell r="Z386" t="str">
            <v/>
          </cell>
          <cell r="AA386" t="str">
            <v>(55) 5885-4205</v>
          </cell>
          <cell r="AB386" t="str">
            <v xml:space="preserve">  DEV-219</v>
          </cell>
          <cell r="AC386" t="str">
            <v>M424</v>
          </cell>
          <cell r="AD386" t="str">
            <v/>
          </cell>
          <cell r="AE386" t="str">
            <v/>
          </cell>
          <cell r="AF386" t="str">
            <v/>
          </cell>
          <cell r="AG386">
            <v>41821</v>
          </cell>
          <cell r="AH386" t="str">
            <v>N</v>
          </cell>
          <cell r="AI386">
            <v>0</v>
          </cell>
          <cell r="AJ386">
            <v>0</v>
          </cell>
          <cell r="AK386">
            <v>0</v>
          </cell>
          <cell r="AL386">
            <v>620</v>
          </cell>
          <cell r="AM386">
            <v>2420</v>
          </cell>
          <cell r="AN386">
            <v>0</v>
          </cell>
        </row>
        <row r="387">
          <cell r="A387">
            <v>2288</v>
          </cell>
          <cell r="B387" t="str">
            <v>ENGRACIA HERNANDEZ (TULANCINGO)</v>
          </cell>
          <cell r="C387" t="str">
            <v/>
          </cell>
          <cell r="D387" t="str">
            <v>FERNANDO SOTO ESQ. CON LIBERTAD</v>
          </cell>
          <cell r="E387" t="str">
            <v>TULANCINGO, HGO.</v>
          </cell>
          <cell r="F387" t="str">
            <v/>
          </cell>
          <cell r="G387" t="str">
            <v>(775) 135-8372</v>
          </cell>
          <cell r="H387" t="str">
            <v>ENGRACIA HERNANDEZ</v>
          </cell>
          <cell r="I387" t="str">
            <v>ENGRACIA HERNANDEZ</v>
          </cell>
          <cell r="J387" t="str">
            <v>BAJA</v>
          </cell>
          <cell r="K387" t="str">
            <v/>
          </cell>
          <cell r="L387">
            <v>0</v>
          </cell>
          <cell r="M387">
            <v>393</v>
          </cell>
          <cell r="N387" t="str">
            <v>A</v>
          </cell>
          <cell r="O387">
            <v>41330</v>
          </cell>
          <cell r="P387" t="str">
            <v xml:space="preserve">    2</v>
          </cell>
          <cell r="Q387">
            <v>0</v>
          </cell>
          <cell r="R387">
            <v>0</v>
          </cell>
          <cell r="S387">
            <v>0</v>
          </cell>
          <cell r="T387">
            <v>299</v>
          </cell>
          <cell r="U387">
            <v>0</v>
          </cell>
          <cell r="V387" t="str">
            <v>CENTRO</v>
          </cell>
          <cell r="W387" t="str">
            <v/>
          </cell>
          <cell r="X387" t="str">
            <v/>
          </cell>
          <cell r="Y387" t="str">
            <v/>
          </cell>
          <cell r="Z387" t="str">
            <v/>
          </cell>
          <cell r="AA387" t="str">
            <v>(775) 135-8372</v>
          </cell>
          <cell r="AB387" t="str">
            <v/>
          </cell>
          <cell r="AC387" t="str">
            <v>P0256</v>
          </cell>
          <cell r="AD387" t="str">
            <v/>
          </cell>
          <cell r="AE387" t="str">
            <v/>
          </cell>
          <cell r="AF387" t="str">
            <v/>
          </cell>
          <cell r="AH387" t="str">
            <v>N</v>
          </cell>
          <cell r="AI387">
            <v>0</v>
          </cell>
          <cell r="AJ387">
            <v>0</v>
          </cell>
          <cell r="AK387">
            <v>0</v>
          </cell>
          <cell r="AL387">
            <v>0</v>
          </cell>
          <cell r="AM387">
            <v>299</v>
          </cell>
          <cell r="AN387">
            <v>0</v>
          </cell>
        </row>
        <row r="388">
          <cell r="A388">
            <v>2289</v>
          </cell>
          <cell r="B388" t="str">
            <v>ELIA SANDOVAL NAVARRETE (NICOLAS ROMERO)</v>
          </cell>
          <cell r="C388" t="str">
            <v/>
          </cell>
          <cell r="D388" t="str">
            <v>AV. HIDALGO N.31</v>
          </cell>
          <cell r="E388" t="str">
            <v>NICOLAS ROMERO, EDO. DE MEXICO</v>
          </cell>
          <cell r="F388" t="str">
            <v/>
          </cell>
          <cell r="G388" t="str">
            <v/>
          </cell>
          <cell r="H388" t="str">
            <v>ELIA SANDOVAL N.</v>
          </cell>
          <cell r="I388" t="str">
            <v>ELIA SANDOVAL N.</v>
          </cell>
          <cell r="J388" t="str">
            <v>BAJA</v>
          </cell>
          <cell r="K388" t="str">
            <v/>
          </cell>
          <cell r="L388">
            <v>0</v>
          </cell>
          <cell r="M388">
            <v>394</v>
          </cell>
          <cell r="N388" t="str">
            <v>A</v>
          </cell>
          <cell r="O388">
            <v>41395</v>
          </cell>
          <cell r="P388" t="str">
            <v xml:space="preserve">   16</v>
          </cell>
          <cell r="Q388">
            <v>0</v>
          </cell>
          <cell r="R388">
            <v>0</v>
          </cell>
          <cell r="S388">
            <v>0</v>
          </cell>
          <cell r="T388">
            <v>1444</v>
          </cell>
          <cell r="U388">
            <v>0</v>
          </cell>
          <cell r="V388" t="str">
            <v/>
          </cell>
          <cell r="W388" t="str">
            <v/>
          </cell>
          <cell r="X388" t="str">
            <v/>
          </cell>
          <cell r="Y388" t="str">
            <v/>
          </cell>
          <cell r="Z388" t="str">
            <v/>
          </cell>
          <cell r="AA388" t="str">
            <v/>
          </cell>
          <cell r="AB388" t="str">
            <v xml:space="preserve">  DEV-142</v>
          </cell>
          <cell r="AC388" t="str">
            <v xml:space="preserve">    142</v>
          </cell>
          <cell r="AD388" t="str">
            <v/>
          </cell>
          <cell r="AE388" t="str">
            <v/>
          </cell>
          <cell r="AF388" t="str">
            <v/>
          </cell>
          <cell r="AG388">
            <v>41409</v>
          </cell>
          <cell r="AH388" t="str">
            <v>N</v>
          </cell>
          <cell r="AI388">
            <v>0</v>
          </cell>
          <cell r="AJ388">
            <v>0</v>
          </cell>
          <cell r="AK388">
            <v>0</v>
          </cell>
          <cell r="AL388">
            <v>156</v>
          </cell>
          <cell r="AM388">
            <v>256</v>
          </cell>
          <cell r="AN388">
            <v>0</v>
          </cell>
        </row>
        <row r="389">
          <cell r="A389">
            <v>2290</v>
          </cell>
          <cell r="B389" t="str">
            <v>ESTEFANIE ORTIZ VEGA (APASEO)</v>
          </cell>
          <cell r="C389" t="str">
            <v/>
          </cell>
          <cell r="D389" t="str">
            <v>16 DE SEPTIEMBRE #309</v>
          </cell>
          <cell r="E389" t="str">
            <v>APASEO EL ALTO, GTO.</v>
          </cell>
          <cell r="F389" t="str">
            <v/>
          </cell>
          <cell r="G389" t="str">
            <v>(413) 166-0447 CEL</v>
          </cell>
          <cell r="H389" t="str">
            <v>ESTEFANIE ORTIZ VEGA</v>
          </cell>
          <cell r="I389" t="str">
            <v>ESTEFANIE ORTIZ VEGA</v>
          </cell>
          <cell r="J389" t="str">
            <v>BAJA</v>
          </cell>
          <cell r="K389" t="str">
            <v/>
          </cell>
          <cell r="L389">
            <v>0</v>
          </cell>
          <cell r="M389">
            <v>395</v>
          </cell>
          <cell r="N389" t="str">
            <v>A</v>
          </cell>
          <cell r="O389">
            <v>41333</v>
          </cell>
          <cell r="P389" t="str">
            <v xml:space="preserve">    3</v>
          </cell>
          <cell r="Q389">
            <v>0</v>
          </cell>
          <cell r="R389">
            <v>0</v>
          </cell>
          <cell r="S389">
            <v>0</v>
          </cell>
          <cell r="T389">
            <v>7095</v>
          </cell>
          <cell r="U389">
            <v>0</v>
          </cell>
          <cell r="V389" t="str">
            <v>CENTRO</v>
          </cell>
          <cell r="W389" t="str">
            <v/>
          </cell>
          <cell r="X389" t="str">
            <v/>
          </cell>
          <cell r="Y389" t="str">
            <v/>
          </cell>
          <cell r="Z389" t="str">
            <v/>
          </cell>
          <cell r="AA389" t="str">
            <v>(413) 166-0447 CEL</v>
          </cell>
          <cell r="AB389" t="str">
            <v/>
          </cell>
          <cell r="AC389" t="str">
            <v>R-0269</v>
          </cell>
          <cell r="AD389" t="str">
            <v/>
          </cell>
          <cell r="AE389" t="str">
            <v/>
          </cell>
          <cell r="AF389" t="str">
            <v/>
          </cell>
          <cell r="AH389" t="str">
            <v>N</v>
          </cell>
          <cell r="AI389">
            <v>0</v>
          </cell>
          <cell r="AJ389">
            <v>0</v>
          </cell>
          <cell r="AK389">
            <v>0</v>
          </cell>
          <cell r="AL389">
            <v>0</v>
          </cell>
          <cell r="AM389">
            <v>7095</v>
          </cell>
          <cell r="AN389">
            <v>0</v>
          </cell>
        </row>
        <row r="390">
          <cell r="A390">
            <v>2291</v>
          </cell>
          <cell r="B390" t="str">
            <v>RENATA ESTRADA MARTINEZ (HUICHAPAN)</v>
          </cell>
          <cell r="C390" t="str">
            <v/>
          </cell>
          <cell r="D390" t="str">
            <v/>
          </cell>
          <cell r="E390" t="str">
            <v>,HGO.</v>
          </cell>
          <cell r="F390" t="str">
            <v/>
          </cell>
          <cell r="G390" t="str">
            <v>(773) 119-1690</v>
          </cell>
          <cell r="H390" t="str">
            <v/>
          </cell>
          <cell r="I390" t="str">
            <v/>
          </cell>
          <cell r="J390" t="str">
            <v>F02P</v>
          </cell>
          <cell r="K390" t="str">
            <v/>
          </cell>
          <cell r="L390">
            <v>0</v>
          </cell>
          <cell r="M390">
            <v>396</v>
          </cell>
          <cell r="N390" t="str">
            <v>A</v>
          </cell>
          <cell r="O390">
            <v>42299</v>
          </cell>
          <cell r="P390" t="str">
            <v xml:space="preserve">    1</v>
          </cell>
          <cell r="Q390">
            <v>0</v>
          </cell>
          <cell r="R390">
            <v>0</v>
          </cell>
          <cell r="S390">
            <v>0</v>
          </cell>
          <cell r="T390">
            <v>1260</v>
          </cell>
          <cell r="U390">
            <v>0</v>
          </cell>
          <cell r="V390" t="str">
            <v/>
          </cell>
          <cell r="W390" t="str">
            <v/>
          </cell>
          <cell r="X390" t="str">
            <v/>
          </cell>
          <cell r="Y390" t="str">
            <v/>
          </cell>
          <cell r="Z390" t="str">
            <v/>
          </cell>
          <cell r="AA390" t="str">
            <v>(773) 119-1690</v>
          </cell>
          <cell r="AB390" t="str">
            <v/>
          </cell>
          <cell r="AC390" t="str">
            <v>F414</v>
          </cell>
          <cell r="AD390" t="str">
            <v/>
          </cell>
          <cell r="AE390" t="str">
            <v/>
          </cell>
          <cell r="AF390" t="str">
            <v/>
          </cell>
          <cell r="AH390" t="str">
            <v>N</v>
          </cell>
          <cell r="AI390">
            <v>0</v>
          </cell>
          <cell r="AJ390">
            <v>0</v>
          </cell>
          <cell r="AK390">
            <v>0</v>
          </cell>
          <cell r="AL390">
            <v>0</v>
          </cell>
          <cell r="AM390">
            <v>362</v>
          </cell>
          <cell r="AN390">
            <v>0</v>
          </cell>
        </row>
        <row r="391">
          <cell r="A391">
            <v>2292</v>
          </cell>
          <cell r="B391" t="str">
            <v>HUGO AMADOR AGUILAR (TECAMAC)</v>
          </cell>
          <cell r="C391" t="str">
            <v/>
          </cell>
          <cell r="D391" t="str">
            <v>AV. 5 DE MAYO LOC. 13</v>
          </cell>
          <cell r="E391" t="str">
            <v>TECAMAC, EDO. DE MEXICO</v>
          </cell>
          <cell r="F391" t="str">
            <v/>
          </cell>
          <cell r="G391" t="str">
            <v>(55) 5934-6566</v>
          </cell>
          <cell r="H391" t="str">
            <v>HUGO AMADOR AGUILAR</v>
          </cell>
          <cell r="I391" t="str">
            <v>HUGO AMADOR AGUILAR</v>
          </cell>
          <cell r="J391" t="str">
            <v>BAJA</v>
          </cell>
          <cell r="K391" t="str">
            <v/>
          </cell>
          <cell r="L391">
            <v>0</v>
          </cell>
          <cell r="M391">
            <v>397</v>
          </cell>
          <cell r="N391" t="str">
            <v>S</v>
          </cell>
          <cell r="O391">
            <v>41409</v>
          </cell>
          <cell r="P391" t="str">
            <v xml:space="preserve">    2</v>
          </cell>
          <cell r="Q391">
            <v>0</v>
          </cell>
          <cell r="R391">
            <v>0</v>
          </cell>
          <cell r="S391">
            <v>0</v>
          </cell>
          <cell r="T391">
            <v>7744</v>
          </cell>
          <cell r="U391">
            <v>0</v>
          </cell>
          <cell r="V391" t="str">
            <v>CENTRO</v>
          </cell>
          <cell r="W391" t="str">
            <v/>
          </cell>
          <cell r="X391" t="str">
            <v/>
          </cell>
          <cell r="Y391" t="str">
            <v/>
          </cell>
          <cell r="Z391" t="str">
            <v/>
          </cell>
          <cell r="AA391" t="str">
            <v>(55) 5934-6566</v>
          </cell>
          <cell r="AB391" t="str">
            <v/>
          </cell>
          <cell r="AC391" t="str">
            <v>M0476</v>
          </cell>
          <cell r="AD391" t="str">
            <v/>
          </cell>
          <cell r="AE391" t="str">
            <v/>
          </cell>
          <cell r="AF391" t="str">
            <v/>
          </cell>
          <cell r="AH391" t="str">
            <v>N</v>
          </cell>
          <cell r="AI391">
            <v>0</v>
          </cell>
          <cell r="AJ391">
            <v>0</v>
          </cell>
          <cell r="AK391">
            <v>0</v>
          </cell>
          <cell r="AL391">
            <v>0</v>
          </cell>
          <cell r="AM391">
            <v>4158</v>
          </cell>
          <cell r="AN391">
            <v>0</v>
          </cell>
        </row>
        <row r="392">
          <cell r="A392">
            <v>2293</v>
          </cell>
          <cell r="B392" t="str">
            <v>ERICKA VAZQUEZ MARTINES (TULTEPEC)</v>
          </cell>
          <cell r="C392" t="str">
            <v/>
          </cell>
          <cell r="D392" t="str">
            <v>AV. VENUSTIANO CARRANZA #58</v>
          </cell>
          <cell r="E392" t="str">
            <v>TULTEPEC, EDO. DE MEXICO</v>
          </cell>
          <cell r="F392" t="str">
            <v/>
          </cell>
          <cell r="G392" t="str">
            <v>(55) 4992-8974</v>
          </cell>
          <cell r="H392" t="str">
            <v>ERICKA VAZQUEZ MTZ.</v>
          </cell>
          <cell r="I392" t="str">
            <v>ERICKA VAZQUEZ MTZ.</v>
          </cell>
          <cell r="J392" t="str">
            <v>BAJA</v>
          </cell>
          <cell r="K392" t="str">
            <v/>
          </cell>
          <cell r="L392">
            <v>0</v>
          </cell>
          <cell r="M392">
            <v>398</v>
          </cell>
          <cell r="N392" t="str">
            <v>S</v>
          </cell>
          <cell r="O392">
            <v>41397</v>
          </cell>
          <cell r="P392" t="str">
            <v xml:space="preserve">   16</v>
          </cell>
          <cell r="Q392">
            <v>0</v>
          </cell>
          <cell r="R392">
            <v>0</v>
          </cell>
          <cell r="S392">
            <v>0</v>
          </cell>
          <cell r="T392">
            <v>389</v>
          </cell>
          <cell r="U392">
            <v>0</v>
          </cell>
          <cell r="V392" t="str">
            <v>SAN MARTIN</v>
          </cell>
          <cell r="W392" t="str">
            <v/>
          </cell>
          <cell r="X392" t="str">
            <v/>
          </cell>
          <cell r="Y392" t="str">
            <v/>
          </cell>
          <cell r="Z392" t="str">
            <v/>
          </cell>
          <cell r="AA392" t="str">
            <v>(55) 4992-8974</v>
          </cell>
          <cell r="AB392" t="str">
            <v xml:space="preserve">     INCO</v>
          </cell>
          <cell r="AC392" t="str">
            <v xml:space="preserve">    138</v>
          </cell>
          <cell r="AD392" t="str">
            <v/>
          </cell>
          <cell r="AE392" t="str">
            <v/>
          </cell>
          <cell r="AF392" t="str">
            <v/>
          </cell>
          <cell r="AG392">
            <v>41641</v>
          </cell>
          <cell r="AH392" t="str">
            <v>N</v>
          </cell>
          <cell r="AI392">
            <v>0</v>
          </cell>
          <cell r="AJ392">
            <v>0</v>
          </cell>
          <cell r="AK392">
            <v>0</v>
          </cell>
          <cell r="AL392">
            <v>21</v>
          </cell>
          <cell r="AM392">
            <v>432</v>
          </cell>
          <cell r="AN392">
            <v>0</v>
          </cell>
        </row>
        <row r="393">
          <cell r="A393">
            <v>2294</v>
          </cell>
          <cell r="B393" t="str">
            <v>MA. DEL REFUGIO ORTEGA RANGEL (ACAMBARO)</v>
          </cell>
          <cell r="C393" t="str">
            <v/>
          </cell>
          <cell r="D393" t="str">
            <v>AV. LOMA BONITA #55</v>
          </cell>
          <cell r="E393" t="str">
            <v>ACAMBARO, GTO.</v>
          </cell>
          <cell r="F393" t="str">
            <v/>
          </cell>
          <cell r="G393" t="str">
            <v>(417) 172-5920 CASA</v>
          </cell>
          <cell r="H393" t="str">
            <v>REFUGIO ORTEGA</v>
          </cell>
          <cell r="I393" t="str">
            <v>REFUGIO ORTEGA</v>
          </cell>
          <cell r="J393" t="str">
            <v>J06</v>
          </cell>
          <cell r="K393" t="str">
            <v/>
          </cell>
          <cell r="L393">
            <v>0</v>
          </cell>
          <cell r="M393">
            <v>399</v>
          </cell>
          <cell r="N393" t="str">
            <v>A</v>
          </cell>
          <cell r="O393">
            <v>42406</v>
          </cell>
          <cell r="P393" t="str">
            <v xml:space="preserve">    1</v>
          </cell>
          <cell r="Q393">
            <v>0</v>
          </cell>
          <cell r="R393">
            <v>0</v>
          </cell>
          <cell r="S393">
            <v>0</v>
          </cell>
          <cell r="T393">
            <v>60787</v>
          </cell>
          <cell r="U393">
            <v>0</v>
          </cell>
          <cell r="V393" t="str">
            <v>LOMA BONITA</v>
          </cell>
          <cell r="W393" t="str">
            <v>(417)  103-2575 CEL</v>
          </cell>
          <cell r="X393" t="str">
            <v/>
          </cell>
          <cell r="Y393" t="str">
            <v/>
          </cell>
          <cell r="Z393" t="str">
            <v/>
          </cell>
          <cell r="AA393" t="str">
            <v>(417) 172-5920 CASA</v>
          </cell>
          <cell r="AB393" t="str">
            <v xml:space="preserve">      DEV</v>
          </cell>
          <cell r="AC393" t="str">
            <v xml:space="preserve">    331</v>
          </cell>
          <cell r="AD393" t="str">
            <v/>
          </cell>
          <cell r="AE393" t="str">
            <v/>
          </cell>
          <cell r="AF393" t="str">
            <v/>
          </cell>
          <cell r="AG393">
            <v>42406</v>
          </cell>
          <cell r="AH393" t="str">
            <v>N</v>
          </cell>
          <cell r="AI393">
            <v>0</v>
          </cell>
          <cell r="AJ393">
            <v>0</v>
          </cell>
          <cell r="AK393">
            <v>0</v>
          </cell>
          <cell r="AL393">
            <v>10</v>
          </cell>
          <cell r="AM393">
            <v>2306</v>
          </cell>
          <cell r="AN393">
            <v>0</v>
          </cell>
        </row>
        <row r="394">
          <cell r="A394">
            <v>2295</v>
          </cell>
          <cell r="B394" t="str">
            <v>VIRGINIA RIOS (SAN CRISTOBAL)</v>
          </cell>
          <cell r="C394" t="str">
            <v/>
          </cell>
          <cell r="D394" t="str">
            <v>MERCADO DE SAN CRISTOBAL</v>
          </cell>
          <cell r="E394" t="str">
            <v>ECATEPEC, EDO. DE MEXICO</v>
          </cell>
          <cell r="F394" t="str">
            <v/>
          </cell>
          <cell r="G394" t="str">
            <v/>
          </cell>
          <cell r="H394" t="str">
            <v>VIEGINIA RIOS</v>
          </cell>
          <cell r="I394" t="str">
            <v>VIEGINIA RIOS</v>
          </cell>
          <cell r="J394" t="str">
            <v>M03</v>
          </cell>
          <cell r="K394" t="str">
            <v/>
          </cell>
          <cell r="L394">
            <v>0</v>
          </cell>
          <cell r="M394">
            <v>400</v>
          </cell>
          <cell r="N394" t="str">
            <v>A</v>
          </cell>
          <cell r="O394">
            <v>42278</v>
          </cell>
          <cell r="P394" t="str">
            <v/>
          </cell>
          <cell r="Q394">
            <v>0</v>
          </cell>
          <cell r="R394">
            <v>0</v>
          </cell>
          <cell r="S394">
            <v>0</v>
          </cell>
          <cell r="T394">
            <v>12676</v>
          </cell>
          <cell r="U394">
            <v>0</v>
          </cell>
          <cell r="V394" t="str">
            <v>SAN CRISTOBAL</v>
          </cell>
          <cell r="W394" t="str">
            <v/>
          </cell>
          <cell r="X394" t="str">
            <v/>
          </cell>
          <cell r="Y394" t="str">
            <v/>
          </cell>
          <cell r="Z394" t="str">
            <v/>
          </cell>
          <cell r="AA394" t="str">
            <v/>
          </cell>
          <cell r="AB394" t="str">
            <v xml:space="preserve">  DEV-164</v>
          </cell>
          <cell r="AC394" t="str">
            <v>M430</v>
          </cell>
          <cell r="AD394" t="str">
            <v/>
          </cell>
          <cell r="AE394" t="str">
            <v/>
          </cell>
          <cell r="AF394" t="str">
            <v/>
          </cell>
          <cell r="AG394">
            <v>41516</v>
          </cell>
          <cell r="AH394" t="str">
            <v>N</v>
          </cell>
          <cell r="AI394">
            <v>0</v>
          </cell>
          <cell r="AJ394">
            <v>0</v>
          </cell>
          <cell r="AK394">
            <v>0</v>
          </cell>
          <cell r="AL394">
            <v>195</v>
          </cell>
          <cell r="AM394">
            <v>1072</v>
          </cell>
          <cell r="AN394">
            <v>0</v>
          </cell>
        </row>
        <row r="395">
          <cell r="A395">
            <v>2296</v>
          </cell>
          <cell r="B395" t="str">
            <v>MACRINA ARCOS VEGA (SAN JUAN)</v>
          </cell>
          <cell r="C395" t="str">
            <v/>
          </cell>
          <cell r="D395" t="str">
            <v>RAYON #10</v>
          </cell>
          <cell r="E395" t="str">
            <v>SAN JUAN DEL RIO, QRO.</v>
          </cell>
          <cell r="F395" t="str">
            <v>76800</v>
          </cell>
          <cell r="G395" t="str">
            <v>(427) 112-6465 CEL</v>
          </cell>
          <cell r="H395" t="str">
            <v>VICKY</v>
          </cell>
          <cell r="I395" t="str">
            <v>VICKY</v>
          </cell>
          <cell r="J395" t="str">
            <v>L01</v>
          </cell>
          <cell r="K395" t="str">
            <v/>
          </cell>
          <cell r="L395">
            <v>0</v>
          </cell>
          <cell r="M395">
            <v>401</v>
          </cell>
          <cell r="N395" t="str">
            <v>A</v>
          </cell>
          <cell r="O395">
            <v>42476</v>
          </cell>
          <cell r="P395" t="str">
            <v xml:space="preserve">    1</v>
          </cell>
          <cell r="Q395">
            <v>0</v>
          </cell>
          <cell r="R395">
            <v>0</v>
          </cell>
          <cell r="S395">
            <v>3556</v>
          </cell>
          <cell r="T395">
            <v>313956</v>
          </cell>
          <cell r="U395">
            <v>0</v>
          </cell>
          <cell r="V395" t="str">
            <v>CENTRO</v>
          </cell>
          <cell r="W395" t="str">
            <v>(427) 272-3954</v>
          </cell>
          <cell r="X395" t="str">
            <v/>
          </cell>
          <cell r="Y395" t="str">
            <v/>
          </cell>
          <cell r="Z395" t="str">
            <v/>
          </cell>
          <cell r="AA395" t="str">
            <v>(427) 112-6465 CEL</v>
          </cell>
          <cell r="AB395" t="str">
            <v xml:space="preserve">  DEV-246</v>
          </cell>
          <cell r="AC395" t="str">
            <v>R-1056</v>
          </cell>
          <cell r="AD395" t="str">
            <v/>
          </cell>
          <cell r="AE395" t="str">
            <v/>
          </cell>
          <cell r="AF395" t="str">
            <v/>
          </cell>
          <cell r="AG395">
            <v>41948</v>
          </cell>
          <cell r="AH395" t="str">
            <v>N</v>
          </cell>
          <cell r="AI395">
            <v>0</v>
          </cell>
          <cell r="AJ395">
            <v>0</v>
          </cell>
          <cell r="AK395">
            <v>0</v>
          </cell>
          <cell r="AL395">
            <v>1293</v>
          </cell>
          <cell r="AM395">
            <v>3556</v>
          </cell>
          <cell r="AN395">
            <v>0</v>
          </cell>
        </row>
        <row r="396">
          <cell r="A396">
            <v>2297</v>
          </cell>
          <cell r="B396" t="str">
            <v>GUADALUPE MANZANO (TLAXCOAPAN)</v>
          </cell>
          <cell r="C396" t="str">
            <v/>
          </cell>
          <cell r="D396" t="str">
            <v/>
          </cell>
          <cell r="E396" t="str">
            <v>TLAXCOAPAN, HGO.</v>
          </cell>
          <cell r="F396" t="str">
            <v/>
          </cell>
          <cell r="G396" t="str">
            <v/>
          </cell>
          <cell r="H396" t="str">
            <v>GUADALUPE MANZANO</v>
          </cell>
          <cell r="I396" t="str">
            <v>GUADALUPE MANZANO</v>
          </cell>
          <cell r="J396" t="str">
            <v>M04</v>
          </cell>
          <cell r="K396" t="str">
            <v/>
          </cell>
          <cell r="L396">
            <v>0</v>
          </cell>
          <cell r="M396">
            <v>402</v>
          </cell>
          <cell r="N396" t="str">
            <v>A</v>
          </cell>
          <cell r="O396">
            <v>42266</v>
          </cell>
          <cell r="P396" t="str">
            <v xml:space="preserve">   16</v>
          </cell>
          <cell r="Q396">
            <v>0</v>
          </cell>
          <cell r="R396">
            <v>0</v>
          </cell>
          <cell r="S396">
            <v>0</v>
          </cell>
          <cell r="T396">
            <v>3196</v>
          </cell>
          <cell r="U396">
            <v>0</v>
          </cell>
          <cell r="V396" t="str">
            <v/>
          </cell>
          <cell r="W396" t="str">
            <v/>
          </cell>
          <cell r="X396" t="str">
            <v/>
          </cell>
          <cell r="Y396" t="str">
            <v/>
          </cell>
          <cell r="Z396" t="str">
            <v/>
          </cell>
          <cell r="AA396" t="str">
            <v/>
          </cell>
          <cell r="AB396" t="str">
            <v/>
          </cell>
          <cell r="AC396" t="str">
            <v>M417</v>
          </cell>
          <cell r="AD396" t="str">
            <v/>
          </cell>
          <cell r="AE396" t="str">
            <v/>
          </cell>
          <cell r="AF396" t="str">
            <v/>
          </cell>
          <cell r="AH396" t="str">
            <v>N</v>
          </cell>
          <cell r="AI396">
            <v>0</v>
          </cell>
          <cell r="AJ396">
            <v>0</v>
          </cell>
          <cell r="AK396">
            <v>0</v>
          </cell>
          <cell r="AL396">
            <v>0</v>
          </cell>
          <cell r="AM396">
            <v>2634</v>
          </cell>
          <cell r="AN396">
            <v>0</v>
          </cell>
        </row>
        <row r="397">
          <cell r="A397">
            <v>2298</v>
          </cell>
          <cell r="B397" t="str">
            <v>ROSA LINA SANCHEZ BARRERA (TAZQUILLO)</v>
          </cell>
          <cell r="C397" t="str">
            <v/>
          </cell>
          <cell r="D397" t="str">
            <v>PLAZA JUAREZ #8</v>
          </cell>
          <cell r="E397" t="str">
            <v>TASQUILLO, HGO.</v>
          </cell>
          <cell r="F397" t="str">
            <v/>
          </cell>
          <cell r="G397" t="str">
            <v>(759) 723-5008 LOCAL</v>
          </cell>
          <cell r="H397" t="str">
            <v>ROSA LINA SANCHEZ B.</v>
          </cell>
          <cell r="I397" t="str">
            <v>ROSA LINA SANCHEZ B.</v>
          </cell>
          <cell r="J397" t="str">
            <v>F02</v>
          </cell>
          <cell r="K397" t="str">
            <v/>
          </cell>
          <cell r="L397">
            <v>0</v>
          </cell>
          <cell r="M397">
            <v>403</v>
          </cell>
          <cell r="N397" t="str">
            <v>A</v>
          </cell>
          <cell r="O397">
            <v>41740</v>
          </cell>
          <cell r="P397" t="str">
            <v xml:space="preserve">    1</v>
          </cell>
          <cell r="Q397">
            <v>0</v>
          </cell>
          <cell r="R397">
            <v>0</v>
          </cell>
          <cell r="S397">
            <v>0</v>
          </cell>
          <cell r="T397">
            <v>11572</v>
          </cell>
          <cell r="U397">
            <v>0</v>
          </cell>
          <cell r="V397" t="str">
            <v>CENTRO</v>
          </cell>
          <cell r="W397" t="str">
            <v/>
          </cell>
          <cell r="X397" t="str">
            <v>DOLCE BAMBINA</v>
          </cell>
          <cell r="Y397" t="str">
            <v/>
          </cell>
          <cell r="Z397" t="str">
            <v/>
          </cell>
          <cell r="AA397" t="str">
            <v>(759) 723-5008 LOCAL</v>
          </cell>
          <cell r="AB397" t="str">
            <v xml:space="preserve">     DESC</v>
          </cell>
          <cell r="AC397" t="str">
            <v>F0740</v>
          </cell>
          <cell r="AD397" t="str">
            <v/>
          </cell>
          <cell r="AE397" t="str">
            <v/>
          </cell>
          <cell r="AF397" t="str">
            <v/>
          </cell>
          <cell r="AG397">
            <v>42476</v>
          </cell>
          <cell r="AH397" t="str">
            <v>N</v>
          </cell>
          <cell r="AI397">
            <v>0</v>
          </cell>
          <cell r="AJ397">
            <v>0</v>
          </cell>
          <cell r="AK397">
            <v>0</v>
          </cell>
          <cell r="AL397">
            <v>10</v>
          </cell>
          <cell r="AM397">
            <v>1335</v>
          </cell>
          <cell r="AN397">
            <v>0</v>
          </cell>
        </row>
        <row r="398">
          <cell r="A398">
            <v>2299</v>
          </cell>
          <cell r="B398" t="str">
            <v>JORGE SIMON ORTIZ (MIXQUIAHUALA)</v>
          </cell>
          <cell r="C398" t="str">
            <v/>
          </cell>
          <cell r="D398" t="str">
            <v>PLAZA DE LA CONSTITUCION #28</v>
          </cell>
          <cell r="E398" t="str">
            <v>MIXQUIAHUALA, HGO.</v>
          </cell>
          <cell r="F398" t="str">
            <v/>
          </cell>
          <cell r="G398" t="str">
            <v/>
          </cell>
          <cell r="H398" t="str">
            <v>JORGE SIMON ORTIZ</v>
          </cell>
          <cell r="I398" t="str">
            <v>JORGE SIMON ORTIZ</v>
          </cell>
          <cell r="J398" t="str">
            <v>BAJA</v>
          </cell>
          <cell r="K398" t="str">
            <v/>
          </cell>
          <cell r="L398">
            <v>0</v>
          </cell>
          <cell r="M398">
            <v>404</v>
          </cell>
          <cell r="N398" t="str">
            <v>A</v>
          </cell>
          <cell r="O398">
            <v>41458</v>
          </cell>
          <cell r="P398" t="str">
            <v xml:space="preserve">   11</v>
          </cell>
          <cell r="Q398">
            <v>0</v>
          </cell>
          <cell r="R398">
            <v>0</v>
          </cell>
          <cell r="S398">
            <v>0</v>
          </cell>
          <cell r="T398">
            <v>2693</v>
          </cell>
          <cell r="U398">
            <v>0</v>
          </cell>
          <cell r="V398" t="str">
            <v>CENTRO</v>
          </cell>
          <cell r="W398" t="str">
            <v/>
          </cell>
          <cell r="X398" t="str">
            <v/>
          </cell>
          <cell r="Y398" t="str">
            <v/>
          </cell>
          <cell r="Z398" t="str">
            <v/>
          </cell>
          <cell r="AA398" t="str">
            <v/>
          </cell>
          <cell r="AB398" t="str">
            <v/>
          </cell>
          <cell r="AC398" t="str">
            <v>M1056</v>
          </cell>
          <cell r="AD398" t="str">
            <v/>
          </cell>
          <cell r="AE398" t="str">
            <v/>
          </cell>
          <cell r="AF398" t="str">
            <v/>
          </cell>
          <cell r="AH398" t="str">
            <v>N</v>
          </cell>
          <cell r="AI398">
            <v>0</v>
          </cell>
          <cell r="AJ398">
            <v>0</v>
          </cell>
          <cell r="AK398">
            <v>0</v>
          </cell>
          <cell r="AL398">
            <v>0</v>
          </cell>
          <cell r="AM398">
            <v>1656</v>
          </cell>
          <cell r="AN398">
            <v>0</v>
          </cell>
        </row>
        <row r="399">
          <cell r="A399">
            <v>2300</v>
          </cell>
          <cell r="B399" t="str">
            <v>SHANTAL VIZUET (MIXQUIAHUALA)</v>
          </cell>
          <cell r="C399" t="str">
            <v/>
          </cell>
          <cell r="D399" t="str">
            <v>CDA. JOSE MARIA IGLESIAS S/N</v>
          </cell>
          <cell r="E399" t="str">
            <v>MIXQUIAHUALA, HGO.</v>
          </cell>
          <cell r="F399" t="str">
            <v/>
          </cell>
          <cell r="G399" t="str">
            <v>(442) 270-9824 CEL</v>
          </cell>
          <cell r="H399" t="str">
            <v>SHANTAL VIZUET</v>
          </cell>
          <cell r="I399" t="str">
            <v>SHANTAL VIZUET</v>
          </cell>
          <cell r="J399" t="str">
            <v>F02</v>
          </cell>
          <cell r="K399" t="str">
            <v/>
          </cell>
          <cell r="L399">
            <v>0</v>
          </cell>
          <cell r="M399">
            <v>405</v>
          </cell>
          <cell r="N399" t="str">
            <v>A</v>
          </cell>
          <cell r="O399">
            <v>41906</v>
          </cell>
          <cell r="P399" t="str">
            <v xml:space="preserve">   16</v>
          </cell>
          <cell r="Q399">
            <v>0</v>
          </cell>
          <cell r="R399">
            <v>0</v>
          </cell>
          <cell r="S399">
            <v>0</v>
          </cell>
          <cell r="T399">
            <v>126506</v>
          </cell>
          <cell r="U399">
            <v>9</v>
          </cell>
          <cell r="V399" t="str">
            <v>CENTRO</v>
          </cell>
          <cell r="W399" t="str">
            <v/>
          </cell>
          <cell r="X399" t="str">
            <v/>
          </cell>
          <cell r="Y399" t="str">
            <v/>
          </cell>
          <cell r="Z399" t="str">
            <v/>
          </cell>
          <cell r="AA399" t="str">
            <v>(442) 270-9824 CEL</v>
          </cell>
          <cell r="AB399" t="str">
            <v xml:space="preserve"> DEP COPP</v>
          </cell>
          <cell r="AC399" t="str">
            <v>M121</v>
          </cell>
          <cell r="AD399" t="str">
            <v/>
          </cell>
          <cell r="AE399" t="str">
            <v/>
          </cell>
          <cell r="AF399" t="str">
            <v/>
          </cell>
          <cell r="AG399">
            <v>41729</v>
          </cell>
          <cell r="AH399" t="str">
            <v>N</v>
          </cell>
          <cell r="AI399">
            <v>0</v>
          </cell>
          <cell r="AJ399">
            <v>0</v>
          </cell>
          <cell r="AK399">
            <v>0</v>
          </cell>
          <cell r="AL399">
            <v>3000</v>
          </cell>
          <cell r="AM399">
            <v>2344</v>
          </cell>
          <cell r="AN399">
            <v>0</v>
          </cell>
        </row>
        <row r="400">
          <cell r="A400">
            <v>2301</v>
          </cell>
          <cell r="B400" t="str">
            <v>FAUSTO PACHECO ZAMORANO (SAN JUAN)</v>
          </cell>
          <cell r="C400" t="str">
            <v/>
          </cell>
          <cell r="D400" t="str">
            <v>MERCADO REFORMA LOC. 358</v>
          </cell>
          <cell r="E400" t="str">
            <v>SAN JUAN DEL RIO, QRO.</v>
          </cell>
          <cell r="F400" t="str">
            <v/>
          </cell>
          <cell r="G400" t="str">
            <v>(427) 272-8650</v>
          </cell>
          <cell r="H400" t="str">
            <v>FAUSTO PACHECO Z.</v>
          </cell>
          <cell r="I400" t="str">
            <v>FAUSTO PACHECO Z.</v>
          </cell>
          <cell r="J400" t="str">
            <v>BAJA</v>
          </cell>
          <cell r="K400" t="str">
            <v/>
          </cell>
          <cell r="L400">
            <v>0</v>
          </cell>
          <cell r="M400">
            <v>406</v>
          </cell>
          <cell r="N400" t="str">
            <v>A</v>
          </cell>
          <cell r="O400">
            <v>41403</v>
          </cell>
          <cell r="P400" t="str">
            <v xml:space="preserve">    1</v>
          </cell>
          <cell r="Q400">
            <v>0</v>
          </cell>
          <cell r="R400">
            <v>0</v>
          </cell>
          <cell r="S400">
            <v>0</v>
          </cell>
          <cell r="T400">
            <v>7670</v>
          </cell>
          <cell r="U400">
            <v>0</v>
          </cell>
          <cell r="V400" t="str">
            <v>CENRO</v>
          </cell>
          <cell r="W400" t="str">
            <v/>
          </cell>
          <cell r="X400" t="str">
            <v/>
          </cell>
          <cell r="Y400" t="str">
            <v/>
          </cell>
          <cell r="Z400" t="str">
            <v/>
          </cell>
          <cell r="AA400" t="str">
            <v>(427) 272-8650</v>
          </cell>
          <cell r="AB400" t="str">
            <v/>
          </cell>
          <cell r="AC400" t="str">
            <v>R-0328</v>
          </cell>
          <cell r="AD400" t="str">
            <v/>
          </cell>
          <cell r="AE400" t="str">
            <v/>
          </cell>
          <cell r="AF400" t="str">
            <v/>
          </cell>
          <cell r="AH400" t="str">
            <v>N</v>
          </cell>
          <cell r="AI400">
            <v>0</v>
          </cell>
          <cell r="AJ400">
            <v>0</v>
          </cell>
          <cell r="AK400">
            <v>0</v>
          </cell>
          <cell r="AL400">
            <v>0</v>
          </cell>
          <cell r="AM400">
            <v>3870</v>
          </cell>
          <cell r="AN400">
            <v>0</v>
          </cell>
        </row>
        <row r="401">
          <cell r="A401">
            <v>2302</v>
          </cell>
          <cell r="B401" t="str">
            <v>MARIA DE LA LUZ MONTIEL MALDONADO (HUICHAPAN)</v>
          </cell>
          <cell r="C401" t="str">
            <v>MOML-740819-EE6</v>
          </cell>
          <cell r="D401" t="str">
            <v>MANUEL CHAVEZ NAVA #4</v>
          </cell>
          <cell r="E401" t="str">
            <v>HUICHAPAN, HGO.</v>
          </cell>
          <cell r="F401" t="str">
            <v>42400</v>
          </cell>
          <cell r="G401" t="str">
            <v>(761) 782-2286</v>
          </cell>
          <cell r="H401" t="str">
            <v>LUZ MONTIEL</v>
          </cell>
          <cell r="I401" t="str">
            <v>LUZ MONTIEL</v>
          </cell>
          <cell r="J401" t="str">
            <v>F02</v>
          </cell>
          <cell r="K401" t="str">
            <v/>
          </cell>
          <cell r="L401">
            <v>0</v>
          </cell>
          <cell r="M401">
            <v>407</v>
          </cell>
          <cell r="N401" t="str">
            <v>A</v>
          </cell>
          <cell r="O401">
            <v>42511</v>
          </cell>
          <cell r="P401" t="str">
            <v xml:space="preserve">    1</v>
          </cell>
          <cell r="Q401">
            <v>0</v>
          </cell>
          <cell r="R401">
            <v>0</v>
          </cell>
          <cell r="S401">
            <v>3835</v>
          </cell>
          <cell r="T401">
            <v>107820</v>
          </cell>
          <cell r="U401">
            <v>0</v>
          </cell>
          <cell r="V401" t="str">
            <v>CENTRO</v>
          </cell>
          <cell r="W401" t="str">
            <v/>
          </cell>
          <cell r="X401" t="str">
            <v/>
          </cell>
          <cell r="Y401" t="str">
            <v/>
          </cell>
          <cell r="Z401" t="str">
            <v/>
          </cell>
          <cell r="AA401" t="str">
            <v>(761) 782-2286</v>
          </cell>
          <cell r="AB401" t="str">
            <v xml:space="preserve">  DEV 288</v>
          </cell>
          <cell r="AC401" t="str">
            <v>F528</v>
          </cell>
          <cell r="AD401" t="str">
            <v/>
          </cell>
          <cell r="AE401" t="str">
            <v/>
          </cell>
          <cell r="AF401" t="str">
            <v/>
          </cell>
          <cell r="AG401">
            <v>42206</v>
          </cell>
          <cell r="AH401" t="str">
            <v>N</v>
          </cell>
          <cell r="AI401">
            <v>0</v>
          </cell>
          <cell r="AJ401">
            <v>0</v>
          </cell>
          <cell r="AK401">
            <v>0</v>
          </cell>
          <cell r="AL401">
            <v>85</v>
          </cell>
          <cell r="AM401">
            <v>2260</v>
          </cell>
          <cell r="AN401">
            <v>0</v>
          </cell>
        </row>
        <row r="402">
          <cell r="A402">
            <v>2303</v>
          </cell>
          <cell r="B402" t="str">
            <v>JESUS SOTO (QUERETARO)</v>
          </cell>
          <cell r="C402" t="str">
            <v/>
          </cell>
          <cell r="D402" t="str">
            <v>MERCADO ESCOBEDA LOC. 131</v>
          </cell>
          <cell r="E402" t="str">
            <v>QUERETARO, QRO.</v>
          </cell>
          <cell r="F402" t="str">
            <v/>
          </cell>
          <cell r="G402" t="str">
            <v>(442) 214-3690</v>
          </cell>
          <cell r="H402" t="str">
            <v>JESUS SOTO</v>
          </cell>
          <cell r="I402" t="str">
            <v>JESUS SOTO</v>
          </cell>
          <cell r="J402" t="str">
            <v>L04</v>
          </cell>
          <cell r="K402" t="str">
            <v/>
          </cell>
          <cell r="L402">
            <v>0</v>
          </cell>
          <cell r="M402">
            <v>408</v>
          </cell>
          <cell r="N402" t="str">
            <v>A</v>
          </cell>
          <cell r="O402">
            <v>41796</v>
          </cell>
          <cell r="P402" t="str">
            <v xml:space="preserve">    3</v>
          </cell>
          <cell r="Q402">
            <v>0</v>
          </cell>
          <cell r="R402">
            <v>0</v>
          </cell>
          <cell r="S402">
            <v>0</v>
          </cell>
          <cell r="T402">
            <v>43723</v>
          </cell>
          <cell r="U402">
            <v>0</v>
          </cell>
          <cell r="V402" t="str">
            <v>CENTRO</v>
          </cell>
          <cell r="W402" t="str">
            <v/>
          </cell>
          <cell r="X402" t="str">
            <v/>
          </cell>
          <cell r="Y402" t="str">
            <v/>
          </cell>
          <cell r="Z402" t="str">
            <v/>
          </cell>
          <cell r="AA402" t="str">
            <v>(442) 214-3690</v>
          </cell>
          <cell r="AB402" t="str">
            <v/>
          </cell>
          <cell r="AC402" t="str">
            <v>R-0665</v>
          </cell>
          <cell r="AD402" t="str">
            <v/>
          </cell>
          <cell r="AE402" t="str">
            <v/>
          </cell>
          <cell r="AF402" t="str">
            <v/>
          </cell>
          <cell r="AH402" t="str">
            <v>N</v>
          </cell>
          <cell r="AI402">
            <v>0</v>
          </cell>
          <cell r="AJ402">
            <v>0</v>
          </cell>
          <cell r="AK402">
            <v>0</v>
          </cell>
          <cell r="AL402">
            <v>0</v>
          </cell>
          <cell r="AM402">
            <v>2010</v>
          </cell>
          <cell r="AN402">
            <v>0</v>
          </cell>
        </row>
        <row r="403">
          <cell r="A403">
            <v>2304</v>
          </cell>
          <cell r="B403" t="str">
            <v>ELDA FERNANDEZ (QUERETARO)</v>
          </cell>
          <cell r="C403" t="str">
            <v/>
          </cell>
          <cell r="D403" t="str">
            <v xml:space="preserve">PASAJE SAN FRANCISCO #8                 </v>
          </cell>
          <cell r="E403" t="str">
            <v xml:space="preserve">QUERETARO, QRO.               </v>
          </cell>
          <cell r="F403" t="str">
            <v/>
          </cell>
          <cell r="G403" t="str">
            <v>(442) 127-5188</v>
          </cell>
          <cell r="H403" t="str">
            <v>LEONOR BARRERA E.</v>
          </cell>
          <cell r="I403" t="str">
            <v>LEONOR BARRERA E.</v>
          </cell>
          <cell r="J403" t="str">
            <v>L04</v>
          </cell>
          <cell r="K403" t="str">
            <v/>
          </cell>
          <cell r="L403">
            <v>0</v>
          </cell>
          <cell r="M403">
            <v>410</v>
          </cell>
          <cell r="N403" t="str">
            <v>A</v>
          </cell>
          <cell r="O403">
            <v>42231</v>
          </cell>
          <cell r="P403" t="str">
            <v xml:space="preserve">    1</v>
          </cell>
          <cell r="Q403">
            <v>0</v>
          </cell>
          <cell r="R403">
            <v>0</v>
          </cell>
          <cell r="S403">
            <v>0</v>
          </cell>
          <cell r="T403">
            <v>6544</v>
          </cell>
          <cell r="U403">
            <v>0</v>
          </cell>
          <cell r="V403" t="str">
            <v>CENTRO</v>
          </cell>
          <cell r="W403" t="str">
            <v/>
          </cell>
          <cell r="X403" t="str">
            <v/>
          </cell>
          <cell r="Y403" t="str">
            <v/>
          </cell>
          <cell r="Z403" t="str">
            <v/>
          </cell>
          <cell r="AA403" t="str">
            <v/>
          </cell>
          <cell r="AB403" t="str">
            <v/>
          </cell>
          <cell r="AC403" t="str">
            <v>F158</v>
          </cell>
          <cell r="AD403" t="str">
            <v/>
          </cell>
          <cell r="AE403" t="str">
            <v/>
          </cell>
          <cell r="AF403" t="str">
            <v/>
          </cell>
          <cell r="AH403" t="str">
            <v>N</v>
          </cell>
          <cell r="AI403">
            <v>0</v>
          </cell>
          <cell r="AJ403">
            <v>0</v>
          </cell>
          <cell r="AK403">
            <v>0</v>
          </cell>
          <cell r="AL403">
            <v>0</v>
          </cell>
          <cell r="AM403">
            <v>380</v>
          </cell>
          <cell r="AN403">
            <v>0</v>
          </cell>
        </row>
        <row r="404">
          <cell r="A404">
            <v>2305</v>
          </cell>
          <cell r="B404" t="str">
            <v>MA. GRACIA HERNANDEZ RODRIGUEZ (SAN JUAN)</v>
          </cell>
          <cell r="C404" t="str">
            <v/>
          </cell>
          <cell r="D404" t="str">
            <v>MERCADO REFORMA #149-A</v>
          </cell>
          <cell r="E404" t="str">
            <v>SAN JUAN DEL RIO, QRO.</v>
          </cell>
          <cell r="F404" t="str">
            <v/>
          </cell>
          <cell r="G404" t="str">
            <v/>
          </cell>
          <cell r="H404" t="str">
            <v>MARIA GRACIA</v>
          </cell>
          <cell r="I404" t="str">
            <v>MARIA GRACIA</v>
          </cell>
          <cell r="J404" t="str">
            <v>L01</v>
          </cell>
          <cell r="K404" t="str">
            <v/>
          </cell>
          <cell r="L404">
            <v>0</v>
          </cell>
          <cell r="M404">
            <v>411</v>
          </cell>
          <cell r="N404" t="str">
            <v>A</v>
          </cell>
          <cell r="O404">
            <v>42209</v>
          </cell>
          <cell r="P404" t="str">
            <v xml:space="preserve">    1</v>
          </cell>
          <cell r="Q404">
            <v>0</v>
          </cell>
          <cell r="R404">
            <v>0</v>
          </cell>
          <cell r="S404">
            <v>0</v>
          </cell>
          <cell r="T404">
            <v>3443</v>
          </cell>
          <cell r="U404">
            <v>0</v>
          </cell>
          <cell r="V404" t="str">
            <v>CENTRO</v>
          </cell>
          <cell r="W404" t="str">
            <v/>
          </cell>
          <cell r="X404" t="str">
            <v/>
          </cell>
          <cell r="Y404" t="str">
            <v/>
          </cell>
          <cell r="Z404" t="str">
            <v/>
          </cell>
          <cell r="AA404" t="str">
            <v/>
          </cell>
          <cell r="AB404" t="str">
            <v/>
          </cell>
          <cell r="AC404" t="str">
            <v>R0001</v>
          </cell>
          <cell r="AD404" t="str">
            <v/>
          </cell>
          <cell r="AE404" t="str">
            <v/>
          </cell>
          <cell r="AF404" t="str">
            <v/>
          </cell>
          <cell r="AH404" t="str">
            <v>N</v>
          </cell>
          <cell r="AI404">
            <v>0</v>
          </cell>
          <cell r="AJ404">
            <v>0</v>
          </cell>
          <cell r="AK404">
            <v>0</v>
          </cell>
          <cell r="AL404">
            <v>0</v>
          </cell>
          <cell r="AM404">
            <v>528</v>
          </cell>
          <cell r="AN404">
            <v>0</v>
          </cell>
        </row>
        <row r="405">
          <cell r="A405">
            <v>2306</v>
          </cell>
          <cell r="B405" t="str">
            <v>AIDA RAMOS MERCADO (TULA)</v>
          </cell>
          <cell r="C405" t="str">
            <v/>
          </cell>
          <cell r="D405" t="str">
            <v>PUERTA 1</v>
          </cell>
          <cell r="E405" t="str">
            <v>TULA, HGO.</v>
          </cell>
          <cell r="F405" t="str">
            <v/>
          </cell>
          <cell r="G405" t="str">
            <v>(773) 150-1497</v>
          </cell>
          <cell r="H405" t="str">
            <v>LORENA RUBIO AGUILAR</v>
          </cell>
          <cell r="I405" t="str">
            <v>LORENA RUBIO AGUILAR</v>
          </cell>
          <cell r="J405" t="str">
            <v>F02</v>
          </cell>
          <cell r="K405" t="str">
            <v/>
          </cell>
          <cell r="L405">
            <v>0</v>
          </cell>
          <cell r="M405">
            <v>412</v>
          </cell>
          <cell r="N405" t="str">
            <v>A</v>
          </cell>
          <cell r="O405">
            <v>42258</v>
          </cell>
          <cell r="P405" t="str">
            <v xml:space="preserve">   16</v>
          </cell>
          <cell r="Q405">
            <v>0</v>
          </cell>
          <cell r="R405">
            <v>0</v>
          </cell>
          <cell r="S405">
            <v>0</v>
          </cell>
          <cell r="T405">
            <v>2057</v>
          </cell>
          <cell r="U405">
            <v>8</v>
          </cell>
          <cell r="V405" t="str">
            <v/>
          </cell>
          <cell r="W405" t="str">
            <v/>
          </cell>
          <cell r="X405" t="str">
            <v/>
          </cell>
          <cell r="Y405" t="str">
            <v/>
          </cell>
          <cell r="Z405" t="str">
            <v/>
          </cell>
          <cell r="AA405" t="str">
            <v>(773) 150-1497</v>
          </cell>
          <cell r="AB405" t="str">
            <v xml:space="preserve">     DESC</v>
          </cell>
          <cell r="AC405" t="str">
            <v>M399</v>
          </cell>
          <cell r="AD405" t="str">
            <v/>
          </cell>
          <cell r="AE405" t="str">
            <v/>
          </cell>
          <cell r="AF405" t="str">
            <v/>
          </cell>
          <cell r="AG405">
            <v>41527</v>
          </cell>
          <cell r="AH405" t="str">
            <v>N</v>
          </cell>
          <cell r="AI405">
            <v>0</v>
          </cell>
          <cell r="AJ405">
            <v>0</v>
          </cell>
          <cell r="AK405">
            <v>0</v>
          </cell>
          <cell r="AL405">
            <v>-43</v>
          </cell>
          <cell r="AM405">
            <v>378</v>
          </cell>
          <cell r="AN405">
            <v>0</v>
          </cell>
        </row>
        <row r="406">
          <cell r="A406">
            <v>2307</v>
          </cell>
          <cell r="B406" t="str">
            <v>CAROLINA HERNANDEZ ANAYA (VILLA)</v>
          </cell>
          <cell r="C406" t="str">
            <v/>
          </cell>
          <cell r="D406" t="str">
            <v>MERCADO DE VILLA</v>
          </cell>
          <cell r="E406" t="str">
            <v>COACALCO, EDO. DE MEXICO</v>
          </cell>
          <cell r="F406" t="str">
            <v/>
          </cell>
          <cell r="G406" t="str">
            <v>(55) 1039-2161</v>
          </cell>
          <cell r="H406" t="str">
            <v>CAROLINA HERNANDEZ A</v>
          </cell>
          <cell r="I406" t="str">
            <v>CAROLINA HERNANDEZ A</v>
          </cell>
          <cell r="J406" t="str">
            <v>M01</v>
          </cell>
          <cell r="K406" t="str">
            <v/>
          </cell>
          <cell r="L406">
            <v>0</v>
          </cell>
          <cell r="M406">
            <v>413</v>
          </cell>
          <cell r="N406" t="str">
            <v>A</v>
          </cell>
          <cell r="O406">
            <v>42513</v>
          </cell>
          <cell r="P406" t="str">
            <v xml:space="preserve">   16</v>
          </cell>
          <cell r="Q406">
            <v>0</v>
          </cell>
          <cell r="R406">
            <v>0</v>
          </cell>
          <cell r="S406">
            <v>6788</v>
          </cell>
          <cell r="T406">
            <v>166081</v>
          </cell>
          <cell r="U406">
            <v>0</v>
          </cell>
          <cell r="V406" t="str">
            <v>VILLA DE LAS FLORES</v>
          </cell>
          <cell r="W406" t="str">
            <v>(55) 3454-2545 CEL</v>
          </cell>
          <cell r="X406" t="str">
            <v/>
          </cell>
          <cell r="Y406" t="str">
            <v/>
          </cell>
          <cell r="Z406" t="str">
            <v/>
          </cell>
          <cell r="AA406" t="str">
            <v>(55) 1039-2161</v>
          </cell>
          <cell r="AB406" t="str">
            <v>DESCXPAGO</v>
          </cell>
          <cell r="AC406" t="str">
            <v>M111143</v>
          </cell>
          <cell r="AD406" t="str">
            <v/>
          </cell>
          <cell r="AE406" t="str">
            <v/>
          </cell>
          <cell r="AF406" t="str">
            <v/>
          </cell>
          <cell r="AG406">
            <v>41572</v>
          </cell>
          <cell r="AH406" t="str">
            <v>N</v>
          </cell>
          <cell r="AI406">
            <v>0</v>
          </cell>
          <cell r="AJ406">
            <v>0</v>
          </cell>
          <cell r="AK406">
            <v>0</v>
          </cell>
          <cell r="AL406">
            <v>523</v>
          </cell>
          <cell r="AM406">
            <v>2800</v>
          </cell>
          <cell r="AN406">
            <v>0</v>
          </cell>
        </row>
        <row r="407">
          <cell r="A407">
            <v>2308</v>
          </cell>
          <cell r="B407" t="str">
            <v>GUADALUPE PRESILLA JUAREZ (JERECUARO)</v>
          </cell>
          <cell r="C407" t="str">
            <v/>
          </cell>
          <cell r="D407" t="str">
            <v>MANUEL DUBLADO #6</v>
          </cell>
          <cell r="E407" t="str">
            <v>JERECUARO, GTO.</v>
          </cell>
          <cell r="F407" t="str">
            <v/>
          </cell>
          <cell r="G407" t="str">
            <v/>
          </cell>
          <cell r="H407" t="str">
            <v>GUADALUPE PRESILLA</v>
          </cell>
          <cell r="I407" t="str">
            <v>GUADALUPE PRESILLA</v>
          </cell>
          <cell r="J407" t="str">
            <v>J06</v>
          </cell>
          <cell r="K407" t="str">
            <v/>
          </cell>
          <cell r="L407">
            <v>0</v>
          </cell>
          <cell r="M407">
            <v>414</v>
          </cell>
          <cell r="N407" t="str">
            <v>A</v>
          </cell>
          <cell r="O407">
            <v>42037</v>
          </cell>
          <cell r="P407" t="str">
            <v xml:space="preserve">    1</v>
          </cell>
          <cell r="Q407">
            <v>0</v>
          </cell>
          <cell r="R407">
            <v>0</v>
          </cell>
          <cell r="S407">
            <v>0</v>
          </cell>
          <cell r="T407">
            <v>9620</v>
          </cell>
          <cell r="U407">
            <v>0</v>
          </cell>
          <cell r="V407" t="str">
            <v>CENTRO</v>
          </cell>
          <cell r="W407" t="str">
            <v/>
          </cell>
          <cell r="X407" t="str">
            <v/>
          </cell>
          <cell r="Y407" t="str">
            <v/>
          </cell>
          <cell r="Z407" t="str">
            <v/>
          </cell>
          <cell r="AA407" t="str">
            <v/>
          </cell>
          <cell r="AB407" t="str">
            <v/>
          </cell>
          <cell r="AC407" t="str">
            <v>J0804</v>
          </cell>
          <cell r="AD407" t="str">
            <v/>
          </cell>
          <cell r="AE407" t="str">
            <v/>
          </cell>
          <cell r="AF407" t="str">
            <v/>
          </cell>
          <cell r="AH407" t="str">
            <v>N</v>
          </cell>
          <cell r="AI407">
            <v>0</v>
          </cell>
          <cell r="AJ407">
            <v>0</v>
          </cell>
          <cell r="AK407">
            <v>0</v>
          </cell>
          <cell r="AL407">
            <v>0</v>
          </cell>
          <cell r="AM407">
            <v>2320</v>
          </cell>
          <cell r="AN407">
            <v>0</v>
          </cell>
        </row>
        <row r="408">
          <cell r="A408">
            <v>2309</v>
          </cell>
          <cell r="B408" t="str">
            <v xml:space="preserve">NEREYDA ABIGAIL RAMIREZ GUERRERO (A. EL GRANDE)             </v>
          </cell>
          <cell r="C408">
            <v>0</v>
          </cell>
          <cell r="D408" t="str">
            <v xml:space="preserve">PIPILA #119-B                           </v>
          </cell>
          <cell r="E408" t="str">
            <v xml:space="preserve">APASEO EL GRANDE, GTO.        </v>
          </cell>
          <cell r="F408" t="str">
            <v/>
          </cell>
          <cell r="G408" t="str">
            <v>(461) 120-2152</v>
          </cell>
          <cell r="H408">
            <v>0</v>
          </cell>
          <cell r="I408">
            <v>0</v>
          </cell>
          <cell r="J408" t="str">
            <v>J04</v>
          </cell>
          <cell r="K408" t="str">
            <v/>
          </cell>
          <cell r="L408">
            <v>0</v>
          </cell>
          <cell r="M408">
            <v>415</v>
          </cell>
          <cell r="N408" t="str">
            <v>A</v>
          </cell>
          <cell r="O408">
            <v>41452</v>
          </cell>
          <cell r="P408" t="str">
            <v xml:space="preserve">    1</v>
          </cell>
          <cell r="Q408">
            <v>0</v>
          </cell>
          <cell r="R408">
            <v>0</v>
          </cell>
          <cell r="S408">
            <v>0</v>
          </cell>
          <cell r="T408">
            <v>598</v>
          </cell>
          <cell r="U408">
            <v>0</v>
          </cell>
          <cell r="V408" t="str">
            <v>CENTRO</v>
          </cell>
          <cell r="W408" t="str">
            <v/>
          </cell>
          <cell r="X408" t="str">
            <v/>
          </cell>
          <cell r="Y408" t="str">
            <v/>
          </cell>
          <cell r="Z408" t="str">
            <v/>
          </cell>
          <cell r="AA408" t="str">
            <v>(441) 115-5689 CEL</v>
          </cell>
          <cell r="AB408" t="str">
            <v/>
          </cell>
          <cell r="AC408" t="str">
            <v>P0356</v>
          </cell>
          <cell r="AD408" t="str">
            <v/>
          </cell>
          <cell r="AE408" t="str">
            <v/>
          </cell>
          <cell r="AF408" t="str">
            <v/>
          </cell>
          <cell r="AH408" t="str">
            <v>N</v>
          </cell>
          <cell r="AI408">
            <v>0</v>
          </cell>
          <cell r="AJ408">
            <v>0</v>
          </cell>
          <cell r="AK408">
            <v>0</v>
          </cell>
          <cell r="AL408">
            <v>0</v>
          </cell>
          <cell r="AM408">
            <v>598</v>
          </cell>
          <cell r="AN408">
            <v>0</v>
          </cell>
        </row>
        <row r="409">
          <cell r="A409">
            <v>2310</v>
          </cell>
          <cell r="B409" t="str">
            <v>VINIZA GARCIA CRUZ (SAN JUAN)</v>
          </cell>
          <cell r="C409" t="str">
            <v/>
          </cell>
          <cell r="D409" t="str">
            <v>MANUEL J. CAMPOS #4</v>
          </cell>
          <cell r="E409" t="str">
            <v>SAN JUAN DEL RIO, QRO.</v>
          </cell>
          <cell r="F409" t="str">
            <v/>
          </cell>
          <cell r="G409" t="str">
            <v>(427) 119-0375</v>
          </cell>
          <cell r="H409" t="str">
            <v>UINISA GARCIA CRUZ</v>
          </cell>
          <cell r="I409" t="str">
            <v>UINISA GARCIA CRUZ</v>
          </cell>
          <cell r="J409" t="str">
            <v>J01</v>
          </cell>
          <cell r="K409" t="str">
            <v/>
          </cell>
          <cell r="L409">
            <v>0</v>
          </cell>
          <cell r="M409">
            <v>416</v>
          </cell>
          <cell r="N409" t="str">
            <v>A</v>
          </cell>
          <cell r="O409">
            <v>41452</v>
          </cell>
          <cell r="P409" t="str">
            <v xml:space="preserve">    1</v>
          </cell>
          <cell r="Q409">
            <v>0</v>
          </cell>
          <cell r="R409">
            <v>0</v>
          </cell>
          <cell r="S409">
            <v>0</v>
          </cell>
          <cell r="T409">
            <v>972</v>
          </cell>
          <cell r="U409">
            <v>0</v>
          </cell>
          <cell r="V409" t="str">
            <v>CENTRO</v>
          </cell>
          <cell r="W409" t="str">
            <v/>
          </cell>
          <cell r="X409" t="str">
            <v/>
          </cell>
          <cell r="Y409" t="str">
            <v/>
          </cell>
          <cell r="Z409" t="str">
            <v/>
          </cell>
          <cell r="AA409" t="str">
            <v>72*1014340*3</v>
          </cell>
          <cell r="AB409" t="str">
            <v/>
          </cell>
          <cell r="AC409" t="str">
            <v>P0357</v>
          </cell>
          <cell r="AD409" t="str">
            <v/>
          </cell>
          <cell r="AE409" t="str">
            <v/>
          </cell>
          <cell r="AF409" t="str">
            <v/>
          </cell>
          <cell r="AH409" t="str">
            <v>N</v>
          </cell>
          <cell r="AI409">
            <v>0</v>
          </cell>
          <cell r="AJ409">
            <v>0</v>
          </cell>
          <cell r="AK409">
            <v>0</v>
          </cell>
          <cell r="AL409">
            <v>0</v>
          </cell>
          <cell r="AM409">
            <v>972</v>
          </cell>
          <cell r="AN409">
            <v>0</v>
          </cell>
        </row>
        <row r="410">
          <cell r="A410">
            <v>2311</v>
          </cell>
          <cell r="B410" t="str">
            <v>GELASIO IGLESIAS PADILLA (TEYAHUALCO)</v>
          </cell>
          <cell r="C410" t="str">
            <v/>
          </cell>
          <cell r="D410" t="str">
            <v/>
          </cell>
          <cell r="E410" t="str">
            <v>TEYAHUALCO, EDO. DE MEXICO</v>
          </cell>
          <cell r="F410" t="str">
            <v/>
          </cell>
          <cell r="G410" t="str">
            <v/>
          </cell>
          <cell r="H410" t="str">
            <v>GELASIO IGLESIAS P.</v>
          </cell>
          <cell r="I410" t="str">
            <v>GELASIO IGLESIAS P.</v>
          </cell>
          <cell r="J410" t="str">
            <v>M01</v>
          </cell>
          <cell r="K410" t="str">
            <v/>
          </cell>
          <cell r="L410">
            <v>0</v>
          </cell>
          <cell r="M410">
            <v>417</v>
          </cell>
          <cell r="N410" t="str">
            <v>A</v>
          </cell>
          <cell r="O410">
            <v>41974</v>
          </cell>
          <cell r="P410" t="str">
            <v xml:space="preserve">   16</v>
          </cell>
          <cell r="Q410">
            <v>0</v>
          </cell>
          <cell r="R410">
            <v>0</v>
          </cell>
          <cell r="S410">
            <v>0</v>
          </cell>
          <cell r="T410">
            <v>6366</v>
          </cell>
          <cell r="U410">
            <v>0</v>
          </cell>
          <cell r="V410" t="str">
            <v/>
          </cell>
          <cell r="W410" t="str">
            <v/>
          </cell>
          <cell r="X410" t="str">
            <v/>
          </cell>
          <cell r="Y410" t="str">
            <v/>
          </cell>
          <cell r="Z410" t="str">
            <v/>
          </cell>
          <cell r="AA410" t="str">
            <v/>
          </cell>
          <cell r="AB410" t="str">
            <v/>
          </cell>
          <cell r="AC410" t="str">
            <v>M-I9008</v>
          </cell>
          <cell r="AD410" t="str">
            <v/>
          </cell>
          <cell r="AE410" t="str">
            <v/>
          </cell>
          <cell r="AF410" t="str">
            <v/>
          </cell>
          <cell r="AH410" t="str">
            <v>N</v>
          </cell>
          <cell r="AI410">
            <v>0</v>
          </cell>
          <cell r="AJ410">
            <v>0</v>
          </cell>
          <cell r="AK410">
            <v>0</v>
          </cell>
          <cell r="AL410">
            <v>0</v>
          </cell>
          <cell r="AM410">
            <v>3086</v>
          </cell>
          <cell r="AN410">
            <v>0</v>
          </cell>
        </row>
        <row r="411">
          <cell r="A411">
            <v>2312</v>
          </cell>
          <cell r="B411" t="str">
            <v>SANDRA KARINA OROZCO (SAN JUAN)</v>
          </cell>
          <cell r="C411" t="str">
            <v/>
          </cell>
          <cell r="D411" t="str">
            <v>MEZQUITE #30</v>
          </cell>
          <cell r="E411" t="str">
            <v>SAN JUAN DEL RIO, QRO.</v>
          </cell>
          <cell r="F411" t="str">
            <v/>
          </cell>
          <cell r="G411" t="str">
            <v/>
          </cell>
          <cell r="H411" t="str">
            <v>SANDRA KARINA OROZCO</v>
          </cell>
          <cell r="I411" t="str">
            <v>SANDRA KARINA OROZCO</v>
          </cell>
          <cell r="J411" t="str">
            <v>L01</v>
          </cell>
          <cell r="K411" t="str">
            <v/>
          </cell>
          <cell r="L411">
            <v>0</v>
          </cell>
          <cell r="M411">
            <v>418</v>
          </cell>
          <cell r="N411" t="str">
            <v>A</v>
          </cell>
          <cell r="O411">
            <v>42434</v>
          </cell>
          <cell r="P411" t="str">
            <v xml:space="preserve">    1</v>
          </cell>
          <cell r="Q411">
            <v>0</v>
          </cell>
          <cell r="R411">
            <v>0</v>
          </cell>
          <cell r="S411">
            <v>2964</v>
          </cell>
          <cell r="T411">
            <v>40064</v>
          </cell>
          <cell r="U411">
            <v>0</v>
          </cell>
          <cell r="V411" t="str">
            <v>JARDINES DEL VALLE</v>
          </cell>
          <cell r="W411" t="str">
            <v/>
          </cell>
          <cell r="X411" t="str">
            <v/>
          </cell>
          <cell r="Y411" t="str">
            <v/>
          </cell>
          <cell r="Z411" t="str">
            <v/>
          </cell>
          <cell r="AA411" t="str">
            <v/>
          </cell>
          <cell r="AB411" t="str">
            <v xml:space="preserve">   867073</v>
          </cell>
          <cell r="AC411" t="str">
            <v>D0151</v>
          </cell>
          <cell r="AD411" t="str">
            <v/>
          </cell>
          <cell r="AE411" t="str">
            <v/>
          </cell>
          <cell r="AF411" t="str">
            <v/>
          </cell>
          <cell r="AG411">
            <v>41619</v>
          </cell>
          <cell r="AH411" t="str">
            <v>N</v>
          </cell>
          <cell r="AI411">
            <v>0</v>
          </cell>
          <cell r="AJ411">
            <v>0</v>
          </cell>
          <cell r="AK411">
            <v>0</v>
          </cell>
          <cell r="AL411">
            <v>2000</v>
          </cell>
          <cell r="AM411">
            <v>5964</v>
          </cell>
          <cell r="AN411">
            <v>0</v>
          </cell>
        </row>
        <row r="412">
          <cell r="A412">
            <v>2313</v>
          </cell>
          <cell r="B412" t="str">
            <v xml:space="preserve">GRISELDA ESCAMILLA GARCIA (TEPEJI)                          </v>
          </cell>
          <cell r="C412" t="str">
            <v/>
          </cell>
          <cell r="D412" t="str">
            <v xml:space="preserve">ESQ. IGNACIO COMONFORT Y NARDO          </v>
          </cell>
          <cell r="E412" t="str">
            <v xml:space="preserve">TEPEJI DEL RIO, HGO.          </v>
          </cell>
          <cell r="F412" t="str">
            <v/>
          </cell>
          <cell r="G412" t="str">
            <v>(773) 171-6905 CEL</v>
          </cell>
          <cell r="H412" t="str">
            <v>KARINA CABRERA PAZ</v>
          </cell>
          <cell r="I412" t="str">
            <v>KARINA CABRERA PAZ</v>
          </cell>
          <cell r="J412" t="str">
            <v>F02</v>
          </cell>
          <cell r="K412" t="str">
            <v/>
          </cell>
          <cell r="L412">
            <v>0</v>
          </cell>
          <cell r="M412">
            <v>420</v>
          </cell>
          <cell r="N412" t="str">
            <v>A</v>
          </cell>
          <cell r="O412">
            <v>41466</v>
          </cell>
          <cell r="P412" t="str">
            <v xml:space="preserve">    1</v>
          </cell>
          <cell r="Q412">
            <v>0</v>
          </cell>
          <cell r="R412">
            <v>0</v>
          </cell>
          <cell r="S412">
            <v>0</v>
          </cell>
          <cell r="T412">
            <v>744</v>
          </cell>
          <cell r="U412">
            <v>0</v>
          </cell>
          <cell r="V412" t="str">
            <v xml:space="preserve">EL EDEN             </v>
          </cell>
          <cell r="W412" t="str">
            <v/>
          </cell>
          <cell r="X412" t="str">
            <v/>
          </cell>
          <cell r="Y412" t="str">
            <v/>
          </cell>
          <cell r="Z412" t="str">
            <v/>
          </cell>
          <cell r="AA412" t="str">
            <v/>
          </cell>
          <cell r="AB412" t="str">
            <v/>
          </cell>
          <cell r="AC412" t="str">
            <v>F0714</v>
          </cell>
          <cell r="AD412" t="str">
            <v/>
          </cell>
          <cell r="AE412" t="str">
            <v/>
          </cell>
          <cell r="AF412" t="str">
            <v/>
          </cell>
          <cell r="AH412" t="str">
            <v>N</v>
          </cell>
          <cell r="AI412">
            <v>0</v>
          </cell>
          <cell r="AJ412">
            <v>0</v>
          </cell>
          <cell r="AK412">
            <v>0</v>
          </cell>
          <cell r="AL412">
            <v>0</v>
          </cell>
          <cell r="AM412">
            <v>744</v>
          </cell>
          <cell r="AN412">
            <v>0</v>
          </cell>
        </row>
        <row r="413">
          <cell r="A413">
            <v>2314</v>
          </cell>
          <cell r="B413" t="str">
            <v>RAUL ARIAS GONZALEZ (TEPEJI)</v>
          </cell>
          <cell r="C413" t="str">
            <v/>
          </cell>
          <cell r="D413" t="str">
            <v>NARDO #7</v>
          </cell>
          <cell r="E413" t="str">
            <v>TEPEJI DEL RIO, HGO.</v>
          </cell>
          <cell r="F413" t="str">
            <v/>
          </cell>
          <cell r="G413" t="str">
            <v>(773) 733-0634 CASA</v>
          </cell>
          <cell r="H413" t="str">
            <v>RAUL ARIAS GONZALEZ</v>
          </cell>
          <cell r="I413" t="str">
            <v>RAUL ARIAS GONZALEZ</v>
          </cell>
          <cell r="J413" t="str">
            <v>M04</v>
          </cell>
          <cell r="K413" t="str">
            <v/>
          </cell>
          <cell r="L413">
            <v>0</v>
          </cell>
          <cell r="M413">
            <v>421</v>
          </cell>
          <cell r="N413" t="str">
            <v>A</v>
          </cell>
          <cell r="O413">
            <v>42123</v>
          </cell>
          <cell r="P413" t="str">
            <v xml:space="preserve">    1</v>
          </cell>
          <cell r="Q413">
            <v>0</v>
          </cell>
          <cell r="R413">
            <v>0</v>
          </cell>
          <cell r="S413">
            <v>0</v>
          </cell>
          <cell r="T413">
            <v>74293</v>
          </cell>
          <cell r="U413">
            <v>0</v>
          </cell>
          <cell r="V413" t="str">
            <v>EL EDEN</v>
          </cell>
          <cell r="W413" t="str">
            <v>(773) 105-9368 CEL</v>
          </cell>
          <cell r="X413" t="str">
            <v/>
          </cell>
          <cell r="Y413" t="str">
            <v/>
          </cell>
          <cell r="Z413" t="str">
            <v/>
          </cell>
          <cell r="AA413" t="str">
            <v>(773) 733-0634 CASA</v>
          </cell>
          <cell r="AB413" t="str">
            <v xml:space="preserve">   DEV262</v>
          </cell>
          <cell r="AC413" t="str">
            <v>M241</v>
          </cell>
          <cell r="AD413" t="str">
            <v/>
          </cell>
          <cell r="AE413" t="str">
            <v/>
          </cell>
          <cell r="AF413" t="str">
            <v/>
          </cell>
          <cell r="AG413">
            <v>42054</v>
          </cell>
          <cell r="AH413" t="str">
            <v>N</v>
          </cell>
          <cell r="AI413">
            <v>0</v>
          </cell>
          <cell r="AJ413">
            <v>0</v>
          </cell>
          <cell r="AK413">
            <v>0</v>
          </cell>
          <cell r="AL413">
            <v>2100</v>
          </cell>
          <cell r="AM413">
            <v>3794</v>
          </cell>
          <cell r="AN413">
            <v>0</v>
          </cell>
        </row>
        <row r="414">
          <cell r="A414">
            <v>2315</v>
          </cell>
          <cell r="B414" t="str">
            <v>ELENA TORRES GALVEZ (SAN CRISTOBAL)</v>
          </cell>
          <cell r="C414" t="str">
            <v/>
          </cell>
          <cell r="D414" t="str">
            <v>CASCADA JMBAIRD #60 MZ. 10 LOTE 1</v>
          </cell>
          <cell r="E414" t="str">
            <v>ECATEPEC, EDO. DE MEXICO</v>
          </cell>
          <cell r="F414" t="str">
            <v/>
          </cell>
          <cell r="G414" t="str">
            <v>(55) 4837-1154</v>
          </cell>
          <cell r="H414" t="str">
            <v/>
          </cell>
          <cell r="I414" t="str">
            <v/>
          </cell>
          <cell r="J414" t="str">
            <v>M01</v>
          </cell>
          <cell r="K414" t="str">
            <v/>
          </cell>
          <cell r="L414">
            <v>0</v>
          </cell>
          <cell r="M414">
            <v>422</v>
          </cell>
          <cell r="N414" t="str">
            <v>A</v>
          </cell>
          <cell r="O414">
            <v>42514</v>
          </cell>
          <cell r="P414" t="str">
            <v xml:space="preserve">    5</v>
          </cell>
          <cell r="Q414">
            <v>0</v>
          </cell>
          <cell r="R414">
            <v>0</v>
          </cell>
          <cell r="S414">
            <v>4805</v>
          </cell>
          <cell r="T414">
            <v>36170</v>
          </cell>
          <cell r="U414">
            <v>0</v>
          </cell>
          <cell r="V414" t="str">
            <v>GRANJAS SAN CRISTOBA</v>
          </cell>
          <cell r="W414" t="str">
            <v>(55) 1973-8133 LESLY</v>
          </cell>
          <cell r="X414" t="str">
            <v/>
          </cell>
          <cell r="Y414" t="str">
            <v/>
          </cell>
          <cell r="Z414" t="str">
            <v/>
          </cell>
          <cell r="AA414" t="str">
            <v>(55) 4837-1154</v>
          </cell>
          <cell r="AB414" t="str">
            <v/>
          </cell>
          <cell r="AC414" t="str">
            <v>M111148</v>
          </cell>
          <cell r="AD414" t="str">
            <v/>
          </cell>
          <cell r="AE414" t="str">
            <v/>
          </cell>
          <cell r="AF414" t="str">
            <v/>
          </cell>
          <cell r="AH414" t="str">
            <v>N</v>
          </cell>
          <cell r="AI414">
            <v>0</v>
          </cell>
          <cell r="AJ414">
            <v>0</v>
          </cell>
          <cell r="AK414">
            <v>0</v>
          </cell>
          <cell r="AL414">
            <v>0</v>
          </cell>
          <cell r="AM414">
            <v>2457</v>
          </cell>
          <cell r="AN414">
            <v>0</v>
          </cell>
        </row>
        <row r="415">
          <cell r="A415">
            <v>2316</v>
          </cell>
          <cell r="B415" t="str">
            <v>VERONICA ROMERO (IXMIQUILPAN)</v>
          </cell>
          <cell r="C415" t="str">
            <v/>
          </cell>
          <cell r="D415" t="str">
            <v>AV. HIDALGO 2</v>
          </cell>
          <cell r="E415" t="str">
            <v>IXMIQUILPAN, HGO.</v>
          </cell>
          <cell r="F415" t="str">
            <v/>
          </cell>
          <cell r="G415" t="str">
            <v>(772) 129-2467</v>
          </cell>
          <cell r="H415" t="str">
            <v/>
          </cell>
          <cell r="I415" t="str">
            <v/>
          </cell>
          <cell r="J415" t="str">
            <v>F02</v>
          </cell>
          <cell r="K415" t="str">
            <v/>
          </cell>
          <cell r="L415">
            <v>0</v>
          </cell>
          <cell r="M415">
            <v>423</v>
          </cell>
          <cell r="N415" t="str">
            <v>A</v>
          </cell>
          <cell r="O415">
            <v>42272</v>
          </cell>
          <cell r="P415" t="str">
            <v xml:space="preserve">    1</v>
          </cell>
          <cell r="Q415">
            <v>0</v>
          </cell>
          <cell r="R415">
            <v>0</v>
          </cell>
          <cell r="S415">
            <v>0</v>
          </cell>
          <cell r="T415">
            <v>2616</v>
          </cell>
          <cell r="U415">
            <v>0</v>
          </cell>
          <cell r="V415" t="str">
            <v>CENTRO</v>
          </cell>
          <cell r="W415" t="str">
            <v/>
          </cell>
          <cell r="X415" t="str">
            <v/>
          </cell>
          <cell r="Y415" t="str">
            <v/>
          </cell>
          <cell r="Z415" t="str">
            <v/>
          </cell>
          <cell r="AA415" t="str">
            <v/>
          </cell>
          <cell r="AB415" t="str">
            <v/>
          </cell>
          <cell r="AC415" t="str">
            <v>F397</v>
          </cell>
          <cell r="AD415" t="str">
            <v/>
          </cell>
          <cell r="AE415" t="str">
            <v/>
          </cell>
          <cell r="AF415" t="str">
            <v/>
          </cell>
          <cell r="AH415" t="str">
            <v>N</v>
          </cell>
          <cell r="AI415">
            <v>0</v>
          </cell>
          <cell r="AJ415">
            <v>0</v>
          </cell>
          <cell r="AK415">
            <v>0</v>
          </cell>
          <cell r="AL415">
            <v>0</v>
          </cell>
          <cell r="AM415">
            <v>724</v>
          </cell>
          <cell r="AN415">
            <v>0</v>
          </cell>
        </row>
        <row r="416">
          <cell r="A416">
            <v>2317</v>
          </cell>
          <cell r="B416" t="str">
            <v>GABRIELA SUAREZ (COACALCO)</v>
          </cell>
          <cell r="C416" t="str">
            <v/>
          </cell>
          <cell r="D416" t="str">
            <v>LA PROVIDENCIA</v>
          </cell>
          <cell r="E416" t="str">
            <v>COACALCO, EDO. DE MEXICO</v>
          </cell>
          <cell r="F416" t="str">
            <v/>
          </cell>
          <cell r="G416" t="str">
            <v/>
          </cell>
          <cell r="H416" t="str">
            <v>GABRIELA SUAREZ</v>
          </cell>
          <cell r="I416" t="str">
            <v>GABRIELA SUAREZ</v>
          </cell>
          <cell r="J416" t="str">
            <v>M01</v>
          </cell>
          <cell r="K416" t="str">
            <v/>
          </cell>
          <cell r="L416">
            <v>0</v>
          </cell>
          <cell r="M416">
            <v>424</v>
          </cell>
          <cell r="N416" t="str">
            <v>A</v>
          </cell>
          <cell r="O416">
            <v>42347</v>
          </cell>
          <cell r="P416" t="str">
            <v xml:space="preserve">    5</v>
          </cell>
          <cell r="Q416">
            <v>0</v>
          </cell>
          <cell r="R416">
            <v>0</v>
          </cell>
          <cell r="S416">
            <v>0</v>
          </cell>
          <cell r="T416">
            <v>12745</v>
          </cell>
          <cell r="U416">
            <v>0</v>
          </cell>
          <cell r="V416" t="str">
            <v>VILLA D LAS MANZANAS</v>
          </cell>
          <cell r="W416" t="str">
            <v/>
          </cell>
          <cell r="X416" t="str">
            <v/>
          </cell>
          <cell r="Y416" t="str">
            <v/>
          </cell>
          <cell r="Z416" t="str">
            <v/>
          </cell>
          <cell r="AA416" t="str">
            <v/>
          </cell>
          <cell r="AB416" t="str">
            <v/>
          </cell>
          <cell r="AC416" t="str">
            <v>M534</v>
          </cell>
          <cell r="AD416" t="str">
            <v/>
          </cell>
          <cell r="AE416" t="str">
            <v/>
          </cell>
          <cell r="AF416" t="str">
            <v/>
          </cell>
          <cell r="AH416" t="str">
            <v>N</v>
          </cell>
          <cell r="AI416">
            <v>0</v>
          </cell>
          <cell r="AJ416">
            <v>0</v>
          </cell>
          <cell r="AK416">
            <v>0</v>
          </cell>
          <cell r="AL416">
            <v>0</v>
          </cell>
          <cell r="AM416">
            <v>1852</v>
          </cell>
          <cell r="AN416">
            <v>0</v>
          </cell>
        </row>
        <row r="417">
          <cell r="A417">
            <v>2318</v>
          </cell>
          <cell r="B417" t="str">
            <v>JOSE PADILLA ARENAS (SAN CRISTOBAL)</v>
          </cell>
          <cell r="C417" t="str">
            <v/>
          </cell>
          <cell r="D417" t="str">
            <v>EMILIANO CARRANZA</v>
          </cell>
          <cell r="E417" t="str">
            <v>ECATEPEC, EDO. DE MEXICO</v>
          </cell>
          <cell r="F417" t="str">
            <v/>
          </cell>
          <cell r="G417" t="str">
            <v>(55) 4150-9077</v>
          </cell>
          <cell r="H417" t="str">
            <v>JOSE PADILLA ARENAS</v>
          </cell>
          <cell r="I417" t="str">
            <v>JOSE PADILLA ARENAS</v>
          </cell>
          <cell r="J417" t="str">
            <v>M03</v>
          </cell>
          <cell r="K417" t="str">
            <v/>
          </cell>
          <cell r="L417">
            <v>0</v>
          </cell>
          <cell r="M417">
            <v>425</v>
          </cell>
          <cell r="N417" t="str">
            <v>A</v>
          </cell>
          <cell r="O417">
            <v>42084</v>
          </cell>
          <cell r="P417" t="str">
            <v xml:space="preserve">    9</v>
          </cell>
          <cell r="Q417">
            <v>0</v>
          </cell>
          <cell r="R417">
            <v>0</v>
          </cell>
          <cell r="S417">
            <v>0</v>
          </cell>
          <cell r="T417">
            <v>23468</v>
          </cell>
          <cell r="U417">
            <v>0</v>
          </cell>
          <cell r="V417" t="str">
            <v>CENTRO SAN CRISTOBAL</v>
          </cell>
          <cell r="W417" t="str">
            <v>(55) 1115-4939</v>
          </cell>
          <cell r="X417" t="str">
            <v/>
          </cell>
          <cell r="Y417" t="str">
            <v/>
          </cell>
          <cell r="Z417" t="str">
            <v/>
          </cell>
          <cell r="AA417" t="str">
            <v>(55) 4150-9077</v>
          </cell>
          <cell r="AB417" t="str">
            <v xml:space="preserve">   CHEQUE</v>
          </cell>
          <cell r="AC417" t="str">
            <v>M-I9549</v>
          </cell>
          <cell r="AD417" t="str">
            <v/>
          </cell>
          <cell r="AE417" t="str">
            <v/>
          </cell>
          <cell r="AF417" t="str">
            <v/>
          </cell>
          <cell r="AG417">
            <v>41641</v>
          </cell>
          <cell r="AH417" t="str">
            <v>N</v>
          </cell>
          <cell r="AI417">
            <v>0</v>
          </cell>
          <cell r="AJ417">
            <v>0</v>
          </cell>
          <cell r="AK417">
            <v>0</v>
          </cell>
          <cell r="AL417">
            <v>2916</v>
          </cell>
          <cell r="AM417">
            <v>3441</v>
          </cell>
          <cell r="AN417">
            <v>0</v>
          </cell>
        </row>
        <row r="418">
          <cell r="A418">
            <v>2319</v>
          </cell>
          <cell r="B418" t="str">
            <v>ANGELICA MENDEZ ALEGRIA (SAN JUAN)</v>
          </cell>
          <cell r="C418" t="str">
            <v/>
          </cell>
          <cell r="D418" t="str">
            <v>MANUEL J. CAMPOS #14</v>
          </cell>
          <cell r="E418" t="str">
            <v>SAN JUAN DEL RIO, QRO.</v>
          </cell>
          <cell r="F418" t="str">
            <v/>
          </cell>
          <cell r="G418" t="str">
            <v>(427) 276-2413</v>
          </cell>
          <cell r="H418" t="str">
            <v>MA. DE LOS ANGELES</v>
          </cell>
          <cell r="I418" t="str">
            <v>MA. DE LOS ANGELES</v>
          </cell>
          <cell r="J418" t="str">
            <v>J01</v>
          </cell>
          <cell r="K418" t="str">
            <v/>
          </cell>
          <cell r="L418">
            <v>0</v>
          </cell>
          <cell r="M418">
            <v>426</v>
          </cell>
          <cell r="N418" t="str">
            <v>A</v>
          </cell>
          <cell r="O418">
            <v>41950</v>
          </cell>
          <cell r="P418" t="str">
            <v xml:space="preserve">   97</v>
          </cell>
          <cell r="Q418">
            <v>0</v>
          </cell>
          <cell r="R418">
            <v>0</v>
          </cell>
          <cell r="S418">
            <v>0</v>
          </cell>
          <cell r="T418">
            <v>10829</v>
          </cell>
          <cell r="U418">
            <v>0</v>
          </cell>
          <cell r="V418" t="str">
            <v>CENTRO</v>
          </cell>
          <cell r="W418" t="str">
            <v>(427) 231-4218 CEL</v>
          </cell>
          <cell r="X418" t="str">
            <v/>
          </cell>
          <cell r="Y418" t="str">
            <v/>
          </cell>
          <cell r="Z418" t="str">
            <v/>
          </cell>
          <cell r="AA418" t="str">
            <v>(427) 272-2480</v>
          </cell>
          <cell r="AB418" t="str">
            <v xml:space="preserve">  DEV-247</v>
          </cell>
          <cell r="AC418" t="str">
            <v xml:space="preserve">    247</v>
          </cell>
          <cell r="AD418" t="str">
            <v/>
          </cell>
          <cell r="AE418" t="str">
            <v/>
          </cell>
          <cell r="AF418" t="str">
            <v/>
          </cell>
          <cell r="AG418">
            <v>41950</v>
          </cell>
          <cell r="AH418" t="str">
            <v>N</v>
          </cell>
          <cell r="AI418">
            <v>0</v>
          </cell>
          <cell r="AJ418">
            <v>0</v>
          </cell>
          <cell r="AK418">
            <v>0</v>
          </cell>
          <cell r="AL418">
            <v>1350</v>
          </cell>
          <cell r="AM418">
            <v>1350</v>
          </cell>
          <cell r="AN418">
            <v>0</v>
          </cell>
        </row>
        <row r="419">
          <cell r="A419">
            <v>2320</v>
          </cell>
          <cell r="B419" t="str">
            <v>MARICELA MARTINEZ CORREA (JERECUARO)</v>
          </cell>
          <cell r="C419" t="str">
            <v/>
          </cell>
          <cell r="D419" t="str">
            <v>AGUILA Y MAYA #12</v>
          </cell>
          <cell r="E419" t="str">
            <v>JERECUARO, GTO.</v>
          </cell>
          <cell r="F419" t="str">
            <v/>
          </cell>
          <cell r="G419" t="str">
            <v>(421) 476-0699</v>
          </cell>
          <cell r="H419" t="str">
            <v/>
          </cell>
          <cell r="I419" t="str">
            <v/>
          </cell>
          <cell r="J419" t="str">
            <v>J06</v>
          </cell>
          <cell r="K419" t="str">
            <v/>
          </cell>
          <cell r="L419">
            <v>0</v>
          </cell>
          <cell r="M419">
            <v>427</v>
          </cell>
          <cell r="N419" t="str">
            <v>A</v>
          </cell>
          <cell r="O419">
            <v>42490</v>
          </cell>
          <cell r="P419" t="str">
            <v xml:space="preserve">    2</v>
          </cell>
          <cell r="Q419">
            <v>0</v>
          </cell>
          <cell r="R419">
            <v>0</v>
          </cell>
          <cell r="S419">
            <v>0</v>
          </cell>
          <cell r="T419">
            <v>11099</v>
          </cell>
          <cell r="U419">
            <v>0</v>
          </cell>
          <cell r="V419" t="str">
            <v>CENTRO</v>
          </cell>
          <cell r="W419" t="str">
            <v/>
          </cell>
          <cell r="X419" t="str">
            <v/>
          </cell>
          <cell r="Y419" t="str">
            <v/>
          </cell>
          <cell r="Z419" t="str">
            <v/>
          </cell>
          <cell r="AA419" t="str">
            <v>(421) 476-0699</v>
          </cell>
          <cell r="AB419" t="str">
            <v/>
          </cell>
          <cell r="AC419" t="str">
            <v>J0358</v>
          </cell>
          <cell r="AD419" t="str">
            <v/>
          </cell>
          <cell r="AE419" t="str">
            <v/>
          </cell>
          <cell r="AF419" t="str">
            <v/>
          </cell>
          <cell r="AH419" t="str">
            <v>N</v>
          </cell>
          <cell r="AI419">
            <v>0</v>
          </cell>
          <cell r="AJ419">
            <v>0</v>
          </cell>
          <cell r="AK419">
            <v>0</v>
          </cell>
          <cell r="AL419">
            <v>0</v>
          </cell>
          <cell r="AM419">
            <v>1401</v>
          </cell>
          <cell r="AN419">
            <v>0</v>
          </cell>
        </row>
        <row r="420">
          <cell r="A420">
            <v>2321</v>
          </cell>
          <cell r="B420" t="str">
            <v>MARTHA CALDERON GARCIA (ACAMBARO)</v>
          </cell>
          <cell r="C420" t="str">
            <v/>
          </cell>
          <cell r="D420" t="str">
            <v>AV. 1RO. DE MAYO #717A</v>
          </cell>
          <cell r="E420" t="str">
            <v>ACAMBARO, GTO.</v>
          </cell>
          <cell r="F420" t="str">
            <v/>
          </cell>
          <cell r="G420" t="str">
            <v>(417) 111-8524 CEL</v>
          </cell>
          <cell r="H420" t="str">
            <v>MARTHA CALDERON G.</v>
          </cell>
          <cell r="I420" t="str">
            <v>MARTHA CALDERON G.</v>
          </cell>
          <cell r="J420" t="str">
            <v>J06</v>
          </cell>
          <cell r="K420" t="str">
            <v/>
          </cell>
          <cell r="L420">
            <v>0</v>
          </cell>
          <cell r="M420">
            <v>428</v>
          </cell>
          <cell r="N420" t="str">
            <v>A</v>
          </cell>
          <cell r="O420">
            <v>41698</v>
          </cell>
          <cell r="P420" t="str">
            <v xml:space="preserve">    1</v>
          </cell>
          <cell r="Q420">
            <v>0</v>
          </cell>
          <cell r="R420">
            <v>0</v>
          </cell>
          <cell r="S420">
            <v>0</v>
          </cell>
          <cell r="T420">
            <v>6560</v>
          </cell>
          <cell r="U420">
            <v>0</v>
          </cell>
          <cell r="V420" t="str">
            <v>CENTRO</v>
          </cell>
          <cell r="W420" t="str">
            <v/>
          </cell>
          <cell r="X420" t="str">
            <v/>
          </cell>
          <cell r="Y420" t="str">
            <v/>
          </cell>
          <cell r="Z420" t="str">
            <v/>
          </cell>
          <cell r="AA420" t="str">
            <v>(417) 111-8524 CEL</v>
          </cell>
          <cell r="AB420" t="str">
            <v/>
          </cell>
          <cell r="AC420" t="str">
            <v>F0938</v>
          </cell>
          <cell r="AD420" t="str">
            <v/>
          </cell>
          <cell r="AE420" t="str">
            <v/>
          </cell>
          <cell r="AF420" t="str">
            <v/>
          </cell>
          <cell r="AH420" t="str">
            <v>N</v>
          </cell>
          <cell r="AI420">
            <v>0</v>
          </cell>
          <cell r="AJ420">
            <v>0</v>
          </cell>
          <cell r="AK420">
            <v>0</v>
          </cell>
          <cell r="AL420">
            <v>0</v>
          </cell>
          <cell r="AM420">
            <v>2724</v>
          </cell>
          <cell r="AN420">
            <v>0</v>
          </cell>
        </row>
        <row r="421">
          <cell r="A421">
            <v>2322</v>
          </cell>
          <cell r="B421" t="str">
            <v>MARTHA ARENAS (TULTEPEC)</v>
          </cell>
          <cell r="C421" t="str">
            <v/>
          </cell>
          <cell r="D421" t="str">
            <v/>
          </cell>
          <cell r="E421" t="str">
            <v>TULTEPEC, EDO. DE MEXICO</v>
          </cell>
          <cell r="F421" t="str">
            <v/>
          </cell>
          <cell r="G421" t="str">
            <v/>
          </cell>
          <cell r="H421" t="str">
            <v/>
          </cell>
          <cell r="I421" t="str">
            <v/>
          </cell>
          <cell r="J421" t="str">
            <v>M01</v>
          </cell>
          <cell r="K421" t="str">
            <v/>
          </cell>
          <cell r="L421">
            <v>0</v>
          </cell>
          <cell r="M421">
            <v>429</v>
          </cell>
          <cell r="N421" t="str">
            <v>A</v>
          </cell>
          <cell r="O421">
            <v>42429</v>
          </cell>
          <cell r="P421" t="str">
            <v xml:space="preserve">    5</v>
          </cell>
          <cell r="Q421">
            <v>0</v>
          </cell>
          <cell r="R421">
            <v>0</v>
          </cell>
          <cell r="S421">
            <v>264</v>
          </cell>
          <cell r="T421">
            <v>7872</v>
          </cell>
          <cell r="U421">
            <v>0</v>
          </cell>
          <cell r="V421" t="str">
            <v/>
          </cell>
          <cell r="W421" t="str">
            <v/>
          </cell>
          <cell r="X421" t="str">
            <v/>
          </cell>
          <cell r="Y421" t="str">
            <v/>
          </cell>
          <cell r="Z421" t="str">
            <v/>
          </cell>
          <cell r="AA421" t="str">
            <v/>
          </cell>
          <cell r="AB421" t="str">
            <v/>
          </cell>
          <cell r="AC421" t="str">
            <v>M0102</v>
          </cell>
          <cell r="AD421" t="str">
            <v/>
          </cell>
          <cell r="AE421" t="str">
            <v/>
          </cell>
          <cell r="AF421" t="str">
            <v/>
          </cell>
          <cell r="AH421" t="str">
            <v>N</v>
          </cell>
          <cell r="AI421">
            <v>0</v>
          </cell>
          <cell r="AJ421">
            <v>0</v>
          </cell>
          <cell r="AK421">
            <v>0</v>
          </cell>
          <cell r="AL421">
            <v>0</v>
          </cell>
          <cell r="AM421">
            <v>1864</v>
          </cell>
          <cell r="AN421">
            <v>0</v>
          </cell>
        </row>
        <row r="422">
          <cell r="A422">
            <v>2323</v>
          </cell>
          <cell r="B422" t="str">
            <v>BLANCA ESTELA BONILLA (SAN JUAN)</v>
          </cell>
          <cell r="C422" t="str">
            <v/>
          </cell>
          <cell r="D422" t="str">
            <v>MERCADO REFORMA #196</v>
          </cell>
          <cell r="E422" t="str">
            <v>SAN JUAN DEL RIO, QRO.</v>
          </cell>
          <cell r="F422" t="str">
            <v/>
          </cell>
          <cell r="G422" t="str">
            <v>(427) 119-9864 CEL</v>
          </cell>
          <cell r="H422" t="str">
            <v>BLANCA ESTELA B.</v>
          </cell>
          <cell r="I422" t="str">
            <v>BLANCA ESTELA B.</v>
          </cell>
          <cell r="J422" t="str">
            <v>L01</v>
          </cell>
          <cell r="K422" t="str">
            <v/>
          </cell>
          <cell r="L422">
            <v>0</v>
          </cell>
          <cell r="M422">
            <v>431</v>
          </cell>
          <cell r="N422" t="str">
            <v>A</v>
          </cell>
          <cell r="O422">
            <v>42088</v>
          </cell>
          <cell r="P422" t="str">
            <v xml:space="preserve">   97</v>
          </cell>
          <cell r="Q422">
            <v>0</v>
          </cell>
          <cell r="R422">
            <v>0</v>
          </cell>
          <cell r="S422">
            <v>0</v>
          </cell>
          <cell r="T422">
            <v>31777</v>
          </cell>
          <cell r="U422">
            <v>0</v>
          </cell>
          <cell r="V422" t="str">
            <v>CENTRO</v>
          </cell>
          <cell r="W422" t="str">
            <v>(427) 114-9918 RAUL ARTEA</v>
          </cell>
          <cell r="X422" t="str">
            <v/>
          </cell>
          <cell r="Y422" t="str">
            <v/>
          </cell>
          <cell r="Z422" t="str">
            <v/>
          </cell>
          <cell r="AA422" t="str">
            <v>(427) 119-9864 CEL</v>
          </cell>
          <cell r="AB422" t="str">
            <v xml:space="preserve">  DEV-259</v>
          </cell>
          <cell r="AC422" t="str">
            <v>R-0820</v>
          </cell>
          <cell r="AD422" t="str">
            <v/>
          </cell>
          <cell r="AE422" t="str">
            <v/>
          </cell>
          <cell r="AF422" t="str">
            <v/>
          </cell>
          <cell r="AG422">
            <v>42028</v>
          </cell>
          <cell r="AH422" t="str">
            <v>N</v>
          </cell>
          <cell r="AI422">
            <v>0</v>
          </cell>
          <cell r="AJ422">
            <v>0</v>
          </cell>
          <cell r="AK422">
            <v>0</v>
          </cell>
          <cell r="AL422">
            <v>265</v>
          </cell>
          <cell r="AM422">
            <v>576</v>
          </cell>
          <cell r="AN422">
            <v>0</v>
          </cell>
        </row>
        <row r="423">
          <cell r="A423">
            <v>2324</v>
          </cell>
          <cell r="B423" t="str">
            <v>GEORGINA TRUJILLO (TULA)</v>
          </cell>
          <cell r="C423" t="str">
            <v/>
          </cell>
          <cell r="D423" t="str">
            <v/>
          </cell>
          <cell r="E423" t="str">
            <v>TULA, HGO.</v>
          </cell>
          <cell r="F423" t="str">
            <v/>
          </cell>
          <cell r="G423" t="str">
            <v/>
          </cell>
          <cell r="H423" t="str">
            <v/>
          </cell>
          <cell r="I423" t="str">
            <v/>
          </cell>
          <cell r="J423" t="str">
            <v>F02</v>
          </cell>
          <cell r="K423" t="str">
            <v/>
          </cell>
          <cell r="L423">
            <v>0</v>
          </cell>
          <cell r="M423">
            <v>432</v>
          </cell>
          <cell r="N423" t="str">
            <v>A</v>
          </cell>
          <cell r="O423">
            <v>42361</v>
          </cell>
          <cell r="P423" t="str">
            <v xml:space="preserve">    1</v>
          </cell>
          <cell r="Q423">
            <v>0</v>
          </cell>
          <cell r="R423">
            <v>0</v>
          </cell>
          <cell r="S423">
            <v>1590</v>
          </cell>
          <cell r="T423">
            <v>32221</v>
          </cell>
          <cell r="U423">
            <v>0</v>
          </cell>
          <cell r="V423" t="str">
            <v/>
          </cell>
          <cell r="W423" t="str">
            <v/>
          </cell>
          <cell r="X423" t="str">
            <v/>
          </cell>
          <cell r="Y423" t="str">
            <v/>
          </cell>
          <cell r="Z423" t="str">
            <v/>
          </cell>
          <cell r="AA423" t="str">
            <v/>
          </cell>
          <cell r="AB423" t="str">
            <v xml:space="preserve">     DESC</v>
          </cell>
          <cell r="AC423" t="str">
            <v>F471</v>
          </cell>
          <cell r="AD423" t="str">
            <v/>
          </cell>
          <cell r="AE423" t="str">
            <v/>
          </cell>
          <cell r="AF423" t="str">
            <v/>
          </cell>
          <cell r="AG423">
            <v>42361</v>
          </cell>
          <cell r="AH423" t="str">
            <v>N</v>
          </cell>
          <cell r="AI423">
            <v>0</v>
          </cell>
          <cell r="AJ423">
            <v>0</v>
          </cell>
          <cell r="AK423">
            <v>0</v>
          </cell>
          <cell r="AL423">
            <v>939</v>
          </cell>
          <cell r="AM423">
            <v>9392</v>
          </cell>
          <cell r="AN423">
            <v>0</v>
          </cell>
        </row>
        <row r="424">
          <cell r="A424">
            <v>2325</v>
          </cell>
          <cell r="B424" t="str">
            <v xml:space="preserve">DAYSI GARCIA GARCIA (E. MONTES)                             </v>
          </cell>
          <cell r="C424" t="str">
            <v/>
          </cell>
          <cell r="D424">
            <v>0</v>
          </cell>
          <cell r="E424" t="str">
            <v xml:space="preserve">EZEQUIEL MONTES, QRO.         </v>
          </cell>
          <cell r="F424" t="str">
            <v/>
          </cell>
          <cell r="G424">
            <v>0</v>
          </cell>
          <cell r="H424" t="str">
            <v>DEISY BUSTAMANTE R.</v>
          </cell>
          <cell r="I424" t="str">
            <v>DEISY BUSTAMANTE R.</v>
          </cell>
          <cell r="J424" t="str">
            <v>J02</v>
          </cell>
          <cell r="K424" t="str">
            <v/>
          </cell>
          <cell r="L424">
            <v>0</v>
          </cell>
          <cell r="M424">
            <v>433</v>
          </cell>
          <cell r="N424" t="str">
            <v>A</v>
          </cell>
          <cell r="O424">
            <v>42029</v>
          </cell>
          <cell r="P424" t="str">
            <v xml:space="preserve">   97</v>
          </cell>
          <cell r="Q424">
            <v>0</v>
          </cell>
          <cell r="R424">
            <v>0</v>
          </cell>
          <cell r="S424">
            <v>53</v>
          </cell>
          <cell r="T424">
            <v>11494</v>
          </cell>
          <cell r="U424">
            <v>0</v>
          </cell>
          <cell r="V424">
            <v>0</v>
          </cell>
          <cell r="W424" t="str">
            <v/>
          </cell>
          <cell r="X424" t="str">
            <v/>
          </cell>
          <cell r="Y424" t="str">
            <v/>
          </cell>
          <cell r="Z424" t="str">
            <v/>
          </cell>
          <cell r="AA424" t="str">
            <v>(427) 139-8265 LOCAL</v>
          </cell>
          <cell r="AB424" t="str">
            <v/>
          </cell>
          <cell r="AC424" t="str">
            <v>L0640</v>
          </cell>
          <cell r="AD424" t="str">
            <v/>
          </cell>
          <cell r="AE424" t="str">
            <v/>
          </cell>
          <cell r="AF424" t="str">
            <v/>
          </cell>
          <cell r="AH424" t="str">
            <v>N</v>
          </cell>
          <cell r="AI424">
            <v>0</v>
          </cell>
          <cell r="AJ424">
            <v>0</v>
          </cell>
          <cell r="AK424">
            <v>0</v>
          </cell>
          <cell r="AL424">
            <v>0</v>
          </cell>
          <cell r="AM424">
            <v>792</v>
          </cell>
          <cell r="AN424">
            <v>0</v>
          </cell>
        </row>
        <row r="425">
          <cell r="A425">
            <v>2326</v>
          </cell>
          <cell r="B425" t="str">
            <v>EL MUNDO DE TOBY (QUERETARO)</v>
          </cell>
          <cell r="C425" t="str">
            <v/>
          </cell>
          <cell r="D425" t="str">
            <v>AV. DE LA PIEDRA #310</v>
          </cell>
          <cell r="E425" t="str">
            <v>QUERETARO, QRO.</v>
          </cell>
          <cell r="F425" t="str">
            <v/>
          </cell>
          <cell r="G425" t="str">
            <v>(442) 172-2640 MONSE</v>
          </cell>
          <cell r="H425" t="str">
            <v>MARISOL VELEZ</v>
          </cell>
          <cell r="I425" t="str">
            <v>MARISOL VELEZ</v>
          </cell>
          <cell r="J425" t="str">
            <v>L04P</v>
          </cell>
          <cell r="K425" t="str">
            <v/>
          </cell>
          <cell r="L425">
            <v>0</v>
          </cell>
          <cell r="M425">
            <v>434</v>
          </cell>
          <cell r="N425" t="str">
            <v>A</v>
          </cell>
          <cell r="O425">
            <v>42439</v>
          </cell>
          <cell r="P425" t="str">
            <v xml:space="preserve">   97</v>
          </cell>
          <cell r="Q425">
            <v>0</v>
          </cell>
          <cell r="R425">
            <v>0</v>
          </cell>
          <cell r="S425">
            <v>1247</v>
          </cell>
          <cell r="T425">
            <v>77204</v>
          </cell>
          <cell r="U425">
            <v>0</v>
          </cell>
          <cell r="V425" t="str">
            <v>SATELITE</v>
          </cell>
          <cell r="W425" t="str">
            <v/>
          </cell>
          <cell r="X425" t="str">
            <v/>
          </cell>
          <cell r="Y425" t="str">
            <v/>
          </cell>
          <cell r="Z425" t="str">
            <v/>
          </cell>
          <cell r="AA425" t="str">
            <v>(442) 172-2640 MONSE</v>
          </cell>
          <cell r="AB425" t="str">
            <v/>
          </cell>
          <cell r="AC425" t="str">
            <v>R-1016</v>
          </cell>
          <cell r="AD425" t="str">
            <v/>
          </cell>
          <cell r="AE425" t="str">
            <v/>
          </cell>
          <cell r="AF425" t="str">
            <v/>
          </cell>
          <cell r="AH425" t="str">
            <v>N</v>
          </cell>
          <cell r="AI425">
            <v>0</v>
          </cell>
          <cell r="AJ425">
            <v>0</v>
          </cell>
          <cell r="AK425">
            <v>0</v>
          </cell>
          <cell r="AL425">
            <v>0</v>
          </cell>
          <cell r="AM425">
            <v>1498</v>
          </cell>
          <cell r="AN425">
            <v>0</v>
          </cell>
        </row>
        <row r="426">
          <cell r="A426">
            <v>2327</v>
          </cell>
          <cell r="B426" t="str">
            <v>VERONICA BAZAN AGUIRRE (TEOTIHUACAN)</v>
          </cell>
          <cell r="C426" t="str">
            <v/>
          </cell>
          <cell r="D426" t="str">
            <v>AV. HIGALGO #8B</v>
          </cell>
          <cell r="E426" t="str">
            <v>TEOTIHUACAN, EDO. DE MEXICO</v>
          </cell>
          <cell r="F426" t="str">
            <v/>
          </cell>
          <cell r="G426" t="str">
            <v>(55) 3493-4705</v>
          </cell>
          <cell r="H426" t="str">
            <v>VERONICA BAZAN A.</v>
          </cell>
          <cell r="I426" t="str">
            <v>VERONICA BAZAN A.</v>
          </cell>
          <cell r="J426" t="str">
            <v>M03</v>
          </cell>
          <cell r="K426" t="str">
            <v/>
          </cell>
          <cell r="L426">
            <v>0</v>
          </cell>
          <cell r="M426">
            <v>435</v>
          </cell>
          <cell r="N426" t="str">
            <v>A</v>
          </cell>
          <cell r="O426">
            <v>41768</v>
          </cell>
          <cell r="P426" t="str">
            <v xml:space="preserve">    9</v>
          </cell>
          <cell r="Q426">
            <v>0</v>
          </cell>
          <cell r="R426">
            <v>0</v>
          </cell>
          <cell r="S426">
            <v>761</v>
          </cell>
          <cell r="T426">
            <v>11939</v>
          </cell>
          <cell r="U426">
            <v>0</v>
          </cell>
          <cell r="V426" t="str">
            <v/>
          </cell>
          <cell r="W426" t="str">
            <v/>
          </cell>
          <cell r="X426" t="str">
            <v/>
          </cell>
          <cell r="Y426" t="str">
            <v/>
          </cell>
          <cell r="Z426" t="str">
            <v/>
          </cell>
          <cell r="AA426" t="str">
            <v>(55) 3493-4705</v>
          </cell>
          <cell r="AB426" t="str">
            <v xml:space="preserve">  DEV-205</v>
          </cell>
          <cell r="AC426" t="str">
            <v xml:space="preserve">    205</v>
          </cell>
          <cell r="AD426" t="str">
            <v/>
          </cell>
          <cell r="AE426" t="str">
            <v/>
          </cell>
          <cell r="AF426" t="str">
            <v/>
          </cell>
          <cell r="AG426">
            <v>41768</v>
          </cell>
          <cell r="AH426" t="str">
            <v>N</v>
          </cell>
          <cell r="AI426">
            <v>0</v>
          </cell>
          <cell r="AJ426">
            <v>0</v>
          </cell>
          <cell r="AK426">
            <v>0</v>
          </cell>
          <cell r="AL426">
            <v>3607</v>
          </cell>
          <cell r="AM426">
            <v>3607</v>
          </cell>
          <cell r="AN426">
            <v>0</v>
          </cell>
        </row>
        <row r="427">
          <cell r="A427">
            <v>2328</v>
          </cell>
          <cell r="B427" t="str">
            <v>RUTH GONZALEZ CAMARENA (URIANGATO)</v>
          </cell>
          <cell r="C427" t="str">
            <v/>
          </cell>
          <cell r="D427" t="str">
            <v>URRUTIA ESQ. 16 DE SEPTIEMBRE</v>
          </cell>
          <cell r="E427" t="str">
            <v>URIANGATO, GTO.</v>
          </cell>
          <cell r="F427" t="str">
            <v/>
          </cell>
          <cell r="G427" t="str">
            <v>(445) 117-9467</v>
          </cell>
          <cell r="H427" t="str">
            <v/>
          </cell>
          <cell r="I427" t="str">
            <v/>
          </cell>
          <cell r="J427" t="str">
            <v>J06</v>
          </cell>
          <cell r="K427" t="str">
            <v/>
          </cell>
          <cell r="L427">
            <v>0</v>
          </cell>
          <cell r="M427">
            <v>436</v>
          </cell>
          <cell r="N427" t="str">
            <v>A</v>
          </cell>
          <cell r="O427">
            <v>42275</v>
          </cell>
          <cell r="P427" t="str">
            <v xml:space="preserve">    2</v>
          </cell>
          <cell r="Q427">
            <v>0</v>
          </cell>
          <cell r="R427">
            <v>0</v>
          </cell>
          <cell r="S427">
            <v>0</v>
          </cell>
          <cell r="T427">
            <v>2315</v>
          </cell>
          <cell r="U427">
            <v>0</v>
          </cell>
          <cell r="V427" t="str">
            <v>CENTRO</v>
          </cell>
          <cell r="W427" t="str">
            <v/>
          </cell>
          <cell r="X427" t="str">
            <v/>
          </cell>
          <cell r="Y427" t="str">
            <v/>
          </cell>
          <cell r="Z427" t="str">
            <v/>
          </cell>
          <cell r="AA427" t="str">
            <v>(445) 117-9467</v>
          </cell>
          <cell r="AB427" t="str">
            <v/>
          </cell>
          <cell r="AC427" t="str">
            <v>J-045</v>
          </cell>
          <cell r="AD427" t="str">
            <v/>
          </cell>
          <cell r="AE427" t="str">
            <v/>
          </cell>
          <cell r="AF427" t="str">
            <v/>
          </cell>
          <cell r="AH427" t="str">
            <v>N</v>
          </cell>
          <cell r="AI427">
            <v>0</v>
          </cell>
          <cell r="AJ427">
            <v>0</v>
          </cell>
          <cell r="AK427">
            <v>0</v>
          </cell>
          <cell r="AL427">
            <v>0</v>
          </cell>
          <cell r="AM427">
            <v>230</v>
          </cell>
          <cell r="AN427">
            <v>0</v>
          </cell>
        </row>
        <row r="428">
          <cell r="A428">
            <v>2329</v>
          </cell>
          <cell r="B428" t="str">
            <v>AMMISADDAID ROMERO FLORES (TULANCINGO)</v>
          </cell>
          <cell r="C428" t="str">
            <v/>
          </cell>
          <cell r="D428" t="str">
            <v>1º DE MAYO PASAJE MERCADO INT. 5</v>
          </cell>
          <cell r="E428" t="str">
            <v>TULANCINGO, HGO.</v>
          </cell>
          <cell r="F428" t="str">
            <v/>
          </cell>
          <cell r="G428" t="str">
            <v/>
          </cell>
          <cell r="H428" t="str">
            <v>AMMISADDAID ROMERO F</v>
          </cell>
          <cell r="I428" t="str">
            <v>AMMISADDAID ROMERO F</v>
          </cell>
          <cell r="J428" t="str">
            <v>M03</v>
          </cell>
          <cell r="K428" t="str">
            <v/>
          </cell>
          <cell r="L428">
            <v>0</v>
          </cell>
          <cell r="M428">
            <v>437</v>
          </cell>
          <cell r="N428" t="str">
            <v>A</v>
          </cell>
          <cell r="O428">
            <v>41796</v>
          </cell>
          <cell r="P428" t="str">
            <v xml:space="preserve">    9</v>
          </cell>
          <cell r="Q428">
            <v>0</v>
          </cell>
          <cell r="R428">
            <v>0</v>
          </cell>
          <cell r="S428">
            <v>0</v>
          </cell>
          <cell r="T428">
            <v>14211</v>
          </cell>
          <cell r="U428">
            <v>0</v>
          </cell>
          <cell r="V428" t="str">
            <v>CENTRO</v>
          </cell>
          <cell r="W428" t="str">
            <v/>
          </cell>
          <cell r="X428" t="str">
            <v/>
          </cell>
          <cell r="Y428" t="str">
            <v/>
          </cell>
          <cell r="Z428" t="str">
            <v/>
          </cell>
          <cell r="AA428" t="str">
            <v/>
          </cell>
          <cell r="AB428" t="str">
            <v/>
          </cell>
          <cell r="AC428" t="str">
            <v>M2506</v>
          </cell>
          <cell r="AD428" t="str">
            <v/>
          </cell>
          <cell r="AE428" t="str">
            <v/>
          </cell>
          <cell r="AF428" t="str">
            <v/>
          </cell>
          <cell r="AH428" t="str">
            <v>N</v>
          </cell>
          <cell r="AI428">
            <v>0</v>
          </cell>
          <cell r="AJ428">
            <v>0</v>
          </cell>
          <cell r="AK428">
            <v>0</v>
          </cell>
          <cell r="AL428">
            <v>0</v>
          </cell>
          <cell r="AM428">
            <v>3151</v>
          </cell>
          <cell r="AN428">
            <v>0</v>
          </cell>
        </row>
        <row r="429">
          <cell r="A429">
            <v>2330</v>
          </cell>
          <cell r="B429" t="str">
            <v>KARINA RODRIGUEZ (ZITLALTEPEC)</v>
          </cell>
          <cell r="C429" t="str">
            <v/>
          </cell>
          <cell r="D429" t="str">
            <v>AV. 16 DE SEPTIEMBRE #94</v>
          </cell>
          <cell r="E429" t="str">
            <v>SN JUAN ZITLALTEPEC, EDO. MEX.</v>
          </cell>
          <cell r="F429" t="str">
            <v/>
          </cell>
          <cell r="G429" t="str">
            <v>(591) 911-2632</v>
          </cell>
          <cell r="H429" t="str">
            <v>RAQUEL RODRIGUEZ E.</v>
          </cell>
          <cell r="I429" t="str">
            <v>RAQUEL RODRIGUEZ E.</v>
          </cell>
          <cell r="J429" t="str">
            <v>M01</v>
          </cell>
          <cell r="K429" t="str">
            <v/>
          </cell>
          <cell r="L429">
            <v>0</v>
          </cell>
          <cell r="M429">
            <v>438</v>
          </cell>
          <cell r="N429" t="str">
            <v>A</v>
          </cell>
          <cell r="O429">
            <v>42357</v>
          </cell>
          <cell r="P429" t="str">
            <v xml:space="preserve">    9</v>
          </cell>
          <cell r="Q429">
            <v>0</v>
          </cell>
          <cell r="R429">
            <v>0</v>
          </cell>
          <cell r="S429">
            <v>2345</v>
          </cell>
          <cell r="T429">
            <v>43238</v>
          </cell>
          <cell r="U429">
            <v>0</v>
          </cell>
          <cell r="V429" t="str">
            <v>BARRIO SAN MIGUEL</v>
          </cell>
          <cell r="W429" t="str">
            <v/>
          </cell>
          <cell r="X429" t="str">
            <v/>
          </cell>
          <cell r="Y429" t="str">
            <v/>
          </cell>
          <cell r="Z429" t="str">
            <v/>
          </cell>
          <cell r="AA429" t="str">
            <v>(591) 911-2632</v>
          </cell>
          <cell r="AB429" t="str">
            <v/>
          </cell>
          <cell r="AC429" t="str">
            <v>M557</v>
          </cell>
          <cell r="AD429" t="str">
            <v/>
          </cell>
          <cell r="AE429" t="str">
            <v/>
          </cell>
          <cell r="AF429" t="str">
            <v/>
          </cell>
          <cell r="AH429" t="str">
            <v>N</v>
          </cell>
          <cell r="AI429">
            <v>0</v>
          </cell>
          <cell r="AJ429">
            <v>0</v>
          </cell>
          <cell r="AK429">
            <v>0</v>
          </cell>
          <cell r="AL429">
            <v>0</v>
          </cell>
          <cell r="AM429">
            <v>6845</v>
          </cell>
          <cell r="AN429">
            <v>0</v>
          </cell>
        </row>
        <row r="430">
          <cell r="A430">
            <v>2331</v>
          </cell>
          <cell r="B430" t="str">
            <v>MARGARITA OLVERA OLGUIN (PROGRESO)</v>
          </cell>
          <cell r="C430" t="str">
            <v/>
          </cell>
          <cell r="D430" t="str">
            <v>PLAZA DE LA CONSTITUCION #25</v>
          </cell>
          <cell r="E430" t="str">
            <v>PROGRESO, HGO.</v>
          </cell>
          <cell r="F430" t="str">
            <v/>
          </cell>
          <cell r="G430" t="str">
            <v>(772) 725-2151</v>
          </cell>
          <cell r="H430" t="str">
            <v>MARGARITA OLVERA O.</v>
          </cell>
          <cell r="I430" t="str">
            <v>MARGARITA OLVERA O.</v>
          </cell>
          <cell r="J430" t="str">
            <v>F02</v>
          </cell>
          <cell r="K430" t="str">
            <v/>
          </cell>
          <cell r="L430">
            <v>0</v>
          </cell>
          <cell r="M430">
            <v>439</v>
          </cell>
          <cell r="N430" t="str">
            <v>A</v>
          </cell>
          <cell r="O430">
            <v>42259</v>
          </cell>
          <cell r="P430" t="str">
            <v xml:space="preserve">    1</v>
          </cell>
          <cell r="Q430">
            <v>0</v>
          </cell>
          <cell r="R430">
            <v>0</v>
          </cell>
          <cell r="S430">
            <v>0</v>
          </cell>
          <cell r="T430">
            <v>3618</v>
          </cell>
          <cell r="U430">
            <v>0</v>
          </cell>
          <cell r="V430" t="str">
            <v/>
          </cell>
          <cell r="W430" t="str">
            <v/>
          </cell>
          <cell r="X430" t="str">
            <v/>
          </cell>
          <cell r="Y430" t="str">
            <v/>
          </cell>
          <cell r="Z430" t="str">
            <v/>
          </cell>
          <cell r="AA430" t="str">
            <v>(772) 725-2151</v>
          </cell>
          <cell r="AB430" t="str">
            <v/>
          </cell>
          <cell r="AC430" t="str">
            <v>R0055</v>
          </cell>
          <cell r="AD430" t="str">
            <v/>
          </cell>
          <cell r="AE430" t="str">
            <v/>
          </cell>
          <cell r="AF430" t="str">
            <v/>
          </cell>
          <cell r="AH430" t="str">
            <v>N</v>
          </cell>
          <cell r="AI430">
            <v>0</v>
          </cell>
          <cell r="AJ430">
            <v>0</v>
          </cell>
          <cell r="AK430">
            <v>0</v>
          </cell>
          <cell r="AL430">
            <v>0</v>
          </cell>
          <cell r="AM430">
            <v>1824</v>
          </cell>
          <cell r="AN430">
            <v>0</v>
          </cell>
        </row>
        <row r="431">
          <cell r="A431">
            <v>2332</v>
          </cell>
          <cell r="B431" t="str">
            <v>KARINA DELGADO ZAVALA (VALLE DE SANTIAGO)</v>
          </cell>
          <cell r="C431" t="str">
            <v/>
          </cell>
          <cell r="D431" t="str">
            <v>5 DE MAYO #34-A</v>
          </cell>
          <cell r="E431" t="str">
            <v>VALLE DE SANTIAGO, GTO.</v>
          </cell>
          <cell r="F431" t="str">
            <v/>
          </cell>
          <cell r="G431" t="str">
            <v>(456) 643-1307</v>
          </cell>
          <cell r="H431" t="str">
            <v>CARINA DELGADO Z.</v>
          </cell>
          <cell r="I431" t="str">
            <v>CARINA DELGADO Z.</v>
          </cell>
          <cell r="J431" t="str">
            <v>F04</v>
          </cell>
          <cell r="K431" t="str">
            <v/>
          </cell>
          <cell r="L431">
            <v>0</v>
          </cell>
          <cell r="M431">
            <v>440</v>
          </cell>
          <cell r="N431" t="str">
            <v>A</v>
          </cell>
          <cell r="O431">
            <v>41713</v>
          </cell>
          <cell r="P431" t="str">
            <v xml:space="preserve">    3</v>
          </cell>
          <cell r="Q431">
            <v>0</v>
          </cell>
          <cell r="R431">
            <v>0</v>
          </cell>
          <cell r="S431">
            <v>0</v>
          </cell>
          <cell r="T431">
            <v>9108</v>
          </cell>
          <cell r="U431">
            <v>0</v>
          </cell>
          <cell r="V431" t="str">
            <v>CENTRO</v>
          </cell>
          <cell r="W431" t="str">
            <v>62*14*79401</v>
          </cell>
          <cell r="X431" t="str">
            <v>kardel.gnk@gmail.com</v>
          </cell>
          <cell r="Y431" t="str">
            <v/>
          </cell>
          <cell r="Z431" t="str">
            <v/>
          </cell>
          <cell r="AA431" t="str">
            <v>(456) 643-1307</v>
          </cell>
          <cell r="AB431" t="str">
            <v xml:space="preserve">      EFE</v>
          </cell>
          <cell r="AC431" t="str">
            <v>R-0564</v>
          </cell>
          <cell r="AD431" t="str">
            <v/>
          </cell>
          <cell r="AE431" t="str">
            <v/>
          </cell>
          <cell r="AF431" t="str">
            <v/>
          </cell>
          <cell r="AG431">
            <v>41852</v>
          </cell>
          <cell r="AH431" t="str">
            <v>N</v>
          </cell>
          <cell r="AI431">
            <v>0</v>
          </cell>
          <cell r="AJ431">
            <v>0</v>
          </cell>
          <cell r="AK431">
            <v>0</v>
          </cell>
          <cell r="AL431">
            <v>560</v>
          </cell>
          <cell r="AM431">
            <v>2760</v>
          </cell>
          <cell r="AN431">
            <v>0</v>
          </cell>
        </row>
        <row r="432">
          <cell r="A432">
            <v>2333</v>
          </cell>
          <cell r="B432" t="str">
            <v>DOMINGA LABRADA CABRERA (JUVENTINO ROSAS)</v>
          </cell>
          <cell r="C432" t="str">
            <v/>
          </cell>
          <cell r="D432" t="str">
            <v>AV. LOPEZ MATEOS #102</v>
          </cell>
          <cell r="E432" t="str">
            <v>JUVENTINO ROSAS, GTO.</v>
          </cell>
          <cell r="F432" t="str">
            <v/>
          </cell>
          <cell r="G432" t="str">
            <v>(412) 157-6986</v>
          </cell>
          <cell r="H432" t="str">
            <v>DOMINGA LABRADA C.</v>
          </cell>
          <cell r="I432" t="str">
            <v>DOMINGA LABRADA C.</v>
          </cell>
          <cell r="J432" t="str">
            <v>F04</v>
          </cell>
          <cell r="K432" t="str">
            <v/>
          </cell>
          <cell r="L432">
            <v>0</v>
          </cell>
          <cell r="M432">
            <v>441</v>
          </cell>
          <cell r="N432" t="str">
            <v>A</v>
          </cell>
          <cell r="O432">
            <v>42518</v>
          </cell>
          <cell r="P432" t="str">
            <v xml:space="preserve">    3</v>
          </cell>
          <cell r="Q432">
            <v>0</v>
          </cell>
          <cell r="R432">
            <v>0</v>
          </cell>
          <cell r="S432">
            <v>8232</v>
          </cell>
          <cell r="T432">
            <v>184038</v>
          </cell>
          <cell r="U432">
            <v>0</v>
          </cell>
          <cell r="V432" t="str">
            <v>CENTRO</v>
          </cell>
          <cell r="W432" t="str">
            <v>(461) 195-2382PROVIDENCIA</v>
          </cell>
          <cell r="X432" t="str">
            <v>hazeltve@hotmail.com</v>
          </cell>
          <cell r="Y432" t="str">
            <v/>
          </cell>
          <cell r="Z432" t="str">
            <v/>
          </cell>
          <cell r="AA432" t="str">
            <v>(412) 157-6986</v>
          </cell>
          <cell r="AB432" t="str">
            <v xml:space="preserve">  DEV-309</v>
          </cell>
          <cell r="AC432" t="str">
            <v>F538</v>
          </cell>
          <cell r="AD432" t="str">
            <v/>
          </cell>
          <cell r="AE432" t="str">
            <v/>
          </cell>
          <cell r="AF432" t="str">
            <v/>
          </cell>
          <cell r="AG432">
            <v>42293</v>
          </cell>
          <cell r="AH432" t="str">
            <v>N</v>
          </cell>
          <cell r="AI432">
            <v>0</v>
          </cell>
          <cell r="AJ432">
            <v>0</v>
          </cell>
          <cell r="AK432">
            <v>0</v>
          </cell>
          <cell r="AL432">
            <v>349</v>
          </cell>
          <cell r="AM432">
            <v>2993</v>
          </cell>
          <cell r="AN432">
            <v>0</v>
          </cell>
        </row>
        <row r="433">
          <cell r="A433">
            <v>2334</v>
          </cell>
          <cell r="B433" t="str">
            <v>MA. MAGDALENA MOSQUEDA SAAVEDRA (VILLA GRAN)</v>
          </cell>
          <cell r="C433" t="str">
            <v/>
          </cell>
          <cell r="D433" t="str">
            <v>JUAREZ #103</v>
          </cell>
          <cell r="E433" t="str">
            <v>VILLAGRAN, GTO.</v>
          </cell>
          <cell r="F433" t="str">
            <v/>
          </cell>
          <cell r="G433" t="str">
            <v>(461) 219-9354</v>
          </cell>
          <cell r="H433" t="str">
            <v>MAGDALENA MOSQUEDA</v>
          </cell>
          <cell r="I433" t="str">
            <v>MAGDALENA MOSQUEDA</v>
          </cell>
          <cell r="J433" t="str">
            <v>F04</v>
          </cell>
          <cell r="K433" t="str">
            <v/>
          </cell>
          <cell r="L433">
            <v>0</v>
          </cell>
          <cell r="M433">
            <v>442</v>
          </cell>
          <cell r="N433" t="str">
            <v>A</v>
          </cell>
          <cell r="O433">
            <v>42518</v>
          </cell>
          <cell r="P433" t="str">
            <v xml:space="preserve">   13</v>
          </cell>
          <cell r="Q433">
            <v>0</v>
          </cell>
          <cell r="R433">
            <v>0</v>
          </cell>
          <cell r="S433">
            <v>2987</v>
          </cell>
          <cell r="T433">
            <v>96315.5</v>
          </cell>
          <cell r="U433">
            <v>0</v>
          </cell>
          <cell r="V433" t="str">
            <v>CENTRO</v>
          </cell>
          <cell r="W433" t="str">
            <v>72*1006178*1</v>
          </cell>
          <cell r="X433" t="str">
            <v>beba37@hotmail.com</v>
          </cell>
          <cell r="Y433" t="str">
            <v/>
          </cell>
          <cell r="Z433" t="str">
            <v/>
          </cell>
          <cell r="AA433" t="str">
            <v>(461) 219-9354</v>
          </cell>
          <cell r="AB433" t="str">
            <v xml:space="preserve">      EFE</v>
          </cell>
          <cell r="AC433" t="str">
            <v>R-1095</v>
          </cell>
          <cell r="AD433" t="str">
            <v/>
          </cell>
          <cell r="AE433" t="str">
            <v/>
          </cell>
          <cell r="AF433" t="str">
            <v/>
          </cell>
          <cell r="AG433">
            <v>41852</v>
          </cell>
          <cell r="AH433" t="str">
            <v>N</v>
          </cell>
          <cell r="AI433">
            <v>0</v>
          </cell>
          <cell r="AJ433">
            <v>0</v>
          </cell>
          <cell r="AK433">
            <v>0</v>
          </cell>
          <cell r="AL433">
            <v>2910</v>
          </cell>
          <cell r="AM433">
            <v>1817</v>
          </cell>
          <cell r="AN433">
            <v>0</v>
          </cell>
        </row>
        <row r="434">
          <cell r="A434">
            <v>2335</v>
          </cell>
          <cell r="B434" t="str">
            <v>MARCO ANTONIO NAVA (TEZONTEPEC)</v>
          </cell>
          <cell r="C434" t="str">
            <v/>
          </cell>
          <cell r="D434" t="str">
            <v>AV. JUAN ALDAMA #26</v>
          </cell>
          <cell r="E434" t="str">
            <v>TEZONTEPEC, HGO.</v>
          </cell>
          <cell r="F434" t="str">
            <v/>
          </cell>
          <cell r="G434" t="str">
            <v>(773) 120-4734</v>
          </cell>
          <cell r="H434" t="str">
            <v>MARCO ANTONIO NAVA</v>
          </cell>
          <cell r="I434" t="str">
            <v>MARCO ANTONIO NAV</v>
          </cell>
          <cell r="J434" t="str">
            <v>F02</v>
          </cell>
          <cell r="K434" t="str">
            <v/>
          </cell>
          <cell r="L434">
            <v>0</v>
          </cell>
          <cell r="M434">
            <v>443</v>
          </cell>
          <cell r="N434" t="str">
            <v>A</v>
          </cell>
          <cell r="O434">
            <v>42325</v>
          </cell>
          <cell r="P434" t="str">
            <v xml:space="preserve">    1</v>
          </cell>
          <cell r="Q434">
            <v>0</v>
          </cell>
          <cell r="R434">
            <v>0</v>
          </cell>
          <cell r="S434">
            <v>0</v>
          </cell>
          <cell r="T434">
            <v>13001</v>
          </cell>
          <cell r="U434">
            <v>0</v>
          </cell>
          <cell r="V434" t="str">
            <v>CENTRO</v>
          </cell>
          <cell r="W434" t="str">
            <v/>
          </cell>
          <cell r="X434" t="str">
            <v/>
          </cell>
          <cell r="Y434" t="str">
            <v/>
          </cell>
          <cell r="Z434" t="str">
            <v/>
          </cell>
          <cell r="AA434" t="str">
            <v>(773) 120-4734</v>
          </cell>
          <cell r="AB434" t="str">
            <v/>
          </cell>
          <cell r="AC434" t="str">
            <v>F432</v>
          </cell>
          <cell r="AD434" t="str">
            <v/>
          </cell>
          <cell r="AE434" t="str">
            <v/>
          </cell>
          <cell r="AF434" t="str">
            <v/>
          </cell>
          <cell r="AH434" t="str">
            <v>N</v>
          </cell>
          <cell r="AI434">
            <v>0</v>
          </cell>
          <cell r="AJ434">
            <v>0</v>
          </cell>
          <cell r="AK434">
            <v>0</v>
          </cell>
          <cell r="AL434">
            <v>0</v>
          </cell>
          <cell r="AM434">
            <v>1745</v>
          </cell>
          <cell r="AN434">
            <v>0</v>
          </cell>
        </row>
        <row r="435">
          <cell r="A435">
            <v>2336</v>
          </cell>
          <cell r="B435" t="str">
            <v>NATALIA RIVERA (QUERETARO)</v>
          </cell>
          <cell r="C435" t="str">
            <v/>
          </cell>
          <cell r="D435" t="str">
            <v>MERCADO ESCOBEDO LOC. 41 Y 42</v>
          </cell>
          <cell r="E435" t="str">
            <v>QUERETARO, QRO.</v>
          </cell>
          <cell r="F435" t="str">
            <v/>
          </cell>
          <cell r="G435" t="str">
            <v>(442) 146-9979</v>
          </cell>
          <cell r="H435" t="str">
            <v>MATALIA RIVERA</v>
          </cell>
          <cell r="I435" t="str">
            <v>MATALIA RIVERA</v>
          </cell>
          <cell r="J435" t="str">
            <v>BAJA</v>
          </cell>
          <cell r="K435" t="str">
            <v/>
          </cell>
          <cell r="L435">
            <v>0</v>
          </cell>
          <cell r="M435">
            <v>444</v>
          </cell>
          <cell r="N435" t="str">
            <v>A</v>
          </cell>
          <cell r="O435">
            <v>41613</v>
          </cell>
          <cell r="P435" t="str">
            <v xml:space="preserve">   13</v>
          </cell>
          <cell r="Q435">
            <v>0</v>
          </cell>
          <cell r="R435">
            <v>0</v>
          </cell>
          <cell r="S435">
            <v>0</v>
          </cell>
          <cell r="T435">
            <v>2613</v>
          </cell>
          <cell r="U435">
            <v>0</v>
          </cell>
          <cell r="V435" t="str">
            <v>CENTRO</v>
          </cell>
          <cell r="W435" t="str">
            <v/>
          </cell>
          <cell r="X435" t="str">
            <v/>
          </cell>
          <cell r="Y435" t="str">
            <v/>
          </cell>
          <cell r="Z435" t="str">
            <v/>
          </cell>
          <cell r="AA435" t="str">
            <v>(442) 146-9979</v>
          </cell>
          <cell r="AB435" t="str">
            <v/>
          </cell>
          <cell r="AC435" t="str">
            <v>R-0498</v>
          </cell>
          <cell r="AD435" t="str">
            <v/>
          </cell>
          <cell r="AE435" t="str">
            <v/>
          </cell>
          <cell r="AF435" t="str">
            <v/>
          </cell>
          <cell r="AH435" t="str">
            <v>N</v>
          </cell>
          <cell r="AI435">
            <v>0</v>
          </cell>
          <cell r="AJ435">
            <v>0</v>
          </cell>
          <cell r="AK435">
            <v>0</v>
          </cell>
          <cell r="AL435">
            <v>0</v>
          </cell>
          <cell r="AM435">
            <v>2211</v>
          </cell>
          <cell r="AN435">
            <v>0</v>
          </cell>
        </row>
        <row r="436">
          <cell r="A436">
            <v>2337</v>
          </cell>
          <cell r="B436" t="str">
            <v>ANGELICA LABRADA CABRERA (JUVENTINO ROSAS)</v>
          </cell>
          <cell r="C436" t="str">
            <v/>
          </cell>
          <cell r="D436" t="str">
            <v>GUSTAVO CABRERA #103</v>
          </cell>
          <cell r="E436" t="str">
            <v>JUVENTINO ROSAS, GTO.</v>
          </cell>
          <cell r="F436" t="str">
            <v/>
          </cell>
          <cell r="G436" t="str">
            <v>(412) 157-6987</v>
          </cell>
          <cell r="H436" t="str">
            <v>ANGELICA LABRADA C.</v>
          </cell>
          <cell r="I436" t="str">
            <v>ANGELICA LABRADA C.</v>
          </cell>
          <cell r="J436" t="str">
            <v>F04</v>
          </cell>
          <cell r="K436" t="str">
            <v/>
          </cell>
          <cell r="L436">
            <v>0</v>
          </cell>
          <cell r="M436">
            <v>445</v>
          </cell>
          <cell r="N436" t="str">
            <v>A</v>
          </cell>
          <cell r="O436">
            <v>42469</v>
          </cell>
          <cell r="P436" t="str">
            <v xml:space="preserve">   13</v>
          </cell>
          <cell r="Q436">
            <v>0</v>
          </cell>
          <cell r="R436">
            <v>0</v>
          </cell>
          <cell r="S436">
            <v>2511</v>
          </cell>
          <cell r="T436">
            <v>38915</v>
          </cell>
          <cell r="U436">
            <v>0</v>
          </cell>
          <cell r="V436" t="str">
            <v>CENTRO</v>
          </cell>
          <cell r="W436" t="str">
            <v/>
          </cell>
          <cell r="X436" t="str">
            <v/>
          </cell>
          <cell r="Y436" t="str">
            <v/>
          </cell>
          <cell r="Z436" t="str">
            <v/>
          </cell>
          <cell r="AA436" t="str">
            <v>(412) 157-6987</v>
          </cell>
          <cell r="AB436" t="str">
            <v xml:space="preserve">   435760</v>
          </cell>
          <cell r="AC436" t="str">
            <v>F0308</v>
          </cell>
          <cell r="AD436" t="str">
            <v/>
          </cell>
          <cell r="AE436" t="str">
            <v/>
          </cell>
          <cell r="AF436" t="str">
            <v/>
          </cell>
          <cell r="AG436">
            <v>41852</v>
          </cell>
          <cell r="AH436" t="str">
            <v>N</v>
          </cell>
          <cell r="AI436">
            <v>0</v>
          </cell>
          <cell r="AJ436">
            <v>0</v>
          </cell>
          <cell r="AK436">
            <v>0</v>
          </cell>
          <cell r="AL436">
            <v>800</v>
          </cell>
          <cell r="AM436">
            <v>4211</v>
          </cell>
          <cell r="AN436">
            <v>0</v>
          </cell>
        </row>
        <row r="437">
          <cell r="A437">
            <v>2338</v>
          </cell>
          <cell r="B437" t="str">
            <v>MARICELA PEREZ YAÑEZ (AMEALCO)</v>
          </cell>
          <cell r="C437" t="str">
            <v/>
          </cell>
          <cell r="D437" t="str">
            <v/>
          </cell>
          <cell r="E437" t="str">
            <v>AMEALCO, QRO.</v>
          </cell>
          <cell r="F437" t="str">
            <v/>
          </cell>
          <cell r="G437" t="str">
            <v/>
          </cell>
          <cell r="H437" t="str">
            <v>MARICELA PEREZ YAÑEZ</v>
          </cell>
          <cell r="I437" t="str">
            <v>MARICELA PEREZ YAÑEZ</v>
          </cell>
          <cell r="J437" t="str">
            <v>L06P</v>
          </cell>
          <cell r="K437" t="str">
            <v/>
          </cell>
          <cell r="L437">
            <v>0</v>
          </cell>
          <cell r="M437">
            <v>446</v>
          </cell>
          <cell r="N437" t="str">
            <v>A</v>
          </cell>
          <cell r="O437">
            <v>41893</v>
          </cell>
          <cell r="P437" t="str">
            <v xml:space="preserve">   97</v>
          </cell>
          <cell r="Q437">
            <v>0</v>
          </cell>
          <cell r="R437">
            <v>0</v>
          </cell>
          <cell r="S437">
            <v>0</v>
          </cell>
          <cell r="T437">
            <v>1946</v>
          </cell>
          <cell r="U437">
            <v>0</v>
          </cell>
          <cell r="V437" t="str">
            <v/>
          </cell>
          <cell r="W437" t="str">
            <v/>
          </cell>
          <cell r="X437" t="str">
            <v/>
          </cell>
          <cell r="Y437" t="str">
            <v/>
          </cell>
          <cell r="Z437" t="str">
            <v/>
          </cell>
          <cell r="AA437" t="str">
            <v/>
          </cell>
          <cell r="AB437" t="str">
            <v/>
          </cell>
          <cell r="AC437" t="str">
            <v>L0496</v>
          </cell>
          <cell r="AD437" t="str">
            <v/>
          </cell>
          <cell r="AE437" t="str">
            <v/>
          </cell>
          <cell r="AF437" t="str">
            <v/>
          </cell>
          <cell r="AH437" t="str">
            <v>N</v>
          </cell>
          <cell r="AI437">
            <v>0</v>
          </cell>
          <cell r="AJ437">
            <v>0</v>
          </cell>
          <cell r="AK437">
            <v>0</v>
          </cell>
          <cell r="AL437">
            <v>0</v>
          </cell>
          <cell r="AM437">
            <v>150</v>
          </cell>
          <cell r="AN437">
            <v>0</v>
          </cell>
        </row>
        <row r="438">
          <cell r="A438">
            <v>2339</v>
          </cell>
          <cell r="B438" t="str">
            <v>MARIA AGUILAR "NOVEDADES AGUILAR" (QUERETARO)</v>
          </cell>
          <cell r="C438" t="str">
            <v/>
          </cell>
          <cell r="D438" t="str">
            <v>PASILLO 3 LOC. 85-78-79 MERCADO ESCOBEDO</v>
          </cell>
          <cell r="E438" t="str">
            <v>QUERETARO, QRO.</v>
          </cell>
          <cell r="F438" t="str">
            <v/>
          </cell>
          <cell r="G438" t="str">
            <v>(442) 379-2297 CEL.</v>
          </cell>
          <cell r="H438" t="str">
            <v>MARIA AGUILAR</v>
          </cell>
          <cell r="I438" t="str">
            <v>MARIA AGUILAR</v>
          </cell>
          <cell r="J438" t="str">
            <v>L04</v>
          </cell>
          <cell r="K438" t="str">
            <v/>
          </cell>
          <cell r="L438">
            <v>0</v>
          </cell>
          <cell r="M438">
            <v>447</v>
          </cell>
          <cell r="N438" t="str">
            <v>A</v>
          </cell>
          <cell r="O438">
            <v>42342</v>
          </cell>
          <cell r="P438" t="str">
            <v xml:space="preserve">    3</v>
          </cell>
          <cell r="Q438">
            <v>0</v>
          </cell>
          <cell r="R438">
            <v>0</v>
          </cell>
          <cell r="S438">
            <v>4856</v>
          </cell>
          <cell r="T438">
            <v>30695</v>
          </cell>
          <cell r="U438">
            <v>0</v>
          </cell>
          <cell r="V438" t="str">
            <v>CENTRO</v>
          </cell>
          <cell r="W438" t="str">
            <v>(442) 217-8472 CASA</v>
          </cell>
          <cell r="X438" t="str">
            <v/>
          </cell>
          <cell r="Y438" t="str">
            <v/>
          </cell>
          <cell r="Z438" t="str">
            <v/>
          </cell>
          <cell r="AA438" t="str">
            <v>(442) 379-2297 CEL.</v>
          </cell>
          <cell r="AB438" t="str">
            <v/>
          </cell>
          <cell r="AC438" t="str">
            <v>R-0967</v>
          </cell>
          <cell r="AD438" t="str">
            <v/>
          </cell>
          <cell r="AE438" t="str">
            <v/>
          </cell>
          <cell r="AF438" t="str">
            <v/>
          </cell>
          <cell r="AH438" t="str">
            <v>N</v>
          </cell>
          <cell r="AI438">
            <v>0</v>
          </cell>
          <cell r="AJ438">
            <v>0</v>
          </cell>
          <cell r="AK438">
            <v>0</v>
          </cell>
          <cell r="AL438">
            <v>0</v>
          </cell>
          <cell r="AM438">
            <v>1650</v>
          </cell>
          <cell r="AN438">
            <v>0</v>
          </cell>
        </row>
        <row r="439">
          <cell r="A439">
            <v>2340</v>
          </cell>
          <cell r="B439" t="str">
            <v>ANA MARIA EUROZA (APAXCO)</v>
          </cell>
          <cell r="C439" t="str">
            <v/>
          </cell>
          <cell r="D439" t="str">
            <v>AV. HIDALGO #77</v>
          </cell>
          <cell r="E439" t="str">
            <v>APAXCO, EDO. DE MEXICO</v>
          </cell>
          <cell r="F439" t="str">
            <v/>
          </cell>
          <cell r="G439" t="str">
            <v>(599) 998-1077</v>
          </cell>
          <cell r="H439" t="str">
            <v>ANA MARIA EUROZA</v>
          </cell>
          <cell r="I439" t="str">
            <v>ANA MARIA EUROZA</v>
          </cell>
          <cell r="J439" t="str">
            <v>M04</v>
          </cell>
          <cell r="K439" t="str">
            <v/>
          </cell>
          <cell r="L439">
            <v>0</v>
          </cell>
          <cell r="M439">
            <v>448</v>
          </cell>
          <cell r="N439" t="str">
            <v>A</v>
          </cell>
          <cell r="O439">
            <v>41688</v>
          </cell>
          <cell r="P439" t="str">
            <v xml:space="preserve">    9</v>
          </cell>
          <cell r="Q439">
            <v>0</v>
          </cell>
          <cell r="R439">
            <v>0</v>
          </cell>
          <cell r="S439">
            <v>0</v>
          </cell>
          <cell r="T439">
            <v>5492</v>
          </cell>
          <cell r="U439">
            <v>0</v>
          </cell>
          <cell r="V439" t="str">
            <v>CENTRO</v>
          </cell>
          <cell r="W439" t="str">
            <v/>
          </cell>
          <cell r="X439" t="str">
            <v/>
          </cell>
          <cell r="Y439" t="str">
            <v/>
          </cell>
          <cell r="Z439" t="str">
            <v/>
          </cell>
          <cell r="AA439" t="str">
            <v>(599) 998-1077</v>
          </cell>
          <cell r="AB439" t="str">
            <v/>
          </cell>
          <cell r="AC439" t="str">
            <v>M034</v>
          </cell>
          <cell r="AD439" t="str">
            <v/>
          </cell>
          <cell r="AE439" t="str">
            <v/>
          </cell>
          <cell r="AF439" t="str">
            <v/>
          </cell>
          <cell r="AH439" t="str">
            <v>N</v>
          </cell>
          <cell r="AI439">
            <v>0</v>
          </cell>
          <cell r="AJ439">
            <v>0</v>
          </cell>
          <cell r="AK439">
            <v>0</v>
          </cell>
          <cell r="AL439">
            <v>0</v>
          </cell>
          <cell r="AM439">
            <v>3190</v>
          </cell>
          <cell r="AN439">
            <v>0</v>
          </cell>
        </row>
        <row r="440">
          <cell r="A440">
            <v>2341</v>
          </cell>
          <cell r="B440" t="str">
            <v>REGALOS Y NOVEDADES AIDE (QUERETARO)</v>
          </cell>
          <cell r="C440" t="str">
            <v/>
          </cell>
          <cell r="D440" t="str">
            <v>AV. DE LA LUZ #715</v>
          </cell>
          <cell r="E440" t="str">
            <v>QUERETARO, QRO.</v>
          </cell>
          <cell r="F440" t="str">
            <v>76116</v>
          </cell>
          <cell r="G440" t="str">
            <v>(442) 218-5999 CASA</v>
          </cell>
          <cell r="H440" t="str">
            <v/>
          </cell>
          <cell r="I440" t="str">
            <v/>
          </cell>
          <cell r="J440" t="str">
            <v>L04P</v>
          </cell>
          <cell r="K440" t="str">
            <v/>
          </cell>
          <cell r="L440">
            <v>0</v>
          </cell>
          <cell r="M440">
            <v>449</v>
          </cell>
          <cell r="N440" t="str">
            <v>A</v>
          </cell>
          <cell r="O440">
            <v>42391</v>
          </cell>
          <cell r="P440" t="str">
            <v xml:space="preserve">   97</v>
          </cell>
          <cell r="Q440">
            <v>0</v>
          </cell>
          <cell r="R440">
            <v>0</v>
          </cell>
          <cell r="S440">
            <v>0</v>
          </cell>
          <cell r="T440">
            <v>3958</v>
          </cell>
          <cell r="U440">
            <v>0</v>
          </cell>
          <cell r="V440" t="str">
            <v>EL GARAMBULLO</v>
          </cell>
          <cell r="W440" t="str">
            <v>(442) 397-1373 CEL</v>
          </cell>
          <cell r="X440" t="str">
            <v/>
          </cell>
          <cell r="Y440" t="str">
            <v/>
          </cell>
          <cell r="Z440" t="str">
            <v/>
          </cell>
          <cell r="AA440" t="str">
            <v>(442) 218-5999 CASA</v>
          </cell>
          <cell r="AB440" t="str">
            <v/>
          </cell>
          <cell r="AC440" t="str">
            <v>L841406</v>
          </cell>
          <cell r="AD440" t="str">
            <v/>
          </cell>
          <cell r="AE440" t="str">
            <v/>
          </cell>
          <cell r="AF440" t="str">
            <v/>
          </cell>
          <cell r="AH440" t="str">
            <v>N</v>
          </cell>
          <cell r="AI440">
            <v>0</v>
          </cell>
          <cell r="AJ440">
            <v>0</v>
          </cell>
          <cell r="AK440">
            <v>0</v>
          </cell>
          <cell r="AL440">
            <v>0</v>
          </cell>
          <cell r="AM440">
            <v>1708</v>
          </cell>
          <cell r="AN440">
            <v>0</v>
          </cell>
        </row>
        <row r="441">
          <cell r="A441">
            <v>2342</v>
          </cell>
          <cell r="B441" t="str">
            <v>RAUL AMADOR AMADOR (TLAXCOAPAN)</v>
          </cell>
          <cell r="C441" t="str">
            <v/>
          </cell>
          <cell r="D441" t="str">
            <v>AV. DEL TRABAJO S/N</v>
          </cell>
          <cell r="E441" t="str">
            <v>TLAXCOAPAN, HGO.</v>
          </cell>
          <cell r="F441" t="str">
            <v/>
          </cell>
          <cell r="G441" t="str">
            <v>(55) 2333-1945</v>
          </cell>
          <cell r="H441" t="str">
            <v>RAUL AMADOR AMADOR</v>
          </cell>
          <cell r="I441" t="str">
            <v>RAUL AMADOR AMADOR</v>
          </cell>
          <cell r="J441" t="str">
            <v>M04</v>
          </cell>
          <cell r="K441" t="str">
            <v/>
          </cell>
          <cell r="L441">
            <v>0</v>
          </cell>
          <cell r="M441">
            <v>450</v>
          </cell>
          <cell r="N441" t="str">
            <v>A</v>
          </cell>
          <cell r="O441">
            <v>41839</v>
          </cell>
          <cell r="P441" t="str">
            <v xml:space="preserve">    9</v>
          </cell>
          <cell r="Q441">
            <v>0</v>
          </cell>
          <cell r="R441">
            <v>0</v>
          </cell>
          <cell r="S441">
            <v>0</v>
          </cell>
          <cell r="T441">
            <v>31517</v>
          </cell>
          <cell r="U441">
            <v>0</v>
          </cell>
          <cell r="V441" t="str">
            <v>CENTRO</v>
          </cell>
          <cell r="W441" t="str">
            <v>(55) 2333-1945 CEL</v>
          </cell>
          <cell r="X441" t="str">
            <v>solitario_borre@hotmail.com</v>
          </cell>
          <cell r="Y441" t="str">
            <v/>
          </cell>
          <cell r="Z441" t="str">
            <v/>
          </cell>
          <cell r="AA441" t="str">
            <v>(55) 2333-1945</v>
          </cell>
          <cell r="AB441" t="str">
            <v/>
          </cell>
          <cell r="AC441" t="str">
            <v>M067</v>
          </cell>
          <cell r="AD441" t="str">
            <v/>
          </cell>
          <cell r="AE441" t="str">
            <v/>
          </cell>
          <cell r="AF441" t="str">
            <v/>
          </cell>
          <cell r="AH441" t="str">
            <v>N</v>
          </cell>
          <cell r="AI441">
            <v>0</v>
          </cell>
          <cell r="AJ441">
            <v>0</v>
          </cell>
          <cell r="AK441">
            <v>0</v>
          </cell>
          <cell r="AL441">
            <v>0</v>
          </cell>
          <cell r="AM441">
            <v>2050</v>
          </cell>
          <cell r="AN441">
            <v>0</v>
          </cell>
        </row>
        <row r="442">
          <cell r="A442">
            <v>2343</v>
          </cell>
          <cell r="B442" t="str">
            <v>ANGELICA ARZATI FLORES (CORTAZAR)</v>
          </cell>
          <cell r="C442" t="str">
            <v/>
          </cell>
          <cell r="D442" t="str">
            <v>SOR JUANA #105A</v>
          </cell>
          <cell r="E442" t="str">
            <v>CORTAZAR, GTO.</v>
          </cell>
          <cell r="F442" t="str">
            <v/>
          </cell>
          <cell r="G442" t="str">
            <v>(411) 160-1764</v>
          </cell>
          <cell r="H442" t="str">
            <v/>
          </cell>
          <cell r="I442" t="str">
            <v/>
          </cell>
          <cell r="J442" t="str">
            <v>F04</v>
          </cell>
          <cell r="K442" t="str">
            <v/>
          </cell>
          <cell r="L442">
            <v>0</v>
          </cell>
          <cell r="M442">
            <v>452</v>
          </cell>
          <cell r="N442" t="str">
            <v>A</v>
          </cell>
          <cell r="O442">
            <v>41732</v>
          </cell>
          <cell r="P442" t="str">
            <v xml:space="preserve">    3</v>
          </cell>
          <cell r="Q442">
            <v>0</v>
          </cell>
          <cell r="R442">
            <v>0</v>
          </cell>
          <cell r="S442">
            <v>0</v>
          </cell>
          <cell r="T442">
            <v>7694</v>
          </cell>
          <cell r="U442">
            <v>0</v>
          </cell>
          <cell r="V442" t="str">
            <v>CENTRO</v>
          </cell>
          <cell r="W442" t="str">
            <v/>
          </cell>
          <cell r="X442" t="str">
            <v/>
          </cell>
          <cell r="Y442" t="str">
            <v/>
          </cell>
          <cell r="Z442" t="str">
            <v/>
          </cell>
          <cell r="AA442" t="str">
            <v>(411) 160-1764</v>
          </cell>
          <cell r="AB442" t="str">
            <v xml:space="preserve">  DEV-200</v>
          </cell>
          <cell r="AC442" t="str">
            <v xml:space="preserve">    200</v>
          </cell>
          <cell r="AD442" t="str">
            <v/>
          </cell>
          <cell r="AE442" t="str">
            <v/>
          </cell>
          <cell r="AF442" t="str">
            <v/>
          </cell>
          <cell r="AG442">
            <v>41732</v>
          </cell>
          <cell r="AH442" t="str">
            <v>N</v>
          </cell>
          <cell r="AI442">
            <v>0</v>
          </cell>
          <cell r="AJ442">
            <v>0</v>
          </cell>
          <cell r="AK442">
            <v>0</v>
          </cell>
          <cell r="AL442">
            <v>980</v>
          </cell>
          <cell r="AM442">
            <v>980</v>
          </cell>
          <cell r="AN442">
            <v>0</v>
          </cell>
        </row>
        <row r="443">
          <cell r="A443">
            <v>2344</v>
          </cell>
          <cell r="B443" t="str">
            <v>SARA LUNA MORENO (QUERETARO)</v>
          </cell>
          <cell r="C443" t="str">
            <v/>
          </cell>
          <cell r="D443" t="str">
            <v>MERCADO DE LA CRUZ LOCAL 7</v>
          </cell>
          <cell r="E443" t="str">
            <v>QUERETARO, QRO.</v>
          </cell>
          <cell r="F443" t="str">
            <v/>
          </cell>
          <cell r="G443" t="str">
            <v>4422127823</v>
          </cell>
          <cell r="H443" t="str">
            <v/>
          </cell>
          <cell r="I443" t="str">
            <v/>
          </cell>
          <cell r="J443" t="str">
            <v>BAJA</v>
          </cell>
          <cell r="K443" t="str">
            <v/>
          </cell>
          <cell r="L443">
            <v>0</v>
          </cell>
          <cell r="M443">
            <v>453</v>
          </cell>
          <cell r="N443" t="str">
            <v>A</v>
          </cell>
          <cell r="O443">
            <v>41691</v>
          </cell>
          <cell r="P443" t="str">
            <v xml:space="preserve">    1</v>
          </cell>
          <cell r="Q443">
            <v>0</v>
          </cell>
          <cell r="R443">
            <v>0</v>
          </cell>
          <cell r="S443">
            <v>0</v>
          </cell>
          <cell r="T443">
            <v>413</v>
          </cell>
          <cell r="U443">
            <v>0</v>
          </cell>
          <cell r="V443" t="str">
            <v/>
          </cell>
          <cell r="W443" t="str">
            <v/>
          </cell>
          <cell r="X443" t="str">
            <v/>
          </cell>
          <cell r="Y443" t="str">
            <v/>
          </cell>
          <cell r="Z443" t="str">
            <v/>
          </cell>
          <cell r="AA443" t="str">
            <v>4422127823</v>
          </cell>
          <cell r="AB443" t="str">
            <v/>
          </cell>
          <cell r="AC443" t="str">
            <v>F0263</v>
          </cell>
          <cell r="AD443" t="str">
            <v/>
          </cell>
          <cell r="AE443" t="str">
            <v/>
          </cell>
          <cell r="AF443" t="str">
            <v/>
          </cell>
          <cell r="AH443" t="str">
            <v>N</v>
          </cell>
          <cell r="AI443">
            <v>0</v>
          </cell>
          <cell r="AJ443">
            <v>0</v>
          </cell>
          <cell r="AK443">
            <v>0</v>
          </cell>
          <cell r="AL443">
            <v>0</v>
          </cell>
          <cell r="AM443">
            <v>413</v>
          </cell>
          <cell r="AN443">
            <v>0</v>
          </cell>
        </row>
        <row r="444">
          <cell r="A444">
            <v>2345</v>
          </cell>
          <cell r="B444" t="str">
            <v>OFELIA ARCOS PEREZ (CORONEO)</v>
          </cell>
          <cell r="C444" t="str">
            <v/>
          </cell>
          <cell r="D444" t="str">
            <v>MERCADO CORONEO LOC. 31</v>
          </cell>
          <cell r="E444" t="str">
            <v>CORONEO, GTO.</v>
          </cell>
          <cell r="F444" t="str">
            <v/>
          </cell>
          <cell r="G444" t="str">
            <v>(421) 105-7183 CEL</v>
          </cell>
          <cell r="H444" t="str">
            <v/>
          </cell>
          <cell r="I444" t="str">
            <v/>
          </cell>
          <cell r="J444" t="str">
            <v>0</v>
          </cell>
          <cell r="K444" t="str">
            <v/>
          </cell>
          <cell r="L444">
            <v>0</v>
          </cell>
          <cell r="M444">
            <v>454</v>
          </cell>
          <cell r="N444" t="str">
            <v>A</v>
          </cell>
          <cell r="O444">
            <v>42406</v>
          </cell>
          <cell r="P444" t="str">
            <v xml:space="preserve">    1</v>
          </cell>
          <cell r="Q444">
            <v>0</v>
          </cell>
          <cell r="R444">
            <v>0</v>
          </cell>
          <cell r="S444">
            <v>1000</v>
          </cell>
          <cell r="T444">
            <v>30796</v>
          </cell>
          <cell r="U444">
            <v>0</v>
          </cell>
          <cell r="V444" t="str">
            <v>CENTRO</v>
          </cell>
          <cell r="W444" t="str">
            <v>(421) 473-0609 CASA</v>
          </cell>
          <cell r="X444" t="str">
            <v/>
          </cell>
          <cell r="Y444" t="str">
            <v/>
          </cell>
          <cell r="Z444" t="str">
            <v/>
          </cell>
          <cell r="AA444" t="str">
            <v>(421) 105-7183 CEL</v>
          </cell>
          <cell r="AB444" t="str">
            <v xml:space="preserve">  DEV-269</v>
          </cell>
          <cell r="AC444" t="str">
            <v>J165861</v>
          </cell>
          <cell r="AD444" t="str">
            <v/>
          </cell>
          <cell r="AE444" t="str">
            <v/>
          </cell>
          <cell r="AF444" t="str">
            <v/>
          </cell>
          <cell r="AG444">
            <v>42101</v>
          </cell>
          <cell r="AH444" t="str">
            <v>N</v>
          </cell>
          <cell r="AI444">
            <v>0</v>
          </cell>
          <cell r="AJ444">
            <v>0</v>
          </cell>
          <cell r="AK444">
            <v>0</v>
          </cell>
          <cell r="AL444">
            <v>185</v>
          </cell>
          <cell r="AM444">
            <v>1710</v>
          </cell>
          <cell r="AN444">
            <v>0</v>
          </cell>
        </row>
        <row r="445">
          <cell r="A445">
            <v>2346</v>
          </cell>
          <cell r="B445" t="str">
            <v>CLAUDIA BECERRA (QUERETARO)</v>
          </cell>
          <cell r="C445" t="str">
            <v/>
          </cell>
          <cell r="D445" t="str">
            <v>MERCADO DE LA CRUZ LOCAL 10</v>
          </cell>
          <cell r="E445" t="str">
            <v>QUERETARO, QRO.</v>
          </cell>
          <cell r="F445" t="str">
            <v/>
          </cell>
          <cell r="G445" t="str">
            <v>(442) 212-7823</v>
          </cell>
          <cell r="H445" t="str">
            <v>CLAUDIA</v>
          </cell>
          <cell r="I445" t="str">
            <v>CLAUDIA</v>
          </cell>
          <cell r="J445" t="str">
            <v>L04</v>
          </cell>
          <cell r="K445" t="str">
            <v/>
          </cell>
          <cell r="L445">
            <v>0</v>
          </cell>
          <cell r="M445">
            <v>455</v>
          </cell>
          <cell r="N445" t="str">
            <v>A</v>
          </cell>
          <cell r="O445">
            <v>41710</v>
          </cell>
          <cell r="P445" t="str">
            <v xml:space="preserve">    1</v>
          </cell>
          <cell r="Q445">
            <v>0</v>
          </cell>
          <cell r="R445">
            <v>0</v>
          </cell>
          <cell r="S445">
            <v>0</v>
          </cell>
          <cell r="T445">
            <v>3996</v>
          </cell>
          <cell r="U445">
            <v>0</v>
          </cell>
          <cell r="V445" t="str">
            <v/>
          </cell>
          <cell r="W445" t="str">
            <v/>
          </cell>
          <cell r="X445" t="str">
            <v/>
          </cell>
          <cell r="Y445" t="str">
            <v/>
          </cell>
          <cell r="Z445" t="str">
            <v/>
          </cell>
          <cell r="AA445" t="str">
            <v>(442) 212-7823</v>
          </cell>
          <cell r="AB445" t="str">
            <v/>
          </cell>
          <cell r="AC445" t="str">
            <v>R0463</v>
          </cell>
          <cell r="AD445" t="str">
            <v/>
          </cell>
          <cell r="AE445" t="str">
            <v/>
          </cell>
          <cell r="AF445" t="str">
            <v/>
          </cell>
          <cell r="AH445" t="str">
            <v>N</v>
          </cell>
          <cell r="AI445">
            <v>0</v>
          </cell>
          <cell r="AJ445">
            <v>0</v>
          </cell>
          <cell r="AK445">
            <v>0</v>
          </cell>
          <cell r="AL445">
            <v>0</v>
          </cell>
          <cell r="AM445">
            <v>3996</v>
          </cell>
          <cell r="AN445">
            <v>0</v>
          </cell>
        </row>
        <row r="446">
          <cell r="A446">
            <v>2347</v>
          </cell>
          <cell r="B446" t="str">
            <v>ANGEL SOLANO "MI ANGELITO" (ROMERO)</v>
          </cell>
          <cell r="C446" t="str">
            <v/>
          </cell>
          <cell r="D446" t="str">
            <v>MERCADO CUAUTITLAN LOC. ZONA 287</v>
          </cell>
          <cell r="E446" t="str">
            <v>CUAUTITLAN, EDO. DE MEXICO</v>
          </cell>
          <cell r="F446" t="str">
            <v/>
          </cell>
          <cell r="G446" t="str">
            <v>(55) 5872-5750</v>
          </cell>
          <cell r="H446" t="str">
            <v>ANGEL SOLANO</v>
          </cell>
          <cell r="I446" t="str">
            <v>ANGEL SOLANO</v>
          </cell>
          <cell r="J446" t="str">
            <v>M01</v>
          </cell>
          <cell r="K446" t="str">
            <v/>
          </cell>
          <cell r="L446">
            <v>0</v>
          </cell>
          <cell r="M446">
            <v>456</v>
          </cell>
          <cell r="N446" t="str">
            <v>A</v>
          </cell>
          <cell r="O446">
            <v>41809</v>
          </cell>
          <cell r="P446" t="str">
            <v xml:space="preserve">    9</v>
          </cell>
          <cell r="Q446">
            <v>0</v>
          </cell>
          <cell r="R446">
            <v>0</v>
          </cell>
          <cell r="S446">
            <v>0</v>
          </cell>
          <cell r="T446">
            <v>2821</v>
          </cell>
          <cell r="U446">
            <v>0</v>
          </cell>
          <cell r="V446" t="str">
            <v>ROMERO RUBIO</v>
          </cell>
          <cell r="W446" t="str">
            <v/>
          </cell>
          <cell r="X446" t="str">
            <v/>
          </cell>
          <cell r="Y446" t="str">
            <v/>
          </cell>
          <cell r="Z446" t="str">
            <v/>
          </cell>
          <cell r="AA446" t="str">
            <v>(55) 5872-5750</v>
          </cell>
          <cell r="AB446" t="str">
            <v/>
          </cell>
          <cell r="AC446" t="str">
            <v>R-0658</v>
          </cell>
          <cell r="AD446" t="str">
            <v/>
          </cell>
          <cell r="AE446" t="str">
            <v/>
          </cell>
          <cell r="AF446" t="str">
            <v/>
          </cell>
          <cell r="AH446" t="str">
            <v>N</v>
          </cell>
          <cell r="AI446">
            <v>0</v>
          </cell>
          <cell r="AJ446">
            <v>0</v>
          </cell>
          <cell r="AK446">
            <v>0</v>
          </cell>
          <cell r="AL446">
            <v>0</v>
          </cell>
          <cell r="AM446">
            <v>176</v>
          </cell>
          <cell r="AN446">
            <v>0</v>
          </cell>
        </row>
        <row r="447">
          <cell r="A447">
            <v>2348</v>
          </cell>
          <cell r="B447" t="str">
            <v>PEDRO ARGUETA GONZALEZ (ACAMBARO)</v>
          </cell>
          <cell r="C447" t="str">
            <v/>
          </cell>
          <cell r="D447" t="str">
            <v>ABASOLO #54-B</v>
          </cell>
          <cell r="E447" t="str">
            <v>ACAMBARO, GTO.</v>
          </cell>
          <cell r="F447" t="str">
            <v>38600</v>
          </cell>
          <cell r="G447" t="str">
            <v>(417) 172-1589</v>
          </cell>
          <cell r="H447" t="str">
            <v>PEDRO ARGUETA</v>
          </cell>
          <cell r="I447" t="str">
            <v>PEDRO ARGUETA</v>
          </cell>
          <cell r="J447" t="str">
            <v>J06</v>
          </cell>
          <cell r="K447" t="str">
            <v/>
          </cell>
          <cell r="L447">
            <v>0</v>
          </cell>
          <cell r="M447">
            <v>457</v>
          </cell>
          <cell r="N447" t="str">
            <v>A</v>
          </cell>
          <cell r="O447">
            <v>41719</v>
          </cell>
          <cell r="P447" t="str">
            <v xml:space="preserve">    1</v>
          </cell>
          <cell r="Q447">
            <v>0</v>
          </cell>
          <cell r="R447">
            <v>0</v>
          </cell>
          <cell r="S447">
            <v>0</v>
          </cell>
          <cell r="T447">
            <v>1210</v>
          </cell>
          <cell r="U447">
            <v>0</v>
          </cell>
          <cell r="V447" t="str">
            <v>CENTRO</v>
          </cell>
          <cell r="W447" t="str">
            <v/>
          </cell>
          <cell r="X447" t="str">
            <v/>
          </cell>
          <cell r="Y447" t="str">
            <v/>
          </cell>
          <cell r="Z447" t="str">
            <v/>
          </cell>
          <cell r="AA447" t="str">
            <v>(417) 172-1589</v>
          </cell>
          <cell r="AB447" t="str">
            <v/>
          </cell>
          <cell r="AC447" t="str">
            <v>F0943</v>
          </cell>
          <cell r="AD447" t="str">
            <v/>
          </cell>
          <cell r="AE447" t="str">
            <v/>
          </cell>
          <cell r="AF447" t="str">
            <v/>
          </cell>
          <cell r="AH447" t="str">
            <v>N</v>
          </cell>
          <cell r="AI447">
            <v>0</v>
          </cell>
          <cell r="AJ447">
            <v>0</v>
          </cell>
          <cell r="AK447">
            <v>0</v>
          </cell>
          <cell r="AL447">
            <v>0</v>
          </cell>
          <cell r="AM447">
            <v>1210</v>
          </cell>
          <cell r="AN447">
            <v>0</v>
          </cell>
        </row>
        <row r="448">
          <cell r="A448">
            <v>2349</v>
          </cell>
          <cell r="B448" t="str">
            <v>REYNA ARCOS ARCOS (SAN JUAN)</v>
          </cell>
          <cell r="C448" t="str">
            <v/>
          </cell>
          <cell r="D448" t="str">
            <v/>
          </cell>
          <cell r="E448" t="str">
            <v>SAN JUAN DEL RIO, QRO.</v>
          </cell>
          <cell r="F448" t="str">
            <v/>
          </cell>
          <cell r="G448" t="str">
            <v>(427) 277-9805 CEL</v>
          </cell>
          <cell r="H448" t="str">
            <v>REYNA ARCOS ARCOS</v>
          </cell>
          <cell r="I448" t="str">
            <v>REYNA ARCOS ARCOS</v>
          </cell>
          <cell r="J448" t="str">
            <v>L01</v>
          </cell>
          <cell r="K448" t="str">
            <v/>
          </cell>
          <cell r="L448">
            <v>0</v>
          </cell>
          <cell r="M448">
            <v>458</v>
          </cell>
          <cell r="N448" t="str">
            <v>A</v>
          </cell>
          <cell r="O448">
            <v>42490</v>
          </cell>
          <cell r="P448" t="str">
            <v xml:space="preserve">    1</v>
          </cell>
          <cell r="Q448">
            <v>0</v>
          </cell>
          <cell r="R448">
            <v>0</v>
          </cell>
          <cell r="S448">
            <v>6114</v>
          </cell>
          <cell r="T448">
            <v>43750</v>
          </cell>
          <cell r="U448">
            <v>0</v>
          </cell>
          <cell r="V448" t="str">
            <v/>
          </cell>
          <cell r="W448" t="str">
            <v/>
          </cell>
          <cell r="X448" t="str">
            <v/>
          </cell>
          <cell r="Y448" t="str">
            <v/>
          </cell>
          <cell r="Z448" t="str">
            <v/>
          </cell>
          <cell r="AA448" t="str">
            <v>(427) 277-9805 CEL</v>
          </cell>
          <cell r="AB448" t="str">
            <v/>
          </cell>
          <cell r="AC448" t="str">
            <v>F0338</v>
          </cell>
          <cell r="AD448" t="str">
            <v/>
          </cell>
          <cell r="AE448" t="str">
            <v/>
          </cell>
          <cell r="AF448" t="str">
            <v/>
          </cell>
          <cell r="AH448" t="str">
            <v>N</v>
          </cell>
          <cell r="AI448">
            <v>0</v>
          </cell>
          <cell r="AJ448">
            <v>0</v>
          </cell>
          <cell r="AK448">
            <v>0</v>
          </cell>
          <cell r="AL448">
            <v>0</v>
          </cell>
          <cell r="AM448">
            <v>1038</v>
          </cell>
          <cell r="AN448">
            <v>0</v>
          </cell>
        </row>
        <row r="449">
          <cell r="A449">
            <v>2350</v>
          </cell>
          <cell r="B449" t="str">
            <v>MA. ELENA GUERRERO SOTO (ZINAPECUARO)</v>
          </cell>
          <cell r="C449" t="str">
            <v/>
          </cell>
          <cell r="D449" t="str">
            <v>RAFAEL CARRILLO #24</v>
          </cell>
          <cell r="E449" t="str">
            <v>ZINAPECUARO, MICH.</v>
          </cell>
          <cell r="F449" t="str">
            <v/>
          </cell>
          <cell r="G449" t="str">
            <v>(451) 355-0274</v>
          </cell>
          <cell r="H449" t="str">
            <v>MA. ELENA GUERRERO</v>
          </cell>
          <cell r="I449" t="str">
            <v>MA. ELENA GUERRERO</v>
          </cell>
          <cell r="J449" t="str">
            <v>J06</v>
          </cell>
          <cell r="K449" t="str">
            <v/>
          </cell>
          <cell r="L449">
            <v>0</v>
          </cell>
          <cell r="M449">
            <v>459</v>
          </cell>
          <cell r="N449" t="str">
            <v>A</v>
          </cell>
          <cell r="O449">
            <v>41720</v>
          </cell>
          <cell r="P449" t="str">
            <v xml:space="preserve">    1</v>
          </cell>
          <cell r="Q449">
            <v>0</v>
          </cell>
          <cell r="R449">
            <v>0</v>
          </cell>
          <cell r="S449">
            <v>0</v>
          </cell>
          <cell r="T449">
            <v>1065</v>
          </cell>
          <cell r="U449">
            <v>0</v>
          </cell>
          <cell r="V449" t="str">
            <v>CENTRO</v>
          </cell>
          <cell r="W449" t="str">
            <v/>
          </cell>
          <cell r="X449" t="str">
            <v/>
          </cell>
          <cell r="Y449" t="str">
            <v/>
          </cell>
          <cell r="Z449" t="str">
            <v/>
          </cell>
          <cell r="AA449" t="str">
            <v>(451) 355-0274</v>
          </cell>
          <cell r="AB449" t="str">
            <v/>
          </cell>
          <cell r="AC449" t="str">
            <v>F0267</v>
          </cell>
          <cell r="AD449" t="str">
            <v/>
          </cell>
          <cell r="AE449" t="str">
            <v/>
          </cell>
          <cell r="AF449" t="str">
            <v/>
          </cell>
          <cell r="AH449" t="str">
            <v>N</v>
          </cell>
          <cell r="AI449">
            <v>0</v>
          </cell>
          <cell r="AJ449">
            <v>0</v>
          </cell>
          <cell r="AK449">
            <v>0</v>
          </cell>
          <cell r="AL449">
            <v>0</v>
          </cell>
          <cell r="AM449">
            <v>1065</v>
          </cell>
          <cell r="AN449">
            <v>0</v>
          </cell>
        </row>
        <row r="450">
          <cell r="A450">
            <v>2351</v>
          </cell>
          <cell r="B450" t="str">
            <v xml:space="preserve">ALMA ROSA MORENO ELIZALDE - CASA BLANQUITA (IXMIQUILPAN) </v>
          </cell>
          <cell r="C450" t="str">
            <v>MOEA-750422-2Y6</v>
          </cell>
          <cell r="D450" t="str">
            <v>PEÑA Y RAMIREZ #11</v>
          </cell>
          <cell r="E450" t="str">
            <v>IXMIQUILPAN, HGO.</v>
          </cell>
          <cell r="F450" t="str">
            <v/>
          </cell>
          <cell r="G450" t="str">
            <v>(771) 109-5659 CEL</v>
          </cell>
          <cell r="H450" t="str">
            <v>ALMA ROSA MORENO</v>
          </cell>
          <cell r="I450" t="str">
            <v>ALMA ROSA MORENO (IX</v>
          </cell>
          <cell r="J450" t="str">
            <v>F02</v>
          </cell>
          <cell r="K450" t="str">
            <v/>
          </cell>
          <cell r="L450">
            <v>0</v>
          </cell>
          <cell r="M450">
            <v>460</v>
          </cell>
          <cell r="N450" t="str">
            <v>A</v>
          </cell>
          <cell r="O450">
            <v>42511</v>
          </cell>
          <cell r="P450" t="str">
            <v xml:space="preserve">    1</v>
          </cell>
          <cell r="Q450">
            <v>0</v>
          </cell>
          <cell r="R450">
            <v>0</v>
          </cell>
          <cell r="S450">
            <v>7094</v>
          </cell>
          <cell r="T450">
            <v>99311.05</v>
          </cell>
          <cell r="U450">
            <v>0</v>
          </cell>
          <cell r="V450" t="str">
            <v>CENTRO</v>
          </cell>
          <cell r="W450" t="str">
            <v/>
          </cell>
          <cell r="X450" t="str">
            <v>amoeli_22@hotmail.com</v>
          </cell>
          <cell r="Y450" t="str">
            <v/>
          </cell>
          <cell r="Z450" t="str">
            <v/>
          </cell>
          <cell r="AA450" t="str">
            <v>(771) 109-5659 CEL</v>
          </cell>
          <cell r="AB450" t="str">
            <v xml:space="preserve">  DEV 284</v>
          </cell>
          <cell r="AC450" t="str">
            <v>F524</v>
          </cell>
          <cell r="AD450" t="str">
            <v/>
          </cell>
          <cell r="AE450" t="str">
            <v/>
          </cell>
          <cell r="AF450" t="str">
            <v/>
          </cell>
          <cell r="AG450">
            <v>42206</v>
          </cell>
          <cell r="AH450" t="str">
            <v>N</v>
          </cell>
          <cell r="AI450">
            <v>0</v>
          </cell>
          <cell r="AJ450">
            <v>0</v>
          </cell>
          <cell r="AK450">
            <v>0</v>
          </cell>
          <cell r="AL450">
            <v>76</v>
          </cell>
          <cell r="AM450">
            <v>1785</v>
          </cell>
          <cell r="AN450">
            <v>0</v>
          </cell>
        </row>
        <row r="451">
          <cell r="A451">
            <v>2352</v>
          </cell>
          <cell r="B451" t="str">
            <v>SONIA MENDEZ GONZALEZ (APAXCO)</v>
          </cell>
          <cell r="C451" t="str">
            <v/>
          </cell>
          <cell r="D451" t="str">
            <v>ALLENDE #88</v>
          </cell>
          <cell r="E451" t="str">
            <v>APAXCO, EDO. DE MEXICO</v>
          </cell>
          <cell r="F451" t="str">
            <v/>
          </cell>
          <cell r="G451" t="str">
            <v>(599) 998-2080</v>
          </cell>
          <cell r="H451" t="str">
            <v>SONIA MENDEZ G.</v>
          </cell>
          <cell r="I451" t="str">
            <v>SONIA MENDEZ G.</v>
          </cell>
          <cell r="J451" t="str">
            <v>M04</v>
          </cell>
          <cell r="K451" t="str">
            <v/>
          </cell>
          <cell r="L451">
            <v>0</v>
          </cell>
          <cell r="M451">
            <v>461</v>
          </cell>
          <cell r="N451" t="str">
            <v>A</v>
          </cell>
          <cell r="O451">
            <v>42438</v>
          </cell>
          <cell r="P451" t="str">
            <v xml:space="preserve">    1</v>
          </cell>
          <cell r="Q451">
            <v>0</v>
          </cell>
          <cell r="R451">
            <v>0</v>
          </cell>
          <cell r="S451">
            <v>0</v>
          </cell>
          <cell r="T451">
            <v>24875</v>
          </cell>
          <cell r="U451">
            <v>0</v>
          </cell>
          <cell r="V451" t="str">
            <v>CENTRO</v>
          </cell>
          <cell r="W451" t="str">
            <v/>
          </cell>
          <cell r="X451" t="str">
            <v/>
          </cell>
          <cell r="Y451" t="str">
            <v/>
          </cell>
          <cell r="Z451" t="str">
            <v/>
          </cell>
          <cell r="AA451" t="str">
            <v>(599) 998-2080</v>
          </cell>
          <cell r="AB451" t="str">
            <v/>
          </cell>
          <cell r="AC451" t="str">
            <v>M0130</v>
          </cell>
          <cell r="AD451" t="str">
            <v/>
          </cell>
          <cell r="AE451" t="str">
            <v/>
          </cell>
          <cell r="AF451" t="str">
            <v/>
          </cell>
          <cell r="AH451" t="str">
            <v>N</v>
          </cell>
          <cell r="AI451">
            <v>0</v>
          </cell>
          <cell r="AJ451">
            <v>0</v>
          </cell>
          <cell r="AK451">
            <v>0</v>
          </cell>
          <cell r="AL451">
            <v>0</v>
          </cell>
          <cell r="AM451">
            <v>890</v>
          </cell>
          <cell r="AN451">
            <v>0</v>
          </cell>
        </row>
        <row r="452">
          <cell r="A452">
            <v>2353</v>
          </cell>
          <cell r="B452" t="str">
            <v>TERESA ANDRADE</v>
          </cell>
          <cell r="C452" t="str">
            <v/>
          </cell>
          <cell r="D452" t="str">
            <v/>
          </cell>
          <cell r="E452" t="str">
            <v/>
          </cell>
          <cell r="F452" t="str">
            <v/>
          </cell>
          <cell r="G452" t="str">
            <v/>
          </cell>
          <cell r="H452" t="str">
            <v>TERESA ANDRADE</v>
          </cell>
          <cell r="I452" t="str">
            <v>TERESA ANDRADE</v>
          </cell>
          <cell r="J452" t="str">
            <v>M02</v>
          </cell>
          <cell r="K452" t="str">
            <v/>
          </cell>
          <cell r="L452">
            <v>0</v>
          </cell>
          <cell r="M452">
            <v>462</v>
          </cell>
          <cell r="N452" t="str">
            <v>A</v>
          </cell>
          <cell r="O452">
            <v>41764</v>
          </cell>
          <cell r="P452" t="str">
            <v xml:space="preserve">    5</v>
          </cell>
          <cell r="Q452">
            <v>0</v>
          </cell>
          <cell r="R452">
            <v>0</v>
          </cell>
          <cell r="S452">
            <v>0</v>
          </cell>
          <cell r="T452">
            <v>855</v>
          </cell>
          <cell r="U452">
            <v>0</v>
          </cell>
          <cell r="V452" t="str">
            <v/>
          </cell>
          <cell r="W452" t="str">
            <v/>
          </cell>
          <cell r="X452" t="str">
            <v/>
          </cell>
          <cell r="Y452" t="str">
            <v/>
          </cell>
          <cell r="Z452" t="str">
            <v/>
          </cell>
          <cell r="AA452" t="str">
            <v/>
          </cell>
          <cell r="AB452" t="str">
            <v/>
          </cell>
          <cell r="AC452" t="str">
            <v>R-0603</v>
          </cell>
          <cell r="AD452" t="str">
            <v/>
          </cell>
          <cell r="AE452" t="str">
            <v/>
          </cell>
          <cell r="AF452" t="str">
            <v/>
          </cell>
          <cell r="AH452" t="str">
            <v>N</v>
          </cell>
          <cell r="AI452">
            <v>0</v>
          </cell>
          <cell r="AJ452">
            <v>0</v>
          </cell>
          <cell r="AK452">
            <v>0</v>
          </cell>
          <cell r="AL452">
            <v>0</v>
          </cell>
          <cell r="AM452">
            <v>855</v>
          </cell>
          <cell r="AN452">
            <v>0</v>
          </cell>
        </row>
        <row r="453">
          <cell r="A453">
            <v>2354</v>
          </cell>
          <cell r="B453" t="str">
            <v>GABRIELA MARTINEZ FLORES (SAN CRISTOBAL)</v>
          </cell>
          <cell r="C453" t="str">
            <v/>
          </cell>
          <cell r="D453" t="str">
            <v>CERRADA SAN CRISTOBAL #2</v>
          </cell>
          <cell r="E453" t="str">
            <v>ECATEPEC, EDO. DE MEXICO</v>
          </cell>
          <cell r="F453" t="str">
            <v/>
          </cell>
          <cell r="G453" t="str">
            <v>(55) 5939-1542</v>
          </cell>
          <cell r="H453" t="str">
            <v>GABRIELA MARTINEZ F.</v>
          </cell>
          <cell r="I453" t="str">
            <v>GABRIELA MARTINEZ F.</v>
          </cell>
          <cell r="J453" t="str">
            <v>M03</v>
          </cell>
          <cell r="K453" t="str">
            <v/>
          </cell>
          <cell r="L453">
            <v>0</v>
          </cell>
          <cell r="M453">
            <v>463</v>
          </cell>
          <cell r="N453" t="str">
            <v>A</v>
          </cell>
          <cell r="O453">
            <v>41834</v>
          </cell>
          <cell r="P453" t="str">
            <v xml:space="preserve">    5</v>
          </cell>
          <cell r="Q453">
            <v>0</v>
          </cell>
          <cell r="R453">
            <v>0</v>
          </cell>
          <cell r="S453">
            <v>0</v>
          </cell>
          <cell r="T453">
            <v>1095</v>
          </cell>
          <cell r="U453">
            <v>0</v>
          </cell>
          <cell r="V453" t="str">
            <v/>
          </cell>
          <cell r="W453" t="str">
            <v>(55) 3423-5552 CEL</v>
          </cell>
          <cell r="X453" t="str">
            <v/>
          </cell>
          <cell r="Y453" t="str">
            <v/>
          </cell>
          <cell r="Z453" t="str">
            <v/>
          </cell>
          <cell r="AA453" t="str">
            <v>(55) 5939-1542</v>
          </cell>
          <cell r="AB453" t="str">
            <v xml:space="preserve">  DEV-203</v>
          </cell>
          <cell r="AC453" t="str">
            <v>M056</v>
          </cell>
          <cell r="AD453" t="str">
            <v/>
          </cell>
          <cell r="AE453" t="str">
            <v/>
          </cell>
          <cell r="AF453" t="str">
            <v/>
          </cell>
          <cell r="AG453">
            <v>41764</v>
          </cell>
          <cell r="AH453" t="str">
            <v>N</v>
          </cell>
          <cell r="AI453">
            <v>0</v>
          </cell>
          <cell r="AJ453">
            <v>0</v>
          </cell>
          <cell r="AK453">
            <v>0</v>
          </cell>
          <cell r="AL453">
            <v>-163</v>
          </cell>
          <cell r="AM453">
            <v>600</v>
          </cell>
          <cell r="AN453">
            <v>0</v>
          </cell>
        </row>
        <row r="454">
          <cell r="A454">
            <v>2355</v>
          </cell>
          <cell r="B454" t="str">
            <v>EDGAR ANTONIO DE LA PEÑA LABRA (IXMIQUILPAN)</v>
          </cell>
          <cell r="C454" t="str">
            <v/>
          </cell>
          <cell r="D454" t="str">
            <v>FRANCISCO I. MADERO #16</v>
          </cell>
          <cell r="E454" t="str">
            <v>IXMIQUILPAN, HGO.</v>
          </cell>
          <cell r="F454" t="str">
            <v/>
          </cell>
          <cell r="G454" t="str">
            <v>(772) 101-9453</v>
          </cell>
          <cell r="H454" t="str">
            <v>EDGAR ANTONIO</v>
          </cell>
          <cell r="I454" t="str">
            <v>EDGAR ANTONIO</v>
          </cell>
          <cell r="J454" t="str">
            <v>F02</v>
          </cell>
          <cell r="K454" t="str">
            <v/>
          </cell>
          <cell r="L454">
            <v>0</v>
          </cell>
          <cell r="M454">
            <v>468</v>
          </cell>
          <cell r="N454" t="str">
            <v>A</v>
          </cell>
          <cell r="O454">
            <v>42525</v>
          </cell>
          <cell r="P454" t="str">
            <v xml:space="preserve">    1</v>
          </cell>
          <cell r="Q454">
            <v>0</v>
          </cell>
          <cell r="R454">
            <v>0</v>
          </cell>
          <cell r="S454">
            <v>12520</v>
          </cell>
          <cell r="T454">
            <v>206704</v>
          </cell>
          <cell r="U454">
            <v>0</v>
          </cell>
          <cell r="V454" t="str">
            <v>FITZHI</v>
          </cell>
          <cell r="W454" t="str">
            <v/>
          </cell>
          <cell r="X454" t="str">
            <v>djyea@hotmail.com / ragde_1211@hotmail.com</v>
          </cell>
          <cell r="Y454" t="str">
            <v/>
          </cell>
          <cell r="Z454" t="str">
            <v/>
          </cell>
          <cell r="AA454" t="str">
            <v>(772) 101-9453</v>
          </cell>
          <cell r="AB454" t="str">
            <v>DIF. PREC</v>
          </cell>
          <cell r="AC454" t="str">
            <v>F0510</v>
          </cell>
          <cell r="AD454" t="str">
            <v/>
          </cell>
          <cell r="AE454" t="str">
            <v/>
          </cell>
          <cell r="AF454" t="str">
            <v/>
          </cell>
          <cell r="AG454">
            <v>42244</v>
          </cell>
          <cell r="AH454" t="str">
            <v>N</v>
          </cell>
          <cell r="AI454">
            <v>0</v>
          </cell>
          <cell r="AJ454">
            <v>0</v>
          </cell>
          <cell r="AK454">
            <v>0</v>
          </cell>
          <cell r="AL454">
            <v>1337</v>
          </cell>
          <cell r="AM454">
            <v>6868</v>
          </cell>
          <cell r="AN454">
            <v>0</v>
          </cell>
        </row>
        <row r="455">
          <cell r="A455">
            <v>2356</v>
          </cell>
          <cell r="B455" t="str">
            <v>SILVIA BALLINES CASTRO (ZINAPECUARO)</v>
          </cell>
          <cell r="C455" t="str">
            <v/>
          </cell>
          <cell r="D455" t="str">
            <v/>
          </cell>
          <cell r="E455" t="str">
            <v>ZINAPECUARO, MICH.</v>
          </cell>
          <cell r="F455" t="str">
            <v/>
          </cell>
          <cell r="G455" t="str">
            <v>(451) 355-2616</v>
          </cell>
          <cell r="H455" t="str">
            <v>SILVIA BALLINES C.</v>
          </cell>
          <cell r="I455" t="str">
            <v>SILVIA BALLINES C.</v>
          </cell>
          <cell r="J455" t="str">
            <v>J06</v>
          </cell>
          <cell r="K455" t="str">
            <v/>
          </cell>
          <cell r="L455">
            <v>0</v>
          </cell>
          <cell r="M455">
            <v>469</v>
          </cell>
          <cell r="N455" t="str">
            <v>A</v>
          </cell>
          <cell r="O455">
            <v>42175</v>
          </cell>
          <cell r="P455" t="str">
            <v xml:space="preserve">    1</v>
          </cell>
          <cell r="Q455">
            <v>0</v>
          </cell>
          <cell r="R455">
            <v>0</v>
          </cell>
          <cell r="S455">
            <v>0</v>
          </cell>
          <cell r="T455">
            <v>12830</v>
          </cell>
          <cell r="U455">
            <v>0</v>
          </cell>
          <cell r="V455" t="str">
            <v/>
          </cell>
          <cell r="W455" t="str">
            <v/>
          </cell>
          <cell r="X455" t="str">
            <v/>
          </cell>
          <cell r="Y455" t="str">
            <v/>
          </cell>
          <cell r="Z455" t="str">
            <v/>
          </cell>
          <cell r="AA455" t="str">
            <v>(451) 355-2616</v>
          </cell>
          <cell r="AB455" t="str">
            <v/>
          </cell>
          <cell r="AC455" t="str">
            <v>J-011</v>
          </cell>
          <cell r="AD455" t="str">
            <v/>
          </cell>
          <cell r="AE455" t="str">
            <v/>
          </cell>
          <cell r="AF455" t="str">
            <v/>
          </cell>
          <cell r="AH455" t="str">
            <v>N</v>
          </cell>
          <cell r="AI455">
            <v>0</v>
          </cell>
          <cell r="AJ455">
            <v>0</v>
          </cell>
          <cell r="AK455">
            <v>0</v>
          </cell>
          <cell r="AL455">
            <v>0</v>
          </cell>
          <cell r="AM455">
            <v>1200</v>
          </cell>
          <cell r="AN455">
            <v>0</v>
          </cell>
        </row>
        <row r="456">
          <cell r="A456">
            <v>2357</v>
          </cell>
          <cell r="B456" t="str">
            <v>BELEN AVILA (ZUMPANGO)</v>
          </cell>
          <cell r="C456" t="str">
            <v/>
          </cell>
          <cell r="D456" t="str">
            <v>MERCADO MUNICIPAL LOC. 322</v>
          </cell>
          <cell r="E456" t="str">
            <v>ZUMPANGO, EDO. DE MEXICO</v>
          </cell>
          <cell r="F456" t="str">
            <v/>
          </cell>
          <cell r="G456" t="str">
            <v>(55) 6555-3943</v>
          </cell>
          <cell r="H456" t="str">
            <v>BELEN AVILA</v>
          </cell>
          <cell r="I456" t="str">
            <v>BELEN AVILA</v>
          </cell>
          <cell r="J456" t="str">
            <v>M01</v>
          </cell>
          <cell r="K456" t="str">
            <v/>
          </cell>
          <cell r="L456">
            <v>0</v>
          </cell>
          <cell r="M456">
            <v>470</v>
          </cell>
          <cell r="N456" t="str">
            <v>A</v>
          </cell>
          <cell r="O456">
            <v>42497</v>
          </cell>
          <cell r="P456" t="str">
            <v xml:space="preserve">    5</v>
          </cell>
          <cell r="Q456">
            <v>0</v>
          </cell>
          <cell r="R456">
            <v>0</v>
          </cell>
          <cell r="S456">
            <v>0</v>
          </cell>
          <cell r="T456">
            <v>28501</v>
          </cell>
          <cell r="U456">
            <v>0</v>
          </cell>
          <cell r="V456" t="str">
            <v/>
          </cell>
          <cell r="W456" t="str">
            <v/>
          </cell>
          <cell r="X456" t="str">
            <v/>
          </cell>
          <cell r="Y456" t="str">
            <v/>
          </cell>
          <cell r="Z456" t="str">
            <v/>
          </cell>
          <cell r="AA456" t="str">
            <v>(55) 6555-3943</v>
          </cell>
          <cell r="AB456" t="str">
            <v>DESCUENTO</v>
          </cell>
          <cell r="AC456" t="str">
            <v>M111121</v>
          </cell>
          <cell r="AD456" t="str">
            <v/>
          </cell>
          <cell r="AE456" t="str">
            <v/>
          </cell>
          <cell r="AF456" t="str">
            <v/>
          </cell>
          <cell r="AG456">
            <v>42062</v>
          </cell>
          <cell r="AH456" t="str">
            <v>N</v>
          </cell>
          <cell r="AI456">
            <v>0</v>
          </cell>
          <cell r="AJ456">
            <v>0</v>
          </cell>
          <cell r="AK456">
            <v>0</v>
          </cell>
          <cell r="AL456">
            <v>30</v>
          </cell>
          <cell r="AM456">
            <v>658</v>
          </cell>
          <cell r="AN456">
            <v>0</v>
          </cell>
        </row>
        <row r="457">
          <cell r="A457">
            <v>2369</v>
          </cell>
          <cell r="B457" t="str">
            <v>OSCAR BONIFACIO BONILLA RAMIREZ (SILAO)</v>
          </cell>
          <cell r="C457" t="str">
            <v/>
          </cell>
          <cell r="D457" t="str">
            <v>CALZ. MIGUEL HIDALGO #9</v>
          </cell>
          <cell r="E457" t="str">
            <v>SILAO, GTO.</v>
          </cell>
          <cell r="F457" t="str">
            <v/>
          </cell>
          <cell r="G457" t="str">
            <v>72*12*61953</v>
          </cell>
          <cell r="H457" t="str">
            <v>OSCAR BONIFACIO B.</v>
          </cell>
          <cell r="I457" t="str">
            <v>OSCAR BONIFACIO B.</v>
          </cell>
          <cell r="J457" t="str">
            <v>F04</v>
          </cell>
          <cell r="K457" t="str">
            <v/>
          </cell>
          <cell r="L457">
            <v>0</v>
          </cell>
          <cell r="M457">
            <v>484</v>
          </cell>
          <cell r="N457" t="str">
            <v>A</v>
          </cell>
          <cell r="O457">
            <v>41904</v>
          </cell>
          <cell r="P457" t="str">
            <v xml:space="preserve">    1</v>
          </cell>
          <cell r="Q457">
            <v>0</v>
          </cell>
          <cell r="R457">
            <v>0</v>
          </cell>
          <cell r="S457">
            <v>0</v>
          </cell>
          <cell r="T457">
            <v>210</v>
          </cell>
          <cell r="U457">
            <v>0</v>
          </cell>
          <cell r="V457" t="str">
            <v>PROGRESO</v>
          </cell>
          <cell r="W457" t="str">
            <v/>
          </cell>
          <cell r="X457" t="str">
            <v/>
          </cell>
          <cell r="Y457" t="str">
            <v/>
          </cell>
          <cell r="Z457" t="str">
            <v/>
          </cell>
          <cell r="AA457" t="str">
            <v>72*12*61953</v>
          </cell>
          <cell r="AB457" t="str">
            <v/>
          </cell>
          <cell r="AC457" t="str">
            <v>F0608</v>
          </cell>
          <cell r="AD457" t="str">
            <v/>
          </cell>
          <cell r="AE457" t="str">
            <v/>
          </cell>
          <cell r="AF457" t="str">
            <v/>
          </cell>
          <cell r="AH457" t="str">
            <v>N</v>
          </cell>
          <cell r="AI457">
            <v>0</v>
          </cell>
          <cell r="AJ457">
            <v>0</v>
          </cell>
          <cell r="AK457">
            <v>0</v>
          </cell>
          <cell r="AL457">
            <v>0</v>
          </cell>
          <cell r="AM457">
            <v>210</v>
          </cell>
          <cell r="AN457">
            <v>0</v>
          </cell>
        </row>
        <row r="458">
          <cell r="A458">
            <v>2359</v>
          </cell>
          <cell r="B458" t="str">
            <v>GAYDY DULCE CARAMELO (SAN JUAN)</v>
          </cell>
          <cell r="C458" t="str">
            <v/>
          </cell>
          <cell r="D458" t="str">
            <v>AV. RIO MOCTEZUMA</v>
          </cell>
          <cell r="E458" t="str">
            <v>SAN JUAN DEL RIO, QRO.</v>
          </cell>
          <cell r="F458" t="str">
            <v/>
          </cell>
          <cell r="G458" t="str">
            <v/>
          </cell>
          <cell r="H458" t="str">
            <v/>
          </cell>
          <cell r="I458" t="str">
            <v/>
          </cell>
          <cell r="J458" t="str">
            <v>L01P</v>
          </cell>
          <cell r="K458" t="str">
            <v/>
          </cell>
          <cell r="L458">
            <v>0</v>
          </cell>
          <cell r="M458">
            <v>472</v>
          </cell>
          <cell r="N458" t="str">
            <v>A</v>
          </cell>
          <cell r="O458">
            <v>41792</v>
          </cell>
          <cell r="P458" t="str">
            <v xml:space="preserve">   97</v>
          </cell>
          <cell r="Q458">
            <v>0</v>
          </cell>
          <cell r="R458">
            <v>0</v>
          </cell>
          <cell r="S458">
            <v>0</v>
          </cell>
          <cell r="T458">
            <v>50</v>
          </cell>
          <cell r="U458">
            <v>0</v>
          </cell>
          <cell r="V458" t="str">
            <v/>
          </cell>
          <cell r="W458" t="str">
            <v/>
          </cell>
          <cell r="X458" t="str">
            <v/>
          </cell>
          <cell r="Y458" t="str">
            <v/>
          </cell>
          <cell r="Z458" t="str">
            <v/>
          </cell>
          <cell r="AA458" t="str">
            <v/>
          </cell>
          <cell r="AB458" t="str">
            <v/>
          </cell>
          <cell r="AC458" t="str">
            <v>L007</v>
          </cell>
          <cell r="AD458" t="str">
            <v/>
          </cell>
          <cell r="AE458" t="str">
            <v/>
          </cell>
          <cell r="AF458" t="str">
            <v/>
          </cell>
          <cell r="AH458" t="str">
            <v>N</v>
          </cell>
          <cell r="AI458">
            <v>0</v>
          </cell>
          <cell r="AJ458">
            <v>0</v>
          </cell>
          <cell r="AK458">
            <v>0</v>
          </cell>
          <cell r="AL458">
            <v>0</v>
          </cell>
          <cell r="AM458">
            <v>50</v>
          </cell>
          <cell r="AN458">
            <v>0</v>
          </cell>
        </row>
        <row r="459">
          <cell r="A459">
            <v>2360</v>
          </cell>
          <cell r="B459" t="str">
            <v>ALEJANDRA NIETO SALGADO (MELCHOR OCAMPO)</v>
          </cell>
          <cell r="C459" t="str">
            <v/>
          </cell>
          <cell r="D459" t="str">
            <v>CRISPIN PEREZ</v>
          </cell>
          <cell r="E459" t="str">
            <v>MELCHOR OCAMPO, EDO. DE MEXICO</v>
          </cell>
          <cell r="F459" t="str">
            <v/>
          </cell>
          <cell r="G459" t="str">
            <v>(55) 5878-0198</v>
          </cell>
          <cell r="H459" t="str">
            <v>ALEJANDRA NIETO S.</v>
          </cell>
          <cell r="I459" t="str">
            <v>ALEJANDRA NIETO S.</v>
          </cell>
          <cell r="J459" t="str">
            <v>M01</v>
          </cell>
          <cell r="K459" t="str">
            <v/>
          </cell>
          <cell r="L459">
            <v>0</v>
          </cell>
          <cell r="M459">
            <v>473</v>
          </cell>
          <cell r="N459" t="str">
            <v>A</v>
          </cell>
          <cell r="O459">
            <v>41925</v>
          </cell>
          <cell r="P459" t="str">
            <v xml:space="preserve">    5</v>
          </cell>
          <cell r="Q459">
            <v>0</v>
          </cell>
          <cell r="R459">
            <v>0</v>
          </cell>
          <cell r="S459">
            <v>0</v>
          </cell>
          <cell r="T459">
            <v>360</v>
          </cell>
          <cell r="U459">
            <v>0</v>
          </cell>
          <cell r="V459" t="str">
            <v>CENTRO</v>
          </cell>
          <cell r="W459" t="str">
            <v/>
          </cell>
          <cell r="X459" t="str">
            <v/>
          </cell>
          <cell r="Y459" t="str">
            <v/>
          </cell>
          <cell r="Z459" t="str">
            <v/>
          </cell>
          <cell r="AA459" t="str">
            <v>(55) 5878-0198</v>
          </cell>
          <cell r="AB459" t="str">
            <v/>
          </cell>
          <cell r="AC459" t="str">
            <v xml:space="preserve">    238</v>
          </cell>
          <cell r="AD459" t="str">
            <v/>
          </cell>
          <cell r="AE459" t="str">
            <v/>
          </cell>
          <cell r="AF459" t="str">
            <v/>
          </cell>
          <cell r="AH459" t="str">
            <v>N</v>
          </cell>
          <cell r="AI459">
            <v>0</v>
          </cell>
          <cell r="AJ459">
            <v>0</v>
          </cell>
          <cell r="AK459">
            <v>0</v>
          </cell>
          <cell r="AL459">
            <v>0</v>
          </cell>
          <cell r="AM459">
            <v>840</v>
          </cell>
          <cell r="AN459">
            <v>0</v>
          </cell>
        </row>
        <row r="460">
          <cell r="A460">
            <v>2361</v>
          </cell>
          <cell r="B460" t="str">
            <v>EVANGELINA BARRUETA (MELCHOR OCAMPO)</v>
          </cell>
          <cell r="C460" t="str">
            <v/>
          </cell>
          <cell r="D460" t="str">
            <v/>
          </cell>
          <cell r="E460" t="str">
            <v>MELCHOR OCAMPO, EDO. DE MEXICO</v>
          </cell>
          <cell r="F460" t="str">
            <v/>
          </cell>
          <cell r="G460" t="str">
            <v>(55) 5878-0278</v>
          </cell>
          <cell r="H460" t="str">
            <v>EVANGELINA BARRUETA</v>
          </cell>
          <cell r="I460" t="str">
            <v>EVANGELINA BARRUETA</v>
          </cell>
          <cell r="J460" t="str">
            <v>M01</v>
          </cell>
          <cell r="K460" t="str">
            <v/>
          </cell>
          <cell r="L460">
            <v>0</v>
          </cell>
          <cell r="M460">
            <v>474</v>
          </cell>
          <cell r="N460" t="str">
            <v>A</v>
          </cell>
          <cell r="O460">
            <v>41837</v>
          </cell>
          <cell r="P460" t="str">
            <v xml:space="preserve">    5</v>
          </cell>
          <cell r="Q460">
            <v>0</v>
          </cell>
          <cell r="R460">
            <v>0</v>
          </cell>
          <cell r="S460">
            <v>0</v>
          </cell>
          <cell r="T460">
            <v>5709</v>
          </cell>
          <cell r="U460">
            <v>0</v>
          </cell>
          <cell r="V460" t="str">
            <v/>
          </cell>
          <cell r="W460" t="str">
            <v/>
          </cell>
          <cell r="X460" t="str">
            <v/>
          </cell>
          <cell r="Y460" t="str">
            <v/>
          </cell>
          <cell r="Z460" t="str">
            <v/>
          </cell>
          <cell r="AA460" t="str">
            <v>(55) 5878-0278</v>
          </cell>
          <cell r="AB460" t="str">
            <v/>
          </cell>
          <cell r="AC460" t="str">
            <v>M063</v>
          </cell>
          <cell r="AD460" t="str">
            <v/>
          </cell>
          <cell r="AE460" t="str">
            <v/>
          </cell>
          <cell r="AF460" t="str">
            <v/>
          </cell>
          <cell r="AH460" t="str">
            <v>N</v>
          </cell>
          <cell r="AI460">
            <v>0</v>
          </cell>
          <cell r="AJ460">
            <v>0</v>
          </cell>
          <cell r="AK460">
            <v>0</v>
          </cell>
          <cell r="AL460">
            <v>0</v>
          </cell>
          <cell r="AM460">
            <v>5709</v>
          </cell>
          <cell r="AN460">
            <v>0</v>
          </cell>
        </row>
        <row r="461">
          <cell r="A461">
            <v>2362</v>
          </cell>
          <cell r="B461" t="str">
            <v>OLIVIA SANCHEZ ACEVEDO (SAN JUAN)</v>
          </cell>
          <cell r="C461" t="str">
            <v/>
          </cell>
          <cell r="D461" t="str">
            <v>AV. HACIENDAS DE SAN NICOLAS #115</v>
          </cell>
          <cell r="E461" t="str">
            <v>SAN JUAN DEL RIO, QRO.</v>
          </cell>
          <cell r="F461" t="str">
            <v/>
          </cell>
          <cell r="G461" t="str">
            <v>(427) 274-2168/ (427) 111-3906</v>
          </cell>
          <cell r="H461" t="str">
            <v>OLIVIA SANCHEZ</v>
          </cell>
          <cell r="I461" t="str">
            <v>OLIVIA SANCHEZ</v>
          </cell>
          <cell r="J461" t="str">
            <v>L01P</v>
          </cell>
          <cell r="K461" t="str">
            <v/>
          </cell>
          <cell r="L461">
            <v>0</v>
          </cell>
          <cell r="M461">
            <v>475</v>
          </cell>
          <cell r="N461" t="str">
            <v>A</v>
          </cell>
          <cell r="O461">
            <v>42438</v>
          </cell>
          <cell r="P461" t="str">
            <v xml:space="preserve">   97</v>
          </cell>
          <cell r="Q461">
            <v>0</v>
          </cell>
          <cell r="R461">
            <v>0</v>
          </cell>
          <cell r="S461">
            <v>0</v>
          </cell>
          <cell r="T461">
            <v>21279</v>
          </cell>
          <cell r="U461">
            <v>0</v>
          </cell>
          <cell r="V461" t="str">
            <v>LAS HACIENDAS</v>
          </cell>
          <cell r="W461" t="str">
            <v/>
          </cell>
          <cell r="X461" t="str">
            <v/>
          </cell>
          <cell r="Y461" t="str">
            <v/>
          </cell>
          <cell r="Z461" t="str">
            <v/>
          </cell>
          <cell r="AA461" t="str">
            <v>(427) 274-2168</v>
          </cell>
          <cell r="AB461" t="str">
            <v/>
          </cell>
          <cell r="AC461" t="str">
            <v>L0131</v>
          </cell>
          <cell r="AD461" t="str">
            <v/>
          </cell>
          <cell r="AE461" t="str">
            <v/>
          </cell>
          <cell r="AF461" t="str">
            <v/>
          </cell>
          <cell r="AH461" t="str">
            <v>N</v>
          </cell>
          <cell r="AI461">
            <v>0</v>
          </cell>
          <cell r="AJ461">
            <v>0</v>
          </cell>
          <cell r="AK461">
            <v>0</v>
          </cell>
          <cell r="AL461">
            <v>0</v>
          </cell>
          <cell r="AM461">
            <v>410</v>
          </cell>
          <cell r="AN461">
            <v>0</v>
          </cell>
        </row>
        <row r="462">
          <cell r="A462">
            <v>2363</v>
          </cell>
          <cell r="B462" t="str">
            <v>IRLANDA OAXACA ESCALONA (ZUMPANGO)</v>
          </cell>
          <cell r="C462" t="str">
            <v/>
          </cell>
          <cell r="D462" t="str">
            <v>MERCADO ZUMPANGO LOC. 108</v>
          </cell>
          <cell r="E462" t="str">
            <v>ZUMPANGO, EDO. DE MEXICO</v>
          </cell>
          <cell r="F462" t="str">
            <v/>
          </cell>
          <cell r="G462" t="str">
            <v>(55) 5104-2304</v>
          </cell>
          <cell r="H462" t="str">
            <v>IRLANDA OAXACA E.</v>
          </cell>
          <cell r="I462" t="str">
            <v>IRLANDA OAXACA E.</v>
          </cell>
          <cell r="J462" t="str">
            <v>M01</v>
          </cell>
          <cell r="K462" t="str">
            <v/>
          </cell>
          <cell r="L462">
            <v>0</v>
          </cell>
          <cell r="M462">
            <v>476</v>
          </cell>
          <cell r="N462" t="str">
            <v>A</v>
          </cell>
          <cell r="O462">
            <v>42356</v>
          </cell>
          <cell r="P462" t="str">
            <v xml:space="preserve">    5</v>
          </cell>
          <cell r="Q462">
            <v>0</v>
          </cell>
          <cell r="R462">
            <v>0</v>
          </cell>
          <cell r="S462">
            <v>0</v>
          </cell>
          <cell r="T462">
            <v>26605</v>
          </cell>
          <cell r="U462">
            <v>0</v>
          </cell>
          <cell r="V462" t="str">
            <v/>
          </cell>
          <cell r="W462" t="str">
            <v/>
          </cell>
          <cell r="X462" t="str">
            <v/>
          </cell>
          <cell r="Y462" t="str">
            <v/>
          </cell>
          <cell r="Z462" t="str">
            <v/>
          </cell>
          <cell r="AA462" t="str">
            <v>(55) 5104-2304</v>
          </cell>
          <cell r="AB462" t="str">
            <v/>
          </cell>
          <cell r="AC462" t="str">
            <v>M556</v>
          </cell>
          <cell r="AD462" t="str">
            <v/>
          </cell>
          <cell r="AE462" t="str">
            <v/>
          </cell>
          <cell r="AF462" t="str">
            <v/>
          </cell>
          <cell r="AH462" t="str">
            <v>N</v>
          </cell>
          <cell r="AI462">
            <v>0</v>
          </cell>
          <cell r="AJ462">
            <v>0</v>
          </cell>
          <cell r="AK462">
            <v>0</v>
          </cell>
          <cell r="AL462">
            <v>0</v>
          </cell>
          <cell r="AM462">
            <v>2280</v>
          </cell>
          <cell r="AN462">
            <v>0</v>
          </cell>
        </row>
        <row r="463">
          <cell r="A463">
            <v>2364</v>
          </cell>
          <cell r="B463" t="str">
            <v>OSCAR SEBASTIAN (MIXQUIAHUALA)</v>
          </cell>
          <cell r="C463" t="str">
            <v/>
          </cell>
          <cell r="D463" t="str">
            <v>PLAZA DE LA CONSTITUCION #5 "MONADAS"</v>
          </cell>
          <cell r="E463" t="str">
            <v>MIXQUIAHUALA, HGO.</v>
          </cell>
          <cell r="F463" t="str">
            <v/>
          </cell>
          <cell r="G463" t="str">
            <v>(772) 136-2231</v>
          </cell>
          <cell r="H463" t="str">
            <v>YADIRA SEBASTIAN C.</v>
          </cell>
          <cell r="I463" t="str">
            <v>YADIRA SEBASTIAN C.</v>
          </cell>
          <cell r="J463" t="str">
            <v>F02</v>
          </cell>
          <cell r="K463" t="str">
            <v/>
          </cell>
          <cell r="L463">
            <v>0</v>
          </cell>
          <cell r="M463">
            <v>477</v>
          </cell>
          <cell r="N463" t="str">
            <v>A</v>
          </cell>
          <cell r="O463">
            <v>42411</v>
          </cell>
          <cell r="P463" t="str">
            <v xml:space="preserve">    1</v>
          </cell>
          <cell r="Q463">
            <v>0</v>
          </cell>
          <cell r="R463">
            <v>0</v>
          </cell>
          <cell r="S463">
            <v>0</v>
          </cell>
          <cell r="T463">
            <v>51015</v>
          </cell>
          <cell r="U463">
            <v>0</v>
          </cell>
          <cell r="V463" t="str">
            <v>CENTRO</v>
          </cell>
          <cell r="W463" t="str">
            <v>(772) 101-9562 CEL</v>
          </cell>
          <cell r="X463" t="str">
            <v>PELUCHE</v>
          </cell>
          <cell r="Y463" t="str">
            <v/>
          </cell>
          <cell r="Z463" t="str">
            <v/>
          </cell>
          <cell r="AA463" t="str">
            <v>(772) 136-2231</v>
          </cell>
          <cell r="AB463" t="str">
            <v xml:space="preserve">     DESC</v>
          </cell>
          <cell r="AC463" t="str">
            <v>F507</v>
          </cell>
          <cell r="AD463" t="str">
            <v/>
          </cell>
          <cell r="AE463" t="str">
            <v/>
          </cell>
          <cell r="AF463" t="str">
            <v/>
          </cell>
          <cell r="AG463">
            <v>42429</v>
          </cell>
          <cell r="AH463" t="str">
            <v>N</v>
          </cell>
          <cell r="AI463">
            <v>0</v>
          </cell>
          <cell r="AJ463">
            <v>0</v>
          </cell>
          <cell r="AK463">
            <v>0</v>
          </cell>
          <cell r="AL463">
            <v>410</v>
          </cell>
          <cell r="AM463">
            <v>3127</v>
          </cell>
          <cell r="AN463">
            <v>0</v>
          </cell>
        </row>
        <row r="464">
          <cell r="A464">
            <v>2365</v>
          </cell>
          <cell r="B464" t="str">
            <v>YOLANDA PEREZ VALDEZ (SAN JUAN DEL RIO)</v>
          </cell>
          <cell r="C464" t="str">
            <v/>
          </cell>
          <cell r="D464" t="str">
            <v>CUARZO #116</v>
          </cell>
          <cell r="E464" t="str">
            <v>SAN JUAN DEL RIO, QRO.</v>
          </cell>
          <cell r="F464" t="str">
            <v>76806</v>
          </cell>
          <cell r="G464" t="str">
            <v>(427) 264-0251</v>
          </cell>
          <cell r="H464" t="str">
            <v>YOLANDA PEREZ VALDEZ</v>
          </cell>
          <cell r="I464" t="str">
            <v>YOLANDA PEREZ VALDEZ</v>
          </cell>
          <cell r="J464" t="str">
            <v>L01P</v>
          </cell>
          <cell r="K464" t="str">
            <v/>
          </cell>
          <cell r="L464">
            <v>0</v>
          </cell>
          <cell r="M464">
            <v>479</v>
          </cell>
          <cell r="N464" t="str">
            <v>A</v>
          </cell>
          <cell r="O464">
            <v>41874</v>
          </cell>
          <cell r="P464" t="str">
            <v xml:space="preserve">   97</v>
          </cell>
          <cell r="Q464">
            <v>0</v>
          </cell>
          <cell r="R464">
            <v>0</v>
          </cell>
          <cell r="S464">
            <v>0</v>
          </cell>
          <cell r="T464">
            <v>2800</v>
          </cell>
          <cell r="U464">
            <v>0</v>
          </cell>
          <cell r="V464" t="str">
            <v>INFONAVIT PEDREGOSO</v>
          </cell>
          <cell r="W464" t="str">
            <v/>
          </cell>
          <cell r="X464" t="str">
            <v/>
          </cell>
          <cell r="Y464" t="str">
            <v/>
          </cell>
          <cell r="Z464" t="str">
            <v/>
          </cell>
          <cell r="AA464" t="str">
            <v>(427) 264-0251</v>
          </cell>
          <cell r="AB464" t="str">
            <v/>
          </cell>
          <cell r="AC464" t="str">
            <v>L008</v>
          </cell>
          <cell r="AD464" t="str">
            <v/>
          </cell>
          <cell r="AE464" t="str">
            <v/>
          </cell>
          <cell r="AF464" t="str">
            <v/>
          </cell>
          <cell r="AH464" t="str">
            <v>N</v>
          </cell>
          <cell r="AI464">
            <v>0</v>
          </cell>
          <cell r="AJ464">
            <v>0</v>
          </cell>
          <cell r="AK464">
            <v>0</v>
          </cell>
          <cell r="AL464">
            <v>0</v>
          </cell>
          <cell r="AM464">
            <v>414</v>
          </cell>
          <cell r="AN464">
            <v>0</v>
          </cell>
        </row>
        <row r="465">
          <cell r="A465">
            <v>2366</v>
          </cell>
          <cell r="B465">
            <v>0</v>
          </cell>
          <cell r="C465" t="str">
            <v/>
          </cell>
          <cell r="D465" t="str">
            <v>5 DE MAYO #5-A</v>
          </cell>
          <cell r="E465" t="str">
            <v>YURIRIA, GTO.</v>
          </cell>
          <cell r="F465" t="str">
            <v/>
          </cell>
          <cell r="G465" t="str">
            <v>(445) 102-3819 CEL</v>
          </cell>
          <cell r="H465" t="str">
            <v>MARIBEL ESPINOSA Q.</v>
          </cell>
          <cell r="I465" t="str">
            <v>MARIBEL ESPINOSA Q.</v>
          </cell>
          <cell r="J465" t="str">
            <v>J05</v>
          </cell>
          <cell r="K465" t="str">
            <v/>
          </cell>
          <cell r="L465">
            <v>0</v>
          </cell>
          <cell r="M465">
            <v>480</v>
          </cell>
          <cell r="N465" t="str">
            <v>A</v>
          </cell>
          <cell r="O465">
            <v>41865</v>
          </cell>
          <cell r="P465" t="str">
            <v xml:space="preserve">   15</v>
          </cell>
          <cell r="Q465">
            <v>0</v>
          </cell>
          <cell r="R465">
            <v>0</v>
          </cell>
          <cell r="S465">
            <v>0</v>
          </cell>
          <cell r="T465">
            <v>267</v>
          </cell>
          <cell r="U465">
            <v>0</v>
          </cell>
          <cell r="V465" t="str">
            <v>CENTRO</v>
          </cell>
          <cell r="W465" t="str">
            <v>(445) 114-2402 CEL</v>
          </cell>
          <cell r="X465" t="str">
            <v/>
          </cell>
          <cell r="Y465" t="str">
            <v/>
          </cell>
          <cell r="Z465" t="str">
            <v/>
          </cell>
          <cell r="AA465" t="str">
            <v>(445) 102-3819 CEL</v>
          </cell>
          <cell r="AB465" t="str">
            <v/>
          </cell>
          <cell r="AC465" t="str">
            <v>L0484</v>
          </cell>
          <cell r="AD465" t="str">
            <v/>
          </cell>
          <cell r="AE465" t="str">
            <v/>
          </cell>
          <cell r="AF465" t="str">
            <v/>
          </cell>
          <cell r="AH465" t="str">
            <v>N</v>
          </cell>
          <cell r="AI465">
            <v>0</v>
          </cell>
          <cell r="AJ465">
            <v>0</v>
          </cell>
          <cell r="AK465">
            <v>0</v>
          </cell>
          <cell r="AL465">
            <v>0</v>
          </cell>
          <cell r="AM465">
            <v>267</v>
          </cell>
          <cell r="AN465">
            <v>0</v>
          </cell>
        </row>
        <row r="466">
          <cell r="A466">
            <v>2367</v>
          </cell>
          <cell r="B466" t="str">
            <v>ALICIA CARMONA GOMEZ (YURIRIA)</v>
          </cell>
          <cell r="C466" t="str">
            <v/>
          </cell>
          <cell r="D466" t="str">
            <v>HIDALGO #88</v>
          </cell>
          <cell r="E466" t="str">
            <v>YURIRIA, GTO.</v>
          </cell>
          <cell r="F466" t="str">
            <v/>
          </cell>
          <cell r="G466" t="str">
            <v>(445) 168-3988</v>
          </cell>
          <cell r="H466" t="str">
            <v>ALICIA CARMONA GOMEZ</v>
          </cell>
          <cell r="I466" t="str">
            <v>ALICIA CARMONA GOMEZ</v>
          </cell>
          <cell r="J466" t="str">
            <v>J05</v>
          </cell>
          <cell r="K466" t="str">
            <v/>
          </cell>
          <cell r="L466">
            <v>0</v>
          </cell>
          <cell r="M466">
            <v>481</v>
          </cell>
          <cell r="N466" t="str">
            <v>A</v>
          </cell>
          <cell r="O466">
            <v>42410</v>
          </cell>
          <cell r="P466" t="str">
            <v xml:space="preserve">   15</v>
          </cell>
          <cell r="Q466">
            <v>0</v>
          </cell>
          <cell r="R466">
            <v>0</v>
          </cell>
          <cell r="S466">
            <v>0</v>
          </cell>
          <cell r="T466">
            <v>7837</v>
          </cell>
          <cell r="U466">
            <v>0</v>
          </cell>
          <cell r="V466" t="str">
            <v>CENTRO</v>
          </cell>
          <cell r="W466" t="str">
            <v/>
          </cell>
          <cell r="X466" t="str">
            <v/>
          </cell>
          <cell r="Y466" t="str">
            <v/>
          </cell>
          <cell r="Z466" t="str">
            <v/>
          </cell>
          <cell r="AA466" t="str">
            <v>(445) 168-3988</v>
          </cell>
          <cell r="AB466" t="str">
            <v/>
          </cell>
          <cell r="AC466" t="str">
            <v>J165873</v>
          </cell>
          <cell r="AD466" t="str">
            <v/>
          </cell>
          <cell r="AE466" t="str">
            <v/>
          </cell>
          <cell r="AF466" t="str">
            <v/>
          </cell>
          <cell r="AH466" t="str">
            <v>N</v>
          </cell>
          <cell r="AI466">
            <v>0</v>
          </cell>
          <cell r="AJ466">
            <v>0</v>
          </cell>
          <cell r="AK466">
            <v>0</v>
          </cell>
          <cell r="AL466">
            <v>0</v>
          </cell>
          <cell r="AM466">
            <v>1157</v>
          </cell>
          <cell r="AN466">
            <v>0</v>
          </cell>
        </row>
        <row r="467">
          <cell r="A467">
            <v>2368</v>
          </cell>
          <cell r="B467" t="str">
            <v>SORAYDA CHAVEZ OROZCO (YURIRIA)</v>
          </cell>
          <cell r="C467" t="str">
            <v/>
          </cell>
          <cell r="D467" t="str">
            <v>JACARANDAS #26-B</v>
          </cell>
          <cell r="E467" t="str">
            <v>YURIRIA, GTO.</v>
          </cell>
          <cell r="F467" t="str">
            <v/>
          </cell>
          <cell r="G467" t="str">
            <v>(445) 168-4045</v>
          </cell>
          <cell r="H467" t="str">
            <v>SORAYDA CHAVEZ OROZC</v>
          </cell>
          <cell r="I467" t="str">
            <v>SORAYDA CHAVEZ OROZC</v>
          </cell>
          <cell r="J467" t="str">
            <v>J05</v>
          </cell>
          <cell r="K467" t="str">
            <v/>
          </cell>
          <cell r="L467">
            <v>0</v>
          </cell>
          <cell r="M467">
            <v>482</v>
          </cell>
          <cell r="N467" t="str">
            <v>A</v>
          </cell>
          <cell r="O467">
            <v>42343</v>
          </cell>
          <cell r="P467" t="str">
            <v xml:space="preserve">   15</v>
          </cell>
          <cell r="Q467">
            <v>0</v>
          </cell>
          <cell r="R467">
            <v>0</v>
          </cell>
          <cell r="S467">
            <v>0</v>
          </cell>
          <cell r="T467">
            <v>12377</v>
          </cell>
          <cell r="U467">
            <v>0</v>
          </cell>
          <cell r="V467" t="str">
            <v>GUADALUPANA</v>
          </cell>
          <cell r="W467" t="str">
            <v>(445) 123-0630 CEL ESPOSO</v>
          </cell>
          <cell r="X467" t="str">
            <v/>
          </cell>
          <cell r="Y467" t="str">
            <v/>
          </cell>
          <cell r="Z467" t="str">
            <v/>
          </cell>
          <cell r="AA467" t="str">
            <v>(445) 168-4045</v>
          </cell>
          <cell r="AB467" t="str">
            <v xml:space="preserve">  DEV-312</v>
          </cell>
          <cell r="AC467" t="str">
            <v>J073</v>
          </cell>
          <cell r="AD467" t="str">
            <v/>
          </cell>
          <cell r="AE467" t="str">
            <v/>
          </cell>
          <cell r="AF467" t="str">
            <v/>
          </cell>
          <cell r="AG467">
            <v>42321</v>
          </cell>
          <cell r="AH467" t="str">
            <v>N</v>
          </cell>
          <cell r="AI467">
            <v>0</v>
          </cell>
          <cell r="AJ467">
            <v>0</v>
          </cell>
          <cell r="AK467">
            <v>0</v>
          </cell>
          <cell r="AL467">
            <v>165</v>
          </cell>
          <cell r="AM467">
            <v>1840</v>
          </cell>
          <cell r="AN467">
            <v>0</v>
          </cell>
        </row>
        <row r="468">
          <cell r="A468">
            <v>2372</v>
          </cell>
          <cell r="B468" t="str">
            <v>MARGARITA LOPEZ LEON (SILAO)</v>
          </cell>
          <cell r="C468" t="str">
            <v>LOLM-710530-K18</v>
          </cell>
          <cell r="D468" t="str">
            <v>FUNDACION #38-B</v>
          </cell>
          <cell r="E468" t="str">
            <v>SILAO, GTO.</v>
          </cell>
          <cell r="F468" t="str">
            <v>36100</v>
          </cell>
          <cell r="G468" t="str">
            <v>(472) 570-1339</v>
          </cell>
          <cell r="H468" t="str">
            <v>MARGARITA LOPEZ</v>
          </cell>
          <cell r="I468" t="str">
            <v>MARGARITA LOPEZ</v>
          </cell>
          <cell r="J468" t="str">
            <v>F04</v>
          </cell>
          <cell r="K468" t="str">
            <v/>
          </cell>
          <cell r="L468">
            <v>0</v>
          </cell>
          <cell r="M468">
            <v>487</v>
          </cell>
          <cell r="N468" t="str">
            <v>A</v>
          </cell>
          <cell r="O468">
            <v>42338</v>
          </cell>
          <cell r="P468" t="str">
            <v xml:space="preserve">    1</v>
          </cell>
          <cell r="Q468">
            <v>0</v>
          </cell>
          <cell r="R468">
            <v>0</v>
          </cell>
          <cell r="S468">
            <v>0</v>
          </cell>
          <cell r="T468">
            <v>15128</v>
          </cell>
          <cell r="U468">
            <v>0</v>
          </cell>
          <cell r="V468" t="str">
            <v>CENTRO</v>
          </cell>
          <cell r="W468" t="str">
            <v/>
          </cell>
          <cell r="X468" t="str">
            <v>jaba-74@hotmail.com</v>
          </cell>
          <cell r="Y468" t="str">
            <v/>
          </cell>
          <cell r="Z468" t="str">
            <v/>
          </cell>
          <cell r="AA468" t="str">
            <v>(472) 570-1339</v>
          </cell>
          <cell r="AB468" t="str">
            <v/>
          </cell>
          <cell r="AC468" t="str">
            <v>F449</v>
          </cell>
          <cell r="AD468" t="str">
            <v/>
          </cell>
          <cell r="AE468" t="str">
            <v/>
          </cell>
          <cell r="AF468" t="str">
            <v/>
          </cell>
          <cell r="AH468" t="str">
            <v>N</v>
          </cell>
          <cell r="AI468">
            <v>0</v>
          </cell>
          <cell r="AJ468">
            <v>0</v>
          </cell>
          <cell r="AK468">
            <v>0</v>
          </cell>
          <cell r="AL468">
            <v>0</v>
          </cell>
          <cell r="AM468">
            <v>2436</v>
          </cell>
          <cell r="AN468">
            <v>0</v>
          </cell>
        </row>
        <row r="469">
          <cell r="A469">
            <v>2370</v>
          </cell>
          <cell r="B469" t="str">
            <v>AMERICA</v>
          </cell>
          <cell r="C469" t="str">
            <v/>
          </cell>
          <cell r="D469" t="str">
            <v/>
          </cell>
          <cell r="E469" t="str">
            <v/>
          </cell>
          <cell r="F469" t="str">
            <v/>
          </cell>
          <cell r="G469" t="str">
            <v/>
          </cell>
          <cell r="H469" t="str">
            <v/>
          </cell>
          <cell r="I469" t="str">
            <v/>
          </cell>
          <cell r="J469" t="str">
            <v>M01</v>
          </cell>
          <cell r="K469" t="str">
            <v/>
          </cell>
          <cell r="L469">
            <v>0</v>
          </cell>
          <cell r="M469">
            <v>485</v>
          </cell>
          <cell r="N469" t="str">
            <v>A</v>
          </cell>
          <cell r="O469">
            <v>42159</v>
          </cell>
          <cell r="P469" t="str">
            <v xml:space="preserve">    5</v>
          </cell>
          <cell r="Q469">
            <v>0</v>
          </cell>
          <cell r="R469">
            <v>0</v>
          </cell>
          <cell r="S469">
            <v>0</v>
          </cell>
          <cell r="T469">
            <v>7150</v>
          </cell>
          <cell r="U469">
            <v>0</v>
          </cell>
          <cell r="V469" t="str">
            <v/>
          </cell>
          <cell r="W469" t="str">
            <v/>
          </cell>
          <cell r="X469" t="str">
            <v/>
          </cell>
          <cell r="Y469" t="str">
            <v/>
          </cell>
          <cell r="Z469" t="str">
            <v/>
          </cell>
          <cell r="AA469" t="str">
            <v/>
          </cell>
          <cell r="AB469" t="str">
            <v/>
          </cell>
          <cell r="AC469" t="str">
            <v>M-0837</v>
          </cell>
          <cell r="AD469" t="str">
            <v/>
          </cell>
          <cell r="AE469" t="str">
            <v/>
          </cell>
          <cell r="AF469" t="str">
            <v/>
          </cell>
          <cell r="AH469" t="str">
            <v>N</v>
          </cell>
          <cell r="AI469">
            <v>0</v>
          </cell>
          <cell r="AJ469">
            <v>0</v>
          </cell>
          <cell r="AK469">
            <v>0</v>
          </cell>
          <cell r="AL469">
            <v>0</v>
          </cell>
          <cell r="AM469">
            <v>635</v>
          </cell>
          <cell r="AN469">
            <v>0</v>
          </cell>
        </row>
        <row r="470">
          <cell r="A470">
            <v>2371</v>
          </cell>
          <cell r="B470" t="str">
            <v>MARICELA CHAVEZ SILVA (TULTEPEC)</v>
          </cell>
          <cell r="C470" t="str">
            <v/>
          </cell>
          <cell r="D470" t="str">
            <v>JOAQUIN MONTE NEGRO #2</v>
          </cell>
          <cell r="E470" t="str">
            <v>TULTEPEC, EDO. DE MEXICO</v>
          </cell>
          <cell r="F470" t="str">
            <v/>
          </cell>
          <cell r="G470" t="str">
            <v>(55) 5892-1187</v>
          </cell>
          <cell r="H470" t="str">
            <v>MARICELA CHAVEZ S.</v>
          </cell>
          <cell r="I470" t="str">
            <v>MARICELA CHAVEZ S.</v>
          </cell>
          <cell r="J470" t="str">
            <v>M01</v>
          </cell>
          <cell r="K470" t="str">
            <v/>
          </cell>
          <cell r="L470">
            <v>0</v>
          </cell>
          <cell r="M470">
            <v>486</v>
          </cell>
          <cell r="N470" t="str">
            <v>A</v>
          </cell>
          <cell r="O470">
            <v>41927</v>
          </cell>
          <cell r="P470" t="str">
            <v xml:space="preserve">    5</v>
          </cell>
          <cell r="Q470">
            <v>0</v>
          </cell>
          <cell r="R470">
            <v>0</v>
          </cell>
          <cell r="S470">
            <v>0</v>
          </cell>
          <cell r="T470">
            <v>2641</v>
          </cell>
          <cell r="U470">
            <v>0</v>
          </cell>
          <cell r="V470" t="str">
            <v>BARRIO SAN RAFAEL</v>
          </cell>
          <cell r="W470" t="str">
            <v/>
          </cell>
          <cell r="X470" t="str">
            <v/>
          </cell>
          <cell r="Y470" t="str">
            <v/>
          </cell>
          <cell r="Z470" t="str">
            <v/>
          </cell>
          <cell r="AA470" t="str">
            <v>(55) 5892-1187</v>
          </cell>
          <cell r="AB470" t="str">
            <v/>
          </cell>
          <cell r="AC470" t="str">
            <v>M142</v>
          </cell>
          <cell r="AD470" t="str">
            <v/>
          </cell>
          <cell r="AE470" t="str">
            <v/>
          </cell>
          <cell r="AF470" t="str">
            <v/>
          </cell>
          <cell r="AH470" t="str">
            <v>N</v>
          </cell>
          <cell r="AI470">
            <v>0</v>
          </cell>
          <cell r="AJ470">
            <v>0</v>
          </cell>
          <cell r="AK470">
            <v>0</v>
          </cell>
          <cell r="AL470">
            <v>0</v>
          </cell>
          <cell r="AM470">
            <v>2641</v>
          </cell>
          <cell r="AN470">
            <v>0</v>
          </cell>
        </row>
        <row r="471">
          <cell r="A471">
            <v>2377</v>
          </cell>
          <cell r="B471" t="str">
            <v>ARACELI PEÑA (VILLAGRAN)</v>
          </cell>
          <cell r="C471" t="str">
            <v/>
          </cell>
          <cell r="D471" t="str">
            <v>VICENTE GUERRERO #311</v>
          </cell>
          <cell r="E471" t="str">
            <v>VILLAGRAN, GTO.</v>
          </cell>
          <cell r="F471" t="str">
            <v/>
          </cell>
          <cell r="G471" t="str">
            <v/>
          </cell>
          <cell r="H471" t="str">
            <v>ARACELI PEÑA</v>
          </cell>
          <cell r="I471" t="str">
            <v>ARACELI PEÑA</v>
          </cell>
          <cell r="J471" t="str">
            <v>F04</v>
          </cell>
          <cell r="K471" t="str">
            <v/>
          </cell>
          <cell r="L471">
            <v>0</v>
          </cell>
          <cell r="M471">
            <v>492</v>
          </cell>
          <cell r="N471" t="str">
            <v>A</v>
          </cell>
          <cell r="O471">
            <v>41965</v>
          </cell>
          <cell r="P471" t="str">
            <v xml:space="preserve">    1</v>
          </cell>
          <cell r="Q471">
            <v>0</v>
          </cell>
          <cell r="R471">
            <v>0</v>
          </cell>
          <cell r="S471">
            <v>0</v>
          </cell>
          <cell r="T471">
            <v>1808</v>
          </cell>
          <cell r="U471">
            <v>0</v>
          </cell>
          <cell r="V471" t="str">
            <v>CENTRO</v>
          </cell>
          <cell r="W471" t="str">
            <v/>
          </cell>
          <cell r="X471" t="str">
            <v/>
          </cell>
          <cell r="Y471" t="str">
            <v/>
          </cell>
          <cell r="Z471" t="str">
            <v/>
          </cell>
          <cell r="AA471" t="str">
            <v/>
          </cell>
          <cell r="AB471" t="str">
            <v/>
          </cell>
          <cell r="AC471" t="str">
            <v>F053</v>
          </cell>
          <cell r="AD471" t="str">
            <v/>
          </cell>
          <cell r="AE471" t="str">
            <v/>
          </cell>
          <cell r="AF471" t="str">
            <v/>
          </cell>
          <cell r="AH471" t="str">
            <v>N</v>
          </cell>
          <cell r="AI471">
            <v>0</v>
          </cell>
          <cell r="AJ471">
            <v>0</v>
          </cell>
          <cell r="AK471">
            <v>0</v>
          </cell>
          <cell r="AL471">
            <v>0</v>
          </cell>
          <cell r="AM471">
            <v>1808</v>
          </cell>
          <cell r="AN471">
            <v>0</v>
          </cell>
        </row>
        <row r="472">
          <cell r="A472">
            <v>2373</v>
          </cell>
          <cell r="B472" t="str">
            <v xml:space="preserve">EDITH BAUTISTA / ANGEL ROMAN (ZUMPANGO)                                   </v>
          </cell>
          <cell r="C472" t="str">
            <v/>
          </cell>
          <cell r="D472">
            <v>0</v>
          </cell>
          <cell r="E472" t="str">
            <v xml:space="preserve">ZUMPANGO, EDO. DE MEXICO      </v>
          </cell>
          <cell r="F472" t="str">
            <v/>
          </cell>
          <cell r="G472">
            <v>0</v>
          </cell>
          <cell r="H472" t="str">
            <v>MARICELA MUÑOZ</v>
          </cell>
          <cell r="I472" t="str">
            <v>MARICELA MUÑOZ</v>
          </cell>
          <cell r="J472" t="str">
            <v>F02A</v>
          </cell>
          <cell r="K472" t="str">
            <v/>
          </cell>
          <cell r="L472">
            <v>0</v>
          </cell>
          <cell r="M472">
            <v>488</v>
          </cell>
          <cell r="N472" t="str">
            <v>A</v>
          </cell>
          <cell r="O472">
            <v>41957</v>
          </cell>
          <cell r="P472" t="str">
            <v xml:space="preserve">    2</v>
          </cell>
          <cell r="Q472">
            <v>0</v>
          </cell>
          <cell r="R472">
            <v>0</v>
          </cell>
          <cell r="S472">
            <v>0</v>
          </cell>
          <cell r="T472">
            <v>1535</v>
          </cell>
          <cell r="U472">
            <v>0</v>
          </cell>
          <cell r="V472">
            <v>0</v>
          </cell>
          <cell r="W472" t="str">
            <v/>
          </cell>
          <cell r="X472" t="str">
            <v>atzimbaprodule@hotmail.com</v>
          </cell>
          <cell r="Y472" t="str">
            <v/>
          </cell>
          <cell r="Z472" t="str">
            <v/>
          </cell>
          <cell r="AA472" t="str">
            <v/>
          </cell>
          <cell r="AB472" t="str">
            <v/>
          </cell>
          <cell r="AC472" t="str">
            <v>J0580</v>
          </cell>
          <cell r="AD472" t="str">
            <v/>
          </cell>
          <cell r="AE472" t="str">
            <v/>
          </cell>
          <cell r="AF472" t="str">
            <v/>
          </cell>
          <cell r="AH472" t="str">
            <v>N</v>
          </cell>
          <cell r="AI472">
            <v>0</v>
          </cell>
          <cell r="AJ472">
            <v>0</v>
          </cell>
          <cell r="AK472">
            <v>0</v>
          </cell>
          <cell r="AL472">
            <v>0</v>
          </cell>
          <cell r="AM472">
            <v>1535</v>
          </cell>
          <cell r="AN472">
            <v>0</v>
          </cell>
        </row>
        <row r="473">
          <cell r="A473">
            <v>2374</v>
          </cell>
          <cell r="B473" t="str">
            <v>GABRIELA SALGADO / YADIRA FERNANDEZ (VILLA)</v>
          </cell>
          <cell r="C473" t="str">
            <v/>
          </cell>
          <cell r="D473" t="str">
            <v>BVLD. DE LAS FLORES ESQ. DALIAS</v>
          </cell>
          <cell r="E473" t="str">
            <v>COACALCO, EDO. DE MEXICO</v>
          </cell>
          <cell r="F473" t="str">
            <v/>
          </cell>
          <cell r="G473" t="str">
            <v>(55) 5906-1886</v>
          </cell>
          <cell r="H473" t="str">
            <v>YADIRA FERNANDEZ</v>
          </cell>
          <cell r="I473" t="str">
            <v>YADIRA FERNANDEZ</v>
          </cell>
          <cell r="J473" t="str">
            <v>M01</v>
          </cell>
          <cell r="K473" t="str">
            <v/>
          </cell>
          <cell r="L473">
            <v>0</v>
          </cell>
          <cell r="M473">
            <v>489</v>
          </cell>
          <cell r="N473" t="str">
            <v>A</v>
          </cell>
          <cell r="O473">
            <v>42319</v>
          </cell>
          <cell r="P473" t="str">
            <v xml:space="preserve">    5</v>
          </cell>
          <cell r="Q473">
            <v>0</v>
          </cell>
          <cell r="R473">
            <v>0</v>
          </cell>
          <cell r="S473">
            <v>0</v>
          </cell>
          <cell r="T473">
            <v>17340</v>
          </cell>
          <cell r="U473">
            <v>0</v>
          </cell>
          <cell r="V473" t="str">
            <v>VILLA 1RA</v>
          </cell>
          <cell r="W473" t="str">
            <v/>
          </cell>
          <cell r="X473" t="str">
            <v/>
          </cell>
          <cell r="Y473" t="str">
            <v/>
          </cell>
          <cell r="Z473" t="str">
            <v/>
          </cell>
          <cell r="AA473" t="str">
            <v>(55) 5906-1886</v>
          </cell>
          <cell r="AB473" t="str">
            <v/>
          </cell>
          <cell r="AC473" t="str">
            <v>M489</v>
          </cell>
          <cell r="AD473" t="str">
            <v/>
          </cell>
          <cell r="AE473" t="str">
            <v/>
          </cell>
          <cell r="AF473" t="str">
            <v/>
          </cell>
          <cell r="AH473" t="str">
            <v>N</v>
          </cell>
          <cell r="AI473">
            <v>0</v>
          </cell>
          <cell r="AJ473">
            <v>0</v>
          </cell>
          <cell r="AK473">
            <v>0</v>
          </cell>
          <cell r="AL473">
            <v>0</v>
          </cell>
          <cell r="AM473">
            <v>1805</v>
          </cell>
          <cell r="AN473">
            <v>0</v>
          </cell>
        </row>
        <row r="474">
          <cell r="A474">
            <v>2375</v>
          </cell>
          <cell r="B474" t="str">
            <v>XOCHITL FUERTES TOLEDO (AMEALCO)</v>
          </cell>
          <cell r="C474" t="str">
            <v/>
          </cell>
          <cell r="D474" t="str">
            <v>CARR. AMEALCO-CORONEO #483</v>
          </cell>
          <cell r="E474" t="str">
            <v>AMEALCO, QRO.</v>
          </cell>
          <cell r="F474" t="str">
            <v/>
          </cell>
          <cell r="G474" t="str">
            <v>(448) 102-0347 CEL</v>
          </cell>
          <cell r="H474" t="str">
            <v>XOCHITL FUERTES T.</v>
          </cell>
          <cell r="I474" t="str">
            <v>XOCHITL FUERTES T.</v>
          </cell>
          <cell r="J474" t="str">
            <v>L06</v>
          </cell>
          <cell r="K474" t="str">
            <v/>
          </cell>
          <cell r="L474">
            <v>0</v>
          </cell>
          <cell r="M474">
            <v>490</v>
          </cell>
          <cell r="N474" t="str">
            <v>A</v>
          </cell>
          <cell r="O474">
            <v>42518</v>
          </cell>
          <cell r="P474" t="str">
            <v xml:space="preserve">   97</v>
          </cell>
          <cell r="Q474">
            <v>0</v>
          </cell>
          <cell r="R474">
            <v>0</v>
          </cell>
          <cell r="S474">
            <v>3853</v>
          </cell>
          <cell r="T474">
            <v>27267</v>
          </cell>
          <cell r="U474">
            <v>0</v>
          </cell>
          <cell r="V474" t="str">
            <v>ENTRE COMEX Y AS</v>
          </cell>
          <cell r="W474" t="str">
            <v/>
          </cell>
          <cell r="X474" t="str">
            <v/>
          </cell>
          <cell r="Y474" t="str">
            <v/>
          </cell>
          <cell r="Z474" t="str">
            <v/>
          </cell>
          <cell r="AA474" t="str">
            <v>(448) 102-0347 CEL</v>
          </cell>
          <cell r="AB474" t="str">
            <v/>
          </cell>
          <cell r="AC474" t="str">
            <v>D0417</v>
          </cell>
          <cell r="AD474" t="str">
            <v/>
          </cell>
          <cell r="AE474" t="str">
            <v/>
          </cell>
          <cell r="AF474" t="str">
            <v/>
          </cell>
          <cell r="AH474" t="str">
            <v>N</v>
          </cell>
          <cell r="AI474">
            <v>0</v>
          </cell>
          <cell r="AJ474">
            <v>0</v>
          </cell>
          <cell r="AK474">
            <v>0</v>
          </cell>
          <cell r="AL474">
            <v>0</v>
          </cell>
          <cell r="AM474">
            <v>763</v>
          </cell>
          <cell r="AN474">
            <v>0</v>
          </cell>
        </row>
        <row r="475">
          <cell r="A475">
            <v>2376</v>
          </cell>
          <cell r="B475" t="str">
            <v>LUCIA JOSEFINA TOLEDO COLIN (AMEALCO)</v>
          </cell>
          <cell r="C475" t="str">
            <v/>
          </cell>
          <cell r="D475" t="str">
            <v>MERCADO LOC.38</v>
          </cell>
          <cell r="E475" t="str">
            <v>AMEALCO, QRO.</v>
          </cell>
          <cell r="F475" t="str">
            <v/>
          </cell>
          <cell r="G475" t="str">
            <v>(448) 101-8963 CEL</v>
          </cell>
          <cell r="H475" t="str">
            <v>JOSEFINA TOLEDO</v>
          </cell>
          <cell r="I475" t="str">
            <v>JOSEFINA TOLEDO</v>
          </cell>
          <cell r="J475" t="str">
            <v>L06</v>
          </cell>
          <cell r="K475" t="str">
            <v/>
          </cell>
          <cell r="L475">
            <v>0</v>
          </cell>
          <cell r="M475">
            <v>491</v>
          </cell>
          <cell r="N475" t="str">
            <v>A</v>
          </cell>
          <cell r="O475">
            <v>41971</v>
          </cell>
          <cell r="P475" t="str">
            <v xml:space="preserve">   97</v>
          </cell>
          <cell r="Q475">
            <v>0</v>
          </cell>
          <cell r="R475">
            <v>0</v>
          </cell>
          <cell r="S475">
            <v>0</v>
          </cell>
          <cell r="T475">
            <v>2425</v>
          </cell>
          <cell r="U475">
            <v>0</v>
          </cell>
          <cell r="V475" t="str">
            <v>CENTRO</v>
          </cell>
          <cell r="W475" t="str">
            <v/>
          </cell>
          <cell r="X475" t="str">
            <v/>
          </cell>
          <cell r="Y475" t="str">
            <v/>
          </cell>
          <cell r="Z475" t="str">
            <v/>
          </cell>
          <cell r="AA475" t="str">
            <v>(448) 101-8963 CEL</v>
          </cell>
          <cell r="AB475" t="str">
            <v/>
          </cell>
          <cell r="AC475" t="str">
            <v>D0585</v>
          </cell>
          <cell r="AD475" t="str">
            <v/>
          </cell>
          <cell r="AE475" t="str">
            <v/>
          </cell>
          <cell r="AF475" t="str">
            <v/>
          </cell>
          <cell r="AH475" t="str">
            <v>N</v>
          </cell>
          <cell r="AI475">
            <v>0</v>
          </cell>
          <cell r="AJ475">
            <v>0</v>
          </cell>
          <cell r="AK475">
            <v>0</v>
          </cell>
          <cell r="AL475">
            <v>0</v>
          </cell>
          <cell r="AM475">
            <v>1679</v>
          </cell>
          <cell r="AN475">
            <v>0</v>
          </cell>
        </row>
        <row r="476">
          <cell r="A476">
            <v>2379</v>
          </cell>
          <cell r="B476" t="str">
            <v>JORGE RODRIGUEZ HERNANDEZ (SILAO)</v>
          </cell>
          <cell r="C476" t="str">
            <v/>
          </cell>
          <cell r="D476" t="str">
            <v>PALMA #8</v>
          </cell>
          <cell r="E476" t="str">
            <v>SILAO, GTO.</v>
          </cell>
          <cell r="F476" t="str">
            <v/>
          </cell>
          <cell r="G476" t="str">
            <v>(472) 101-3757 CEL</v>
          </cell>
          <cell r="H476" t="str">
            <v>JORGE RODRIGUEZ HDZ.</v>
          </cell>
          <cell r="I476" t="str">
            <v>JORGE RODRIGUEZ HDZ.</v>
          </cell>
          <cell r="J476" t="str">
            <v>F04</v>
          </cell>
          <cell r="K476" t="str">
            <v/>
          </cell>
          <cell r="L476">
            <v>0</v>
          </cell>
          <cell r="M476">
            <v>494</v>
          </cell>
          <cell r="N476" t="str">
            <v>A</v>
          </cell>
          <cell r="O476">
            <v>42013</v>
          </cell>
          <cell r="P476" t="str">
            <v xml:space="preserve">    1</v>
          </cell>
          <cell r="Q476">
            <v>0</v>
          </cell>
          <cell r="R476">
            <v>0</v>
          </cell>
          <cell r="S476">
            <v>0</v>
          </cell>
          <cell r="T476">
            <v>4333</v>
          </cell>
          <cell r="U476">
            <v>0</v>
          </cell>
          <cell r="V476" t="str">
            <v>SAN JOSE EL ALTO</v>
          </cell>
          <cell r="W476" t="str">
            <v/>
          </cell>
          <cell r="X476" t="str">
            <v/>
          </cell>
          <cell r="Y476" t="str">
            <v/>
          </cell>
          <cell r="Z476" t="str">
            <v/>
          </cell>
          <cell r="AA476" t="str">
            <v>(472) 101-3757 CEL</v>
          </cell>
          <cell r="AB476" t="str">
            <v/>
          </cell>
          <cell r="AC476" t="str">
            <v>F0693</v>
          </cell>
          <cell r="AD476" t="str">
            <v/>
          </cell>
          <cell r="AE476" t="str">
            <v/>
          </cell>
          <cell r="AF476" t="str">
            <v/>
          </cell>
          <cell r="AH476" t="str">
            <v>N</v>
          </cell>
          <cell r="AI476">
            <v>0</v>
          </cell>
          <cell r="AJ476">
            <v>0</v>
          </cell>
          <cell r="AK476">
            <v>0</v>
          </cell>
          <cell r="AL476">
            <v>0</v>
          </cell>
          <cell r="AM476">
            <v>652</v>
          </cell>
          <cell r="AN476">
            <v>0</v>
          </cell>
        </row>
        <row r="477">
          <cell r="A477">
            <v>2378</v>
          </cell>
          <cell r="B477" t="str">
            <v>ISABEL SAMANIEGO ZACARIAS (SAN JUAN)</v>
          </cell>
          <cell r="C477" t="str">
            <v/>
          </cell>
          <cell r="D477" t="str">
            <v>MONTE EVEREST #35</v>
          </cell>
          <cell r="E477" t="str">
            <v>SAN JUAN DEL RIO, QRO.</v>
          </cell>
          <cell r="F477" t="str">
            <v/>
          </cell>
          <cell r="G477" t="str">
            <v>(427) 106-2003 CEL</v>
          </cell>
          <cell r="H477" t="str">
            <v>ISABEL SAMANIEGO Z.</v>
          </cell>
          <cell r="I477" t="str">
            <v>ISABEL SAMANIEGO Z.</v>
          </cell>
          <cell r="J477" t="str">
            <v>L01P</v>
          </cell>
          <cell r="K477" t="str">
            <v/>
          </cell>
          <cell r="L477">
            <v>0</v>
          </cell>
          <cell r="M477">
            <v>493</v>
          </cell>
          <cell r="N477" t="str">
            <v>A</v>
          </cell>
          <cell r="O477">
            <v>42139</v>
          </cell>
          <cell r="P477" t="str">
            <v xml:space="preserve">   97</v>
          </cell>
          <cell r="Q477">
            <v>0</v>
          </cell>
          <cell r="R477">
            <v>0</v>
          </cell>
          <cell r="S477">
            <v>0</v>
          </cell>
          <cell r="T477">
            <v>1516</v>
          </cell>
          <cell r="U477">
            <v>0</v>
          </cell>
          <cell r="V477" t="str">
            <v>LOMAS DE SAN JUAN</v>
          </cell>
          <cell r="W477" t="str">
            <v/>
          </cell>
          <cell r="X477" t="str">
            <v/>
          </cell>
          <cell r="Y477" t="str">
            <v/>
          </cell>
          <cell r="Z477" t="str">
            <v/>
          </cell>
          <cell r="AA477" t="str">
            <v>(427) 106-2003 CEL</v>
          </cell>
          <cell r="AB477" t="str">
            <v/>
          </cell>
          <cell r="AC477" t="str">
            <v>D0930</v>
          </cell>
          <cell r="AD477" t="str">
            <v/>
          </cell>
          <cell r="AE477" t="str">
            <v/>
          </cell>
          <cell r="AF477" t="str">
            <v/>
          </cell>
          <cell r="AH477" t="str">
            <v>N</v>
          </cell>
          <cell r="AI477">
            <v>0</v>
          </cell>
          <cell r="AJ477">
            <v>0</v>
          </cell>
          <cell r="AK477">
            <v>0</v>
          </cell>
          <cell r="AL477">
            <v>0</v>
          </cell>
          <cell r="AM477">
            <v>180</v>
          </cell>
          <cell r="AN477">
            <v>0</v>
          </cell>
        </row>
        <row r="478">
          <cell r="A478">
            <v>2388</v>
          </cell>
          <cell r="B478" t="str">
            <v>ISRAEL RICO (APASEO EL GRANDE)</v>
          </cell>
          <cell r="C478" t="str">
            <v/>
          </cell>
          <cell r="D478" t="str">
            <v/>
          </cell>
          <cell r="E478" t="str">
            <v xml:space="preserve">APASEO EL GRANDE, GTO.        </v>
          </cell>
          <cell r="F478" t="str">
            <v/>
          </cell>
          <cell r="G478" t="str">
            <v/>
          </cell>
          <cell r="H478" t="str">
            <v/>
          </cell>
          <cell r="I478" t="str">
            <v/>
          </cell>
          <cell r="J478" t="str">
            <v>F04</v>
          </cell>
          <cell r="K478" t="str">
            <v/>
          </cell>
          <cell r="L478">
            <v>0</v>
          </cell>
          <cell r="M478">
            <v>504</v>
          </cell>
          <cell r="N478" t="str">
            <v>A</v>
          </cell>
          <cell r="O478">
            <v>42406</v>
          </cell>
          <cell r="P478" t="str">
            <v xml:space="preserve">    1</v>
          </cell>
          <cell r="Q478">
            <v>0</v>
          </cell>
          <cell r="R478">
            <v>0</v>
          </cell>
          <cell r="S478">
            <v>0</v>
          </cell>
          <cell r="T478">
            <v>4733</v>
          </cell>
          <cell r="U478">
            <v>0</v>
          </cell>
          <cell r="V478" t="str">
            <v/>
          </cell>
          <cell r="W478" t="str">
            <v/>
          </cell>
          <cell r="X478" t="str">
            <v/>
          </cell>
          <cell r="Y478" t="str">
            <v/>
          </cell>
          <cell r="Z478" t="str">
            <v/>
          </cell>
          <cell r="AA478" t="str">
            <v/>
          </cell>
          <cell r="AB478" t="str">
            <v/>
          </cell>
          <cell r="AC478" t="str">
            <v>F504</v>
          </cell>
          <cell r="AD478" t="str">
            <v/>
          </cell>
          <cell r="AE478" t="str">
            <v/>
          </cell>
          <cell r="AF478" t="str">
            <v/>
          </cell>
          <cell r="AH478" t="str">
            <v>N</v>
          </cell>
          <cell r="AI478">
            <v>0</v>
          </cell>
          <cell r="AJ478">
            <v>0</v>
          </cell>
          <cell r="AK478">
            <v>0</v>
          </cell>
          <cell r="AL478">
            <v>0</v>
          </cell>
          <cell r="AM478">
            <v>2910</v>
          </cell>
          <cell r="AN478">
            <v>0</v>
          </cell>
        </row>
        <row r="479">
          <cell r="A479">
            <v>2380</v>
          </cell>
          <cell r="B479" t="str">
            <v>SONIA GOMEZ JIMENEZ / RODOLFO HERRERA (COACALCO)</v>
          </cell>
          <cell r="C479" t="str">
            <v/>
          </cell>
          <cell r="D479" t="str">
            <v>AV. MORELOS #48</v>
          </cell>
          <cell r="E479" t="str">
            <v>ECATEPEC, EDO. DE MEXICO</v>
          </cell>
          <cell r="F479" t="str">
            <v/>
          </cell>
          <cell r="G479" t="str">
            <v>(55) 5116-4591</v>
          </cell>
          <cell r="H479" t="str">
            <v>SONIA GOMEZ JIMENEZ</v>
          </cell>
          <cell r="I479" t="str">
            <v>SONIA GOMEZ JIMENEZ</v>
          </cell>
          <cell r="J479" t="str">
            <v>M01</v>
          </cell>
          <cell r="K479" t="str">
            <v/>
          </cell>
          <cell r="L479">
            <v>0</v>
          </cell>
          <cell r="M479">
            <v>495</v>
          </cell>
          <cell r="N479" t="str">
            <v>A</v>
          </cell>
          <cell r="O479">
            <v>42334</v>
          </cell>
          <cell r="P479" t="str">
            <v xml:space="preserve">    5</v>
          </cell>
          <cell r="Q479">
            <v>0</v>
          </cell>
          <cell r="R479">
            <v>0</v>
          </cell>
          <cell r="S479">
            <v>1030</v>
          </cell>
          <cell r="T479">
            <v>56292</v>
          </cell>
          <cell r="U479">
            <v>0</v>
          </cell>
          <cell r="V479" t="str">
            <v>SAN CRISTOBAL</v>
          </cell>
          <cell r="W479" t="str">
            <v>(55) 6592-5029</v>
          </cell>
          <cell r="X479" t="str">
            <v/>
          </cell>
          <cell r="Y479" t="str">
            <v/>
          </cell>
          <cell r="Z479" t="str">
            <v/>
          </cell>
          <cell r="AA479" t="str">
            <v>(55) 5116-4591</v>
          </cell>
          <cell r="AB479" t="str">
            <v/>
          </cell>
          <cell r="AC479" t="str">
            <v>M513</v>
          </cell>
          <cell r="AD479" t="str">
            <v/>
          </cell>
          <cell r="AE479" t="str">
            <v/>
          </cell>
          <cell r="AF479" t="str">
            <v/>
          </cell>
          <cell r="AH479" t="str">
            <v>N</v>
          </cell>
          <cell r="AI479">
            <v>0</v>
          </cell>
          <cell r="AJ479">
            <v>0</v>
          </cell>
          <cell r="AK479">
            <v>0</v>
          </cell>
          <cell r="AL479">
            <v>0</v>
          </cell>
          <cell r="AM479">
            <v>9230</v>
          </cell>
          <cell r="AN479">
            <v>0</v>
          </cell>
        </row>
        <row r="480">
          <cell r="A480">
            <v>2381</v>
          </cell>
          <cell r="B480" t="str">
            <v>BLANCA DAVILA ESPARZA (TULTEPEC)</v>
          </cell>
          <cell r="C480" t="str">
            <v/>
          </cell>
          <cell r="D480" t="str">
            <v>INDUSTRIA #21</v>
          </cell>
          <cell r="E480" t="str">
            <v>TULTEPEC, EDO. DE MEXICO</v>
          </cell>
          <cell r="F480" t="str">
            <v/>
          </cell>
          <cell r="G480" t="str">
            <v>(55) 5890-0157</v>
          </cell>
          <cell r="H480" t="str">
            <v>BLANCA DAVILA E.</v>
          </cell>
          <cell r="I480" t="str">
            <v>BLANCA DAVILA E.</v>
          </cell>
          <cell r="J480" t="str">
            <v>M01</v>
          </cell>
          <cell r="K480" t="str">
            <v/>
          </cell>
          <cell r="L480">
            <v>0</v>
          </cell>
          <cell r="M480">
            <v>496</v>
          </cell>
          <cell r="N480" t="str">
            <v>A</v>
          </cell>
          <cell r="O480">
            <v>41984</v>
          </cell>
          <cell r="P480" t="str">
            <v xml:space="preserve">    5</v>
          </cell>
          <cell r="Q480">
            <v>0</v>
          </cell>
          <cell r="R480">
            <v>0</v>
          </cell>
          <cell r="S480">
            <v>0</v>
          </cell>
          <cell r="T480">
            <v>940</v>
          </cell>
          <cell r="U480">
            <v>0</v>
          </cell>
          <cell r="V480" t="str">
            <v>SAN ANTONIO</v>
          </cell>
          <cell r="W480" t="str">
            <v/>
          </cell>
          <cell r="X480" t="str">
            <v/>
          </cell>
          <cell r="Y480" t="str">
            <v/>
          </cell>
          <cell r="Z480" t="str">
            <v/>
          </cell>
          <cell r="AA480" t="str">
            <v>(55) 5890-0157</v>
          </cell>
          <cell r="AB480" t="str">
            <v/>
          </cell>
          <cell r="AC480" t="str">
            <v>M-I9023</v>
          </cell>
          <cell r="AD480" t="str">
            <v/>
          </cell>
          <cell r="AE480" t="str">
            <v/>
          </cell>
          <cell r="AF480" t="str">
            <v/>
          </cell>
          <cell r="AH480" t="str">
            <v>N</v>
          </cell>
          <cell r="AI480">
            <v>0</v>
          </cell>
          <cell r="AJ480">
            <v>0</v>
          </cell>
          <cell r="AK480">
            <v>0</v>
          </cell>
          <cell r="AL480">
            <v>0</v>
          </cell>
          <cell r="AM480">
            <v>940</v>
          </cell>
          <cell r="AN480">
            <v>0</v>
          </cell>
        </row>
        <row r="481">
          <cell r="A481">
            <v>2382</v>
          </cell>
          <cell r="B481" t="str">
            <v>NANCY MARIEL SIMON CRUZ (MIXQUIAHUALA)</v>
          </cell>
          <cell r="C481" t="str">
            <v/>
          </cell>
          <cell r="D481" t="str">
            <v>AV. REFORMA #54 LOCAL A</v>
          </cell>
          <cell r="E481" t="str">
            <v>MIXQUIAHUALA, HGO.</v>
          </cell>
          <cell r="F481" t="str">
            <v>42700</v>
          </cell>
          <cell r="G481" t="str">
            <v>(773) 132-8978</v>
          </cell>
          <cell r="H481" t="str">
            <v>NANCY MACIEL SIMON</v>
          </cell>
          <cell r="I481" t="str">
            <v>NANCY MACIEL SIMON</v>
          </cell>
          <cell r="J481" t="str">
            <v>M03</v>
          </cell>
          <cell r="K481" t="str">
            <v/>
          </cell>
          <cell r="L481">
            <v>0</v>
          </cell>
          <cell r="M481">
            <v>497</v>
          </cell>
          <cell r="N481" t="str">
            <v>A</v>
          </cell>
          <cell r="O481">
            <v>42515</v>
          </cell>
          <cell r="P481" t="str">
            <v xml:space="preserve">    5</v>
          </cell>
          <cell r="Q481">
            <v>0</v>
          </cell>
          <cell r="R481">
            <v>0</v>
          </cell>
          <cell r="S481">
            <v>17937</v>
          </cell>
          <cell r="T481">
            <v>77578</v>
          </cell>
          <cell r="U481">
            <v>0</v>
          </cell>
          <cell r="V481" t="str">
            <v>CENTRO</v>
          </cell>
          <cell r="W481" t="str">
            <v/>
          </cell>
          <cell r="X481" t="str">
            <v/>
          </cell>
          <cell r="Y481" t="str">
            <v/>
          </cell>
          <cell r="Z481" t="str">
            <v/>
          </cell>
          <cell r="AA481" t="str">
            <v>(773) 132-8978</v>
          </cell>
          <cell r="AB481" t="str">
            <v/>
          </cell>
          <cell r="AC481" t="str">
            <v>M111149</v>
          </cell>
          <cell r="AD481" t="str">
            <v/>
          </cell>
          <cell r="AE481" t="str">
            <v/>
          </cell>
          <cell r="AF481" t="str">
            <v/>
          </cell>
          <cell r="AH481" t="str">
            <v>N</v>
          </cell>
          <cell r="AI481">
            <v>0</v>
          </cell>
          <cell r="AJ481">
            <v>0</v>
          </cell>
          <cell r="AK481">
            <v>0</v>
          </cell>
          <cell r="AL481">
            <v>0</v>
          </cell>
          <cell r="AM481">
            <v>5671</v>
          </cell>
          <cell r="AN481">
            <v>0</v>
          </cell>
        </row>
        <row r="482">
          <cell r="A482">
            <v>2383</v>
          </cell>
          <cell r="B482" t="str">
            <v>PILAR ACOSTA (COACALCO)</v>
          </cell>
          <cell r="C482" t="str">
            <v/>
          </cell>
          <cell r="D482" t="str">
            <v>BLVD. COACALCO # 96</v>
          </cell>
          <cell r="E482" t="str">
            <v>COACALCO, EDO. DE MEXICO</v>
          </cell>
          <cell r="F482" t="str">
            <v/>
          </cell>
          <cell r="G482" t="str">
            <v/>
          </cell>
          <cell r="H482" t="str">
            <v/>
          </cell>
          <cell r="I482" t="str">
            <v/>
          </cell>
          <cell r="J482" t="str">
            <v>M01</v>
          </cell>
          <cell r="K482" t="str">
            <v/>
          </cell>
          <cell r="L482">
            <v>0</v>
          </cell>
          <cell r="M482">
            <v>498</v>
          </cell>
          <cell r="N482" t="str">
            <v>A</v>
          </cell>
          <cell r="O482">
            <v>42433</v>
          </cell>
          <cell r="P482" t="str">
            <v xml:space="preserve">    5</v>
          </cell>
          <cell r="Q482">
            <v>0</v>
          </cell>
          <cell r="R482">
            <v>0</v>
          </cell>
          <cell r="S482">
            <v>1210</v>
          </cell>
          <cell r="T482">
            <v>16107</v>
          </cell>
          <cell r="U482">
            <v>0</v>
          </cell>
          <cell r="V482" t="str">
            <v/>
          </cell>
          <cell r="W482" t="str">
            <v/>
          </cell>
          <cell r="X482" t="str">
            <v/>
          </cell>
          <cell r="Y482" t="str">
            <v/>
          </cell>
          <cell r="Z482" t="str">
            <v/>
          </cell>
          <cell r="AA482" t="str">
            <v/>
          </cell>
          <cell r="AB482" t="str">
            <v/>
          </cell>
          <cell r="AC482" t="str">
            <v>M0116</v>
          </cell>
          <cell r="AD482" t="str">
            <v/>
          </cell>
          <cell r="AE482" t="str">
            <v/>
          </cell>
          <cell r="AF482" t="str">
            <v/>
          </cell>
          <cell r="AH482" t="str">
            <v>N</v>
          </cell>
          <cell r="AI482">
            <v>0</v>
          </cell>
          <cell r="AJ482">
            <v>0</v>
          </cell>
          <cell r="AK482">
            <v>0</v>
          </cell>
          <cell r="AL482">
            <v>0</v>
          </cell>
          <cell r="AM482">
            <v>506</v>
          </cell>
          <cell r="AN482">
            <v>0</v>
          </cell>
        </row>
        <row r="483">
          <cell r="A483">
            <v>2384</v>
          </cell>
          <cell r="B483" t="str">
            <v>MIRIAM CORTES (SAN CRISTOBAL)</v>
          </cell>
          <cell r="C483" t="str">
            <v/>
          </cell>
          <cell r="D483" t="str">
            <v>AV. MORELOS OTE # 58</v>
          </cell>
          <cell r="E483" t="str">
            <v>ECATEPEC, EDO. DE MEXICO</v>
          </cell>
          <cell r="F483" t="str">
            <v/>
          </cell>
          <cell r="G483" t="str">
            <v>(55) 4469-1912</v>
          </cell>
          <cell r="H483" t="str">
            <v/>
          </cell>
          <cell r="I483" t="str">
            <v/>
          </cell>
          <cell r="J483" t="str">
            <v>M03</v>
          </cell>
          <cell r="K483" t="str">
            <v/>
          </cell>
          <cell r="L483">
            <v>0</v>
          </cell>
          <cell r="M483">
            <v>499</v>
          </cell>
          <cell r="N483" t="str">
            <v>A</v>
          </cell>
          <cell r="O483">
            <v>42411</v>
          </cell>
          <cell r="P483" t="str">
            <v/>
          </cell>
          <cell r="Q483">
            <v>0</v>
          </cell>
          <cell r="R483">
            <v>0</v>
          </cell>
          <cell r="S483">
            <v>0</v>
          </cell>
          <cell r="T483">
            <v>7753</v>
          </cell>
          <cell r="U483">
            <v>0</v>
          </cell>
          <cell r="V483" t="str">
            <v>SAN CRISTOBAL</v>
          </cell>
          <cell r="W483" t="str">
            <v/>
          </cell>
          <cell r="X483" t="str">
            <v/>
          </cell>
          <cell r="Y483" t="str">
            <v/>
          </cell>
          <cell r="Z483" t="str">
            <v/>
          </cell>
          <cell r="AA483" t="str">
            <v>(55) 4469-1912</v>
          </cell>
          <cell r="AB483" t="str">
            <v/>
          </cell>
          <cell r="AC483" t="str">
            <v>M842771</v>
          </cell>
          <cell r="AD483" t="str">
            <v/>
          </cell>
          <cell r="AE483" t="str">
            <v/>
          </cell>
          <cell r="AF483" t="str">
            <v/>
          </cell>
          <cell r="AH483" t="str">
            <v>N</v>
          </cell>
          <cell r="AI483">
            <v>0</v>
          </cell>
          <cell r="AJ483">
            <v>0</v>
          </cell>
          <cell r="AK483">
            <v>0</v>
          </cell>
          <cell r="AL483">
            <v>0</v>
          </cell>
          <cell r="AM483">
            <v>1307</v>
          </cell>
          <cell r="AN483">
            <v>0</v>
          </cell>
        </row>
        <row r="484">
          <cell r="A484">
            <v>2385</v>
          </cell>
          <cell r="B484" t="str">
            <v>ARACELI ROJAS GODINEZ (COACALCO)</v>
          </cell>
          <cell r="C484" t="str">
            <v/>
          </cell>
          <cell r="D484" t="str">
            <v>GRANJAS CORD</v>
          </cell>
          <cell r="E484" t="str">
            <v>COACALCO, EDO. DE MEXICO</v>
          </cell>
          <cell r="F484" t="str">
            <v/>
          </cell>
          <cell r="G484" t="str">
            <v/>
          </cell>
          <cell r="H484" t="str">
            <v/>
          </cell>
          <cell r="I484" t="str">
            <v/>
          </cell>
          <cell r="J484" t="str">
            <v>M01</v>
          </cell>
          <cell r="K484" t="str">
            <v/>
          </cell>
          <cell r="L484">
            <v>0</v>
          </cell>
          <cell r="M484">
            <v>500</v>
          </cell>
          <cell r="N484" t="str">
            <v>A</v>
          </cell>
          <cell r="O484">
            <v>42375</v>
          </cell>
          <cell r="P484" t="str">
            <v xml:space="preserve">    5</v>
          </cell>
          <cell r="Q484">
            <v>0</v>
          </cell>
          <cell r="R484">
            <v>0</v>
          </cell>
          <cell r="S484">
            <v>0</v>
          </cell>
          <cell r="T484">
            <v>29248</v>
          </cell>
          <cell r="U484">
            <v>0</v>
          </cell>
          <cell r="V484" t="str">
            <v/>
          </cell>
          <cell r="W484" t="str">
            <v/>
          </cell>
          <cell r="X484" t="str">
            <v/>
          </cell>
          <cell r="Y484" t="str">
            <v/>
          </cell>
          <cell r="Z484" t="str">
            <v/>
          </cell>
          <cell r="AA484" t="str">
            <v/>
          </cell>
          <cell r="AB484" t="str">
            <v/>
          </cell>
          <cell r="AC484" t="str">
            <v>M576</v>
          </cell>
          <cell r="AD484" t="str">
            <v/>
          </cell>
          <cell r="AE484" t="str">
            <v/>
          </cell>
          <cell r="AF484" t="str">
            <v/>
          </cell>
          <cell r="AH484" t="str">
            <v>N</v>
          </cell>
          <cell r="AI484">
            <v>0</v>
          </cell>
          <cell r="AJ484">
            <v>0</v>
          </cell>
          <cell r="AK484">
            <v>0</v>
          </cell>
          <cell r="AL484">
            <v>0</v>
          </cell>
          <cell r="AM484">
            <v>3426</v>
          </cell>
          <cell r="AN484">
            <v>0</v>
          </cell>
        </row>
        <row r="485">
          <cell r="A485">
            <v>2386</v>
          </cell>
          <cell r="B485" t="str">
            <v>ROCIO FERRER (TULA) CEREMONIAS ROSY</v>
          </cell>
          <cell r="C485" t="str">
            <v/>
          </cell>
          <cell r="D485" t="str">
            <v>PROLONGACION 5 DE MAYO</v>
          </cell>
          <cell r="E485" t="str">
            <v>TULA, HGO.</v>
          </cell>
          <cell r="F485" t="str">
            <v/>
          </cell>
          <cell r="G485" t="str">
            <v/>
          </cell>
          <cell r="H485" t="str">
            <v/>
          </cell>
          <cell r="I485" t="str">
            <v/>
          </cell>
          <cell r="J485" t="str">
            <v>F02</v>
          </cell>
          <cell r="K485" t="str">
            <v/>
          </cell>
          <cell r="L485">
            <v>0</v>
          </cell>
          <cell r="M485">
            <v>501</v>
          </cell>
          <cell r="N485" t="str">
            <v>A</v>
          </cell>
          <cell r="O485">
            <v>42068</v>
          </cell>
          <cell r="P485" t="str">
            <v/>
          </cell>
          <cell r="Q485">
            <v>0</v>
          </cell>
          <cell r="R485">
            <v>0</v>
          </cell>
          <cell r="S485">
            <v>0</v>
          </cell>
          <cell r="T485">
            <v>7836</v>
          </cell>
          <cell r="U485">
            <v>0</v>
          </cell>
          <cell r="V485" t="str">
            <v>CENTRO</v>
          </cell>
          <cell r="W485" t="str">
            <v/>
          </cell>
          <cell r="X485" t="str">
            <v/>
          </cell>
          <cell r="Y485" t="str">
            <v/>
          </cell>
          <cell r="Z485" t="str">
            <v/>
          </cell>
          <cell r="AA485" t="str">
            <v/>
          </cell>
          <cell r="AB485" t="str">
            <v/>
          </cell>
          <cell r="AC485" t="str">
            <v>M-I9521</v>
          </cell>
          <cell r="AD485" t="str">
            <v/>
          </cell>
          <cell r="AE485" t="str">
            <v/>
          </cell>
          <cell r="AF485" t="str">
            <v/>
          </cell>
          <cell r="AH485" t="str">
            <v>N</v>
          </cell>
          <cell r="AI485">
            <v>0</v>
          </cell>
          <cell r="AJ485">
            <v>0</v>
          </cell>
          <cell r="AK485">
            <v>0</v>
          </cell>
          <cell r="AL485">
            <v>0</v>
          </cell>
          <cell r="AM485">
            <v>2652</v>
          </cell>
          <cell r="AN485">
            <v>0</v>
          </cell>
        </row>
        <row r="486">
          <cell r="A486">
            <v>2387</v>
          </cell>
          <cell r="B486" t="str">
            <v>IRMA MENDOZA   ( SAN CRISTOBAL )</v>
          </cell>
          <cell r="C486" t="str">
            <v/>
          </cell>
          <cell r="D486" t="str">
            <v>MERCADO SAN CRISTOBAL L.N. 112</v>
          </cell>
          <cell r="E486" t="str">
            <v/>
          </cell>
          <cell r="F486" t="str">
            <v/>
          </cell>
          <cell r="G486" t="str">
            <v/>
          </cell>
          <cell r="H486" t="str">
            <v/>
          </cell>
          <cell r="I486" t="str">
            <v/>
          </cell>
          <cell r="J486" t="str">
            <v>M03</v>
          </cell>
          <cell r="K486" t="str">
            <v/>
          </cell>
          <cell r="L486">
            <v>0</v>
          </cell>
          <cell r="M486">
            <v>503</v>
          </cell>
          <cell r="N486" t="str">
            <v>A</v>
          </cell>
          <cell r="O486">
            <v>42049</v>
          </cell>
          <cell r="P486" t="str">
            <v/>
          </cell>
          <cell r="Q486">
            <v>0</v>
          </cell>
          <cell r="R486">
            <v>0</v>
          </cell>
          <cell r="S486">
            <v>0</v>
          </cell>
          <cell r="T486">
            <v>2295</v>
          </cell>
          <cell r="U486">
            <v>0</v>
          </cell>
          <cell r="V486" t="str">
            <v/>
          </cell>
          <cell r="W486" t="str">
            <v/>
          </cell>
          <cell r="X486" t="str">
            <v/>
          </cell>
          <cell r="Y486" t="str">
            <v/>
          </cell>
          <cell r="Z486" t="str">
            <v/>
          </cell>
          <cell r="AA486" t="str">
            <v/>
          </cell>
          <cell r="AB486" t="str">
            <v/>
          </cell>
          <cell r="AC486" t="str">
            <v>M181</v>
          </cell>
          <cell r="AD486" t="str">
            <v/>
          </cell>
          <cell r="AE486" t="str">
            <v/>
          </cell>
          <cell r="AF486" t="str">
            <v/>
          </cell>
          <cell r="AH486" t="str">
            <v>N</v>
          </cell>
          <cell r="AI486">
            <v>0</v>
          </cell>
          <cell r="AJ486">
            <v>0</v>
          </cell>
          <cell r="AK486">
            <v>0</v>
          </cell>
          <cell r="AL486">
            <v>0</v>
          </cell>
          <cell r="AM486">
            <v>630</v>
          </cell>
          <cell r="AN486">
            <v>0</v>
          </cell>
        </row>
        <row r="487">
          <cell r="A487">
            <v>2396</v>
          </cell>
          <cell r="B487" t="str">
            <v>COMERCIAL GASCA, S.A. DE C.V. (JUVENTINO ROSAS)</v>
          </cell>
          <cell r="C487" t="str">
            <v>CGA900926 FC5</v>
          </cell>
          <cell r="D487" t="str">
            <v>COLON # 113</v>
          </cell>
          <cell r="E487" t="str">
            <v>JUVENTINO ROSAS, GTO.</v>
          </cell>
          <cell r="F487" t="str">
            <v>38240</v>
          </cell>
          <cell r="G487" t="str">
            <v>(412) 157-2378</v>
          </cell>
          <cell r="H487" t="str">
            <v>ALEJANDRA PALOALTO</v>
          </cell>
          <cell r="I487" t="str">
            <v/>
          </cell>
          <cell r="J487" t="str">
            <v>F04</v>
          </cell>
          <cell r="K487" t="str">
            <v/>
          </cell>
          <cell r="L487">
            <v>0</v>
          </cell>
          <cell r="M487">
            <v>512</v>
          </cell>
          <cell r="N487" t="str">
            <v>A</v>
          </cell>
          <cell r="O487">
            <v>42441</v>
          </cell>
          <cell r="P487" t="str">
            <v xml:space="preserve">    1</v>
          </cell>
          <cell r="Q487">
            <v>0</v>
          </cell>
          <cell r="R487">
            <v>0</v>
          </cell>
          <cell r="S487">
            <v>5215.5</v>
          </cell>
          <cell r="T487">
            <v>16651.5</v>
          </cell>
          <cell r="U487">
            <v>0</v>
          </cell>
          <cell r="V487" t="str">
            <v>ZONA CENTRO</v>
          </cell>
          <cell r="W487" t="str">
            <v>(412) 157-3618 ADMIN</v>
          </cell>
          <cell r="X487" t="str">
            <v>gasca.laperla@hotmail.com</v>
          </cell>
          <cell r="Y487" t="str">
            <v/>
          </cell>
          <cell r="Z487" t="str">
            <v/>
          </cell>
          <cell r="AA487" t="str">
            <v>(412) 157-2378</v>
          </cell>
          <cell r="AB487" t="str">
            <v/>
          </cell>
          <cell r="AC487" t="str">
            <v>F0062</v>
          </cell>
          <cell r="AD487" t="str">
            <v/>
          </cell>
          <cell r="AE487" t="str">
            <v/>
          </cell>
          <cell r="AF487" t="str">
            <v/>
          </cell>
          <cell r="AH487" t="str">
            <v>N</v>
          </cell>
          <cell r="AI487">
            <v>0</v>
          </cell>
          <cell r="AJ487">
            <v>0</v>
          </cell>
          <cell r="AK487">
            <v>0</v>
          </cell>
          <cell r="AL487">
            <v>0</v>
          </cell>
          <cell r="AM487">
            <v>828.5</v>
          </cell>
          <cell r="AN487">
            <v>0</v>
          </cell>
        </row>
        <row r="488">
          <cell r="A488">
            <v>2389</v>
          </cell>
          <cell r="B488" t="str">
            <v>SUSANA PEÑA MERCADO (PACHUCA)</v>
          </cell>
          <cell r="C488" t="str">
            <v/>
          </cell>
          <cell r="D488" t="str">
            <v>AV. GUERRERO #501 INT. 13</v>
          </cell>
          <cell r="E488" t="str">
            <v>PACHUCA, HGO.</v>
          </cell>
          <cell r="F488" t="str">
            <v/>
          </cell>
          <cell r="G488">
            <v>0</v>
          </cell>
          <cell r="H488" t="str">
            <v/>
          </cell>
          <cell r="I488" t="str">
            <v/>
          </cell>
          <cell r="J488" t="str">
            <v>F02</v>
          </cell>
          <cell r="K488" t="str">
            <v/>
          </cell>
          <cell r="L488">
            <v>0</v>
          </cell>
          <cell r="M488">
            <v>505</v>
          </cell>
          <cell r="N488" t="str">
            <v>A</v>
          </cell>
          <cell r="O488">
            <v>42044</v>
          </cell>
          <cell r="P488" t="str">
            <v xml:space="preserve">    5</v>
          </cell>
          <cell r="Q488">
            <v>0</v>
          </cell>
          <cell r="R488">
            <v>0</v>
          </cell>
          <cell r="S488">
            <v>0</v>
          </cell>
          <cell r="T488">
            <v>2302</v>
          </cell>
          <cell r="U488">
            <v>13</v>
          </cell>
          <cell r="V488" t="str">
            <v>CENTRO</v>
          </cell>
          <cell r="W488" t="str">
            <v/>
          </cell>
          <cell r="X488" t="str">
            <v/>
          </cell>
          <cell r="Y488" t="str">
            <v/>
          </cell>
          <cell r="Z488" t="str">
            <v/>
          </cell>
          <cell r="AA488" t="str">
            <v>(55)6596-0923</v>
          </cell>
          <cell r="AB488" t="str">
            <v/>
          </cell>
          <cell r="AC488" t="str">
            <v>M0740</v>
          </cell>
          <cell r="AD488" t="str">
            <v/>
          </cell>
          <cell r="AE488" t="str">
            <v/>
          </cell>
          <cell r="AF488" t="str">
            <v/>
          </cell>
          <cell r="AH488" t="str">
            <v>N</v>
          </cell>
          <cell r="AI488">
            <v>0</v>
          </cell>
          <cell r="AJ488">
            <v>0</v>
          </cell>
          <cell r="AK488">
            <v>0</v>
          </cell>
          <cell r="AL488">
            <v>0</v>
          </cell>
          <cell r="AM488">
            <v>390</v>
          </cell>
          <cell r="AN488">
            <v>0</v>
          </cell>
        </row>
        <row r="489">
          <cell r="A489">
            <v>2390</v>
          </cell>
          <cell r="B489" t="str">
            <v>ALMA BENITEZ</v>
          </cell>
          <cell r="C489" t="str">
            <v/>
          </cell>
          <cell r="D489" t="str">
            <v>AV. DEL PARQUE NO. 140</v>
          </cell>
          <cell r="E489" t="str">
            <v/>
          </cell>
          <cell r="F489" t="str">
            <v/>
          </cell>
          <cell r="G489" t="str">
            <v>(55) 5868-5364</v>
          </cell>
          <cell r="H489" t="str">
            <v/>
          </cell>
          <cell r="I489" t="str">
            <v/>
          </cell>
          <cell r="J489" t="str">
            <v>M02</v>
          </cell>
          <cell r="K489" t="str">
            <v/>
          </cell>
          <cell r="L489">
            <v>0</v>
          </cell>
          <cell r="M489">
            <v>506</v>
          </cell>
          <cell r="N489" t="str">
            <v>A</v>
          </cell>
          <cell r="O489">
            <v>42044</v>
          </cell>
          <cell r="P489" t="str">
            <v xml:space="preserve">    5</v>
          </cell>
          <cell r="Q489">
            <v>0</v>
          </cell>
          <cell r="R489">
            <v>0</v>
          </cell>
          <cell r="S489">
            <v>0</v>
          </cell>
          <cell r="T489">
            <v>1541</v>
          </cell>
          <cell r="U489">
            <v>0</v>
          </cell>
          <cell r="V489" t="str">
            <v/>
          </cell>
          <cell r="W489" t="str">
            <v/>
          </cell>
          <cell r="X489" t="str">
            <v/>
          </cell>
          <cell r="Y489" t="str">
            <v/>
          </cell>
          <cell r="Z489" t="str">
            <v/>
          </cell>
          <cell r="AA489" t="str">
            <v>(55) 5868-5364</v>
          </cell>
          <cell r="AB489" t="str">
            <v/>
          </cell>
          <cell r="AC489" t="str">
            <v>M0739</v>
          </cell>
          <cell r="AD489" t="str">
            <v/>
          </cell>
          <cell r="AE489" t="str">
            <v/>
          </cell>
          <cell r="AF489" t="str">
            <v/>
          </cell>
          <cell r="AH489" t="str">
            <v>N</v>
          </cell>
          <cell r="AI489">
            <v>0</v>
          </cell>
          <cell r="AJ489">
            <v>0</v>
          </cell>
          <cell r="AK489">
            <v>0</v>
          </cell>
          <cell r="AL489">
            <v>0</v>
          </cell>
          <cell r="AM489">
            <v>719</v>
          </cell>
          <cell r="AN489">
            <v>0</v>
          </cell>
        </row>
        <row r="490">
          <cell r="A490">
            <v>2391</v>
          </cell>
          <cell r="B490" t="str">
            <v>ARELI GONZALEZ</v>
          </cell>
          <cell r="C490" t="str">
            <v/>
          </cell>
          <cell r="D490" t="str">
            <v>PASEO DE FERROCARRIL INT. 101</v>
          </cell>
          <cell r="E490" t="str">
            <v/>
          </cell>
          <cell r="F490" t="str">
            <v/>
          </cell>
          <cell r="G490" t="str">
            <v>55-5318-0613</v>
          </cell>
          <cell r="H490" t="str">
            <v/>
          </cell>
          <cell r="I490" t="str">
            <v/>
          </cell>
          <cell r="J490" t="str">
            <v>M02</v>
          </cell>
          <cell r="K490" t="str">
            <v/>
          </cell>
          <cell r="L490">
            <v>0</v>
          </cell>
          <cell r="M490">
            <v>507</v>
          </cell>
          <cell r="N490" t="str">
            <v>A</v>
          </cell>
          <cell r="O490">
            <v>42044</v>
          </cell>
          <cell r="P490" t="str">
            <v/>
          </cell>
          <cell r="Q490">
            <v>0</v>
          </cell>
          <cell r="R490">
            <v>0</v>
          </cell>
          <cell r="S490">
            <v>0</v>
          </cell>
          <cell r="T490">
            <v>2349</v>
          </cell>
          <cell r="U490">
            <v>0</v>
          </cell>
          <cell r="V490" t="str">
            <v/>
          </cell>
          <cell r="W490" t="str">
            <v/>
          </cell>
          <cell r="X490" t="str">
            <v/>
          </cell>
          <cell r="Y490" t="str">
            <v/>
          </cell>
          <cell r="Z490" t="str">
            <v/>
          </cell>
          <cell r="AA490" t="str">
            <v>55-5318-0613</v>
          </cell>
          <cell r="AB490" t="str">
            <v/>
          </cell>
          <cell r="AC490" t="str">
            <v>M0737</v>
          </cell>
          <cell r="AD490" t="str">
            <v/>
          </cell>
          <cell r="AE490" t="str">
            <v/>
          </cell>
          <cell r="AF490" t="str">
            <v/>
          </cell>
          <cell r="AH490" t="str">
            <v>N</v>
          </cell>
          <cell r="AI490">
            <v>0</v>
          </cell>
          <cell r="AJ490">
            <v>0</v>
          </cell>
          <cell r="AK490">
            <v>0</v>
          </cell>
          <cell r="AL490">
            <v>0</v>
          </cell>
          <cell r="AM490">
            <v>638</v>
          </cell>
          <cell r="AN490">
            <v>0</v>
          </cell>
        </row>
        <row r="491">
          <cell r="A491">
            <v>2392</v>
          </cell>
          <cell r="B491" t="str">
            <v>PERLA SANCHEZ</v>
          </cell>
          <cell r="C491" t="str">
            <v/>
          </cell>
          <cell r="D491" t="str">
            <v>CALLE DEL BARROSO No. 4</v>
          </cell>
          <cell r="E491" t="str">
            <v xml:space="preserve">TLALNEPANTLA, EDO. DE MEXICO  </v>
          </cell>
          <cell r="F491" t="str">
            <v/>
          </cell>
          <cell r="G491" t="str">
            <v/>
          </cell>
          <cell r="H491" t="str">
            <v/>
          </cell>
          <cell r="I491" t="str">
            <v/>
          </cell>
          <cell r="J491" t="str">
            <v>M02</v>
          </cell>
          <cell r="K491" t="str">
            <v/>
          </cell>
          <cell r="L491">
            <v>0</v>
          </cell>
          <cell r="M491">
            <v>508</v>
          </cell>
          <cell r="N491" t="str">
            <v>A</v>
          </cell>
          <cell r="O491">
            <v>42041</v>
          </cell>
          <cell r="P491" t="str">
            <v/>
          </cell>
          <cell r="Q491">
            <v>0</v>
          </cell>
          <cell r="R491">
            <v>0</v>
          </cell>
          <cell r="S491">
            <v>0</v>
          </cell>
          <cell r="T491">
            <v>1893</v>
          </cell>
          <cell r="U491">
            <v>0</v>
          </cell>
          <cell r="V491" t="str">
            <v>LOS REYES IZTACALA</v>
          </cell>
          <cell r="W491" t="str">
            <v/>
          </cell>
          <cell r="X491" t="str">
            <v/>
          </cell>
          <cell r="Y491" t="str">
            <v/>
          </cell>
          <cell r="Z491" t="str">
            <v/>
          </cell>
          <cell r="AA491" t="str">
            <v/>
          </cell>
          <cell r="AB491" t="str">
            <v/>
          </cell>
          <cell r="AC491" t="str">
            <v>M0734</v>
          </cell>
          <cell r="AD491" t="str">
            <v/>
          </cell>
          <cell r="AE491" t="str">
            <v/>
          </cell>
          <cell r="AF491" t="str">
            <v/>
          </cell>
          <cell r="AH491" t="str">
            <v>N</v>
          </cell>
          <cell r="AI491">
            <v>0</v>
          </cell>
          <cell r="AJ491">
            <v>0</v>
          </cell>
          <cell r="AK491">
            <v>0</v>
          </cell>
          <cell r="AL491">
            <v>0</v>
          </cell>
          <cell r="AM491">
            <v>1893</v>
          </cell>
          <cell r="AN491">
            <v>0</v>
          </cell>
        </row>
        <row r="492">
          <cell r="A492">
            <v>2393</v>
          </cell>
          <cell r="B492" t="str">
            <v>EVA VIVAR GONZALEZ (VILLA)</v>
          </cell>
          <cell r="C492" t="str">
            <v/>
          </cell>
          <cell r="D492" t="str">
            <v>MERCADO VILLA</v>
          </cell>
          <cell r="E492" t="str">
            <v/>
          </cell>
          <cell r="F492" t="str">
            <v/>
          </cell>
          <cell r="G492" t="str">
            <v>55-4887-2650</v>
          </cell>
          <cell r="H492" t="str">
            <v/>
          </cell>
          <cell r="I492" t="str">
            <v/>
          </cell>
          <cell r="J492" t="str">
            <v>M01</v>
          </cell>
          <cell r="K492" t="str">
            <v/>
          </cell>
          <cell r="L492">
            <v>0</v>
          </cell>
          <cell r="M492">
            <v>509</v>
          </cell>
          <cell r="N492" t="str">
            <v>A</v>
          </cell>
          <cell r="O492">
            <v>42411</v>
          </cell>
          <cell r="P492" t="str">
            <v/>
          </cell>
          <cell r="Q492">
            <v>0</v>
          </cell>
          <cell r="R492">
            <v>0</v>
          </cell>
          <cell r="S492">
            <v>0</v>
          </cell>
          <cell r="T492">
            <v>3003</v>
          </cell>
          <cell r="U492">
            <v>0</v>
          </cell>
          <cell r="V492" t="str">
            <v/>
          </cell>
          <cell r="W492" t="str">
            <v>55-3689-3385</v>
          </cell>
          <cell r="X492" t="str">
            <v/>
          </cell>
          <cell r="Y492" t="str">
            <v/>
          </cell>
          <cell r="Z492" t="str">
            <v/>
          </cell>
          <cell r="AA492" t="str">
            <v>55-4887-2650</v>
          </cell>
          <cell r="AB492" t="str">
            <v/>
          </cell>
          <cell r="AC492" t="str">
            <v>M842772</v>
          </cell>
          <cell r="AD492" t="str">
            <v/>
          </cell>
          <cell r="AE492" t="str">
            <v/>
          </cell>
          <cell r="AF492" t="str">
            <v/>
          </cell>
          <cell r="AH492" t="str">
            <v>N</v>
          </cell>
          <cell r="AI492">
            <v>0</v>
          </cell>
          <cell r="AJ492">
            <v>0</v>
          </cell>
          <cell r="AK492">
            <v>0</v>
          </cell>
          <cell r="AL492">
            <v>0</v>
          </cell>
          <cell r="AM492">
            <v>1069</v>
          </cell>
          <cell r="AN492">
            <v>0</v>
          </cell>
        </row>
        <row r="493">
          <cell r="A493">
            <v>2394</v>
          </cell>
          <cell r="B493" t="str">
            <v>ALEJANDRA MONTES DORANTES (E. MONTES)</v>
          </cell>
          <cell r="C493" t="str">
            <v/>
          </cell>
          <cell r="D493" t="str">
            <v>H. COLEGIO MILITAR NO. 110-A</v>
          </cell>
          <cell r="E493" t="str">
            <v>EZEQUIEL MONTES, QRO.</v>
          </cell>
          <cell r="F493" t="str">
            <v/>
          </cell>
          <cell r="G493" t="str">
            <v>4412772638</v>
          </cell>
          <cell r="H493" t="str">
            <v/>
          </cell>
          <cell r="I493" t="str">
            <v/>
          </cell>
          <cell r="J493" t="str">
            <v>J02</v>
          </cell>
          <cell r="K493" t="str">
            <v/>
          </cell>
          <cell r="L493">
            <v>0</v>
          </cell>
          <cell r="M493">
            <v>510</v>
          </cell>
          <cell r="N493" t="str">
            <v>A</v>
          </cell>
          <cell r="O493">
            <v>42496</v>
          </cell>
          <cell r="P493" t="str">
            <v/>
          </cell>
          <cell r="Q493">
            <v>0</v>
          </cell>
          <cell r="R493">
            <v>0</v>
          </cell>
          <cell r="S493">
            <v>0</v>
          </cell>
          <cell r="T493">
            <v>8566</v>
          </cell>
          <cell r="U493">
            <v>0</v>
          </cell>
          <cell r="V493" t="str">
            <v>CENTRO</v>
          </cell>
          <cell r="W493" t="str">
            <v/>
          </cell>
          <cell r="X493" t="str">
            <v/>
          </cell>
          <cell r="Y493" t="str">
            <v/>
          </cell>
          <cell r="Z493" t="str">
            <v/>
          </cell>
          <cell r="AA493" t="str">
            <v>4412772638</v>
          </cell>
          <cell r="AB493" t="str">
            <v/>
          </cell>
          <cell r="AC493" t="str">
            <v>D0401</v>
          </cell>
          <cell r="AD493" t="str">
            <v/>
          </cell>
          <cell r="AE493" t="str">
            <v/>
          </cell>
          <cell r="AF493" t="str">
            <v/>
          </cell>
          <cell r="AH493" t="str">
            <v>N</v>
          </cell>
          <cell r="AI493">
            <v>0</v>
          </cell>
          <cell r="AJ493">
            <v>0</v>
          </cell>
          <cell r="AK493">
            <v>0</v>
          </cell>
          <cell r="AL493">
            <v>0</v>
          </cell>
          <cell r="AM493">
            <v>685</v>
          </cell>
          <cell r="AN493">
            <v>0</v>
          </cell>
        </row>
        <row r="494">
          <cell r="A494">
            <v>2395</v>
          </cell>
          <cell r="B494" t="str">
            <v>CRISTINA AGUILAR GONZALEZ (E. MONTES)</v>
          </cell>
          <cell r="C494" t="str">
            <v/>
          </cell>
          <cell r="D494" t="str">
            <v>JOAQUIN VEGA S/N</v>
          </cell>
          <cell r="E494" t="str">
            <v>EZEQUIEL MONTES, QRO.</v>
          </cell>
          <cell r="F494" t="str">
            <v/>
          </cell>
          <cell r="G494" t="str">
            <v>441-277-1880</v>
          </cell>
          <cell r="H494" t="str">
            <v/>
          </cell>
          <cell r="I494" t="str">
            <v/>
          </cell>
          <cell r="J494" t="str">
            <v>J02</v>
          </cell>
          <cell r="K494" t="str">
            <v/>
          </cell>
          <cell r="L494">
            <v>0</v>
          </cell>
          <cell r="M494">
            <v>511</v>
          </cell>
          <cell r="N494" t="str">
            <v>A</v>
          </cell>
          <cell r="O494">
            <v>42084</v>
          </cell>
          <cell r="P494" t="str">
            <v/>
          </cell>
          <cell r="Q494">
            <v>0</v>
          </cell>
          <cell r="R494">
            <v>0</v>
          </cell>
          <cell r="S494">
            <v>0</v>
          </cell>
          <cell r="T494">
            <v>475</v>
          </cell>
          <cell r="U494">
            <v>0</v>
          </cell>
          <cell r="V494" t="str">
            <v/>
          </cell>
          <cell r="W494" t="str">
            <v/>
          </cell>
          <cell r="X494" t="str">
            <v/>
          </cell>
          <cell r="Y494" t="str">
            <v/>
          </cell>
          <cell r="Z494" t="str">
            <v/>
          </cell>
          <cell r="AA494" t="str">
            <v>441-277-1880</v>
          </cell>
          <cell r="AB494" t="str">
            <v/>
          </cell>
          <cell r="AC494" t="str">
            <v>F0954</v>
          </cell>
          <cell r="AD494" t="str">
            <v/>
          </cell>
          <cell r="AE494" t="str">
            <v/>
          </cell>
          <cell r="AF494" t="str">
            <v/>
          </cell>
          <cell r="AH494" t="str">
            <v>N</v>
          </cell>
          <cell r="AI494">
            <v>0</v>
          </cell>
          <cell r="AJ494">
            <v>0</v>
          </cell>
          <cell r="AK494">
            <v>0</v>
          </cell>
          <cell r="AL494">
            <v>0</v>
          </cell>
          <cell r="AM494">
            <v>475</v>
          </cell>
          <cell r="AN494">
            <v>0</v>
          </cell>
        </row>
        <row r="495">
          <cell r="A495">
            <v>2429</v>
          </cell>
          <cell r="B495" t="str">
            <v>AMANDA PATRICIA VAZQUEZ ARREGUIN (CORTAZAR)</v>
          </cell>
          <cell r="C495" t="str">
            <v/>
          </cell>
          <cell r="D495" t="str">
            <v>ZARAGOZA #205-A</v>
          </cell>
          <cell r="E495" t="str">
            <v>CORTAZAR, GTO.</v>
          </cell>
          <cell r="F495" t="str">
            <v/>
          </cell>
          <cell r="G495" t="str">
            <v>(411) 101-0376 CEL</v>
          </cell>
          <cell r="H495" t="str">
            <v/>
          </cell>
          <cell r="I495" t="str">
            <v/>
          </cell>
          <cell r="J495" t="str">
            <v>F04</v>
          </cell>
          <cell r="K495" t="str">
            <v/>
          </cell>
          <cell r="L495">
            <v>0</v>
          </cell>
          <cell r="M495">
            <v>546</v>
          </cell>
          <cell r="N495" t="str">
            <v>A</v>
          </cell>
          <cell r="O495">
            <v>42384</v>
          </cell>
          <cell r="P495" t="str">
            <v xml:space="preserve">    1</v>
          </cell>
          <cell r="Q495">
            <v>0</v>
          </cell>
          <cell r="R495">
            <v>0</v>
          </cell>
          <cell r="S495">
            <v>0</v>
          </cell>
          <cell r="T495">
            <v>1867</v>
          </cell>
          <cell r="U495">
            <v>0</v>
          </cell>
          <cell r="V495" t="str">
            <v>BAMBU</v>
          </cell>
          <cell r="W495" t="str">
            <v>(411) 155-2219 LOCAL</v>
          </cell>
          <cell r="X495" t="str">
            <v/>
          </cell>
          <cell r="Y495" t="str">
            <v/>
          </cell>
          <cell r="Z495" t="str">
            <v/>
          </cell>
          <cell r="AA495" t="str">
            <v>(411) 101-0376 CEL</v>
          </cell>
          <cell r="AB495" t="str">
            <v/>
          </cell>
          <cell r="AC495" t="str">
            <v>F489</v>
          </cell>
          <cell r="AD495" t="str">
            <v/>
          </cell>
          <cell r="AE495" t="str">
            <v/>
          </cell>
          <cell r="AF495" t="str">
            <v/>
          </cell>
          <cell r="AH495" t="str">
            <v>N</v>
          </cell>
          <cell r="AI495">
            <v>0</v>
          </cell>
          <cell r="AJ495">
            <v>0</v>
          </cell>
          <cell r="AK495">
            <v>0</v>
          </cell>
          <cell r="AL495">
            <v>0</v>
          </cell>
          <cell r="AM495">
            <v>1867</v>
          </cell>
          <cell r="AN495">
            <v>0</v>
          </cell>
        </row>
        <row r="496">
          <cell r="A496">
            <v>2397</v>
          </cell>
          <cell r="B496" t="str">
            <v>ROCIO ALCANTARA</v>
          </cell>
          <cell r="C496" t="str">
            <v/>
          </cell>
          <cell r="D496" t="str">
            <v>CARR SAN JUAN DEL RIO, XILITLA</v>
          </cell>
          <cell r="E496" t="str">
            <v>CADEREYTA, QRO.</v>
          </cell>
          <cell r="F496" t="str">
            <v/>
          </cell>
          <cell r="G496" t="str">
            <v>441-100-2146</v>
          </cell>
          <cell r="H496" t="str">
            <v/>
          </cell>
          <cell r="I496" t="str">
            <v/>
          </cell>
          <cell r="J496" t="str">
            <v>J02</v>
          </cell>
          <cell r="K496" t="str">
            <v/>
          </cell>
          <cell r="L496">
            <v>0</v>
          </cell>
          <cell r="M496">
            <v>513</v>
          </cell>
          <cell r="N496" t="str">
            <v>A</v>
          </cell>
          <cell r="O496">
            <v>42116</v>
          </cell>
          <cell r="P496" t="str">
            <v/>
          </cell>
          <cell r="Q496">
            <v>0</v>
          </cell>
          <cell r="R496">
            <v>0</v>
          </cell>
          <cell r="S496">
            <v>0</v>
          </cell>
          <cell r="T496">
            <v>2703</v>
          </cell>
          <cell r="U496">
            <v>0</v>
          </cell>
          <cell r="V496" t="str">
            <v/>
          </cell>
          <cell r="W496" t="str">
            <v/>
          </cell>
          <cell r="X496" t="str">
            <v/>
          </cell>
          <cell r="Y496" t="str">
            <v/>
          </cell>
          <cell r="Z496" t="str">
            <v/>
          </cell>
          <cell r="AA496" t="str">
            <v>441-100-2146</v>
          </cell>
          <cell r="AB496" t="str">
            <v/>
          </cell>
          <cell r="AC496" t="str">
            <v>F100</v>
          </cell>
          <cell r="AD496" t="str">
            <v/>
          </cell>
          <cell r="AE496" t="str">
            <v/>
          </cell>
          <cell r="AF496" t="str">
            <v/>
          </cell>
          <cell r="AH496" t="str">
            <v>N</v>
          </cell>
          <cell r="AI496">
            <v>0</v>
          </cell>
          <cell r="AJ496">
            <v>0</v>
          </cell>
          <cell r="AK496">
            <v>0</v>
          </cell>
          <cell r="AL496">
            <v>0</v>
          </cell>
          <cell r="AM496">
            <v>2703</v>
          </cell>
          <cell r="AN496">
            <v>0</v>
          </cell>
        </row>
        <row r="497">
          <cell r="A497">
            <v>2398</v>
          </cell>
          <cell r="B497" t="str">
            <v>MARIA RIVAS</v>
          </cell>
          <cell r="C497" t="str">
            <v/>
          </cell>
          <cell r="D497" t="str">
            <v>JUAREZ NO. 50-A</v>
          </cell>
          <cell r="E497" t="str">
            <v xml:space="preserve">TEQUISQUIAPAN, QRO.           </v>
          </cell>
          <cell r="F497" t="str">
            <v/>
          </cell>
          <cell r="G497" t="str">
            <v>5554-235552</v>
          </cell>
          <cell r="H497" t="str">
            <v/>
          </cell>
          <cell r="I497" t="str">
            <v/>
          </cell>
          <cell r="J497" t="str">
            <v>J02</v>
          </cell>
          <cell r="K497" t="str">
            <v/>
          </cell>
          <cell r="L497">
            <v>0</v>
          </cell>
          <cell r="M497">
            <v>514</v>
          </cell>
          <cell r="N497" t="str">
            <v>A</v>
          </cell>
          <cell r="O497">
            <v>42227</v>
          </cell>
          <cell r="P497" t="str">
            <v/>
          </cell>
          <cell r="Q497">
            <v>0</v>
          </cell>
          <cell r="R497">
            <v>0</v>
          </cell>
          <cell r="S497">
            <v>0</v>
          </cell>
          <cell r="T497">
            <v>3404</v>
          </cell>
          <cell r="U497">
            <v>0</v>
          </cell>
          <cell r="V497" t="str">
            <v>CENTRO</v>
          </cell>
          <cell r="W497" t="str">
            <v/>
          </cell>
          <cell r="X497" t="str">
            <v/>
          </cell>
          <cell r="Y497" t="str">
            <v/>
          </cell>
          <cell r="Z497" t="str">
            <v/>
          </cell>
          <cell r="AA497" t="str">
            <v>5554-235552</v>
          </cell>
          <cell r="AB497" t="str">
            <v/>
          </cell>
          <cell r="AC497" t="str">
            <v>R-0891</v>
          </cell>
          <cell r="AD497" t="str">
            <v/>
          </cell>
          <cell r="AE497" t="str">
            <v/>
          </cell>
          <cell r="AF497" t="str">
            <v/>
          </cell>
          <cell r="AH497" t="str">
            <v>N</v>
          </cell>
          <cell r="AI497">
            <v>0</v>
          </cell>
          <cell r="AJ497">
            <v>0</v>
          </cell>
          <cell r="AK497">
            <v>0</v>
          </cell>
          <cell r="AL497">
            <v>0</v>
          </cell>
          <cell r="AM497">
            <v>2493</v>
          </cell>
          <cell r="AN497">
            <v>0</v>
          </cell>
        </row>
        <row r="498">
          <cell r="A498">
            <v>2399</v>
          </cell>
          <cell r="B498" t="str">
            <v>ANGEL MORENO (IXMIQUILPAN)</v>
          </cell>
          <cell r="C498" t="str">
            <v/>
          </cell>
          <cell r="D498" t="str">
            <v/>
          </cell>
          <cell r="E498" t="str">
            <v/>
          </cell>
          <cell r="F498" t="str">
            <v/>
          </cell>
          <cell r="G498" t="str">
            <v>(772) 111-0353</v>
          </cell>
          <cell r="H498" t="str">
            <v/>
          </cell>
          <cell r="I498" t="str">
            <v/>
          </cell>
          <cell r="J498" t="str">
            <v>F02</v>
          </cell>
          <cell r="K498" t="str">
            <v/>
          </cell>
          <cell r="L498">
            <v>0</v>
          </cell>
          <cell r="M498">
            <v>515</v>
          </cell>
          <cell r="N498" t="str">
            <v>A</v>
          </cell>
          <cell r="O498">
            <v>42192</v>
          </cell>
          <cell r="P498" t="str">
            <v/>
          </cell>
          <cell r="Q498">
            <v>0</v>
          </cell>
          <cell r="R498">
            <v>0</v>
          </cell>
          <cell r="S498">
            <v>0</v>
          </cell>
          <cell r="T498">
            <v>13924</v>
          </cell>
          <cell r="U498">
            <v>0</v>
          </cell>
          <cell r="V498" t="str">
            <v/>
          </cell>
          <cell r="W498" t="str">
            <v/>
          </cell>
          <cell r="X498" t="str">
            <v/>
          </cell>
          <cell r="Y498" t="str">
            <v/>
          </cell>
          <cell r="Z498" t="str">
            <v/>
          </cell>
          <cell r="AA498" t="str">
            <v>(772) 111-0353</v>
          </cell>
          <cell r="AB498" t="str">
            <v/>
          </cell>
          <cell r="AC498" t="str">
            <v>F-0889</v>
          </cell>
          <cell r="AD498" t="str">
            <v/>
          </cell>
          <cell r="AE498" t="str">
            <v/>
          </cell>
          <cell r="AF498" t="str">
            <v/>
          </cell>
          <cell r="AH498" t="str">
            <v>N</v>
          </cell>
          <cell r="AI498">
            <v>0</v>
          </cell>
          <cell r="AJ498">
            <v>0</v>
          </cell>
          <cell r="AK498">
            <v>0</v>
          </cell>
          <cell r="AL498">
            <v>0</v>
          </cell>
          <cell r="AM498">
            <v>6880</v>
          </cell>
          <cell r="AN498">
            <v>0</v>
          </cell>
        </row>
        <row r="499">
          <cell r="A499">
            <v>2400</v>
          </cell>
          <cell r="B499" t="str">
            <v>CATALINA RIVERA MOLINA (ACAMBAY)</v>
          </cell>
          <cell r="C499" t="str">
            <v/>
          </cell>
          <cell r="D499" t="str">
            <v>AV. CONSTITUCION NO. 1</v>
          </cell>
          <cell r="E499" t="str">
            <v>ACAMBAY, EDO. DE MEXICO</v>
          </cell>
          <cell r="F499" t="str">
            <v/>
          </cell>
          <cell r="G499" t="str">
            <v>(712) 163-5886</v>
          </cell>
          <cell r="H499" t="str">
            <v/>
          </cell>
          <cell r="I499" t="str">
            <v/>
          </cell>
          <cell r="J499" t="str">
            <v>L08</v>
          </cell>
          <cell r="K499" t="str">
            <v/>
          </cell>
          <cell r="L499">
            <v>0</v>
          </cell>
          <cell r="M499">
            <v>516</v>
          </cell>
          <cell r="N499" t="str">
            <v>A</v>
          </cell>
          <cell r="O499">
            <v>42165</v>
          </cell>
          <cell r="P499" t="str">
            <v/>
          </cell>
          <cell r="Q499">
            <v>0</v>
          </cell>
          <cell r="R499">
            <v>0</v>
          </cell>
          <cell r="S499">
            <v>480</v>
          </cell>
          <cell r="T499">
            <v>2830</v>
          </cell>
          <cell r="U499">
            <v>0</v>
          </cell>
          <cell r="V499" t="str">
            <v>CENTRO</v>
          </cell>
          <cell r="W499" t="str">
            <v/>
          </cell>
          <cell r="X499" t="str">
            <v/>
          </cell>
          <cell r="Y499" t="str">
            <v/>
          </cell>
          <cell r="Z499" t="str">
            <v/>
          </cell>
          <cell r="AA499" t="str">
            <v>(712) 163-5886</v>
          </cell>
          <cell r="AB499" t="str">
            <v/>
          </cell>
          <cell r="AC499" t="str">
            <v>F128</v>
          </cell>
          <cell r="AD499" t="str">
            <v/>
          </cell>
          <cell r="AE499" t="str">
            <v/>
          </cell>
          <cell r="AF499" t="str">
            <v/>
          </cell>
          <cell r="AH499" t="str">
            <v>N</v>
          </cell>
          <cell r="AI499">
            <v>0</v>
          </cell>
          <cell r="AJ499">
            <v>0</v>
          </cell>
          <cell r="AK499">
            <v>0</v>
          </cell>
          <cell r="AL499">
            <v>0</v>
          </cell>
          <cell r="AM499">
            <v>780</v>
          </cell>
          <cell r="AN499">
            <v>0</v>
          </cell>
        </row>
        <row r="500">
          <cell r="A500">
            <v>2401</v>
          </cell>
          <cell r="B500" t="str">
            <v>CRUZ VARGAS BECERRIL</v>
          </cell>
          <cell r="C500" t="str">
            <v/>
          </cell>
          <cell r="D500" t="str">
            <v/>
          </cell>
          <cell r="E500" t="str">
            <v>EDO. MEXICO</v>
          </cell>
          <cell r="F500" t="str">
            <v/>
          </cell>
          <cell r="G500" t="str">
            <v/>
          </cell>
          <cell r="H500" t="str">
            <v/>
          </cell>
          <cell r="I500" t="str">
            <v/>
          </cell>
          <cell r="J500" t="str">
            <v>M01</v>
          </cell>
          <cell r="K500" t="str">
            <v/>
          </cell>
          <cell r="L500">
            <v>0</v>
          </cell>
          <cell r="M500">
            <v>517</v>
          </cell>
          <cell r="N500" t="str">
            <v>A</v>
          </cell>
          <cell r="O500">
            <v>42158</v>
          </cell>
          <cell r="P500" t="str">
            <v/>
          </cell>
          <cell r="Q500">
            <v>0</v>
          </cell>
          <cell r="R500">
            <v>0</v>
          </cell>
          <cell r="S500">
            <v>0</v>
          </cell>
          <cell r="T500">
            <v>1541</v>
          </cell>
          <cell r="U500">
            <v>0</v>
          </cell>
          <cell r="V500" t="str">
            <v>CUAHUTITLAN IZCALLI</v>
          </cell>
          <cell r="W500" t="str">
            <v/>
          </cell>
          <cell r="X500" t="str">
            <v/>
          </cell>
          <cell r="Y500" t="str">
            <v/>
          </cell>
          <cell r="Z500" t="str">
            <v/>
          </cell>
          <cell r="AA500" t="str">
            <v/>
          </cell>
          <cell r="AB500" t="str">
            <v/>
          </cell>
          <cell r="AC500" t="str">
            <v>M-0834</v>
          </cell>
          <cell r="AD500" t="str">
            <v/>
          </cell>
          <cell r="AE500" t="str">
            <v/>
          </cell>
          <cell r="AF500" t="str">
            <v/>
          </cell>
          <cell r="AH500" t="str">
            <v>N</v>
          </cell>
          <cell r="AI500">
            <v>0</v>
          </cell>
          <cell r="AJ500">
            <v>0</v>
          </cell>
          <cell r="AK500">
            <v>0</v>
          </cell>
          <cell r="AL500">
            <v>0</v>
          </cell>
          <cell r="AM500">
            <v>975</v>
          </cell>
          <cell r="AN500">
            <v>0</v>
          </cell>
        </row>
        <row r="501">
          <cell r="A501">
            <v>2402</v>
          </cell>
          <cell r="B501" t="str">
            <v>ARCADIA HERNANDEZ HERNANDEZ (IXMIQUILPAN)</v>
          </cell>
          <cell r="C501" t="str">
            <v/>
          </cell>
          <cell r="D501" t="str">
            <v>ANTONIO MAGOS</v>
          </cell>
          <cell r="E501" t="str">
            <v>IXMIQUILPAN, HGO.</v>
          </cell>
          <cell r="F501" t="str">
            <v/>
          </cell>
          <cell r="G501" t="str">
            <v>(772) 133-0439 CEL</v>
          </cell>
          <cell r="H501" t="str">
            <v/>
          </cell>
          <cell r="I501" t="str">
            <v/>
          </cell>
          <cell r="J501" t="str">
            <v>F02</v>
          </cell>
          <cell r="K501" t="str">
            <v/>
          </cell>
          <cell r="L501">
            <v>0</v>
          </cell>
          <cell r="M501">
            <v>518</v>
          </cell>
          <cell r="N501" t="str">
            <v>A</v>
          </cell>
          <cell r="O501">
            <v>42361</v>
          </cell>
          <cell r="P501" t="str">
            <v/>
          </cell>
          <cell r="Q501">
            <v>0</v>
          </cell>
          <cell r="R501">
            <v>0</v>
          </cell>
          <cell r="S501">
            <v>0</v>
          </cell>
          <cell r="T501">
            <v>9658</v>
          </cell>
          <cell r="U501">
            <v>0</v>
          </cell>
          <cell r="V501" t="str">
            <v/>
          </cell>
          <cell r="W501" t="str">
            <v/>
          </cell>
          <cell r="X501" t="str">
            <v/>
          </cell>
          <cell r="Y501" t="str">
            <v/>
          </cell>
          <cell r="Z501" t="str">
            <v/>
          </cell>
          <cell r="AA501" t="str">
            <v>(772) 133-0439 CEL</v>
          </cell>
          <cell r="AB501" t="str">
            <v xml:space="preserve">  DEV 278</v>
          </cell>
          <cell r="AC501" t="str">
            <v xml:space="preserve">    321</v>
          </cell>
          <cell r="AD501" t="str">
            <v/>
          </cell>
          <cell r="AE501" t="str">
            <v/>
          </cell>
          <cell r="AF501" t="str">
            <v/>
          </cell>
          <cell r="AG501">
            <v>42178</v>
          </cell>
          <cell r="AH501" t="str">
            <v>N</v>
          </cell>
          <cell r="AI501">
            <v>0</v>
          </cell>
          <cell r="AJ501">
            <v>0</v>
          </cell>
          <cell r="AK501">
            <v>0</v>
          </cell>
          <cell r="AL501">
            <v>990</v>
          </cell>
          <cell r="AM501">
            <v>2100</v>
          </cell>
          <cell r="AN501">
            <v>0</v>
          </cell>
        </row>
        <row r="502">
          <cell r="A502">
            <v>2403</v>
          </cell>
          <cell r="B502" t="str">
            <v>NORMA GARCIA HERNANDEZ (IXMIQUILPAN)</v>
          </cell>
          <cell r="C502" t="str">
            <v/>
          </cell>
          <cell r="D502" t="str">
            <v>JUAREZ 23</v>
          </cell>
          <cell r="E502" t="str">
            <v>IXMIQUILPAN, HGO.</v>
          </cell>
          <cell r="F502" t="str">
            <v/>
          </cell>
          <cell r="G502" t="str">
            <v>01759-723-3319</v>
          </cell>
          <cell r="H502" t="str">
            <v/>
          </cell>
          <cell r="I502" t="str">
            <v/>
          </cell>
          <cell r="J502" t="str">
            <v>F02</v>
          </cell>
          <cell r="K502" t="str">
            <v/>
          </cell>
          <cell r="L502">
            <v>0</v>
          </cell>
          <cell r="M502">
            <v>519</v>
          </cell>
          <cell r="N502" t="str">
            <v>A</v>
          </cell>
          <cell r="O502">
            <v>42163</v>
          </cell>
          <cell r="P502" t="str">
            <v/>
          </cell>
          <cell r="Q502">
            <v>0</v>
          </cell>
          <cell r="R502">
            <v>0</v>
          </cell>
          <cell r="S502">
            <v>0</v>
          </cell>
          <cell r="T502">
            <v>912</v>
          </cell>
          <cell r="U502">
            <v>0</v>
          </cell>
          <cell r="V502" t="str">
            <v>CENTRO</v>
          </cell>
          <cell r="W502" t="str">
            <v>045772-108-1012</v>
          </cell>
          <cell r="X502" t="str">
            <v/>
          </cell>
          <cell r="Y502" t="str">
            <v/>
          </cell>
          <cell r="Z502" t="str">
            <v/>
          </cell>
          <cell r="AA502" t="str">
            <v>01759-723-3319</v>
          </cell>
          <cell r="AB502" t="str">
            <v/>
          </cell>
          <cell r="AC502" t="str">
            <v>F125</v>
          </cell>
          <cell r="AD502" t="str">
            <v/>
          </cell>
          <cell r="AE502" t="str">
            <v/>
          </cell>
          <cell r="AF502" t="str">
            <v/>
          </cell>
          <cell r="AH502" t="str">
            <v>N</v>
          </cell>
          <cell r="AI502">
            <v>0</v>
          </cell>
          <cell r="AJ502">
            <v>0</v>
          </cell>
          <cell r="AK502">
            <v>0</v>
          </cell>
          <cell r="AL502">
            <v>0</v>
          </cell>
          <cell r="AM502">
            <v>912</v>
          </cell>
          <cell r="AN502">
            <v>0</v>
          </cell>
        </row>
        <row r="503">
          <cell r="A503">
            <v>2404</v>
          </cell>
          <cell r="B503" t="str">
            <v>BRENDA SIERRA DURAN (ACAMBARO)</v>
          </cell>
          <cell r="C503" t="str">
            <v/>
          </cell>
          <cell r="D503" t="str">
            <v>GUERRERO No.1 A</v>
          </cell>
          <cell r="E503" t="str">
            <v>ACAMBARO, GTO.</v>
          </cell>
          <cell r="F503" t="str">
            <v/>
          </cell>
          <cell r="G503" t="str">
            <v>(417) 102-1005 CEL</v>
          </cell>
          <cell r="H503" t="str">
            <v/>
          </cell>
          <cell r="I503" t="str">
            <v/>
          </cell>
          <cell r="J503" t="str">
            <v>J06</v>
          </cell>
          <cell r="K503" t="str">
            <v/>
          </cell>
          <cell r="L503">
            <v>0</v>
          </cell>
          <cell r="M503">
            <v>521</v>
          </cell>
          <cell r="N503" t="str">
            <v>A</v>
          </cell>
          <cell r="O503">
            <v>42511</v>
          </cell>
          <cell r="P503" t="str">
            <v/>
          </cell>
          <cell r="Q503">
            <v>0</v>
          </cell>
          <cell r="R503">
            <v>0</v>
          </cell>
          <cell r="S503">
            <v>2526</v>
          </cell>
          <cell r="T503">
            <v>17091</v>
          </cell>
          <cell r="U503">
            <v>0</v>
          </cell>
          <cell r="V503" t="str">
            <v/>
          </cell>
          <cell r="W503" t="str">
            <v/>
          </cell>
          <cell r="X503" t="str">
            <v/>
          </cell>
          <cell r="Y503" t="str">
            <v/>
          </cell>
          <cell r="Z503" t="str">
            <v/>
          </cell>
          <cell r="AA503" t="str">
            <v>(417) 102-1005 CEL</v>
          </cell>
          <cell r="AB503" t="str">
            <v/>
          </cell>
          <cell r="AC503" t="str">
            <v>J0385</v>
          </cell>
          <cell r="AD503" t="str">
            <v/>
          </cell>
          <cell r="AE503" t="str">
            <v/>
          </cell>
          <cell r="AF503" t="str">
            <v/>
          </cell>
          <cell r="AH503" t="str">
            <v>N</v>
          </cell>
          <cell r="AI503">
            <v>0</v>
          </cell>
          <cell r="AJ503">
            <v>0</v>
          </cell>
          <cell r="AK503">
            <v>0</v>
          </cell>
          <cell r="AL503">
            <v>0</v>
          </cell>
          <cell r="AM503">
            <v>3026</v>
          </cell>
          <cell r="AN503">
            <v>0</v>
          </cell>
        </row>
        <row r="504">
          <cell r="A504">
            <v>2405</v>
          </cell>
          <cell r="B504" t="str">
            <v>MA. ESTRELLA CHAVEZ GARZA (IXMIQUILPAN)</v>
          </cell>
          <cell r="C504" t="str">
            <v/>
          </cell>
          <cell r="D504" t="str">
            <v>FRANCISCO VILLA NO. 1</v>
          </cell>
          <cell r="E504" t="str">
            <v>IXMIQUILPAN, HGO.</v>
          </cell>
          <cell r="F504" t="str">
            <v/>
          </cell>
          <cell r="G504" t="str">
            <v>(771)187-0651</v>
          </cell>
          <cell r="H504" t="str">
            <v/>
          </cell>
          <cell r="I504" t="str">
            <v/>
          </cell>
          <cell r="J504" t="str">
            <v>F02</v>
          </cell>
          <cell r="K504" t="str">
            <v/>
          </cell>
          <cell r="L504">
            <v>0</v>
          </cell>
          <cell r="M504">
            <v>522</v>
          </cell>
          <cell r="N504" t="str">
            <v>A</v>
          </cell>
          <cell r="O504">
            <v>42378</v>
          </cell>
          <cell r="P504" t="str">
            <v/>
          </cell>
          <cell r="Q504">
            <v>0</v>
          </cell>
          <cell r="R504">
            <v>0</v>
          </cell>
          <cell r="S504">
            <v>0</v>
          </cell>
          <cell r="T504">
            <v>5894</v>
          </cell>
          <cell r="U504">
            <v>0</v>
          </cell>
          <cell r="V504" t="str">
            <v/>
          </cell>
          <cell r="W504" t="str">
            <v>045-771-232-9430</v>
          </cell>
          <cell r="X504" t="str">
            <v/>
          </cell>
          <cell r="Y504" t="str">
            <v/>
          </cell>
          <cell r="Z504" t="str">
            <v/>
          </cell>
          <cell r="AA504" t="str">
            <v>01-759-728-7974</v>
          </cell>
          <cell r="AB504" t="str">
            <v/>
          </cell>
          <cell r="AC504" t="str">
            <v>F483</v>
          </cell>
          <cell r="AD504" t="str">
            <v/>
          </cell>
          <cell r="AE504" t="str">
            <v/>
          </cell>
          <cell r="AF504" t="str">
            <v/>
          </cell>
          <cell r="AH504" t="str">
            <v>N</v>
          </cell>
          <cell r="AI504">
            <v>0</v>
          </cell>
          <cell r="AJ504">
            <v>0</v>
          </cell>
          <cell r="AK504">
            <v>0</v>
          </cell>
          <cell r="AL504">
            <v>0</v>
          </cell>
          <cell r="AM504">
            <v>3310</v>
          </cell>
          <cell r="AN504">
            <v>0</v>
          </cell>
        </row>
        <row r="505">
          <cell r="A505">
            <v>2406</v>
          </cell>
          <cell r="B505" t="str">
            <v>JENIFER SORIANO (RUTA CHINO)</v>
          </cell>
          <cell r="C505" t="str">
            <v/>
          </cell>
          <cell r="D505">
            <v>0</v>
          </cell>
          <cell r="E505">
            <v>0</v>
          </cell>
          <cell r="F505" t="str">
            <v/>
          </cell>
          <cell r="G505">
            <v>0</v>
          </cell>
          <cell r="H505" t="str">
            <v/>
          </cell>
          <cell r="I505" t="str">
            <v/>
          </cell>
          <cell r="J505" t="str">
            <v>C01</v>
          </cell>
          <cell r="K505" t="str">
            <v/>
          </cell>
          <cell r="L505">
            <v>0</v>
          </cell>
          <cell r="M505">
            <v>523</v>
          </cell>
          <cell r="N505" t="str">
            <v>A</v>
          </cell>
          <cell r="O505">
            <v>42353</v>
          </cell>
          <cell r="P505" t="str">
            <v/>
          </cell>
          <cell r="Q505">
            <v>0</v>
          </cell>
          <cell r="R505">
            <v>0</v>
          </cell>
          <cell r="S505">
            <v>0</v>
          </cell>
          <cell r="T505">
            <v>11862</v>
          </cell>
          <cell r="U505">
            <v>0</v>
          </cell>
          <cell r="V505" t="str">
            <v/>
          </cell>
          <cell r="W505" t="str">
            <v/>
          </cell>
          <cell r="X505" t="str">
            <v/>
          </cell>
          <cell r="Y505" t="str">
            <v/>
          </cell>
          <cell r="Z505" t="str">
            <v/>
          </cell>
          <cell r="AA505" t="str">
            <v>(045)441-105-2682</v>
          </cell>
          <cell r="AB505" t="str">
            <v/>
          </cell>
          <cell r="AC505" t="str">
            <v>X-0112</v>
          </cell>
          <cell r="AD505" t="str">
            <v/>
          </cell>
          <cell r="AE505" t="str">
            <v/>
          </cell>
          <cell r="AF505" t="str">
            <v/>
          </cell>
          <cell r="AH505" t="str">
            <v>N</v>
          </cell>
          <cell r="AI505">
            <v>0</v>
          </cell>
          <cell r="AJ505">
            <v>0</v>
          </cell>
          <cell r="AK505">
            <v>0</v>
          </cell>
          <cell r="AL505">
            <v>0</v>
          </cell>
          <cell r="AM505">
            <v>1800</v>
          </cell>
          <cell r="AN505">
            <v>0</v>
          </cell>
        </row>
        <row r="506">
          <cell r="A506">
            <v>2407</v>
          </cell>
          <cell r="B506" t="str">
            <v>DORA MARIA CORNEJO VARGAS (TEZONTEPEC)</v>
          </cell>
          <cell r="C506" t="str">
            <v/>
          </cell>
          <cell r="D506" t="str">
            <v>AV. ALLENDE</v>
          </cell>
          <cell r="E506" t="str">
            <v>TEZONTEPEC, HGO.</v>
          </cell>
          <cell r="F506" t="str">
            <v/>
          </cell>
          <cell r="G506" t="str">
            <v>(771) 205-0985</v>
          </cell>
          <cell r="H506" t="str">
            <v/>
          </cell>
          <cell r="I506" t="str">
            <v/>
          </cell>
          <cell r="J506" t="str">
            <v>F02</v>
          </cell>
          <cell r="K506" t="str">
            <v/>
          </cell>
          <cell r="L506">
            <v>0</v>
          </cell>
          <cell r="M506">
            <v>524</v>
          </cell>
          <cell r="N506" t="str">
            <v>A</v>
          </cell>
          <cell r="O506">
            <v>42525</v>
          </cell>
          <cell r="P506" t="str">
            <v xml:space="preserve">    1</v>
          </cell>
          <cell r="Q506">
            <v>0</v>
          </cell>
          <cell r="R506">
            <v>0</v>
          </cell>
          <cell r="S506">
            <v>0</v>
          </cell>
          <cell r="T506">
            <v>3293</v>
          </cell>
          <cell r="U506">
            <v>0</v>
          </cell>
          <cell r="V506" t="str">
            <v>CENTRO</v>
          </cell>
          <cell r="W506" t="str">
            <v/>
          </cell>
          <cell r="X506" t="str">
            <v/>
          </cell>
          <cell r="Y506" t="str">
            <v/>
          </cell>
          <cell r="Z506" t="str">
            <v/>
          </cell>
          <cell r="AA506" t="str">
            <v>(771) 205-0985</v>
          </cell>
          <cell r="AB506" t="str">
            <v/>
          </cell>
          <cell r="AC506" t="str">
            <v>F0509</v>
          </cell>
          <cell r="AD506" t="str">
            <v/>
          </cell>
          <cell r="AE506" t="str">
            <v/>
          </cell>
          <cell r="AF506" t="str">
            <v/>
          </cell>
          <cell r="AH506" t="str">
            <v>N</v>
          </cell>
          <cell r="AI506">
            <v>0</v>
          </cell>
          <cell r="AJ506">
            <v>0</v>
          </cell>
          <cell r="AK506">
            <v>0</v>
          </cell>
          <cell r="AL506">
            <v>0</v>
          </cell>
          <cell r="AM506">
            <v>625</v>
          </cell>
          <cell r="AN506">
            <v>0</v>
          </cell>
        </row>
        <row r="507">
          <cell r="A507">
            <v>2408</v>
          </cell>
          <cell r="B507" t="str">
            <v>MARY (CADEREYTA)</v>
          </cell>
          <cell r="C507" t="str">
            <v/>
          </cell>
          <cell r="D507" t="str">
            <v>MADERO No. 38</v>
          </cell>
          <cell r="E507" t="str">
            <v>CADEREYTA, QRO.</v>
          </cell>
          <cell r="F507" t="str">
            <v/>
          </cell>
          <cell r="G507" t="str">
            <v>441-116-3088</v>
          </cell>
          <cell r="H507" t="str">
            <v/>
          </cell>
          <cell r="I507" t="str">
            <v/>
          </cell>
          <cell r="J507" t="str">
            <v>J02</v>
          </cell>
          <cell r="K507" t="str">
            <v/>
          </cell>
          <cell r="L507">
            <v>0</v>
          </cell>
          <cell r="M507">
            <v>525</v>
          </cell>
          <cell r="N507" t="str">
            <v>A</v>
          </cell>
          <cell r="O507">
            <v>42174</v>
          </cell>
          <cell r="P507" t="str">
            <v/>
          </cell>
          <cell r="Q507">
            <v>0</v>
          </cell>
          <cell r="R507">
            <v>0</v>
          </cell>
          <cell r="S507">
            <v>0</v>
          </cell>
          <cell r="T507">
            <v>4715</v>
          </cell>
          <cell r="U507">
            <v>0</v>
          </cell>
          <cell r="V507" t="str">
            <v>CENTRO</v>
          </cell>
          <cell r="W507" t="str">
            <v/>
          </cell>
          <cell r="X507" t="str">
            <v/>
          </cell>
          <cell r="Y507" t="str">
            <v/>
          </cell>
          <cell r="Z507" t="str">
            <v/>
          </cell>
          <cell r="AA507" t="str">
            <v>441-116-3088</v>
          </cell>
          <cell r="AB507" t="str">
            <v/>
          </cell>
          <cell r="AC507" t="str">
            <v>F0876</v>
          </cell>
          <cell r="AD507" t="str">
            <v/>
          </cell>
          <cell r="AE507" t="str">
            <v/>
          </cell>
          <cell r="AF507" t="str">
            <v/>
          </cell>
          <cell r="AH507" t="str">
            <v>N</v>
          </cell>
          <cell r="AI507">
            <v>0</v>
          </cell>
          <cell r="AJ507">
            <v>0</v>
          </cell>
          <cell r="AK507">
            <v>0</v>
          </cell>
          <cell r="AL507">
            <v>0</v>
          </cell>
          <cell r="AM507">
            <v>4715</v>
          </cell>
          <cell r="AN507">
            <v>0</v>
          </cell>
        </row>
        <row r="508">
          <cell r="A508">
            <v>2409</v>
          </cell>
          <cell r="B508" t="str">
            <v xml:space="preserve">MARIA LUISA CORTES (CADEREYTA)                              </v>
          </cell>
          <cell r="C508" t="str">
            <v/>
          </cell>
          <cell r="D508" t="str">
            <v>MERCADO LOCAL 29</v>
          </cell>
          <cell r="E508" t="str">
            <v>CADEREYTA, QRO.</v>
          </cell>
          <cell r="F508" t="str">
            <v/>
          </cell>
          <cell r="G508" t="str">
            <v>441-105-2682</v>
          </cell>
          <cell r="H508" t="str">
            <v/>
          </cell>
          <cell r="I508" t="str">
            <v/>
          </cell>
          <cell r="J508" t="str">
            <v>J02</v>
          </cell>
          <cell r="K508" t="str">
            <v/>
          </cell>
          <cell r="L508">
            <v>0</v>
          </cell>
          <cell r="M508">
            <v>526</v>
          </cell>
          <cell r="N508" t="str">
            <v>A</v>
          </cell>
          <cell r="O508">
            <v>42473</v>
          </cell>
          <cell r="P508" t="str">
            <v/>
          </cell>
          <cell r="Q508">
            <v>0</v>
          </cell>
          <cell r="R508">
            <v>0</v>
          </cell>
          <cell r="S508">
            <v>0</v>
          </cell>
          <cell r="T508">
            <v>6301</v>
          </cell>
          <cell r="U508">
            <v>0</v>
          </cell>
          <cell r="V508" t="str">
            <v>CENTRO</v>
          </cell>
          <cell r="W508" t="str">
            <v/>
          </cell>
          <cell r="X508" t="str">
            <v/>
          </cell>
          <cell r="Y508" t="str">
            <v/>
          </cell>
          <cell r="Z508" t="str">
            <v/>
          </cell>
          <cell r="AA508" t="str">
            <v>441-105-2682</v>
          </cell>
          <cell r="AB508" t="str">
            <v/>
          </cell>
          <cell r="AC508" t="str">
            <v>J0244</v>
          </cell>
          <cell r="AD508" t="str">
            <v/>
          </cell>
          <cell r="AE508" t="str">
            <v/>
          </cell>
          <cell r="AF508" t="str">
            <v/>
          </cell>
          <cell r="AH508" t="str">
            <v>N</v>
          </cell>
          <cell r="AI508">
            <v>0</v>
          </cell>
          <cell r="AJ508">
            <v>0</v>
          </cell>
          <cell r="AK508">
            <v>0</v>
          </cell>
          <cell r="AL508">
            <v>0</v>
          </cell>
          <cell r="AM508">
            <v>2911</v>
          </cell>
          <cell r="AN508">
            <v>0</v>
          </cell>
        </row>
        <row r="509">
          <cell r="A509">
            <v>2410</v>
          </cell>
          <cell r="B509" t="str">
            <v>GUADALUPE GUEVARA (ATOTONILCO)</v>
          </cell>
          <cell r="C509" t="str">
            <v/>
          </cell>
          <cell r="D509" t="str">
            <v>URUGUAY ESQ. PANAMA</v>
          </cell>
          <cell r="E509" t="str">
            <v>ATOTONILCO, HGO.</v>
          </cell>
          <cell r="F509" t="str">
            <v/>
          </cell>
          <cell r="G509" t="str">
            <v>(773) 101-1938</v>
          </cell>
          <cell r="H509" t="str">
            <v/>
          </cell>
          <cell r="I509" t="str">
            <v/>
          </cell>
          <cell r="J509" t="str">
            <v>M04</v>
          </cell>
          <cell r="K509" t="str">
            <v/>
          </cell>
          <cell r="L509">
            <v>0</v>
          </cell>
          <cell r="M509">
            <v>527</v>
          </cell>
          <cell r="N509" t="str">
            <v>A</v>
          </cell>
          <cell r="O509">
            <v>42286</v>
          </cell>
          <cell r="P509" t="str">
            <v xml:space="preserve">    5</v>
          </cell>
          <cell r="Q509">
            <v>0</v>
          </cell>
          <cell r="R509">
            <v>0</v>
          </cell>
          <cell r="S509">
            <v>0</v>
          </cell>
          <cell r="T509">
            <v>6138</v>
          </cell>
          <cell r="U509">
            <v>0</v>
          </cell>
          <cell r="V509" t="str">
            <v>ANTES DE LA IGLESIA</v>
          </cell>
          <cell r="W509" t="str">
            <v/>
          </cell>
          <cell r="X509" t="str">
            <v/>
          </cell>
          <cell r="Y509" t="str">
            <v/>
          </cell>
          <cell r="Z509" t="str">
            <v/>
          </cell>
          <cell r="AA509" t="str">
            <v>(773) 101-1938</v>
          </cell>
          <cell r="AB509" t="str">
            <v/>
          </cell>
          <cell r="AC509" t="str">
            <v>M446</v>
          </cell>
          <cell r="AD509" t="str">
            <v/>
          </cell>
          <cell r="AE509" t="str">
            <v/>
          </cell>
          <cell r="AF509" t="str">
            <v/>
          </cell>
          <cell r="AH509" t="str">
            <v>N</v>
          </cell>
          <cell r="AI509">
            <v>0</v>
          </cell>
          <cell r="AJ509">
            <v>0</v>
          </cell>
          <cell r="AK509">
            <v>0</v>
          </cell>
          <cell r="AL509">
            <v>0</v>
          </cell>
          <cell r="AM509">
            <v>3613</v>
          </cell>
          <cell r="AN509">
            <v>0</v>
          </cell>
        </row>
        <row r="510">
          <cell r="A510">
            <v>2411</v>
          </cell>
          <cell r="B510" t="str">
            <v>ISABEL VALLE MELENDES (COYOTEPEC)</v>
          </cell>
          <cell r="C510" t="str">
            <v/>
          </cell>
          <cell r="D510" t="str">
            <v>AV. HIDALGO #7</v>
          </cell>
          <cell r="E510" t="str">
            <v>COYOTEPEC, EDO. DE MEXICO</v>
          </cell>
          <cell r="F510" t="str">
            <v/>
          </cell>
          <cell r="G510" t="str">
            <v/>
          </cell>
          <cell r="H510" t="str">
            <v/>
          </cell>
          <cell r="I510" t="str">
            <v/>
          </cell>
          <cell r="J510" t="str">
            <v>M01</v>
          </cell>
          <cell r="K510" t="str">
            <v/>
          </cell>
          <cell r="L510">
            <v>0</v>
          </cell>
          <cell r="M510">
            <v>528</v>
          </cell>
          <cell r="N510" t="str">
            <v>A</v>
          </cell>
          <cell r="O510">
            <v>42406</v>
          </cell>
          <cell r="P510" t="str">
            <v xml:space="preserve">    5</v>
          </cell>
          <cell r="Q510">
            <v>0</v>
          </cell>
          <cell r="R510">
            <v>0</v>
          </cell>
          <cell r="S510">
            <v>0</v>
          </cell>
          <cell r="T510">
            <v>6384</v>
          </cell>
          <cell r="U510">
            <v>0</v>
          </cell>
          <cell r="V510" t="str">
            <v/>
          </cell>
          <cell r="W510" t="str">
            <v/>
          </cell>
          <cell r="X510" t="str">
            <v/>
          </cell>
          <cell r="Y510" t="str">
            <v/>
          </cell>
          <cell r="Z510" t="str">
            <v/>
          </cell>
          <cell r="AA510" t="str">
            <v/>
          </cell>
          <cell r="AB510" t="str">
            <v/>
          </cell>
          <cell r="AC510" t="str">
            <v>M842757</v>
          </cell>
          <cell r="AD510" t="str">
            <v/>
          </cell>
          <cell r="AE510" t="str">
            <v/>
          </cell>
          <cell r="AF510" t="str">
            <v/>
          </cell>
          <cell r="AH510" t="str">
            <v>N</v>
          </cell>
          <cell r="AI510">
            <v>0</v>
          </cell>
          <cell r="AJ510">
            <v>0</v>
          </cell>
          <cell r="AK510">
            <v>0</v>
          </cell>
          <cell r="AL510">
            <v>0</v>
          </cell>
          <cell r="AM510">
            <v>266</v>
          </cell>
          <cell r="AN510">
            <v>0</v>
          </cell>
        </row>
        <row r="511">
          <cell r="A511">
            <v>2412</v>
          </cell>
          <cell r="B511" t="str">
            <v>EL POLLITO PIO (QUERETARO)</v>
          </cell>
          <cell r="C511" t="str">
            <v/>
          </cell>
          <cell r="D511" t="str">
            <v>CALZ. BELEN #1104</v>
          </cell>
          <cell r="E511" t="str">
            <v>QUERETARO, QRO.</v>
          </cell>
          <cell r="F511" t="str">
            <v/>
          </cell>
          <cell r="G511" t="str">
            <v>(442) 119-2019 CEL JOSEFI</v>
          </cell>
          <cell r="H511" t="str">
            <v/>
          </cell>
          <cell r="I511" t="str">
            <v/>
          </cell>
          <cell r="J511" t="str">
            <v>L04P</v>
          </cell>
          <cell r="K511" t="str">
            <v/>
          </cell>
          <cell r="L511">
            <v>0</v>
          </cell>
          <cell r="M511">
            <v>529</v>
          </cell>
          <cell r="N511" t="str">
            <v>A</v>
          </cell>
          <cell r="O511">
            <v>42368</v>
          </cell>
          <cell r="P511" t="str">
            <v xml:space="preserve">   97</v>
          </cell>
          <cell r="Q511">
            <v>0</v>
          </cell>
          <cell r="R511">
            <v>0</v>
          </cell>
          <cell r="S511">
            <v>0</v>
          </cell>
          <cell r="T511">
            <v>6408</v>
          </cell>
          <cell r="U511">
            <v>0</v>
          </cell>
          <cell r="V511" t="str">
            <v>EL VERGEL</v>
          </cell>
          <cell r="W511" t="str">
            <v/>
          </cell>
          <cell r="X511" t="str">
            <v/>
          </cell>
          <cell r="Y511" t="str">
            <v/>
          </cell>
          <cell r="Z511" t="str">
            <v/>
          </cell>
          <cell r="AA511" t="str">
            <v>(442) 119-2019 CEL JOSEFINA</v>
          </cell>
          <cell r="AB511" t="str">
            <v/>
          </cell>
          <cell r="AC511" t="str">
            <v>L0113</v>
          </cell>
          <cell r="AD511" t="str">
            <v/>
          </cell>
          <cell r="AE511" t="str">
            <v/>
          </cell>
          <cell r="AF511" t="str">
            <v/>
          </cell>
          <cell r="AH511" t="str">
            <v>N</v>
          </cell>
          <cell r="AI511">
            <v>0</v>
          </cell>
          <cell r="AJ511">
            <v>0</v>
          </cell>
          <cell r="AK511">
            <v>0</v>
          </cell>
          <cell r="AL511">
            <v>0</v>
          </cell>
          <cell r="AM511">
            <v>714</v>
          </cell>
          <cell r="AN511">
            <v>0</v>
          </cell>
        </row>
        <row r="512">
          <cell r="A512">
            <v>2413</v>
          </cell>
          <cell r="B512" t="str">
            <v>TERE NIETO (ACAMBARO)</v>
          </cell>
          <cell r="C512" t="str">
            <v/>
          </cell>
          <cell r="D512" t="str">
            <v/>
          </cell>
          <cell r="E512" t="str">
            <v>ACAMBARO, GTO.</v>
          </cell>
          <cell r="F512" t="str">
            <v/>
          </cell>
          <cell r="G512" t="str">
            <v/>
          </cell>
          <cell r="H512" t="str">
            <v/>
          </cell>
          <cell r="I512" t="str">
            <v/>
          </cell>
          <cell r="J512" t="str">
            <v>J06</v>
          </cell>
          <cell r="K512" t="str">
            <v/>
          </cell>
          <cell r="L512">
            <v>0</v>
          </cell>
          <cell r="M512">
            <v>530</v>
          </cell>
          <cell r="N512" t="str">
            <v>A</v>
          </cell>
          <cell r="O512">
            <v>42343</v>
          </cell>
          <cell r="P512" t="str">
            <v xml:space="preserve">    2</v>
          </cell>
          <cell r="Q512">
            <v>0</v>
          </cell>
          <cell r="R512">
            <v>0</v>
          </cell>
          <cell r="S512">
            <v>0</v>
          </cell>
          <cell r="T512">
            <v>2700</v>
          </cell>
          <cell r="U512">
            <v>0</v>
          </cell>
          <cell r="V512" t="str">
            <v/>
          </cell>
          <cell r="W512" t="str">
            <v/>
          </cell>
          <cell r="X512" t="str">
            <v/>
          </cell>
          <cell r="Y512" t="str">
            <v/>
          </cell>
          <cell r="Z512" t="str">
            <v/>
          </cell>
          <cell r="AA512" t="str">
            <v/>
          </cell>
          <cell r="AB512" t="str">
            <v xml:space="preserve">  DEV-316</v>
          </cell>
          <cell r="AC512" t="str">
            <v xml:space="preserve">    316</v>
          </cell>
          <cell r="AD512" t="str">
            <v/>
          </cell>
          <cell r="AE512" t="str">
            <v/>
          </cell>
          <cell r="AF512" t="str">
            <v/>
          </cell>
          <cell r="AG512">
            <v>42343</v>
          </cell>
          <cell r="AH512" t="str">
            <v>N</v>
          </cell>
          <cell r="AI512">
            <v>0</v>
          </cell>
          <cell r="AJ512">
            <v>0</v>
          </cell>
          <cell r="AK512">
            <v>0</v>
          </cell>
          <cell r="AL512">
            <v>2578</v>
          </cell>
          <cell r="AM512">
            <v>2641</v>
          </cell>
          <cell r="AN512">
            <v>0</v>
          </cell>
        </row>
        <row r="513">
          <cell r="A513">
            <v>2414</v>
          </cell>
          <cell r="B513" t="str">
            <v>BRYAN VEGA (APASEO EL ALTO)</v>
          </cell>
          <cell r="C513" t="str">
            <v/>
          </cell>
          <cell r="D513" t="str">
            <v>SALVADOR DIAZ MIRON #110</v>
          </cell>
          <cell r="E513" t="str">
            <v>APASEO EL ALTO, GTO.</v>
          </cell>
          <cell r="F513" t="str">
            <v/>
          </cell>
          <cell r="G513" t="str">
            <v>(413) 101-6047 CEL</v>
          </cell>
          <cell r="H513" t="str">
            <v/>
          </cell>
          <cell r="I513" t="str">
            <v/>
          </cell>
          <cell r="J513" t="str">
            <v>J05</v>
          </cell>
          <cell r="K513" t="str">
            <v/>
          </cell>
          <cell r="L513">
            <v>0</v>
          </cell>
          <cell r="M513">
            <v>531</v>
          </cell>
          <cell r="N513" t="str">
            <v>A</v>
          </cell>
          <cell r="O513">
            <v>42410</v>
          </cell>
          <cell r="P513" t="str">
            <v xml:space="preserve">    2</v>
          </cell>
          <cell r="Q513">
            <v>0</v>
          </cell>
          <cell r="R513">
            <v>0</v>
          </cell>
          <cell r="S513">
            <v>0</v>
          </cell>
          <cell r="T513">
            <v>26041</v>
          </cell>
          <cell r="U513">
            <v>0</v>
          </cell>
          <cell r="V513" t="str">
            <v>STA. ELENA NTE</v>
          </cell>
          <cell r="W513" t="str">
            <v/>
          </cell>
          <cell r="X513" t="str">
            <v/>
          </cell>
          <cell r="Y513" t="str">
            <v/>
          </cell>
          <cell r="Z513" t="str">
            <v/>
          </cell>
          <cell r="AA513" t="str">
            <v>(413) 101-6047 CEL</v>
          </cell>
          <cell r="AB513" t="str">
            <v xml:space="preserve">     DESC</v>
          </cell>
          <cell r="AC513" t="str">
            <v>J165869</v>
          </cell>
          <cell r="AD513" t="str">
            <v/>
          </cell>
          <cell r="AE513" t="str">
            <v/>
          </cell>
          <cell r="AF513" t="str">
            <v/>
          </cell>
          <cell r="AG513">
            <v>42410</v>
          </cell>
          <cell r="AH513" t="str">
            <v>N</v>
          </cell>
          <cell r="AI513">
            <v>0</v>
          </cell>
          <cell r="AJ513">
            <v>0</v>
          </cell>
          <cell r="AK513">
            <v>0</v>
          </cell>
          <cell r="AL513">
            <v>153</v>
          </cell>
          <cell r="AM513">
            <v>3060</v>
          </cell>
          <cell r="AN513">
            <v>0</v>
          </cell>
        </row>
        <row r="514">
          <cell r="A514">
            <v>2415</v>
          </cell>
          <cell r="B514" t="str">
            <v>ALICIA TRONCO PERTELA (TULA)</v>
          </cell>
          <cell r="C514" t="str">
            <v/>
          </cell>
          <cell r="D514" t="str">
            <v>PASAJE ZARAGOZA #103</v>
          </cell>
          <cell r="E514" t="str">
            <v>TULA, HGO.</v>
          </cell>
          <cell r="F514" t="str">
            <v>42800</v>
          </cell>
          <cell r="G514" t="str">
            <v>(443)732-5374</v>
          </cell>
          <cell r="H514" t="str">
            <v/>
          </cell>
          <cell r="I514" t="str">
            <v/>
          </cell>
          <cell r="J514" t="str">
            <v>M04</v>
          </cell>
          <cell r="K514" t="str">
            <v/>
          </cell>
          <cell r="L514">
            <v>0</v>
          </cell>
          <cell r="M514">
            <v>532</v>
          </cell>
          <cell r="N514" t="str">
            <v>A</v>
          </cell>
          <cell r="O514">
            <v>42326</v>
          </cell>
          <cell r="P514" t="str">
            <v xml:space="preserve">    5</v>
          </cell>
          <cell r="Q514">
            <v>0</v>
          </cell>
          <cell r="R514">
            <v>0</v>
          </cell>
          <cell r="S514">
            <v>0</v>
          </cell>
          <cell r="T514">
            <v>1614</v>
          </cell>
          <cell r="U514">
            <v>0</v>
          </cell>
          <cell r="V514" t="str">
            <v>CENTRO</v>
          </cell>
          <cell r="W514" t="str">
            <v/>
          </cell>
          <cell r="X514" t="str">
            <v/>
          </cell>
          <cell r="Y514" t="str">
            <v/>
          </cell>
          <cell r="Z514" t="str">
            <v/>
          </cell>
          <cell r="AA514" t="str">
            <v>(443)732-5374</v>
          </cell>
          <cell r="AB514" t="str">
            <v/>
          </cell>
          <cell r="AC514" t="str">
            <v>M498</v>
          </cell>
          <cell r="AD514" t="str">
            <v/>
          </cell>
          <cell r="AE514" t="str">
            <v/>
          </cell>
          <cell r="AF514" t="str">
            <v/>
          </cell>
          <cell r="AH514" t="str">
            <v>N</v>
          </cell>
          <cell r="AI514">
            <v>0</v>
          </cell>
          <cell r="AJ514">
            <v>0</v>
          </cell>
          <cell r="AK514">
            <v>0</v>
          </cell>
          <cell r="AL514">
            <v>0</v>
          </cell>
          <cell r="AM514">
            <v>1614</v>
          </cell>
          <cell r="AN514">
            <v>0</v>
          </cell>
        </row>
        <row r="515">
          <cell r="A515">
            <v>2416</v>
          </cell>
          <cell r="B515" t="str">
            <v>LUCILA CANO MARTINEZ (TEZONTEPEC)</v>
          </cell>
          <cell r="C515" t="str">
            <v/>
          </cell>
          <cell r="D515" t="str">
            <v>INSURGENTES S/N</v>
          </cell>
          <cell r="E515" t="str">
            <v>TEZONTEPEC, HGO.</v>
          </cell>
          <cell r="F515" t="str">
            <v/>
          </cell>
          <cell r="G515" t="str">
            <v>(773) 104-1114</v>
          </cell>
          <cell r="H515" t="str">
            <v/>
          </cell>
          <cell r="I515" t="str">
            <v/>
          </cell>
          <cell r="J515" t="str">
            <v>F02</v>
          </cell>
          <cell r="K515" t="str">
            <v/>
          </cell>
          <cell r="L515">
            <v>0</v>
          </cell>
          <cell r="M515">
            <v>533</v>
          </cell>
          <cell r="N515" t="str">
            <v>A</v>
          </cell>
          <cell r="O515">
            <v>42325</v>
          </cell>
          <cell r="P515" t="str">
            <v xml:space="preserve">    1</v>
          </cell>
          <cell r="Q515">
            <v>0</v>
          </cell>
          <cell r="R515">
            <v>0</v>
          </cell>
          <cell r="S515">
            <v>0</v>
          </cell>
          <cell r="T515">
            <v>635</v>
          </cell>
          <cell r="U515">
            <v>0</v>
          </cell>
          <cell r="V515" t="str">
            <v>CENTRO HUITEN</v>
          </cell>
          <cell r="W515" t="str">
            <v/>
          </cell>
          <cell r="X515" t="str">
            <v/>
          </cell>
          <cell r="Y515" t="str">
            <v/>
          </cell>
          <cell r="Z515" t="str">
            <v/>
          </cell>
          <cell r="AA515" t="str">
            <v>(773) 104-1114</v>
          </cell>
          <cell r="AB515" t="str">
            <v/>
          </cell>
          <cell r="AC515" t="str">
            <v>F431</v>
          </cell>
          <cell r="AD515" t="str">
            <v/>
          </cell>
          <cell r="AE515" t="str">
            <v/>
          </cell>
          <cell r="AF515" t="str">
            <v/>
          </cell>
          <cell r="AH515" t="str">
            <v>N</v>
          </cell>
          <cell r="AI515">
            <v>0</v>
          </cell>
          <cell r="AJ515">
            <v>0</v>
          </cell>
          <cell r="AK515">
            <v>0</v>
          </cell>
          <cell r="AL515">
            <v>0</v>
          </cell>
          <cell r="AM515">
            <v>635</v>
          </cell>
          <cell r="AN515">
            <v>0</v>
          </cell>
        </row>
        <row r="516">
          <cell r="A516">
            <v>2417</v>
          </cell>
          <cell r="B516" t="str">
            <v>EDUARDO URBANO DE JESUS (ATLACOMULCO)</v>
          </cell>
          <cell r="C516" t="str">
            <v/>
          </cell>
          <cell r="D516" t="str">
            <v>MORELOS PTE. #7</v>
          </cell>
          <cell r="E516" t="str">
            <v>ATLACOMULCO, EDO. DE MEXICO</v>
          </cell>
          <cell r="F516" t="str">
            <v>50450</v>
          </cell>
          <cell r="G516" t="str">
            <v>(712) 170-9631</v>
          </cell>
          <cell r="H516" t="str">
            <v/>
          </cell>
          <cell r="I516" t="str">
            <v/>
          </cell>
          <cell r="J516" t="str">
            <v>L08</v>
          </cell>
          <cell r="K516" t="str">
            <v/>
          </cell>
          <cell r="L516">
            <v>0</v>
          </cell>
          <cell r="M516">
            <v>534</v>
          </cell>
          <cell r="N516" t="str">
            <v>A</v>
          </cell>
          <cell r="O516">
            <v>42429</v>
          </cell>
          <cell r="P516" t="str">
            <v xml:space="preserve">   97</v>
          </cell>
          <cell r="Q516">
            <v>0</v>
          </cell>
          <cell r="R516">
            <v>0</v>
          </cell>
          <cell r="S516">
            <v>210</v>
          </cell>
          <cell r="T516">
            <v>6012</v>
          </cell>
          <cell r="U516">
            <v>0</v>
          </cell>
          <cell r="V516" t="str">
            <v>CENTRO</v>
          </cell>
          <cell r="W516" t="str">
            <v>(712) 170-9631 CEL</v>
          </cell>
          <cell r="X516" t="str">
            <v/>
          </cell>
          <cell r="Y516" t="str">
            <v/>
          </cell>
          <cell r="Z516" t="str">
            <v/>
          </cell>
          <cell r="AA516" t="str">
            <v>(712) 120-0778</v>
          </cell>
          <cell r="AB516" t="str">
            <v/>
          </cell>
          <cell r="AC516" t="str">
            <v>L841428</v>
          </cell>
          <cell r="AD516" t="str">
            <v/>
          </cell>
          <cell r="AE516" t="str">
            <v/>
          </cell>
          <cell r="AF516" t="str">
            <v/>
          </cell>
          <cell r="AH516" t="str">
            <v>N</v>
          </cell>
          <cell r="AI516">
            <v>0</v>
          </cell>
          <cell r="AJ516">
            <v>0</v>
          </cell>
          <cell r="AK516">
            <v>0</v>
          </cell>
          <cell r="AL516">
            <v>0</v>
          </cell>
          <cell r="AM516">
            <v>1220</v>
          </cell>
          <cell r="AN516">
            <v>0</v>
          </cell>
        </row>
        <row r="517">
          <cell r="A517">
            <v>2418</v>
          </cell>
          <cell r="B517" t="str">
            <v>ALEJANDRO FLORES BUSTOS (QUERETARO)</v>
          </cell>
          <cell r="C517" t="str">
            <v/>
          </cell>
          <cell r="D517" t="str">
            <v>HDA. ESCOLASTICAS #904</v>
          </cell>
          <cell r="E517" t="str">
            <v>QUERETARO, QRO.</v>
          </cell>
          <cell r="F517" t="str">
            <v/>
          </cell>
          <cell r="G517" t="str">
            <v/>
          </cell>
          <cell r="H517" t="str">
            <v/>
          </cell>
          <cell r="I517" t="str">
            <v/>
          </cell>
          <cell r="J517" t="str">
            <v>L04P</v>
          </cell>
          <cell r="K517" t="str">
            <v/>
          </cell>
          <cell r="L517">
            <v>0</v>
          </cell>
          <cell r="M517">
            <v>535</v>
          </cell>
          <cell r="N517" t="str">
            <v>A</v>
          </cell>
          <cell r="O517">
            <v>42368</v>
          </cell>
          <cell r="P517" t="str">
            <v xml:space="preserve">   97</v>
          </cell>
          <cell r="Q517">
            <v>0</v>
          </cell>
          <cell r="R517">
            <v>0</v>
          </cell>
          <cell r="S517">
            <v>0</v>
          </cell>
          <cell r="T517">
            <v>9381</v>
          </cell>
          <cell r="U517">
            <v>0</v>
          </cell>
          <cell r="V517" t="str">
            <v>JARDINES DE LA HACIE</v>
          </cell>
          <cell r="W517" t="str">
            <v/>
          </cell>
          <cell r="X517" t="str">
            <v/>
          </cell>
          <cell r="Y517" t="str">
            <v/>
          </cell>
          <cell r="Z517" t="str">
            <v/>
          </cell>
          <cell r="AA517" t="str">
            <v/>
          </cell>
          <cell r="AB517" t="str">
            <v/>
          </cell>
          <cell r="AC517" t="str">
            <v>L0116</v>
          </cell>
          <cell r="AD517" t="str">
            <v/>
          </cell>
          <cell r="AE517" t="str">
            <v/>
          </cell>
          <cell r="AF517" t="str">
            <v/>
          </cell>
          <cell r="AH517" t="str">
            <v>N</v>
          </cell>
          <cell r="AI517">
            <v>0</v>
          </cell>
          <cell r="AJ517">
            <v>0</v>
          </cell>
          <cell r="AK517">
            <v>0</v>
          </cell>
          <cell r="AL517">
            <v>0</v>
          </cell>
          <cell r="AM517">
            <v>1520</v>
          </cell>
          <cell r="AN517">
            <v>0</v>
          </cell>
        </row>
        <row r="518">
          <cell r="A518">
            <v>2419</v>
          </cell>
          <cell r="B518" t="str">
            <v>VIRGINIA SOLANO (TULTEPEC)</v>
          </cell>
          <cell r="C518" t="str">
            <v/>
          </cell>
          <cell r="D518" t="str">
            <v>ALLENDE #5</v>
          </cell>
          <cell r="E518" t="str">
            <v>TULTEPEC, EDO. DE MEXICO</v>
          </cell>
          <cell r="F518" t="str">
            <v/>
          </cell>
          <cell r="G518" t="str">
            <v/>
          </cell>
          <cell r="H518" t="str">
            <v/>
          </cell>
          <cell r="I518" t="str">
            <v/>
          </cell>
          <cell r="J518" t="str">
            <v>M01P</v>
          </cell>
          <cell r="K518" t="str">
            <v/>
          </cell>
          <cell r="L518">
            <v>0</v>
          </cell>
          <cell r="M518">
            <v>536</v>
          </cell>
          <cell r="N518" t="str">
            <v>A</v>
          </cell>
          <cell r="O518">
            <v>42341</v>
          </cell>
          <cell r="P518" t="str">
            <v xml:space="preserve">    5</v>
          </cell>
          <cell r="Q518">
            <v>0</v>
          </cell>
          <cell r="R518">
            <v>0</v>
          </cell>
          <cell r="S518">
            <v>0</v>
          </cell>
          <cell r="T518">
            <v>2161</v>
          </cell>
          <cell r="U518">
            <v>0</v>
          </cell>
          <cell r="V518" t="str">
            <v>CENTRO</v>
          </cell>
          <cell r="W518" t="str">
            <v/>
          </cell>
          <cell r="X518" t="str">
            <v/>
          </cell>
          <cell r="Y518" t="str">
            <v/>
          </cell>
          <cell r="Z518" t="str">
            <v/>
          </cell>
          <cell r="AA518" t="str">
            <v/>
          </cell>
          <cell r="AB518" t="str">
            <v/>
          </cell>
          <cell r="AC518" t="str">
            <v>M523</v>
          </cell>
          <cell r="AD518" t="str">
            <v/>
          </cell>
          <cell r="AE518" t="str">
            <v/>
          </cell>
          <cell r="AF518" t="str">
            <v/>
          </cell>
          <cell r="AH518" t="str">
            <v>N</v>
          </cell>
          <cell r="AI518">
            <v>0</v>
          </cell>
          <cell r="AJ518">
            <v>0</v>
          </cell>
          <cell r="AK518">
            <v>0</v>
          </cell>
          <cell r="AL518">
            <v>0</v>
          </cell>
          <cell r="AM518">
            <v>2161</v>
          </cell>
          <cell r="AN518">
            <v>0</v>
          </cell>
        </row>
        <row r="519">
          <cell r="A519">
            <v>2420</v>
          </cell>
          <cell r="B519" t="str">
            <v>ANGEL JIMENEZ CORREA (QUERETARO)</v>
          </cell>
          <cell r="C519" t="str">
            <v/>
          </cell>
          <cell r="D519" t="str">
            <v>PROL. CORREGIDORA NTE. #907-A</v>
          </cell>
          <cell r="E519" t="str">
            <v>QUERETARO, QRO.</v>
          </cell>
          <cell r="F519" t="str">
            <v>76060</v>
          </cell>
          <cell r="G519" t="str">
            <v/>
          </cell>
          <cell r="H519" t="str">
            <v/>
          </cell>
          <cell r="I519" t="str">
            <v/>
          </cell>
          <cell r="J519" t="str">
            <v>L04P</v>
          </cell>
          <cell r="K519" t="str">
            <v/>
          </cell>
          <cell r="L519">
            <v>0</v>
          </cell>
          <cell r="M519">
            <v>537</v>
          </cell>
          <cell r="N519" t="str">
            <v>A</v>
          </cell>
          <cell r="O519">
            <v>42408</v>
          </cell>
          <cell r="P519" t="str">
            <v xml:space="preserve">   97</v>
          </cell>
          <cell r="Q519">
            <v>0</v>
          </cell>
          <cell r="R519">
            <v>0</v>
          </cell>
          <cell r="S519">
            <v>0</v>
          </cell>
          <cell r="T519">
            <v>11350</v>
          </cell>
          <cell r="U519">
            <v>0</v>
          </cell>
          <cell r="V519" t="str">
            <v>PARQUES INDUSTRIALES</v>
          </cell>
          <cell r="W519" t="str">
            <v/>
          </cell>
          <cell r="X519" t="str">
            <v/>
          </cell>
          <cell r="Y519" t="str">
            <v/>
          </cell>
          <cell r="Z519" t="str">
            <v/>
          </cell>
          <cell r="AA519" t="str">
            <v/>
          </cell>
          <cell r="AB519" t="str">
            <v/>
          </cell>
          <cell r="AC519" t="str">
            <v>L841414</v>
          </cell>
          <cell r="AD519" t="str">
            <v/>
          </cell>
          <cell r="AE519" t="str">
            <v/>
          </cell>
          <cell r="AF519" t="str">
            <v/>
          </cell>
          <cell r="AH519" t="str">
            <v>N</v>
          </cell>
          <cell r="AI519">
            <v>0</v>
          </cell>
          <cell r="AJ519">
            <v>0</v>
          </cell>
          <cell r="AK519">
            <v>0</v>
          </cell>
          <cell r="AL519">
            <v>0</v>
          </cell>
          <cell r="AM519">
            <v>4441</v>
          </cell>
          <cell r="AN519">
            <v>0</v>
          </cell>
        </row>
        <row r="520">
          <cell r="A520">
            <v>2421</v>
          </cell>
          <cell r="B520" t="str">
            <v>YURIDIANA FUENTES TOLEDO (AMEALCO)</v>
          </cell>
          <cell r="C520" t="str">
            <v/>
          </cell>
          <cell r="D520" t="str">
            <v>PINO SUAREZ #34</v>
          </cell>
          <cell r="E520" t="str">
            <v>AMEALCO, QRO.</v>
          </cell>
          <cell r="F520" t="str">
            <v>76850</v>
          </cell>
          <cell r="G520" t="str">
            <v>(448) 110-4820</v>
          </cell>
          <cell r="H520" t="str">
            <v/>
          </cell>
          <cell r="I520" t="str">
            <v/>
          </cell>
          <cell r="J520" t="str">
            <v>L06</v>
          </cell>
          <cell r="K520" t="str">
            <v/>
          </cell>
          <cell r="L520">
            <v>0</v>
          </cell>
          <cell r="M520">
            <v>538</v>
          </cell>
          <cell r="N520" t="str">
            <v>A</v>
          </cell>
          <cell r="O520">
            <v>42347</v>
          </cell>
          <cell r="P520" t="str">
            <v xml:space="preserve">   97</v>
          </cell>
          <cell r="Q520">
            <v>0</v>
          </cell>
          <cell r="R520">
            <v>0</v>
          </cell>
          <cell r="S520">
            <v>0</v>
          </cell>
          <cell r="T520">
            <v>228</v>
          </cell>
          <cell r="U520">
            <v>0</v>
          </cell>
          <cell r="V520" t="str">
            <v>CENTRO</v>
          </cell>
          <cell r="W520" t="str">
            <v/>
          </cell>
          <cell r="X520" t="str">
            <v/>
          </cell>
          <cell r="Y520" t="str">
            <v/>
          </cell>
          <cell r="Z520" t="str">
            <v/>
          </cell>
          <cell r="AA520" t="str">
            <v>(448) 110-4820</v>
          </cell>
          <cell r="AB520" t="str">
            <v/>
          </cell>
          <cell r="AC520" t="str">
            <v>L0098</v>
          </cell>
          <cell r="AD520" t="str">
            <v/>
          </cell>
          <cell r="AE520" t="str">
            <v/>
          </cell>
          <cell r="AF520" t="str">
            <v/>
          </cell>
          <cell r="AH520" t="str">
            <v>N</v>
          </cell>
          <cell r="AI520">
            <v>0</v>
          </cell>
          <cell r="AJ520">
            <v>0</v>
          </cell>
          <cell r="AK520">
            <v>0</v>
          </cell>
          <cell r="AL520">
            <v>0</v>
          </cell>
          <cell r="AM520">
            <v>228</v>
          </cell>
          <cell r="AN520">
            <v>0</v>
          </cell>
        </row>
        <row r="521">
          <cell r="A521">
            <v>2422</v>
          </cell>
          <cell r="B521" t="str">
            <v>DESIREE LOPEZ (ACAMBARO)</v>
          </cell>
          <cell r="C521" t="str">
            <v/>
          </cell>
          <cell r="D521" t="str">
            <v>AV. 1º DE MAYO</v>
          </cell>
          <cell r="E521" t="str">
            <v>ACAMBARO, GTO.</v>
          </cell>
          <cell r="F521" t="str">
            <v/>
          </cell>
          <cell r="G521" t="str">
            <v>(417) 102-1697 CEL</v>
          </cell>
          <cell r="H521" t="str">
            <v/>
          </cell>
          <cell r="I521" t="str">
            <v/>
          </cell>
          <cell r="J521" t="str">
            <v>J06P</v>
          </cell>
          <cell r="K521" t="str">
            <v/>
          </cell>
          <cell r="L521">
            <v>0</v>
          </cell>
          <cell r="M521">
            <v>539</v>
          </cell>
          <cell r="N521" t="str">
            <v>A</v>
          </cell>
          <cell r="O521">
            <v>42349</v>
          </cell>
          <cell r="P521" t="str">
            <v xml:space="preserve">    2</v>
          </cell>
          <cell r="Q521">
            <v>0</v>
          </cell>
          <cell r="R521">
            <v>0</v>
          </cell>
          <cell r="S521">
            <v>0</v>
          </cell>
          <cell r="T521">
            <v>1267</v>
          </cell>
          <cell r="U521">
            <v>0</v>
          </cell>
          <cell r="V521" t="str">
            <v>CENTRO</v>
          </cell>
          <cell r="W521" t="str">
            <v/>
          </cell>
          <cell r="X521" t="str">
            <v/>
          </cell>
          <cell r="Y521" t="str">
            <v/>
          </cell>
          <cell r="Z521" t="str">
            <v/>
          </cell>
          <cell r="AA521" t="str">
            <v>(417) 102-1697 CEL</v>
          </cell>
          <cell r="AB521" t="str">
            <v/>
          </cell>
          <cell r="AC521" t="str">
            <v>J-084</v>
          </cell>
          <cell r="AD521" t="str">
            <v/>
          </cell>
          <cell r="AE521" t="str">
            <v/>
          </cell>
          <cell r="AF521" t="str">
            <v/>
          </cell>
          <cell r="AH521" t="str">
            <v>N</v>
          </cell>
          <cell r="AI521">
            <v>0</v>
          </cell>
          <cell r="AJ521">
            <v>0</v>
          </cell>
          <cell r="AK521">
            <v>0</v>
          </cell>
          <cell r="AL521">
            <v>0</v>
          </cell>
          <cell r="AM521">
            <v>1267</v>
          </cell>
          <cell r="AN521">
            <v>0</v>
          </cell>
        </row>
        <row r="522">
          <cell r="A522">
            <v>2423</v>
          </cell>
          <cell r="B522" t="str">
            <v>MA. DE LOS ANGELES ESCAMILLA GOMEZ (TEPOTZOTLAN)</v>
          </cell>
          <cell r="C522" t="str">
            <v/>
          </cell>
          <cell r="D522" t="str">
            <v>MZ. 3 LT. 7 CASA 49</v>
          </cell>
          <cell r="E522" t="str">
            <v>TEPOTZOTLAN, EDO. DE MEXICO</v>
          </cell>
          <cell r="F522" t="str">
            <v/>
          </cell>
          <cell r="G522" t="str">
            <v>(55) 5876-2902</v>
          </cell>
          <cell r="H522" t="str">
            <v/>
          </cell>
          <cell r="I522" t="str">
            <v/>
          </cell>
          <cell r="J522" t="str">
            <v>M01</v>
          </cell>
          <cell r="K522" t="str">
            <v/>
          </cell>
          <cell r="L522">
            <v>0</v>
          </cell>
          <cell r="M522">
            <v>540</v>
          </cell>
          <cell r="N522" t="str">
            <v>A</v>
          </cell>
          <cell r="O522">
            <v>42509</v>
          </cell>
          <cell r="P522" t="str">
            <v xml:space="preserve">    5</v>
          </cell>
          <cell r="Q522">
            <v>0</v>
          </cell>
          <cell r="R522">
            <v>0</v>
          </cell>
          <cell r="S522">
            <v>1171</v>
          </cell>
          <cell r="T522">
            <v>15745</v>
          </cell>
          <cell r="U522">
            <v>0</v>
          </cell>
          <cell r="V522" t="str">
            <v>FRACC. EL TREBOL</v>
          </cell>
          <cell r="W522" t="str">
            <v>(55) 5876-4030</v>
          </cell>
          <cell r="X522" t="str">
            <v/>
          </cell>
          <cell r="Y522" t="str">
            <v/>
          </cell>
          <cell r="Z522" t="str">
            <v/>
          </cell>
          <cell r="AA522" t="str">
            <v>(55) 5876-2902</v>
          </cell>
          <cell r="AB522" t="str">
            <v xml:space="preserve">  DEV-338</v>
          </cell>
          <cell r="AC522" t="str">
            <v xml:space="preserve">    338</v>
          </cell>
          <cell r="AD522" t="str">
            <v/>
          </cell>
          <cell r="AE522" t="str">
            <v/>
          </cell>
          <cell r="AF522" t="str">
            <v/>
          </cell>
          <cell r="AG522">
            <v>42509</v>
          </cell>
          <cell r="AH522" t="str">
            <v>N</v>
          </cell>
          <cell r="AI522">
            <v>0</v>
          </cell>
          <cell r="AJ522">
            <v>0</v>
          </cell>
          <cell r="AK522">
            <v>0</v>
          </cell>
          <cell r="AL522">
            <v>627</v>
          </cell>
          <cell r="AM522">
            <v>1173</v>
          </cell>
          <cell r="AN522">
            <v>0</v>
          </cell>
        </row>
        <row r="523">
          <cell r="A523">
            <v>2424</v>
          </cell>
          <cell r="B523" t="str">
            <v>ANA LILIA RAZZO GONZALEZ (VILLA)</v>
          </cell>
          <cell r="C523" t="str">
            <v/>
          </cell>
          <cell r="D523" t="str">
            <v>BLVD. COACALCO #181</v>
          </cell>
          <cell r="E523" t="str">
            <v>COACALCO, EDO. DE MEXICO</v>
          </cell>
          <cell r="F523" t="str">
            <v/>
          </cell>
          <cell r="G523" t="str">
            <v>(55) 5419-3779</v>
          </cell>
          <cell r="H523" t="str">
            <v/>
          </cell>
          <cell r="I523" t="str">
            <v/>
          </cell>
          <cell r="J523" t="str">
            <v>M01</v>
          </cell>
          <cell r="K523" t="str">
            <v/>
          </cell>
          <cell r="L523">
            <v>0</v>
          </cell>
          <cell r="M523">
            <v>541</v>
          </cell>
          <cell r="N523" t="str">
            <v>A</v>
          </cell>
          <cell r="O523">
            <v>42404</v>
          </cell>
          <cell r="P523" t="str">
            <v xml:space="preserve">    5</v>
          </cell>
          <cell r="Q523">
            <v>0</v>
          </cell>
          <cell r="R523">
            <v>0</v>
          </cell>
          <cell r="S523">
            <v>0</v>
          </cell>
          <cell r="T523">
            <v>1243</v>
          </cell>
          <cell r="U523">
            <v>0</v>
          </cell>
          <cell r="V523" t="str">
            <v>VILLA DE LAS FLORES</v>
          </cell>
          <cell r="W523" t="str">
            <v/>
          </cell>
          <cell r="X523" t="str">
            <v/>
          </cell>
          <cell r="Y523" t="str">
            <v/>
          </cell>
          <cell r="Z523" t="str">
            <v/>
          </cell>
          <cell r="AA523" t="str">
            <v>(55) 5419-3779</v>
          </cell>
          <cell r="AB523" t="str">
            <v/>
          </cell>
          <cell r="AC523" t="str">
            <v>M842752</v>
          </cell>
          <cell r="AD523" t="str">
            <v/>
          </cell>
          <cell r="AE523" t="str">
            <v/>
          </cell>
          <cell r="AF523" t="str">
            <v/>
          </cell>
          <cell r="AH523" t="str">
            <v>N</v>
          </cell>
          <cell r="AI523">
            <v>0</v>
          </cell>
          <cell r="AJ523">
            <v>0</v>
          </cell>
          <cell r="AK523">
            <v>0</v>
          </cell>
          <cell r="AL523">
            <v>0</v>
          </cell>
          <cell r="AM523">
            <v>500</v>
          </cell>
          <cell r="AN523">
            <v>0</v>
          </cell>
        </row>
        <row r="524">
          <cell r="A524">
            <v>2425</v>
          </cell>
          <cell r="B524" t="str">
            <v>ADRIANA PEREZ LORA (TULTEPEC)</v>
          </cell>
          <cell r="C524" t="str">
            <v/>
          </cell>
          <cell r="D524" t="str">
            <v>AV. DE LAS ROSAS LOCAL 2</v>
          </cell>
          <cell r="E524" t="str">
            <v>TULTEPEC, EDO. DE MEXICO</v>
          </cell>
          <cell r="F524" t="str">
            <v/>
          </cell>
          <cell r="G524" t="str">
            <v>(55) 4887-2650</v>
          </cell>
          <cell r="H524" t="str">
            <v/>
          </cell>
          <cell r="I524" t="str">
            <v/>
          </cell>
          <cell r="J524" t="str">
            <v>M01</v>
          </cell>
          <cell r="K524" t="str">
            <v/>
          </cell>
          <cell r="L524">
            <v>0</v>
          </cell>
          <cell r="M524">
            <v>542</v>
          </cell>
          <cell r="N524" t="str">
            <v>A</v>
          </cell>
          <cell r="O524">
            <v>42375</v>
          </cell>
          <cell r="P524" t="str">
            <v xml:space="preserve">    5</v>
          </cell>
          <cell r="Q524">
            <v>0</v>
          </cell>
          <cell r="R524">
            <v>0</v>
          </cell>
          <cell r="S524">
            <v>0</v>
          </cell>
          <cell r="T524">
            <v>961</v>
          </cell>
          <cell r="U524">
            <v>0</v>
          </cell>
          <cell r="V524" t="str">
            <v>REAL DE TULTEPEC</v>
          </cell>
          <cell r="W524" t="str">
            <v/>
          </cell>
          <cell r="X524" t="str">
            <v/>
          </cell>
          <cell r="Y524" t="str">
            <v/>
          </cell>
          <cell r="Z524" t="str">
            <v/>
          </cell>
          <cell r="AA524" t="str">
            <v>(55) 4887-2650</v>
          </cell>
          <cell r="AB524" t="str">
            <v/>
          </cell>
          <cell r="AC524" t="str">
            <v>M579</v>
          </cell>
          <cell r="AD524" t="str">
            <v/>
          </cell>
          <cell r="AE524" t="str">
            <v/>
          </cell>
          <cell r="AF524" t="str">
            <v/>
          </cell>
          <cell r="AH524" t="str">
            <v>N</v>
          </cell>
          <cell r="AI524">
            <v>0</v>
          </cell>
          <cell r="AJ524">
            <v>0</v>
          </cell>
          <cell r="AK524">
            <v>0</v>
          </cell>
          <cell r="AL524">
            <v>0</v>
          </cell>
          <cell r="AM524">
            <v>961</v>
          </cell>
          <cell r="AN524">
            <v>0</v>
          </cell>
        </row>
        <row r="525">
          <cell r="A525">
            <v>2426</v>
          </cell>
          <cell r="B525" t="str">
            <v>LA CASA DE MICKEY (QUERETARO)</v>
          </cell>
          <cell r="C525" t="str">
            <v/>
          </cell>
          <cell r="D525" t="str">
            <v>AMSTERDAM #185 INT.1</v>
          </cell>
          <cell r="E525" t="str">
            <v>QUERETARO, QRO.</v>
          </cell>
          <cell r="F525" t="str">
            <v/>
          </cell>
          <cell r="G525" t="str">
            <v>(442) 388-2650 LOCAL</v>
          </cell>
          <cell r="H525" t="str">
            <v/>
          </cell>
          <cell r="I525" t="str">
            <v/>
          </cell>
          <cell r="J525" t="str">
            <v>L04P</v>
          </cell>
          <cell r="K525" t="str">
            <v/>
          </cell>
          <cell r="L525">
            <v>0</v>
          </cell>
          <cell r="M525">
            <v>543</v>
          </cell>
          <cell r="N525" t="str">
            <v>A</v>
          </cell>
          <cell r="O525">
            <v>42419</v>
          </cell>
          <cell r="P525" t="str">
            <v xml:space="preserve">   97</v>
          </cell>
          <cell r="Q525">
            <v>0</v>
          </cell>
          <cell r="R525">
            <v>0</v>
          </cell>
          <cell r="S525">
            <v>4400</v>
          </cell>
          <cell r="T525">
            <v>22034</v>
          </cell>
          <cell r="U525">
            <v>0</v>
          </cell>
          <cell r="V525" t="str">
            <v>TEJEDA</v>
          </cell>
          <cell r="W525" t="str">
            <v/>
          </cell>
          <cell r="X525" t="str">
            <v/>
          </cell>
          <cell r="Y525" t="str">
            <v/>
          </cell>
          <cell r="Z525" t="str">
            <v/>
          </cell>
          <cell r="AA525" t="str">
            <v>(442) 388-2650 LOCAL</v>
          </cell>
          <cell r="AB525" t="str">
            <v/>
          </cell>
          <cell r="AC525" t="str">
            <v>R-1014</v>
          </cell>
          <cell r="AD525" t="str">
            <v/>
          </cell>
          <cell r="AE525" t="str">
            <v/>
          </cell>
          <cell r="AF525" t="str">
            <v/>
          </cell>
          <cell r="AH525" t="str">
            <v>N</v>
          </cell>
          <cell r="AI525">
            <v>0</v>
          </cell>
          <cell r="AJ525">
            <v>0</v>
          </cell>
          <cell r="AK525">
            <v>0</v>
          </cell>
          <cell r="AL525">
            <v>0</v>
          </cell>
          <cell r="AM525">
            <v>5056</v>
          </cell>
          <cell r="AN525">
            <v>0</v>
          </cell>
        </row>
        <row r="526">
          <cell r="A526">
            <v>2427</v>
          </cell>
          <cell r="B526" t="str">
            <v>ADRIANA DIAZ BARRIGA (COACALCO)</v>
          </cell>
          <cell r="C526" t="str">
            <v/>
          </cell>
          <cell r="D526" t="str">
            <v>16 DE SEPTIEMBRE #14</v>
          </cell>
          <cell r="E526" t="str">
            <v>COACALCO, EDO. DE MEXICO</v>
          </cell>
          <cell r="F526" t="str">
            <v/>
          </cell>
          <cell r="G526" t="str">
            <v/>
          </cell>
          <cell r="H526" t="str">
            <v/>
          </cell>
          <cell r="I526" t="str">
            <v/>
          </cell>
          <cell r="J526" t="str">
            <v>M01</v>
          </cell>
          <cell r="K526" t="str">
            <v/>
          </cell>
          <cell r="L526">
            <v>0</v>
          </cell>
          <cell r="M526">
            <v>544</v>
          </cell>
          <cell r="N526" t="str">
            <v>A</v>
          </cell>
          <cell r="O526">
            <v>42387</v>
          </cell>
          <cell r="P526" t="str">
            <v xml:space="preserve">    5</v>
          </cell>
          <cell r="Q526">
            <v>0</v>
          </cell>
          <cell r="R526">
            <v>0</v>
          </cell>
          <cell r="S526">
            <v>0</v>
          </cell>
          <cell r="T526">
            <v>3661</v>
          </cell>
          <cell r="U526">
            <v>0</v>
          </cell>
          <cell r="V526" t="str">
            <v>CENTRO</v>
          </cell>
          <cell r="W526" t="str">
            <v/>
          </cell>
          <cell r="X526" t="str">
            <v/>
          </cell>
          <cell r="Y526" t="str">
            <v/>
          </cell>
          <cell r="Z526" t="str">
            <v/>
          </cell>
          <cell r="AA526" t="str">
            <v/>
          </cell>
          <cell r="AB526" t="str">
            <v/>
          </cell>
          <cell r="AC526" t="str">
            <v>M592</v>
          </cell>
          <cell r="AD526" t="str">
            <v/>
          </cell>
          <cell r="AE526" t="str">
            <v/>
          </cell>
          <cell r="AF526" t="str">
            <v/>
          </cell>
          <cell r="AH526" t="str">
            <v>N</v>
          </cell>
          <cell r="AI526">
            <v>0</v>
          </cell>
          <cell r="AJ526">
            <v>0</v>
          </cell>
          <cell r="AK526">
            <v>0</v>
          </cell>
          <cell r="AL526">
            <v>0</v>
          </cell>
          <cell r="AM526">
            <v>3661</v>
          </cell>
          <cell r="AN526">
            <v>0</v>
          </cell>
        </row>
        <row r="527">
          <cell r="A527">
            <v>2428</v>
          </cell>
          <cell r="B527" t="str">
            <v>MAURO RAMIREZ MARTINEZ (TLAHUELILPAN)</v>
          </cell>
          <cell r="C527" t="str">
            <v/>
          </cell>
          <cell r="D527" t="str">
            <v>NICOLAS BRAVO #16</v>
          </cell>
          <cell r="E527" t="str">
            <v>TLAHUELILPAN, HGO.</v>
          </cell>
          <cell r="F527" t="str">
            <v/>
          </cell>
          <cell r="G527" t="str">
            <v>(55) 4808-478</v>
          </cell>
          <cell r="H527" t="str">
            <v/>
          </cell>
          <cell r="I527" t="str">
            <v/>
          </cell>
          <cell r="J527" t="str">
            <v>M02</v>
          </cell>
          <cell r="K527" t="str">
            <v/>
          </cell>
          <cell r="L527">
            <v>0</v>
          </cell>
          <cell r="M527">
            <v>545</v>
          </cell>
          <cell r="N527" t="str">
            <v>A</v>
          </cell>
          <cell r="O527">
            <v>42410</v>
          </cell>
          <cell r="P527" t="str">
            <v xml:space="preserve">    5</v>
          </cell>
          <cell r="Q527">
            <v>0</v>
          </cell>
          <cell r="R527">
            <v>0</v>
          </cell>
          <cell r="S527">
            <v>0</v>
          </cell>
          <cell r="T527">
            <v>2679</v>
          </cell>
          <cell r="U527">
            <v>0</v>
          </cell>
          <cell r="V527" t="str">
            <v/>
          </cell>
          <cell r="W527" t="str">
            <v/>
          </cell>
          <cell r="X527" t="str">
            <v/>
          </cell>
          <cell r="Y527" t="str">
            <v/>
          </cell>
          <cell r="Z527" t="str">
            <v/>
          </cell>
          <cell r="AA527" t="str">
            <v>(55) 4808-478</v>
          </cell>
          <cell r="AB527" t="str">
            <v/>
          </cell>
          <cell r="AC527" t="str">
            <v>M842766</v>
          </cell>
          <cell r="AD527" t="str">
            <v/>
          </cell>
          <cell r="AE527" t="str">
            <v/>
          </cell>
          <cell r="AF527" t="str">
            <v/>
          </cell>
          <cell r="AH527" t="str">
            <v>N</v>
          </cell>
          <cell r="AI527">
            <v>0</v>
          </cell>
          <cell r="AJ527">
            <v>0</v>
          </cell>
          <cell r="AK527">
            <v>0</v>
          </cell>
          <cell r="AL527">
            <v>0</v>
          </cell>
          <cell r="AM527">
            <v>1873</v>
          </cell>
          <cell r="AN527">
            <v>0</v>
          </cell>
        </row>
        <row r="528">
          <cell r="A528">
            <v>2438</v>
          </cell>
          <cell r="B528" t="str">
            <v>LETICIA GONZALEZ CRUZ (TEZONTEPEC)</v>
          </cell>
          <cell r="C528" t="str">
            <v/>
          </cell>
          <cell r="D528" t="str">
            <v>JUAN ALDAMA S/N</v>
          </cell>
          <cell r="E528" t="str">
            <v>TEZONTEPEC, HGO.</v>
          </cell>
          <cell r="F528" t="str">
            <v/>
          </cell>
          <cell r="G528">
            <v>0</v>
          </cell>
          <cell r="H528" t="str">
            <v/>
          </cell>
          <cell r="I528" t="str">
            <v/>
          </cell>
          <cell r="J528" t="str">
            <v>F02</v>
          </cell>
          <cell r="K528" t="str">
            <v/>
          </cell>
          <cell r="L528">
            <v>0</v>
          </cell>
          <cell r="M528">
            <v>556</v>
          </cell>
          <cell r="N528" t="str">
            <v>A</v>
          </cell>
          <cell r="O528">
            <v>42454</v>
          </cell>
          <cell r="P528" t="str">
            <v xml:space="preserve">    1</v>
          </cell>
          <cell r="Q528">
            <v>0</v>
          </cell>
          <cell r="R528">
            <v>0</v>
          </cell>
          <cell r="S528">
            <v>0</v>
          </cell>
          <cell r="T528">
            <v>700</v>
          </cell>
          <cell r="U528">
            <v>0</v>
          </cell>
          <cell r="V528" t="str">
            <v>CENTRO</v>
          </cell>
          <cell r="W528" t="str">
            <v/>
          </cell>
          <cell r="X528" t="str">
            <v/>
          </cell>
          <cell r="Y528" t="str">
            <v/>
          </cell>
          <cell r="Z528" t="str">
            <v/>
          </cell>
          <cell r="AB528" t="str">
            <v/>
          </cell>
          <cell r="AD528" t="str">
            <v/>
          </cell>
          <cell r="AE528" t="str">
            <v/>
          </cell>
          <cell r="AF528" t="str">
            <v/>
          </cell>
          <cell r="AH528" t="str">
            <v>N</v>
          </cell>
          <cell r="AI528">
            <v>0</v>
          </cell>
          <cell r="AJ528">
            <v>0</v>
          </cell>
          <cell r="AK528">
            <v>0</v>
          </cell>
          <cell r="AL528">
            <v>0</v>
          </cell>
          <cell r="AM528">
            <v>700</v>
          </cell>
          <cell r="AN528">
            <v>0</v>
          </cell>
        </row>
        <row r="529">
          <cell r="A529">
            <v>2430</v>
          </cell>
          <cell r="B529" t="str">
            <v>MARIA CONCEPCION BARCENAS RAMIREZ (QRO)</v>
          </cell>
          <cell r="C529" t="str">
            <v/>
          </cell>
          <cell r="D529" t="str">
            <v>PRIV. DOROTEO ARANGO #2</v>
          </cell>
          <cell r="E529" t="str">
            <v>QUERETARO, QRO.</v>
          </cell>
          <cell r="F529" t="str">
            <v/>
          </cell>
          <cell r="G529" t="str">
            <v>(442) 235-0353 CASA</v>
          </cell>
          <cell r="H529" t="str">
            <v/>
          </cell>
          <cell r="I529" t="str">
            <v/>
          </cell>
          <cell r="J529" t="str">
            <v>L04P</v>
          </cell>
          <cell r="K529" t="str">
            <v/>
          </cell>
          <cell r="L529">
            <v>0</v>
          </cell>
          <cell r="M529">
            <v>547</v>
          </cell>
          <cell r="N529" t="str">
            <v>A</v>
          </cell>
          <cell r="O529">
            <v>0</v>
          </cell>
          <cell r="P529" t="str">
            <v xml:space="preserve">   97</v>
          </cell>
          <cell r="Q529">
            <v>0</v>
          </cell>
          <cell r="R529">
            <v>0</v>
          </cell>
          <cell r="S529">
            <v>0</v>
          </cell>
          <cell r="T529">
            <v>0</v>
          </cell>
          <cell r="U529">
            <v>0</v>
          </cell>
          <cell r="V529" t="str">
            <v>SAN FCO DE LA PALMA</v>
          </cell>
          <cell r="W529" t="str">
            <v>(442) 121-2642 CEL</v>
          </cell>
          <cell r="X529" t="str">
            <v/>
          </cell>
          <cell r="Y529" t="str">
            <v/>
          </cell>
          <cell r="Z529" t="str">
            <v/>
          </cell>
          <cell r="AA529" t="str">
            <v>(442) 235-0353 CASA</v>
          </cell>
          <cell r="AB529" t="str">
            <v/>
          </cell>
          <cell r="AC529" t="str">
            <v/>
          </cell>
          <cell r="AD529" t="str">
            <v/>
          </cell>
          <cell r="AE529" t="str">
            <v/>
          </cell>
          <cell r="AF529" t="str">
            <v/>
          </cell>
          <cell r="AH529" t="str">
            <v>N</v>
          </cell>
          <cell r="AI529">
            <v>0</v>
          </cell>
          <cell r="AJ529">
            <v>0</v>
          </cell>
          <cell r="AK529">
            <v>0</v>
          </cell>
          <cell r="AL529">
            <v>0</v>
          </cell>
          <cell r="AM529">
            <v>0</v>
          </cell>
          <cell r="AN529">
            <v>0</v>
          </cell>
        </row>
        <row r="530">
          <cell r="A530">
            <v>2431</v>
          </cell>
          <cell r="B530" t="str">
            <v>GIZEL ZATRATE HERNANDEZ (COACALCO)</v>
          </cell>
          <cell r="C530" t="str">
            <v/>
          </cell>
          <cell r="D530" t="str">
            <v>SERBALES #</v>
          </cell>
          <cell r="E530" t="str">
            <v>COACALCO, EDO. DE MEXICO</v>
          </cell>
          <cell r="F530" t="str">
            <v/>
          </cell>
          <cell r="G530" t="str">
            <v>(55) 6931-0751</v>
          </cell>
          <cell r="H530" t="str">
            <v/>
          </cell>
          <cell r="I530" t="str">
            <v/>
          </cell>
          <cell r="J530" t="str">
            <v>M01</v>
          </cell>
          <cell r="K530" t="str">
            <v/>
          </cell>
          <cell r="L530">
            <v>0</v>
          </cell>
          <cell r="M530">
            <v>548</v>
          </cell>
          <cell r="N530" t="str">
            <v>A</v>
          </cell>
          <cell r="O530">
            <v>42433</v>
          </cell>
          <cell r="P530" t="str">
            <v xml:space="preserve">    5</v>
          </cell>
          <cell r="Q530">
            <v>0</v>
          </cell>
          <cell r="R530">
            <v>0</v>
          </cell>
          <cell r="S530">
            <v>0</v>
          </cell>
          <cell r="T530">
            <v>2500</v>
          </cell>
          <cell r="U530">
            <v>0</v>
          </cell>
          <cell r="V530" t="str">
            <v>VILLA DE LAS FLORES</v>
          </cell>
          <cell r="W530" t="str">
            <v/>
          </cell>
          <cell r="X530" t="str">
            <v/>
          </cell>
          <cell r="Y530" t="str">
            <v/>
          </cell>
          <cell r="Z530" t="str">
            <v/>
          </cell>
          <cell r="AA530" t="str">
            <v>(55) 6931-0751</v>
          </cell>
          <cell r="AB530" t="str">
            <v/>
          </cell>
          <cell r="AC530" t="str">
            <v>M0117</v>
          </cell>
          <cell r="AD530" t="str">
            <v/>
          </cell>
          <cell r="AE530" t="str">
            <v/>
          </cell>
          <cell r="AF530" t="str">
            <v/>
          </cell>
          <cell r="AH530" t="str">
            <v>N</v>
          </cell>
          <cell r="AI530">
            <v>0</v>
          </cell>
          <cell r="AJ530">
            <v>0</v>
          </cell>
          <cell r="AK530">
            <v>0</v>
          </cell>
          <cell r="AL530">
            <v>0</v>
          </cell>
          <cell r="AM530">
            <v>1165</v>
          </cell>
          <cell r="AN530">
            <v>0</v>
          </cell>
        </row>
        <row r="531">
          <cell r="A531">
            <v>2432</v>
          </cell>
          <cell r="B531" t="str">
            <v>MA. ESPERANZA VILLA CAÑA (ACAMBARO)</v>
          </cell>
          <cell r="C531" t="str">
            <v/>
          </cell>
          <cell r="D531" t="str">
            <v>HIDALGO #307-A</v>
          </cell>
          <cell r="E531" t="str">
            <v>ACAMBARO, GTO.</v>
          </cell>
          <cell r="F531" t="str">
            <v/>
          </cell>
          <cell r="G531" t="str">
            <v>(417) 172-1443 LOCAL</v>
          </cell>
          <cell r="H531" t="str">
            <v/>
          </cell>
          <cell r="I531" t="str">
            <v/>
          </cell>
          <cell r="J531" t="str">
            <v>J06P</v>
          </cell>
          <cell r="K531" t="str">
            <v/>
          </cell>
          <cell r="L531">
            <v>0</v>
          </cell>
          <cell r="M531">
            <v>550</v>
          </cell>
          <cell r="N531" t="str">
            <v>A</v>
          </cell>
          <cell r="O531">
            <v>42410</v>
          </cell>
          <cell r="P531" t="str">
            <v xml:space="preserve">    2</v>
          </cell>
          <cell r="Q531">
            <v>0</v>
          </cell>
          <cell r="R531">
            <v>0</v>
          </cell>
          <cell r="S531">
            <v>0</v>
          </cell>
          <cell r="T531">
            <v>1755</v>
          </cell>
          <cell r="U531">
            <v>0</v>
          </cell>
          <cell r="V531" t="str">
            <v>CENTRO</v>
          </cell>
          <cell r="W531" t="str">
            <v/>
          </cell>
          <cell r="X531" t="str">
            <v/>
          </cell>
          <cell r="Y531" t="str">
            <v/>
          </cell>
          <cell r="Z531" t="str">
            <v/>
          </cell>
          <cell r="AA531" t="str">
            <v>(417) 172-1443 LOCAL</v>
          </cell>
          <cell r="AB531" t="str">
            <v/>
          </cell>
          <cell r="AC531" t="str">
            <v>J165875</v>
          </cell>
          <cell r="AD531" t="str">
            <v/>
          </cell>
          <cell r="AE531" t="str">
            <v/>
          </cell>
          <cell r="AF531" t="str">
            <v/>
          </cell>
          <cell r="AH531" t="str">
            <v>N</v>
          </cell>
          <cell r="AI531">
            <v>0</v>
          </cell>
          <cell r="AJ531">
            <v>0</v>
          </cell>
          <cell r="AK531">
            <v>0</v>
          </cell>
          <cell r="AL531">
            <v>0</v>
          </cell>
          <cell r="AM531">
            <v>1755</v>
          </cell>
          <cell r="AN531">
            <v>0</v>
          </cell>
        </row>
        <row r="532">
          <cell r="A532">
            <v>2433</v>
          </cell>
          <cell r="B532" t="str">
            <v>TIENDA DE REGALOS "DETALLES" (ACAMBARO)</v>
          </cell>
          <cell r="C532" t="str">
            <v>MOAM710706LW6</v>
          </cell>
          <cell r="D532" t="str">
            <v>MORELOS #295</v>
          </cell>
          <cell r="E532" t="str">
            <v>ACAMBARO, GTO.</v>
          </cell>
          <cell r="F532" t="str">
            <v/>
          </cell>
          <cell r="G532" t="str">
            <v>(417) 160-1278 LOCAL</v>
          </cell>
          <cell r="H532" t="str">
            <v>MARIBEL MONTOYA</v>
          </cell>
          <cell r="I532">
            <v>0</v>
          </cell>
          <cell r="J532" t="str">
            <v>J06P</v>
          </cell>
          <cell r="K532" t="str">
            <v/>
          </cell>
          <cell r="L532">
            <v>0</v>
          </cell>
          <cell r="M532">
            <v>551</v>
          </cell>
          <cell r="N532" t="str">
            <v>A</v>
          </cell>
          <cell r="O532">
            <v>42406</v>
          </cell>
          <cell r="P532" t="str">
            <v xml:space="preserve">    2</v>
          </cell>
          <cell r="Q532">
            <v>0</v>
          </cell>
          <cell r="R532">
            <v>0</v>
          </cell>
          <cell r="S532">
            <v>0</v>
          </cell>
          <cell r="T532">
            <v>382</v>
          </cell>
          <cell r="U532">
            <v>0</v>
          </cell>
          <cell r="V532" t="str">
            <v>CENTRO</v>
          </cell>
          <cell r="W532" t="str">
            <v>(417) 120-1505 CEL</v>
          </cell>
          <cell r="X532" t="str">
            <v>mcv127@hotmail.com</v>
          </cell>
          <cell r="Y532" t="str">
            <v/>
          </cell>
          <cell r="Z532" t="str">
            <v/>
          </cell>
          <cell r="AA532" t="str">
            <v>(417) 160-1278 LOCAL</v>
          </cell>
          <cell r="AB532" t="str">
            <v/>
          </cell>
          <cell r="AC532" t="str">
            <v>J165863</v>
          </cell>
          <cell r="AD532" t="str">
            <v/>
          </cell>
          <cell r="AE532" t="str">
            <v/>
          </cell>
          <cell r="AF532" t="str">
            <v/>
          </cell>
          <cell r="AH532" t="str">
            <v>N</v>
          </cell>
          <cell r="AI532">
            <v>0</v>
          </cell>
          <cell r="AJ532">
            <v>0</v>
          </cell>
          <cell r="AK532">
            <v>0</v>
          </cell>
          <cell r="AL532">
            <v>0</v>
          </cell>
          <cell r="AM532">
            <v>382</v>
          </cell>
          <cell r="AN532">
            <v>0</v>
          </cell>
        </row>
        <row r="533">
          <cell r="A533">
            <v>2434</v>
          </cell>
          <cell r="B533" t="str">
            <v>MA. CONCEPCION BARCENAS RAMIREZ (QUERETARO)</v>
          </cell>
          <cell r="C533" t="str">
            <v/>
          </cell>
          <cell r="D533" t="str">
            <v>PRIV. DOROTEO ARANGO #2</v>
          </cell>
          <cell r="E533" t="str">
            <v>QUERETARO, QRO.</v>
          </cell>
          <cell r="F533" t="str">
            <v>76229</v>
          </cell>
          <cell r="G533" t="str">
            <v>(442) 235-0353</v>
          </cell>
          <cell r="H533" t="str">
            <v/>
          </cell>
          <cell r="I533" t="str">
            <v/>
          </cell>
          <cell r="J533" t="str">
            <v>L04P</v>
          </cell>
          <cell r="K533" t="str">
            <v/>
          </cell>
          <cell r="L533">
            <v>0</v>
          </cell>
          <cell r="M533">
            <v>552</v>
          </cell>
          <cell r="N533" t="str">
            <v>A</v>
          </cell>
          <cell r="O533">
            <v>42406</v>
          </cell>
          <cell r="P533" t="str">
            <v xml:space="preserve">   97</v>
          </cell>
          <cell r="Q533">
            <v>0</v>
          </cell>
          <cell r="R533">
            <v>0</v>
          </cell>
          <cell r="S533">
            <v>0</v>
          </cell>
          <cell r="T533">
            <v>6187</v>
          </cell>
          <cell r="U533">
            <v>0</v>
          </cell>
          <cell r="V533" t="str">
            <v>SAN FCO. DE LA PALMA</v>
          </cell>
          <cell r="W533" t="str">
            <v>(442) 121-2642 CEL</v>
          </cell>
          <cell r="X533" t="str">
            <v/>
          </cell>
          <cell r="Y533" t="str">
            <v/>
          </cell>
          <cell r="Z533" t="str">
            <v/>
          </cell>
          <cell r="AA533" t="str">
            <v>(442) 235-0353</v>
          </cell>
          <cell r="AB533" t="str">
            <v/>
          </cell>
          <cell r="AC533" t="str">
            <v>R1007</v>
          </cell>
          <cell r="AD533" t="str">
            <v/>
          </cell>
          <cell r="AE533" t="str">
            <v/>
          </cell>
          <cell r="AF533" t="str">
            <v/>
          </cell>
          <cell r="AH533" t="str">
            <v>N</v>
          </cell>
          <cell r="AI533">
            <v>0</v>
          </cell>
          <cell r="AJ533">
            <v>0</v>
          </cell>
          <cell r="AK533">
            <v>0</v>
          </cell>
          <cell r="AL533">
            <v>0</v>
          </cell>
          <cell r="AM533">
            <v>180</v>
          </cell>
          <cell r="AN533">
            <v>0</v>
          </cell>
        </row>
        <row r="534">
          <cell r="A534">
            <v>2435</v>
          </cell>
          <cell r="B534" t="str">
            <v>MATILDE RESENDIZ (SAN JUAN)</v>
          </cell>
          <cell r="C534" t="str">
            <v/>
          </cell>
          <cell r="D534" t="str">
            <v>MIJAEL BORBACHOV #85</v>
          </cell>
          <cell r="E534" t="str">
            <v>SAN JUAN DEL RIO, QRO.</v>
          </cell>
          <cell r="F534" t="str">
            <v/>
          </cell>
          <cell r="G534" t="str">
            <v>(427) 108-1025 CEL</v>
          </cell>
          <cell r="H534" t="str">
            <v/>
          </cell>
          <cell r="I534" t="str">
            <v/>
          </cell>
          <cell r="J534" t="str">
            <v>L01P</v>
          </cell>
          <cell r="K534" t="str">
            <v/>
          </cell>
          <cell r="L534">
            <v>0</v>
          </cell>
          <cell r="M534">
            <v>553</v>
          </cell>
          <cell r="N534" t="str">
            <v>A</v>
          </cell>
          <cell r="O534">
            <v>42409</v>
          </cell>
          <cell r="P534" t="str">
            <v xml:space="preserve">   97</v>
          </cell>
          <cell r="Q534">
            <v>0</v>
          </cell>
          <cell r="R534">
            <v>0</v>
          </cell>
          <cell r="S534">
            <v>186</v>
          </cell>
          <cell r="T534">
            <v>1377</v>
          </cell>
          <cell r="U534">
            <v>0</v>
          </cell>
          <cell r="V534" t="str">
            <v>LA PAZ</v>
          </cell>
          <cell r="W534" t="str">
            <v/>
          </cell>
          <cell r="X534" t="str">
            <v/>
          </cell>
          <cell r="Y534" t="str">
            <v/>
          </cell>
          <cell r="Z534" t="str">
            <v/>
          </cell>
          <cell r="AA534" t="str">
            <v>(427) 108-1025 CEL</v>
          </cell>
          <cell r="AB534" t="str">
            <v/>
          </cell>
          <cell r="AC534" t="str">
            <v>D261</v>
          </cell>
          <cell r="AD534" t="str">
            <v/>
          </cell>
          <cell r="AE534" t="str">
            <v/>
          </cell>
          <cell r="AF534" t="str">
            <v/>
          </cell>
          <cell r="AH534" t="str">
            <v>N</v>
          </cell>
          <cell r="AI534">
            <v>0</v>
          </cell>
          <cell r="AJ534">
            <v>0</v>
          </cell>
          <cell r="AK534">
            <v>0</v>
          </cell>
          <cell r="AL534">
            <v>0</v>
          </cell>
          <cell r="AM534">
            <v>1377</v>
          </cell>
          <cell r="AN534">
            <v>0</v>
          </cell>
        </row>
        <row r="535">
          <cell r="A535">
            <v>2436</v>
          </cell>
          <cell r="B535" t="str">
            <v>BERTHA MARIA YEPEZ LOPEZ (YURIRIA)</v>
          </cell>
          <cell r="C535" t="str">
            <v/>
          </cell>
          <cell r="D535" t="str">
            <v>MORELOS #75</v>
          </cell>
          <cell r="E535" t="str">
            <v>YURIRIA, GTO.</v>
          </cell>
          <cell r="F535" t="str">
            <v/>
          </cell>
          <cell r="G535" t="str">
            <v/>
          </cell>
          <cell r="H535" t="str">
            <v/>
          </cell>
          <cell r="I535" t="str">
            <v/>
          </cell>
          <cell r="J535" t="str">
            <v>J06</v>
          </cell>
          <cell r="K535" t="str">
            <v/>
          </cell>
          <cell r="L535">
            <v>0</v>
          </cell>
          <cell r="M535">
            <v>554</v>
          </cell>
          <cell r="N535" t="str">
            <v>A</v>
          </cell>
          <cell r="O535">
            <v>42426</v>
          </cell>
          <cell r="P535" t="str">
            <v xml:space="preserve">    2</v>
          </cell>
          <cell r="Q535">
            <v>0</v>
          </cell>
          <cell r="R535">
            <v>0</v>
          </cell>
          <cell r="S535">
            <v>0</v>
          </cell>
          <cell r="T535">
            <v>1941</v>
          </cell>
          <cell r="U535">
            <v>0</v>
          </cell>
          <cell r="V535" t="str">
            <v>CENTRO</v>
          </cell>
          <cell r="W535" t="str">
            <v/>
          </cell>
          <cell r="X535" t="str">
            <v/>
          </cell>
          <cell r="Y535" t="str">
            <v/>
          </cell>
          <cell r="Z535" t="str">
            <v/>
          </cell>
          <cell r="AA535" t="str">
            <v/>
          </cell>
          <cell r="AB535" t="str">
            <v/>
          </cell>
          <cell r="AC535" t="str">
            <v>J165893</v>
          </cell>
          <cell r="AD535" t="str">
            <v/>
          </cell>
          <cell r="AE535" t="str">
            <v/>
          </cell>
          <cell r="AF535" t="str">
            <v/>
          </cell>
          <cell r="AH535" t="str">
            <v>N</v>
          </cell>
          <cell r="AI535">
            <v>0</v>
          </cell>
          <cell r="AJ535">
            <v>0</v>
          </cell>
          <cell r="AK535">
            <v>0</v>
          </cell>
          <cell r="AL535">
            <v>0</v>
          </cell>
          <cell r="AM535">
            <v>1941</v>
          </cell>
          <cell r="AN535">
            <v>0</v>
          </cell>
        </row>
        <row r="536">
          <cell r="A536">
            <v>2437</v>
          </cell>
          <cell r="B536" t="str">
            <v>MANINALY GARCIA ANGELES (TEZONTEPEC)</v>
          </cell>
          <cell r="C536" t="str">
            <v/>
          </cell>
          <cell r="D536" t="str">
            <v>AV. JUAN ALDAMA</v>
          </cell>
          <cell r="E536" t="str">
            <v>TEZONTEPEC, HGO.</v>
          </cell>
          <cell r="F536" t="str">
            <v/>
          </cell>
          <cell r="G536" t="str">
            <v>(55) 6074-5495</v>
          </cell>
          <cell r="H536" t="str">
            <v/>
          </cell>
          <cell r="I536" t="str">
            <v/>
          </cell>
          <cell r="J536" t="str">
            <v>F02</v>
          </cell>
          <cell r="K536" t="str">
            <v/>
          </cell>
          <cell r="L536">
            <v>0</v>
          </cell>
          <cell r="M536">
            <v>555</v>
          </cell>
          <cell r="N536" t="str">
            <v>A</v>
          </cell>
          <cell r="O536">
            <v>42429</v>
          </cell>
          <cell r="P536" t="str">
            <v xml:space="preserve">    1</v>
          </cell>
          <cell r="Q536">
            <v>0</v>
          </cell>
          <cell r="R536">
            <v>0</v>
          </cell>
          <cell r="S536">
            <v>0</v>
          </cell>
          <cell r="T536">
            <v>2046</v>
          </cell>
          <cell r="U536">
            <v>0</v>
          </cell>
          <cell r="V536" t="str">
            <v>CENTRO</v>
          </cell>
          <cell r="W536" t="str">
            <v/>
          </cell>
          <cell r="X536" t="str">
            <v/>
          </cell>
          <cell r="Y536" t="str">
            <v/>
          </cell>
          <cell r="Z536" t="str">
            <v/>
          </cell>
          <cell r="AA536" t="str">
            <v>(55) 6074-5495</v>
          </cell>
          <cell r="AB536" t="str">
            <v/>
          </cell>
          <cell r="AC536" t="str">
            <v>F0054</v>
          </cell>
          <cell r="AD536" t="str">
            <v/>
          </cell>
          <cell r="AE536" t="str">
            <v/>
          </cell>
          <cell r="AF536" t="str">
            <v/>
          </cell>
          <cell r="AH536" t="str">
            <v>N</v>
          </cell>
          <cell r="AI536">
            <v>0</v>
          </cell>
          <cell r="AJ536">
            <v>0</v>
          </cell>
          <cell r="AK536">
            <v>0</v>
          </cell>
          <cell r="AL536">
            <v>0</v>
          </cell>
          <cell r="AM536">
            <v>2046</v>
          </cell>
          <cell r="AN536">
            <v>0</v>
          </cell>
        </row>
        <row r="537">
          <cell r="A537">
            <v>2444</v>
          </cell>
          <cell r="B537" t="str">
            <v>ELVIRA GUERRERO ESPINDOLA (A. EL GRANDE)</v>
          </cell>
          <cell r="C537" t="str">
            <v/>
          </cell>
          <cell r="D537" t="str">
            <v>PIPILA #119-B</v>
          </cell>
          <cell r="E537" t="str">
            <v>APASEO EL GRANDE, GTO.</v>
          </cell>
          <cell r="F537" t="str">
            <v/>
          </cell>
          <cell r="G537" t="str">
            <v>(413) 103-0805 CEL</v>
          </cell>
          <cell r="H537" t="str">
            <v/>
          </cell>
          <cell r="I537" t="str">
            <v/>
          </cell>
          <cell r="J537" t="str">
            <v>F04</v>
          </cell>
          <cell r="K537" t="str">
            <v/>
          </cell>
          <cell r="L537">
            <v>0</v>
          </cell>
          <cell r="M537">
            <v>563</v>
          </cell>
          <cell r="N537" t="str">
            <v>A</v>
          </cell>
          <cell r="O537">
            <v>42518</v>
          </cell>
          <cell r="P537" t="str">
            <v xml:space="preserve">    1</v>
          </cell>
          <cell r="Q537">
            <v>0</v>
          </cell>
          <cell r="R537">
            <v>0</v>
          </cell>
          <cell r="S537">
            <v>2415</v>
          </cell>
          <cell r="T537">
            <v>3315</v>
          </cell>
          <cell r="U537">
            <v>0</v>
          </cell>
          <cell r="V537" t="str">
            <v>CENTRO</v>
          </cell>
          <cell r="W537" t="str">
            <v/>
          </cell>
          <cell r="X537" t="str">
            <v/>
          </cell>
          <cell r="Y537" t="str">
            <v/>
          </cell>
          <cell r="Z537" t="str">
            <v/>
          </cell>
          <cell r="AA537" t="str">
            <v>(413) 103-0805 CEL</v>
          </cell>
          <cell r="AB537" t="str">
            <v/>
          </cell>
          <cell r="AC537" t="str">
            <v>F540</v>
          </cell>
          <cell r="AD537" t="str">
            <v/>
          </cell>
          <cell r="AE537" t="str">
            <v/>
          </cell>
          <cell r="AF537" t="str">
            <v/>
          </cell>
          <cell r="AH537" t="str">
            <v>N</v>
          </cell>
          <cell r="AI537">
            <v>0</v>
          </cell>
          <cell r="AJ537">
            <v>0</v>
          </cell>
          <cell r="AK537">
            <v>0</v>
          </cell>
          <cell r="AL537">
            <v>0</v>
          </cell>
          <cell r="AM537">
            <v>3315</v>
          </cell>
          <cell r="AN537">
            <v>0</v>
          </cell>
        </row>
        <row r="538">
          <cell r="A538">
            <v>2439</v>
          </cell>
          <cell r="B538" t="str">
            <v>CHRISTIAN RESENDIS DIAZ</v>
          </cell>
          <cell r="C538" t="str">
            <v/>
          </cell>
          <cell r="D538" t="str">
            <v/>
          </cell>
          <cell r="E538" t="str">
            <v>ACTOPAN, HGO.</v>
          </cell>
          <cell r="F538" t="str">
            <v/>
          </cell>
          <cell r="G538" t="str">
            <v>(772) 120-7677</v>
          </cell>
          <cell r="H538" t="str">
            <v/>
          </cell>
          <cell r="I538" t="str">
            <v/>
          </cell>
          <cell r="J538" t="str">
            <v>F02</v>
          </cell>
          <cell r="K538" t="str">
            <v/>
          </cell>
          <cell r="L538">
            <v>0</v>
          </cell>
          <cell r="M538">
            <v>558</v>
          </cell>
          <cell r="N538" t="str">
            <v>A</v>
          </cell>
          <cell r="O538">
            <v>0</v>
          </cell>
          <cell r="P538" t="str">
            <v xml:space="preserve">    1</v>
          </cell>
          <cell r="Q538">
            <v>0</v>
          </cell>
          <cell r="R538">
            <v>0</v>
          </cell>
          <cell r="S538">
            <v>0</v>
          </cell>
          <cell r="T538">
            <v>0</v>
          </cell>
          <cell r="U538">
            <v>0</v>
          </cell>
          <cell r="V538" t="str">
            <v>CENTRO</v>
          </cell>
          <cell r="W538" t="str">
            <v/>
          </cell>
          <cell r="X538" t="str">
            <v/>
          </cell>
          <cell r="Y538" t="str">
            <v/>
          </cell>
          <cell r="Z538" t="str">
            <v/>
          </cell>
          <cell r="AA538" t="str">
            <v>(772) 120-7677</v>
          </cell>
          <cell r="AB538" t="str">
            <v/>
          </cell>
          <cell r="AC538" t="str">
            <v/>
          </cell>
          <cell r="AD538" t="str">
            <v/>
          </cell>
          <cell r="AE538" t="str">
            <v/>
          </cell>
          <cell r="AF538" t="str">
            <v/>
          </cell>
          <cell r="AH538" t="str">
            <v>N</v>
          </cell>
          <cell r="AI538">
            <v>0</v>
          </cell>
          <cell r="AJ538">
            <v>0</v>
          </cell>
          <cell r="AK538">
            <v>0</v>
          </cell>
          <cell r="AL538">
            <v>0</v>
          </cell>
          <cell r="AM538">
            <v>0</v>
          </cell>
          <cell r="AN538">
            <v>0</v>
          </cell>
        </row>
        <row r="539">
          <cell r="A539">
            <v>2440</v>
          </cell>
          <cell r="B539" t="str">
            <v>LUZ MARIA FLORES (ATLACOMULCO)</v>
          </cell>
          <cell r="C539" t="str">
            <v/>
          </cell>
          <cell r="D539" t="str">
            <v/>
          </cell>
          <cell r="E539" t="str">
            <v>ATLACOMULCO, EDO. DE MEXICO</v>
          </cell>
          <cell r="F539" t="str">
            <v/>
          </cell>
          <cell r="G539" t="str">
            <v/>
          </cell>
          <cell r="H539" t="str">
            <v/>
          </cell>
          <cell r="I539" t="str">
            <v/>
          </cell>
          <cell r="J539" t="str">
            <v>L08</v>
          </cell>
          <cell r="K539" t="str">
            <v/>
          </cell>
          <cell r="L539">
            <v>0</v>
          </cell>
          <cell r="M539">
            <v>559</v>
          </cell>
          <cell r="N539" t="str">
            <v>A</v>
          </cell>
          <cell r="O539">
            <v>42485</v>
          </cell>
          <cell r="P539" t="str">
            <v xml:space="preserve">   97</v>
          </cell>
          <cell r="Q539">
            <v>0</v>
          </cell>
          <cell r="R539">
            <v>0</v>
          </cell>
          <cell r="S539">
            <v>0</v>
          </cell>
          <cell r="T539">
            <v>545</v>
          </cell>
          <cell r="U539">
            <v>0</v>
          </cell>
          <cell r="V539" t="str">
            <v/>
          </cell>
          <cell r="W539" t="str">
            <v/>
          </cell>
          <cell r="X539" t="str">
            <v/>
          </cell>
          <cell r="Y539" t="str">
            <v/>
          </cell>
          <cell r="Z539" t="str">
            <v/>
          </cell>
          <cell r="AA539" t="str">
            <v/>
          </cell>
          <cell r="AB539" t="str">
            <v/>
          </cell>
          <cell r="AC539" t="str">
            <v>R-1000</v>
          </cell>
          <cell r="AD539" t="str">
            <v/>
          </cell>
          <cell r="AE539" t="str">
            <v/>
          </cell>
          <cell r="AF539" t="str">
            <v/>
          </cell>
          <cell r="AH539" t="str">
            <v>N</v>
          </cell>
          <cell r="AI539">
            <v>0</v>
          </cell>
          <cell r="AJ539">
            <v>0</v>
          </cell>
          <cell r="AK539">
            <v>0</v>
          </cell>
          <cell r="AL539">
            <v>0</v>
          </cell>
          <cell r="AM539">
            <v>545</v>
          </cell>
          <cell r="AN539">
            <v>0</v>
          </cell>
        </row>
        <row r="540">
          <cell r="A540">
            <v>2441</v>
          </cell>
          <cell r="B540" t="str">
            <v>PATRICIA BARCA HERNANDEZ (MIXQUIAHUALA)</v>
          </cell>
          <cell r="C540" t="str">
            <v/>
          </cell>
          <cell r="D540" t="str">
            <v>MELCHOR OCAMPO #15</v>
          </cell>
          <cell r="E540" t="str">
            <v>MIXQUIAHUALA, HGO.</v>
          </cell>
          <cell r="F540" t="str">
            <v/>
          </cell>
          <cell r="G540" t="str">
            <v>(55) 2971-4139</v>
          </cell>
          <cell r="H540" t="str">
            <v/>
          </cell>
          <cell r="I540" t="str">
            <v/>
          </cell>
          <cell r="J540" t="str">
            <v>F02</v>
          </cell>
          <cell r="K540" t="str">
            <v/>
          </cell>
          <cell r="L540">
            <v>0</v>
          </cell>
          <cell r="M540">
            <v>560</v>
          </cell>
          <cell r="N540" t="str">
            <v>A</v>
          </cell>
          <cell r="O540">
            <v>42495</v>
          </cell>
          <cell r="P540" t="str">
            <v xml:space="preserve">    1</v>
          </cell>
          <cell r="Q540">
            <v>0</v>
          </cell>
          <cell r="R540">
            <v>0</v>
          </cell>
          <cell r="S540">
            <v>0</v>
          </cell>
          <cell r="T540">
            <v>1724</v>
          </cell>
          <cell r="U540">
            <v>0</v>
          </cell>
          <cell r="V540" t="str">
            <v>CENTRO</v>
          </cell>
          <cell r="W540" t="str">
            <v/>
          </cell>
          <cell r="X540" t="str">
            <v/>
          </cell>
          <cell r="Y540" t="str">
            <v/>
          </cell>
          <cell r="Z540" t="str">
            <v/>
          </cell>
          <cell r="AA540" t="str">
            <v>(55) 2971-4139</v>
          </cell>
          <cell r="AB540" t="str">
            <v/>
          </cell>
          <cell r="AC540" t="str">
            <v>F0347</v>
          </cell>
          <cell r="AD540" t="str">
            <v/>
          </cell>
          <cell r="AE540" t="str">
            <v/>
          </cell>
          <cell r="AF540" t="str">
            <v/>
          </cell>
          <cell r="AH540" t="str">
            <v>N</v>
          </cell>
          <cell r="AI540">
            <v>0</v>
          </cell>
          <cell r="AJ540">
            <v>0</v>
          </cell>
          <cell r="AK540">
            <v>0</v>
          </cell>
          <cell r="AL540">
            <v>0</v>
          </cell>
          <cell r="AM540">
            <v>1724</v>
          </cell>
          <cell r="AN540">
            <v>0</v>
          </cell>
        </row>
        <row r="541">
          <cell r="A541">
            <v>2442</v>
          </cell>
          <cell r="B541" t="str">
            <v>JUANITA PEREZ FUENTES (TULA)</v>
          </cell>
          <cell r="C541" t="str">
            <v/>
          </cell>
          <cell r="D541" t="str">
            <v>MANUEL ROJO DEL RIO #3 LOC. A</v>
          </cell>
          <cell r="E541" t="str">
            <v>TULA, HGO.</v>
          </cell>
          <cell r="F541" t="str">
            <v/>
          </cell>
          <cell r="G541" t="str">
            <v>(773) 731-120-137</v>
          </cell>
          <cell r="H541" t="str">
            <v/>
          </cell>
          <cell r="I541" t="str">
            <v/>
          </cell>
          <cell r="J541" t="str">
            <v>F02</v>
          </cell>
          <cell r="K541" t="str">
            <v/>
          </cell>
          <cell r="L541">
            <v>0</v>
          </cell>
          <cell r="M541">
            <v>561</v>
          </cell>
          <cell r="N541" t="str">
            <v>A</v>
          </cell>
          <cell r="O541">
            <v>42511</v>
          </cell>
          <cell r="P541" t="str">
            <v xml:space="preserve">    1</v>
          </cell>
          <cell r="Q541">
            <v>0</v>
          </cell>
          <cell r="R541">
            <v>0</v>
          </cell>
          <cell r="S541">
            <v>0</v>
          </cell>
          <cell r="T541">
            <v>3676</v>
          </cell>
          <cell r="U541">
            <v>0</v>
          </cell>
          <cell r="V541" t="str">
            <v>CENTRO</v>
          </cell>
          <cell r="W541" t="str">
            <v/>
          </cell>
          <cell r="X541" t="str">
            <v/>
          </cell>
          <cell r="Y541" t="str">
            <v/>
          </cell>
          <cell r="Z541" t="str">
            <v/>
          </cell>
          <cell r="AA541" t="str">
            <v>(773) 731-120-137</v>
          </cell>
          <cell r="AB541" t="str">
            <v/>
          </cell>
          <cell r="AC541" t="str">
            <v>F530</v>
          </cell>
          <cell r="AD541" t="str">
            <v/>
          </cell>
          <cell r="AE541" t="str">
            <v/>
          </cell>
          <cell r="AF541" t="str">
            <v/>
          </cell>
          <cell r="AH541" t="str">
            <v>N</v>
          </cell>
          <cell r="AI541">
            <v>0</v>
          </cell>
          <cell r="AJ541">
            <v>0</v>
          </cell>
          <cell r="AK541">
            <v>0</v>
          </cell>
          <cell r="AL541">
            <v>0</v>
          </cell>
          <cell r="AM541">
            <v>3676</v>
          </cell>
          <cell r="AN541">
            <v>0</v>
          </cell>
        </row>
        <row r="542">
          <cell r="A542">
            <v>2443</v>
          </cell>
          <cell r="B542" t="str">
            <v>CHRISTIAN MIGUEL RESENDIZ DIAZ (ACTOPAN)</v>
          </cell>
          <cell r="C542" t="str">
            <v/>
          </cell>
          <cell r="D542" t="str">
            <v/>
          </cell>
          <cell r="E542" t="str">
            <v>ACTOPAN, HGO.</v>
          </cell>
          <cell r="F542" t="str">
            <v/>
          </cell>
          <cell r="G542" t="str">
            <v/>
          </cell>
          <cell r="H542" t="str">
            <v/>
          </cell>
          <cell r="I542" t="str">
            <v/>
          </cell>
          <cell r="J542" t="str">
            <v>F02</v>
          </cell>
          <cell r="K542" t="str">
            <v/>
          </cell>
          <cell r="L542">
            <v>0</v>
          </cell>
          <cell r="M542">
            <v>562</v>
          </cell>
          <cell r="N542" t="str">
            <v>A</v>
          </cell>
          <cell r="O542">
            <v>42511</v>
          </cell>
          <cell r="P542" t="str">
            <v xml:space="preserve">    1</v>
          </cell>
          <cell r="Q542">
            <v>0</v>
          </cell>
          <cell r="R542">
            <v>0</v>
          </cell>
          <cell r="S542">
            <v>1932</v>
          </cell>
          <cell r="T542">
            <v>4932</v>
          </cell>
          <cell r="U542">
            <v>0</v>
          </cell>
          <cell r="V542" t="str">
            <v/>
          </cell>
          <cell r="W542" t="str">
            <v/>
          </cell>
          <cell r="X542" t="str">
            <v/>
          </cell>
          <cell r="Y542" t="str">
            <v/>
          </cell>
          <cell r="Z542" t="str">
            <v/>
          </cell>
          <cell r="AA542" t="str">
            <v/>
          </cell>
          <cell r="AB542" t="str">
            <v/>
          </cell>
          <cell r="AC542" t="str">
            <v>F523</v>
          </cell>
          <cell r="AD542" t="str">
            <v/>
          </cell>
          <cell r="AE542" t="str">
            <v/>
          </cell>
          <cell r="AF542" t="str">
            <v/>
          </cell>
          <cell r="AH542" t="str">
            <v>N</v>
          </cell>
          <cell r="AI542">
            <v>0</v>
          </cell>
          <cell r="AJ542">
            <v>0</v>
          </cell>
          <cell r="AK542">
            <v>0</v>
          </cell>
          <cell r="AL542">
            <v>0</v>
          </cell>
          <cell r="AM542">
            <v>4932</v>
          </cell>
          <cell r="AN542">
            <v>0</v>
          </cell>
        </row>
        <row r="543">
          <cell r="A543">
            <v>2358</v>
          </cell>
          <cell r="B543" t="str">
            <v>MARGARITA MONTIEL MENDOZA (SALAMANCA)</v>
          </cell>
          <cell r="C543" t="str">
            <v/>
          </cell>
          <cell r="D543" t="str">
            <v>TENIXTEPEC #208A</v>
          </cell>
          <cell r="E543" t="str">
            <v>SALAMANCA, GTO.</v>
          </cell>
          <cell r="F543" t="str">
            <v/>
          </cell>
          <cell r="G543" t="str">
            <v>(464) 639-5119</v>
          </cell>
          <cell r="H543" t="str">
            <v>MARGARITA MONTIEL M.</v>
          </cell>
          <cell r="I543" t="str">
            <v>MARGARITA MONTIEL M.</v>
          </cell>
          <cell r="J543" t="str">
            <v>F04P</v>
          </cell>
          <cell r="K543" t="str">
            <v/>
          </cell>
          <cell r="L543">
            <v>0</v>
          </cell>
          <cell r="M543">
            <v>471</v>
          </cell>
          <cell r="N543" t="str">
            <v>A</v>
          </cell>
          <cell r="O543">
            <v>41902</v>
          </cell>
          <cell r="P543" t="str">
            <v xml:space="preserve">    1</v>
          </cell>
          <cell r="Q543">
            <v>0</v>
          </cell>
          <cell r="R543">
            <v>0</v>
          </cell>
          <cell r="S543">
            <v>0</v>
          </cell>
          <cell r="T543">
            <v>1808</v>
          </cell>
          <cell r="U543">
            <v>0</v>
          </cell>
          <cell r="V543" t="str">
            <v>BELLA VISTA</v>
          </cell>
          <cell r="W543" t="str">
            <v/>
          </cell>
          <cell r="X543" t="str">
            <v/>
          </cell>
          <cell r="Y543" t="str">
            <v/>
          </cell>
          <cell r="Z543" t="str">
            <v/>
          </cell>
          <cell r="AA543" t="str">
            <v>(464) 639-5119</v>
          </cell>
          <cell r="AB543" t="str">
            <v/>
          </cell>
          <cell r="AC543" t="str">
            <v>F0607</v>
          </cell>
          <cell r="AD543" t="str">
            <v/>
          </cell>
          <cell r="AE543" t="str">
            <v/>
          </cell>
          <cell r="AF543" t="str">
            <v/>
          </cell>
          <cell r="AH543" t="str">
            <v>N</v>
          </cell>
          <cell r="AI543">
            <v>0</v>
          </cell>
          <cell r="AJ543">
            <v>0</v>
          </cell>
          <cell r="AK543">
            <v>0</v>
          </cell>
          <cell r="AL543">
            <v>0</v>
          </cell>
          <cell r="AM543">
            <v>1152</v>
          </cell>
          <cell r="AN543">
            <v>0</v>
          </cell>
        </row>
        <row r="544">
          <cell r="A544">
            <v>2445</v>
          </cell>
          <cell r="B544" t="str">
            <v xml:space="preserve">BRENDA ESCOBAR LOPEZ (TOLUCA)                               </v>
          </cell>
          <cell r="C544" t="str">
            <v/>
          </cell>
          <cell r="D544" t="str">
            <v xml:space="preserve">16 DE SEPTIEMBRE #200                   </v>
          </cell>
          <cell r="E544" t="str">
            <v xml:space="preserve">TOLUCA, EDO. DE MEXICO        </v>
          </cell>
          <cell r="F544" t="str">
            <v/>
          </cell>
          <cell r="G544">
            <v>0</v>
          </cell>
          <cell r="H544" t="str">
            <v/>
          </cell>
          <cell r="I544" t="str">
            <v/>
          </cell>
          <cell r="J544" t="str">
            <v>L08</v>
          </cell>
          <cell r="K544" t="str">
            <v/>
          </cell>
          <cell r="L544">
            <v>0</v>
          </cell>
          <cell r="M544">
            <v>564</v>
          </cell>
          <cell r="N544" t="str">
            <v>A</v>
          </cell>
          <cell r="O544">
            <v>42516</v>
          </cell>
          <cell r="P544" t="str">
            <v xml:space="preserve">    5</v>
          </cell>
          <cell r="Q544">
            <v>0</v>
          </cell>
          <cell r="R544">
            <v>0</v>
          </cell>
          <cell r="S544">
            <v>3177</v>
          </cell>
          <cell r="T544">
            <v>3177</v>
          </cell>
          <cell r="U544">
            <v>0</v>
          </cell>
          <cell r="V544" t="str">
            <v>CENTRO</v>
          </cell>
          <cell r="W544" t="str">
            <v/>
          </cell>
          <cell r="X544" t="str">
            <v/>
          </cell>
          <cell r="Y544" t="str">
            <v/>
          </cell>
          <cell r="Z544" t="str">
            <v/>
          </cell>
          <cell r="AA544" t="str">
            <v>(773) 139-6058</v>
          </cell>
          <cell r="AB544" t="str">
            <v/>
          </cell>
          <cell r="AC544" t="str">
            <v>M611</v>
          </cell>
          <cell r="AD544" t="str">
            <v/>
          </cell>
          <cell r="AE544" t="str">
            <v/>
          </cell>
          <cell r="AF544" t="str">
            <v/>
          </cell>
          <cell r="AH544" t="str">
            <v>N</v>
          </cell>
          <cell r="AI544">
            <v>0</v>
          </cell>
          <cell r="AJ544">
            <v>0</v>
          </cell>
          <cell r="AK544">
            <v>0</v>
          </cell>
          <cell r="AL544">
            <v>0</v>
          </cell>
          <cell r="AM544">
            <v>3177</v>
          </cell>
          <cell r="AN544">
            <v>0</v>
          </cell>
        </row>
        <row r="545">
          <cell r="A545">
            <v>2446</v>
          </cell>
          <cell r="B545" t="str">
            <v>GEORGINA GALVEZ (MIXQUIAHUALA)</v>
          </cell>
          <cell r="C545" t="str">
            <v/>
          </cell>
          <cell r="D545" t="str">
            <v>CORREGIDORA ESQ. 16 DE SEPTIEMBRE</v>
          </cell>
          <cell r="E545" t="str">
            <v>MIXQUIAHUALA, HGO.</v>
          </cell>
          <cell r="F545" t="str">
            <v/>
          </cell>
          <cell r="G545" t="str">
            <v/>
          </cell>
          <cell r="H545" t="str">
            <v/>
          </cell>
          <cell r="I545" t="str">
            <v/>
          </cell>
          <cell r="J545" t="str">
            <v>F02</v>
          </cell>
          <cell r="K545" t="str">
            <v/>
          </cell>
          <cell r="L545">
            <v>0</v>
          </cell>
          <cell r="M545">
            <v>565</v>
          </cell>
          <cell r="N545" t="str">
            <v>A</v>
          </cell>
          <cell r="O545">
            <v>42525</v>
          </cell>
          <cell r="P545" t="str">
            <v xml:space="preserve">    1</v>
          </cell>
          <cell r="Q545">
            <v>0</v>
          </cell>
          <cell r="R545">
            <v>0</v>
          </cell>
          <cell r="S545">
            <v>0</v>
          </cell>
          <cell r="T545">
            <v>867</v>
          </cell>
          <cell r="U545">
            <v>0</v>
          </cell>
          <cell r="V545" t="str">
            <v>CENTRO</v>
          </cell>
          <cell r="W545" t="str">
            <v/>
          </cell>
          <cell r="X545" t="str">
            <v/>
          </cell>
          <cell r="Y545" t="str">
            <v/>
          </cell>
          <cell r="Z545" t="str">
            <v/>
          </cell>
          <cell r="AA545" t="str">
            <v/>
          </cell>
          <cell r="AB545" t="str">
            <v/>
          </cell>
          <cell r="AC545" t="str">
            <v>F0504</v>
          </cell>
          <cell r="AD545" t="str">
            <v/>
          </cell>
          <cell r="AE545" t="str">
            <v/>
          </cell>
          <cell r="AF545" t="str">
            <v/>
          </cell>
          <cell r="AH545" t="str">
            <v>N</v>
          </cell>
          <cell r="AI545">
            <v>0</v>
          </cell>
          <cell r="AJ545">
            <v>0</v>
          </cell>
          <cell r="AK545">
            <v>0</v>
          </cell>
          <cell r="AL545">
            <v>0</v>
          </cell>
          <cell r="AM545">
            <v>867</v>
          </cell>
          <cell r="AN545">
            <v>0</v>
          </cell>
        </row>
        <row r="546">
          <cell r="A546">
            <v>2447</v>
          </cell>
          <cell r="B546" t="str">
            <v>MARCO POLO SALDIVAR (ATLACOMULCO)</v>
          </cell>
          <cell r="C546">
            <v>0</v>
          </cell>
          <cell r="D546">
            <v>0</v>
          </cell>
          <cell r="E546" t="str">
            <v>ATLACOMULCO, EDO. DE MEXICO</v>
          </cell>
          <cell r="F546">
            <v>0</v>
          </cell>
          <cell r="G546">
            <v>0</v>
          </cell>
          <cell r="H546">
            <v>0</v>
          </cell>
          <cell r="I546">
            <v>0</v>
          </cell>
          <cell r="J546" t="str">
            <v>L08</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row>
        <row r="547">
          <cell r="A547">
            <v>2448</v>
          </cell>
          <cell r="B547" t="str">
            <v>MAYRA GABRIELA TAPIA TRUJILLO (TLAHUELILPAN)</v>
          </cell>
          <cell r="C547" t="str">
            <v/>
          </cell>
          <cell r="D547" t="str">
            <v>NICOLAS BRAVO ESQ. SILVESTRE PADILLA</v>
          </cell>
          <cell r="E547" t="str">
            <v>TLAHUELILPAN, HGO.</v>
          </cell>
          <cell r="F547" t="str">
            <v/>
          </cell>
          <cell r="G547" t="str">
            <v>(763) 786-1237</v>
          </cell>
          <cell r="H547" t="str">
            <v>MAYRA GABRIELA TAPIA</v>
          </cell>
          <cell r="I547" t="str">
            <v>MAYRA GABRIELA TAPIA</v>
          </cell>
          <cell r="J547" t="str">
            <v>M04</v>
          </cell>
          <cell r="K547" t="str">
            <v/>
          </cell>
          <cell r="L547">
            <v>0</v>
          </cell>
          <cell r="M547">
            <v>211</v>
          </cell>
          <cell r="N547" t="str">
            <v>A</v>
          </cell>
          <cell r="O547">
            <v>42525</v>
          </cell>
          <cell r="P547" t="str">
            <v xml:space="preserve">    1</v>
          </cell>
          <cell r="Q547">
            <v>0</v>
          </cell>
          <cell r="R547">
            <v>0</v>
          </cell>
          <cell r="S547">
            <v>71798</v>
          </cell>
          <cell r="T547">
            <v>318258</v>
          </cell>
          <cell r="U547">
            <v>5</v>
          </cell>
          <cell r="V547" t="str">
            <v>CENTRO</v>
          </cell>
          <cell r="W547" t="str">
            <v>(773) 101-7232 CEL</v>
          </cell>
          <cell r="X547" t="str">
            <v/>
          </cell>
          <cell r="Y547" t="str">
            <v/>
          </cell>
          <cell r="Z547" t="str">
            <v/>
          </cell>
          <cell r="AA547" t="str">
            <v>(763) 786-1237</v>
          </cell>
          <cell r="AB547" t="str">
            <v xml:space="preserve">     DESC</v>
          </cell>
          <cell r="AC547" t="str">
            <v>F0501</v>
          </cell>
          <cell r="AD547" t="str">
            <v/>
          </cell>
          <cell r="AE547" t="str">
            <v/>
          </cell>
          <cell r="AF547" t="str">
            <v/>
          </cell>
          <cell r="AG547">
            <v>42313</v>
          </cell>
          <cell r="AH547" t="str">
            <v>N</v>
          </cell>
          <cell r="AI547">
            <v>0</v>
          </cell>
          <cell r="AJ547">
            <v>0</v>
          </cell>
          <cell r="AK547">
            <v>0</v>
          </cell>
          <cell r="AL547">
            <v>364</v>
          </cell>
          <cell r="AM547">
            <v>11701</v>
          </cell>
          <cell r="AN547">
            <v>0</v>
          </cell>
        </row>
        <row r="548">
          <cell r="A548">
            <v>2449</v>
          </cell>
          <cell r="B548" t="str">
            <v xml:space="preserve">IVAN OLVERA (SALAMANCA)           </v>
          </cell>
          <cell r="C548">
            <v>0</v>
          </cell>
          <cell r="D548" t="str">
            <v xml:space="preserve">TOMASA ESTEBES #108                     </v>
          </cell>
          <cell r="E548" t="str">
            <v xml:space="preserve">SALAMANCA, GTO.               </v>
          </cell>
          <cell r="F548">
            <v>0</v>
          </cell>
          <cell r="G548" t="str">
            <v>(464) 125-3549</v>
          </cell>
          <cell r="H548">
            <v>0</v>
          </cell>
          <cell r="I548">
            <v>0</v>
          </cell>
          <cell r="J548" t="str">
            <v>F04</v>
          </cell>
          <cell r="K548">
            <v>0</v>
          </cell>
          <cell r="L548">
            <v>0</v>
          </cell>
          <cell r="M548">
            <v>0</v>
          </cell>
          <cell r="N548">
            <v>0</v>
          </cell>
          <cell r="O548">
            <v>0</v>
          </cell>
          <cell r="P548">
            <v>0</v>
          </cell>
          <cell r="Q548">
            <v>0</v>
          </cell>
          <cell r="R548">
            <v>0</v>
          </cell>
          <cell r="S548">
            <v>0</v>
          </cell>
          <cell r="T548">
            <v>0</v>
          </cell>
          <cell r="U548">
            <v>0</v>
          </cell>
          <cell r="V548" t="str">
            <v>CENTRO</v>
          </cell>
          <cell r="W548">
            <v>0</v>
          </cell>
          <cell r="X548">
            <v>0</v>
          </cell>
        </row>
        <row r="549">
          <cell r="A549">
            <v>2450</v>
          </cell>
          <cell r="B549" t="str">
            <v>FABIOLA QUINTANAR (POLOTITLAN)</v>
          </cell>
          <cell r="C549">
            <v>0</v>
          </cell>
          <cell r="D549" t="str">
            <v xml:space="preserve">NICOLAS BRAVO #17                       </v>
          </cell>
          <cell r="E549" t="str">
            <v xml:space="preserve">POLOTITLAN, EDO. DE MEXICO    </v>
          </cell>
          <cell r="F549">
            <v>0</v>
          </cell>
          <cell r="G549" t="str">
            <v>(427) 272-2544 RAUL</v>
          </cell>
          <cell r="H549">
            <v>0</v>
          </cell>
          <cell r="I549">
            <v>0</v>
          </cell>
          <cell r="J549" t="str">
            <v>F02</v>
          </cell>
          <cell r="K549">
            <v>0</v>
          </cell>
          <cell r="L549">
            <v>0</v>
          </cell>
          <cell r="M549">
            <v>0</v>
          </cell>
          <cell r="N549">
            <v>0</v>
          </cell>
          <cell r="O549">
            <v>0</v>
          </cell>
          <cell r="P549">
            <v>1</v>
          </cell>
          <cell r="Q549">
            <v>0</v>
          </cell>
          <cell r="R549">
            <v>0</v>
          </cell>
          <cell r="S549">
            <v>0</v>
          </cell>
          <cell r="T549">
            <v>0</v>
          </cell>
          <cell r="U549">
            <v>0</v>
          </cell>
          <cell r="V549" t="str">
            <v>CENTRO</v>
          </cell>
          <cell r="W549">
            <v>0</v>
          </cell>
          <cell r="X549">
            <v>0</v>
          </cell>
        </row>
        <row r="550">
          <cell r="A550">
            <v>2451</v>
          </cell>
          <cell r="B550" t="str">
            <v>LORENA MUÑOZ "LUZ MARIAN" (COACALCO)</v>
          </cell>
          <cell r="C550">
            <v>0</v>
          </cell>
          <cell r="D550" t="str">
            <v>16 DE SEPTIEMBRE #19</v>
          </cell>
          <cell r="E550" t="str">
            <v>COACALCO, EDO. DE MEXICO</v>
          </cell>
          <cell r="F550">
            <v>0</v>
          </cell>
          <cell r="G550" t="str">
            <v>(55) 4420-1976</v>
          </cell>
          <cell r="H550">
            <v>0</v>
          </cell>
          <cell r="I550">
            <v>0</v>
          </cell>
          <cell r="J550" t="str">
            <v>F02A</v>
          </cell>
          <cell r="K550">
            <v>0</v>
          </cell>
          <cell r="L550">
            <v>0</v>
          </cell>
          <cell r="M550">
            <v>0</v>
          </cell>
          <cell r="N550">
            <v>0</v>
          </cell>
          <cell r="O550">
            <v>0</v>
          </cell>
          <cell r="P550">
            <v>0</v>
          </cell>
          <cell r="Q550">
            <v>0</v>
          </cell>
          <cell r="R550">
            <v>0</v>
          </cell>
          <cell r="S550">
            <v>0</v>
          </cell>
          <cell r="T550">
            <v>0</v>
          </cell>
          <cell r="U550">
            <v>0</v>
          </cell>
          <cell r="V550" t="str">
            <v>CENTRO</v>
          </cell>
          <cell r="W550">
            <v>0</v>
          </cell>
          <cell r="X550">
            <v>0</v>
          </cell>
        </row>
        <row r="551">
          <cell r="A551">
            <v>2452</v>
          </cell>
          <cell r="B551" t="str">
            <v>LAURA MARGARITA RAMOS MEZA</v>
          </cell>
          <cell r="C551">
            <v>0</v>
          </cell>
          <cell r="D551" t="str">
            <v>VERBASCO #104, SOBRE BLVD. VICENTE VALTIERRA</v>
          </cell>
          <cell r="E551" t="str">
            <v>LEON, GTO.</v>
          </cell>
          <cell r="F551" t="str">
            <v>37296</v>
          </cell>
          <cell r="G551" t="str">
            <v>(477) 558-4120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t="str">
            <v>SOBERNA RESIDENCIAL</v>
          </cell>
          <cell r="W551">
            <v>0</v>
          </cell>
          <cell r="X551">
            <v>0</v>
          </cell>
        </row>
        <row r="552">
          <cell r="A552">
            <v>2453</v>
          </cell>
          <cell r="B552" t="str">
            <v>JUANA SIMON (TEZONTEPEC)</v>
          </cell>
          <cell r="C552">
            <v>0</v>
          </cell>
          <cell r="D552" t="str">
            <v>INSURGENTES #1</v>
          </cell>
          <cell r="E552" t="str">
            <v>TEZONTEPEC, HGO.</v>
          </cell>
          <cell r="F552">
            <v>0</v>
          </cell>
          <cell r="G552" t="str">
            <v>(763) 737-5022 LOCAL</v>
          </cell>
          <cell r="H552">
            <v>0</v>
          </cell>
          <cell r="I552">
            <v>0</v>
          </cell>
          <cell r="J552" t="str">
            <v>F02</v>
          </cell>
          <cell r="K552">
            <v>0</v>
          </cell>
          <cell r="L552">
            <v>0</v>
          </cell>
          <cell r="M552">
            <v>0</v>
          </cell>
          <cell r="N552">
            <v>0</v>
          </cell>
          <cell r="O552">
            <v>0</v>
          </cell>
          <cell r="P552">
            <v>0</v>
          </cell>
          <cell r="Q552">
            <v>0</v>
          </cell>
          <cell r="R552">
            <v>0</v>
          </cell>
          <cell r="S552">
            <v>0</v>
          </cell>
          <cell r="T552">
            <v>0</v>
          </cell>
          <cell r="U552">
            <v>0</v>
          </cell>
          <cell r="V552" t="str">
            <v>CENTRO</v>
          </cell>
          <cell r="W552">
            <v>0</v>
          </cell>
          <cell r="X552">
            <v>0</v>
          </cell>
        </row>
        <row r="553">
          <cell r="A553">
            <v>2454</v>
          </cell>
          <cell r="B553" t="str">
            <v>MARIA EUGENIA CHAVEZ (HUICHAPAN)</v>
          </cell>
          <cell r="C553">
            <v>0</v>
          </cell>
          <cell r="D553" t="str">
            <v xml:space="preserve">AV. QUINTA RUEDA S/N                    </v>
          </cell>
          <cell r="E553" t="str">
            <v xml:space="preserve">HUICHAPAN, HGO.               </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t="str">
            <v>CENTRO</v>
          </cell>
          <cell r="W553">
            <v>0</v>
          </cell>
          <cell r="X553">
            <v>0</v>
          </cell>
        </row>
        <row r="554">
          <cell r="A554">
            <v>2455</v>
          </cell>
          <cell r="B554" t="str">
            <v xml:space="preserve">ANTONIO PAMPLONA                                            </v>
          </cell>
          <cell r="C554">
            <v>0</v>
          </cell>
          <cell r="D554" t="str">
            <v xml:space="preserve">TODO PARA SU BEBE                       </v>
          </cell>
          <cell r="E554">
            <v>0</v>
          </cell>
          <cell r="F554">
            <v>0</v>
          </cell>
          <cell r="G554" t="str">
            <v>(55) 3555-2197</v>
          </cell>
          <cell r="H554">
            <v>0</v>
          </cell>
          <cell r="I554">
            <v>0</v>
          </cell>
          <cell r="J554" t="str">
            <v>F02A</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row>
        <row r="555">
          <cell r="A555">
            <v>2456</v>
          </cell>
          <cell r="B555" t="str">
            <v>DIANA RAMIREZ (A. EL GRANDE)</v>
          </cell>
          <cell r="C555">
            <v>0</v>
          </cell>
          <cell r="D555">
            <v>0</v>
          </cell>
          <cell r="E555" t="str">
            <v>APASEO EL GRANDE, GTO.</v>
          </cell>
          <cell r="F555">
            <v>0</v>
          </cell>
          <cell r="G555">
            <v>0</v>
          </cell>
          <cell r="H555">
            <v>0</v>
          </cell>
          <cell r="I555">
            <v>0</v>
          </cell>
          <cell r="J555" t="str">
            <v>F04</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row>
        <row r="556">
          <cell r="A556">
            <v>2457</v>
          </cell>
          <cell r="B556" t="str">
            <v>CECILIA LOPEZ (TLAXCOAPAN)</v>
          </cell>
          <cell r="C556">
            <v>0</v>
          </cell>
          <cell r="D556" t="str">
            <v>AV. REFORMA, INT. PLAZA SAN JUAN</v>
          </cell>
          <cell r="E556" t="str">
            <v>TLAXCOAPAN, HGO.</v>
          </cell>
          <cell r="F556">
            <v>0</v>
          </cell>
          <cell r="G556" t="str">
            <v>(333) 440-4779</v>
          </cell>
          <cell r="H556">
            <v>0</v>
          </cell>
          <cell r="I556">
            <v>0</v>
          </cell>
          <cell r="J556" t="str">
            <v>F02B</v>
          </cell>
          <cell r="K556">
            <v>0</v>
          </cell>
          <cell r="L556">
            <v>0</v>
          </cell>
          <cell r="M556">
            <v>0</v>
          </cell>
          <cell r="N556">
            <v>0</v>
          </cell>
          <cell r="O556">
            <v>0</v>
          </cell>
          <cell r="P556">
            <v>0</v>
          </cell>
          <cell r="Q556">
            <v>0</v>
          </cell>
          <cell r="R556">
            <v>0</v>
          </cell>
          <cell r="S556">
            <v>0</v>
          </cell>
          <cell r="T556">
            <v>0</v>
          </cell>
          <cell r="U556">
            <v>0</v>
          </cell>
          <cell r="V556" t="str">
            <v>CENTRO</v>
          </cell>
          <cell r="W556">
            <v>0</v>
          </cell>
          <cell r="X556">
            <v>0</v>
          </cell>
        </row>
        <row r="557">
          <cell r="A557">
            <v>2458</v>
          </cell>
          <cell r="B557" t="str">
            <v>ADELI CHAVEZ TORREZ (E. MONTES)</v>
          </cell>
          <cell r="C557">
            <v>0</v>
          </cell>
          <cell r="D557" t="str">
            <v>HEROICO COLOGIO MILITAR</v>
          </cell>
          <cell r="E557" t="str">
            <v>EZEQUIEL MONTES, QRO.</v>
          </cell>
          <cell r="F557">
            <v>0</v>
          </cell>
          <cell r="G557">
            <v>0</v>
          </cell>
          <cell r="H557">
            <v>0</v>
          </cell>
          <cell r="I557">
            <v>0</v>
          </cell>
          <cell r="J557" t="str">
            <v>J02</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row>
        <row r="558">
          <cell r="A558">
            <v>2459</v>
          </cell>
          <cell r="B558" t="str">
            <v xml:space="preserve">ALDO ROMERO (TULANCINGO)                                    </v>
          </cell>
          <cell r="C558">
            <v>0</v>
          </cell>
          <cell r="D558" t="str">
            <v xml:space="preserve">JUAREZ SUR #206                         </v>
          </cell>
          <cell r="E558" t="str">
            <v>TULANCINGO, HGO.</v>
          </cell>
          <cell r="F558">
            <v>0</v>
          </cell>
          <cell r="G558" t="str">
            <v>(775) 180-8923</v>
          </cell>
          <cell r="H558">
            <v>0</v>
          </cell>
          <cell r="I558">
            <v>0</v>
          </cell>
          <cell r="J558" t="str">
            <v>F02B</v>
          </cell>
          <cell r="K558">
            <v>0</v>
          </cell>
          <cell r="L558">
            <v>0</v>
          </cell>
          <cell r="M558">
            <v>0</v>
          </cell>
          <cell r="N558">
            <v>0</v>
          </cell>
          <cell r="O558">
            <v>0</v>
          </cell>
          <cell r="P558">
            <v>0</v>
          </cell>
          <cell r="Q558">
            <v>0</v>
          </cell>
          <cell r="R558">
            <v>0</v>
          </cell>
          <cell r="S558">
            <v>0</v>
          </cell>
          <cell r="T558">
            <v>0</v>
          </cell>
          <cell r="U558">
            <v>0</v>
          </cell>
          <cell r="V558" t="str">
            <v>CENTRO</v>
          </cell>
          <cell r="W558">
            <v>0</v>
          </cell>
          <cell r="X558">
            <v>0</v>
          </cell>
        </row>
        <row r="559">
          <cell r="A559">
            <v>2460</v>
          </cell>
          <cell r="B559" t="str">
            <v xml:space="preserve">MARIA GRACIA HERNADEZ (SAN JUAN)    </v>
          </cell>
          <cell r="C559">
            <v>0</v>
          </cell>
          <cell r="D559" t="str">
            <v xml:space="preserve">MERCADO REFORMA LOC. 149-A              </v>
          </cell>
          <cell r="E559" t="str">
            <v xml:space="preserve">SAN JUAN DEL RIO, QRO.        </v>
          </cell>
          <cell r="F559">
            <v>0</v>
          </cell>
          <cell r="G559" t="str">
            <v>(427) 120-4049</v>
          </cell>
          <cell r="H559">
            <v>0</v>
          </cell>
          <cell r="I559">
            <v>0</v>
          </cell>
          <cell r="J559" t="str">
            <v>J01</v>
          </cell>
          <cell r="K559">
            <v>0</v>
          </cell>
          <cell r="L559">
            <v>0</v>
          </cell>
          <cell r="M559">
            <v>0</v>
          </cell>
          <cell r="N559">
            <v>0</v>
          </cell>
          <cell r="O559">
            <v>0</v>
          </cell>
          <cell r="P559">
            <v>0</v>
          </cell>
          <cell r="Q559">
            <v>0</v>
          </cell>
          <cell r="R559">
            <v>0</v>
          </cell>
          <cell r="S559">
            <v>0</v>
          </cell>
          <cell r="T559">
            <v>0</v>
          </cell>
          <cell r="U559">
            <v>0</v>
          </cell>
          <cell r="V559" t="str">
            <v>CENTRO</v>
          </cell>
          <cell r="W559">
            <v>0</v>
          </cell>
          <cell r="X559">
            <v>0</v>
          </cell>
        </row>
        <row r="560">
          <cell r="A560">
            <v>2461</v>
          </cell>
          <cell r="B560" t="str">
            <v>ANA LEON ROJAS (A. EL GRANDE)</v>
          </cell>
          <cell r="C560">
            <v>0</v>
          </cell>
          <cell r="D560" t="str">
            <v>GUADALUPE VICTORIA #209</v>
          </cell>
          <cell r="E560" t="str">
            <v>APASEO EL GRANDE, GTO.</v>
          </cell>
          <cell r="F560">
            <v>0</v>
          </cell>
          <cell r="G560" t="str">
            <v>(413) 129-4214</v>
          </cell>
          <cell r="H560">
            <v>0</v>
          </cell>
          <cell r="I560">
            <v>0</v>
          </cell>
          <cell r="J560" t="str">
            <v>F04</v>
          </cell>
          <cell r="K560">
            <v>0</v>
          </cell>
          <cell r="L560">
            <v>0</v>
          </cell>
          <cell r="M560">
            <v>0</v>
          </cell>
          <cell r="N560">
            <v>0</v>
          </cell>
          <cell r="O560">
            <v>0</v>
          </cell>
          <cell r="P560">
            <v>0</v>
          </cell>
          <cell r="Q560">
            <v>0</v>
          </cell>
          <cell r="R560">
            <v>0</v>
          </cell>
          <cell r="S560">
            <v>0</v>
          </cell>
          <cell r="T560">
            <v>0</v>
          </cell>
          <cell r="U560">
            <v>0</v>
          </cell>
          <cell r="V560" t="str">
            <v>CENTRO</v>
          </cell>
          <cell r="W560">
            <v>0</v>
          </cell>
          <cell r="X560">
            <v>0</v>
          </cell>
        </row>
        <row r="561">
          <cell r="A561">
            <v>2462</v>
          </cell>
          <cell r="B561" t="str">
            <v>FRANCISCO JAVIER DEL ANGEL BAUTISTA (TEXAS)</v>
          </cell>
          <cell r="C561">
            <v>0</v>
          </cell>
          <cell r="D561" t="str">
            <v>210 NORTH MADISSON MOUNT PLEASANT</v>
          </cell>
          <cell r="E561" t="str">
            <v>TEXAS</v>
          </cell>
          <cell r="F561" t="str">
            <v>75455</v>
          </cell>
          <cell r="G561" t="str">
            <v>903 285 8179</v>
          </cell>
          <cell r="H561">
            <v>0</v>
          </cell>
          <cell r="I561">
            <v>0</v>
          </cell>
          <cell r="J561">
            <v>0</v>
          </cell>
          <cell r="K561">
            <v>0</v>
          </cell>
          <cell r="L561">
            <v>0</v>
          </cell>
          <cell r="M561">
            <v>0</v>
          </cell>
          <cell r="N561">
            <v>0</v>
          </cell>
          <cell r="O561">
            <v>0</v>
          </cell>
          <cell r="P561">
            <v>0</v>
          </cell>
          <cell r="Q561">
            <v>0</v>
          </cell>
          <cell r="R561">
            <v>0</v>
          </cell>
          <cell r="S561">
            <v>0</v>
          </cell>
          <cell r="T561">
            <v>0</v>
          </cell>
          <cell r="U561">
            <v>0</v>
          </cell>
          <cell r="V561">
            <v>0</v>
          </cell>
          <cell r="W561">
            <v>0</v>
          </cell>
          <cell r="X561">
            <v>0</v>
          </cell>
        </row>
        <row r="562">
          <cell r="A562">
            <v>2463</v>
          </cell>
          <cell r="B562" t="str">
            <v>ERIKA BECERRA (QUERETARO)</v>
          </cell>
          <cell r="C562" t="str">
            <v>PAPELERIA LA RED</v>
          </cell>
          <cell r="D562" t="str">
            <v>MERCADO ESCOBEDO LOCAL 14</v>
          </cell>
          <cell r="E562" t="str">
            <v>QUERETARO, QRO.</v>
          </cell>
          <cell r="F562">
            <v>0</v>
          </cell>
          <cell r="G562" t="str">
            <v>(442) 149-1895</v>
          </cell>
          <cell r="H562">
            <v>0</v>
          </cell>
          <cell r="I562">
            <v>0</v>
          </cell>
          <cell r="J562" t="str">
            <v>L04</v>
          </cell>
          <cell r="K562">
            <v>0</v>
          </cell>
          <cell r="L562">
            <v>0</v>
          </cell>
          <cell r="M562">
            <v>0</v>
          </cell>
          <cell r="N562">
            <v>0</v>
          </cell>
          <cell r="O562">
            <v>0</v>
          </cell>
          <cell r="P562">
            <v>0</v>
          </cell>
          <cell r="Q562">
            <v>0</v>
          </cell>
          <cell r="R562">
            <v>0</v>
          </cell>
          <cell r="S562">
            <v>0</v>
          </cell>
          <cell r="T562">
            <v>0</v>
          </cell>
          <cell r="U562">
            <v>0</v>
          </cell>
          <cell r="V562">
            <v>0</v>
          </cell>
          <cell r="W562">
            <v>0</v>
          </cell>
          <cell r="X562">
            <v>0</v>
          </cell>
        </row>
        <row r="563">
          <cell r="A563">
            <v>2464</v>
          </cell>
          <cell r="B563" t="str">
            <v>LETICIA VILLEDA (ESCOBEDO)</v>
          </cell>
          <cell r="C563">
            <v>0</v>
          </cell>
          <cell r="D563" t="str">
            <v>PANAMERICANA #11</v>
          </cell>
          <cell r="E563" t="str">
            <v>PEDRO ESCOBEDO, QRO.</v>
          </cell>
          <cell r="F563">
            <v>0</v>
          </cell>
          <cell r="G563" t="str">
            <v>(442) 300-0166</v>
          </cell>
          <cell r="H563">
            <v>0</v>
          </cell>
          <cell r="I563">
            <v>0</v>
          </cell>
          <cell r="J563" t="str">
            <v>L04</v>
          </cell>
          <cell r="K563">
            <v>0</v>
          </cell>
          <cell r="L563">
            <v>0</v>
          </cell>
          <cell r="M563">
            <v>0</v>
          </cell>
          <cell r="N563">
            <v>0</v>
          </cell>
          <cell r="O563">
            <v>0</v>
          </cell>
          <cell r="P563">
            <v>0</v>
          </cell>
          <cell r="Q563">
            <v>0</v>
          </cell>
          <cell r="R563">
            <v>0</v>
          </cell>
          <cell r="S563">
            <v>0</v>
          </cell>
          <cell r="T563">
            <v>0</v>
          </cell>
          <cell r="U563">
            <v>0</v>
          </cell>
          <cell r="V563" t="str">
            <v>CENTRO</v>
          </cell>
          <cell r="W563">
            <v>0</v>
          </cell>
          <cell r="X563">
            <v>0</v>
          </cell>
        </row>
        <row r="564">
          <cell r="A564">
            <v>2465</v>
          </cell>
          <cell r="B564" t="str">
            <v>ARACELI SALGADO (IXTLAHUACA)</v>
          </cell>
          <cell r="C564">
            <v>0</v>
          </cell>
          <cell r="D564" t="str">
            <v>VICENTE VILLADA #6</v>
          </cell>
          <cell r="E564" t="str">
            <v>IXTLAHUACA, EDO. DE MEXICO</v>
          </cell>
          <cell r="F564">
            <v>0</v>
          </cell>
          <cell r="G564" t="str">
            <v>(712) 114-1986</v>
          </cell>
          <cell r="H564">
            <v>0</v>
          </cell>
          <cell r="I564">
            <v>0</v>
          </cell>
          <cell r="J564" t="str">
            <v>L08</v>
          </cell>
          <cell r="K564">
            <v>0</v>
          </cell>
          <cell r="L564">
            <v>0</v>
          </cell>
          <cell r="M564">
            <v>0</v>
          </cell>
          <cell r="N564">
            <v>0</v>
          </cell>
          <cell r="O564">
            <v>0</v>
          </cell>
          <cell r="P564">
            <v>0</v>
          </cell>
          <cell r="Q564">
            <v>0</v>
          </cell>
          <cell r="R564">
            <v>0</v>
          </cell>
          <cell r="S564">
            <v>0</v>
          </cell>
          <cell r="T564">
            <v>0</v>
          </cell>
          <cell r="U564">
            <v>0</v>
          </cell>
          <cell r="V564">
            <v>0</v>
          </cell>
          <cell r="W564">
            <v>0</v>
          </cell>
          <cell r="X564">
            <v>0</v>
          </cell>
        </row>
        <row r="565">
          <cell r="A565">
            <v>2466</v>
          </cell>
          <cell r="B565" t="str">
            <v>GLORIA DE LA CRUZ (IXTLAHUACA)</v>
          </cell>
          <cell r="C565">
            <v>0</v>
          </cell>
          <cell r="D565" t="str">
            <v>JUAREZ #208</v>
          </cell>
          <cell r="E565" t="str">
            <v>IXTLAHUACA, EDO. DE MEXICO</v>
          </cell>
          <cell r="F565">
            <v>0</v>
          </cell>
          <cell r="G565">
            <v>0</v>
          </cell>
          <cell r="H565">
            <v>0</v>
          </cell>
          <cell r="I565">
            <v>0</v>
          </cell>
          <cell r="J565" t="str">
            <v>L08</v>
          </cell>
          <cell r="K565">
            <v>0</v>
          </cell>
          <cell r="L565">
            <v>0</v>
          </cell>
          <cell r="M565">
            <v>0</v>
          </cell>
          <cell r="N565">
            <v>0</v>
          </cell>
          <cell r="O565">
            <v>0</v>
          </cell>
          <cell r="P565">
            <v>0</v>
          </cell>
          <cell r="Q565">
            <v>0</v>
          </cell>
          <cell r="R565">
            <v>0</v>
          </cell>
          <cell r="S565">
            <v>0</v>
          </cell>
          <cell r="T565">
            <v>0</v>
          </cell>
          <cell r="U565">
            <v>0</v>
          </cell>
          <cell r="V565" t="str">
            <v>CENTRO</v>
          </cell>
          <cell r="W565">
            <v>0</v>
          </cell>
          <cell r="X565">
            <v>0</v>
          </cell>
        </row>
        <row r="566">
          <cell r="A566">
            <v>2467</v>
          </cell>
          <cell r="B566" t="str">
            <v>LETY (TOLUCA)</v>
          </cell>
          <cell r="C566">
            <v>0</v>
          </cell>
          <cell r="D566" t="str">
            <v>MERCADO LOCAL 8-9-10</v>
          </cell>
          <cell r="E566" t="str">
            <v xml:space="preserve">TOLUCA, EDO. DE MEXICO        </v>
          </cell>
          <cell r="F566">
            <v>0</v>
          </cell>
          <cell r="G566" t="str">
            <v>(55) 2913-5454</v>
          </cell>
          <cell r="H566">
            <v>0</v>
          </cell>
          <cell r="I566">
            <v>0</v>
          </cell>
          <cell r="J566" t="str">
            <v>L08</v>
          </cell>
          <cell r="K566">
            <v>0</v>
          </cell>
          <cell r="L566">
            <v>0</v>
          </cell>
          <cell r="M566">
            <v>0</v>
          </cell>
          <cell r="N566">
            <v>0</v>
          </cell>
          <cell r="O566">
            <v>0</v>
          </cell>
          <cell r="P566">
            <v>0</v>
          </cell>
          <cell r="Q566">
            <v>0</v>
          </cell>
          <cell r="R566">
            <v>0</v>
          </cell>
          <cell r="S566">
            <v>0</v>
          </cell>
          <cell r="T566">
            <v>0</v>
          </cell>
          <cell r="U566">
            <v>0</v>
          </cell>
          <cell r="V566" t="str">
            <v>CENTRO</v>
          </cell>
          <cell r="W566">
            <v>0</v>
          </cell>
          <cell r="X566">
            <v>0</v>
          </cell>
        </row>
        <row r="567">
          <cell r="A567">
            <v>2468</v>
          </cell>
          <cell r="B567" t="str">
            <v>LIZETH FLORES OLVERA (COYOTEPEC)</v>
          </cell>
          <cell r="C567">
            <v>0</v>
          </cell>
          <cell r="D567" t="str">
            <v>MERCADO MUNICIPAL LOC. 23</v>
          </cell>
          <cell r="E567" t="str">
            <v>COYOTEPEC, EDO. DE MEXICO</v>
          </cell>
          <cell r="F567">
            <v>0</v>
          </cell>
          <cell r="G567" t="str">
            <v>(55) 4778-9244</v>
          </cell>
          <cell r="H567">
            <v>0</v>
          </cell>
          <cell r="I567">
            <v>0</v>
          </cell>
          <cell r="J567" t="str">
            <v>F02</v>
          </cell>
          <cell r="K567">
            <v>0</v>
          </cell>
          <cell r="L567">
            <v>0</v>
          </cell>
          <cell r="M567">
            <v>0</v>
          </cell>
          <cell r="N567">
            <v>0</v>
          </cell>
          <cell r="O567">
            <v>0</v>
          </cell>
          <cell r="P567">
            <v>0</v>
          </cell>
          <cell r="Q567">
            <v>0</v>
          </cell>
          <cell r="R567">
            <v>0</v>
          </cell>
          <cell r="S567">
            <v>0</v>
          </cell>
          <cell r="T567">
            <v>0</v>
          </cell>
          <cell r="U567">
            <v>0</v>
          </cell>
          <cell r="V567" t="str">
            <v>CENTRO</v>
          </cell>
          <cell r="W567">
            <v>0</v>
          </cell>
          <cell r="X567">
            <v>0</v>
          </cell>
        </row>
        <row r="568">
          <cell r="A568">
            <v>2469</v>
          </cell>
          <cell r="B568" t="str">
            <v>ADRIANA VEGA (EZEQUIEL M.)</v>
          </cell>
          <cell r="C568">
            <v>0</v>
          </cell>
          <cell r="D568" t="str">
            <v>BY MOMENTS</v>
          </cell>
          <cell r="E568" t="str">
            <v>EZEQUIEL MONTES, QRO.</v>
          </cell>
          <cell r="F568">
            <v>0</v>
          </cell>
          <cell r="G568" t="str">
            <v>(441) 114-5080</v>
          </cell>
          <cell r="H568">
            <v>0</v>
          </cell>
          <cell r="I568">
            <v>0</v>
          </cell>
          <cell r="J568" t="str">
            <v>J02</v>
          </cell>
          <cell r="K568">
            <v>0</v>
          </cell>
          <cell r="L568">
            <v>0</v>
          </cell>
          <cell r="M568">
            <v>0</v>
          </cell>
          <cell r="N568">
            <v>0</v>
          </cell>
          <cell r="O568">
            <v>0</v>
          </cell>
          <cell r="P568">
            <v>0</v>
          </cell>
          <cell r="Q568">
            <v>0</v>
          </cell>
          <cell r="R568">
            <v>0</v>
          </cell>
          <cell r="S568">
            <v>0</v>
          </cell>
          <cell r="T568">
            <v>0</v>
          </cell>
          <cell r="U568">
            <v>0</v>
          </cell>
          <cell r="V568">
            <v>0</v>
          </cell>
          <cell r="W568">
            <v>0</v>
          </cell>
          <cell r="X568">
            <v>0</v>
          </cell>
        </row>
        <row r="569">
          <cell r="A569">
            <v>2470</v>
          </cell>
          <cell r="B569" t="str">
            <v>ELIUD MEDRANO (MARAVATIO)</v>
          </cell>
          <cell r="C569">
            <v>0</v>
          </cell>
          <cell r="D569" t="str">
            <v>AQUILE SERDAN #414</v>
          </cell>
          <cell r="E569" t="str">
            <v>MARAVATIO, MICH.</v>
          </cell>
          <cell r="F569">
            <v>0</v>
          </cell>
          <cell r="G569">
            <v>0</v>
          </cell>
          <cell r="H569">
            <v>0</v>
          </cell>
          <cell r="I569">
            <v>0</v>
          </cell>
          <cell r="J569">
            <v>0</v>
          </cell>
          <cell r="K569">
            <v>0</v>
          </cell>
          <cell r="L569">
            <v>0</v>
          </cell>
          <cell r="M569">
            <v>0</v>
          </cell>
          <cell r="N569">
            <v>0</v>
          </cell>
          <cell r="O569">
            <v>0</v>
          </cell>
          <cell r="P569">
            <v>0</v>
          </cell>
          <cell r="Q569">
            <v>0</v>
          </cell>
          <cell r="R569">
            <v>0</v>
          </cell>
          <cell r="S569">
            <v>0</v>
          </cell>
          <cell r="T569">
            <v>0</v>
          </cell>
          <cell r="U569">
            <v>0</v>
          </cell>
          <cell r="V569" t="str">
            <v>CENTRO</v>
          </cell>
          <cell r="W569">
            <v>0</v>
          </cell>
          <cell r="X569">
            <v>0</v>
          </cell>
        </row>
        <row r="570">
          <cell r="A570">
            <v>2471</v>
          </cell>
          <cell r="B570" t="str">
            <v>LAURA ELENA ANAYA GONZALEZ (IRAPUATO)</v>
          </cell>
          <cell r="C570">
            <v>0</v>
          </cell>
          <cell r="D570">
            <v>0</v>
          </cell>
          <cell r="E570" t="str">
            <v>IRAPUATO, GTO.</v>
          </cell>
          <cell r="F570">
            <v>0</v>
          </cell>
          <cell r="G570">
            <v>0</v>
          </cell>
          <cell r="H570">
            <v>0</v>
          </cell>
          <cell r="I570">
            <v>0</v>
          </cell>
          <cell r="J570" t="str">
            <v>F04</v>
          </cell>
          <cell r="K570">
            <v>0</v>
          </cell>
          <cell r="L570">
            <v>0</v>
          </cell>
          <cell r="M570">
            <v>0</v>
          </cell>
          <cell r="N570">
            <v>0</v>
          </cell>
          <cell r="O570">
            <v>0</v>
          </cell>
          <cell r="P570">
            <v>0</v>
          </cell>
          <cell r="Q570">
            <v>0</v>
          </cell>
          <cell r="R570">
            <v>0</v>
          </cell>
          <cell r="S570">
            <v>0</v>
          </cell>
          <cell r="T570">
            <v>0</v>
          </cell>
          <cell r="U570">
            <v>0</v>
          </cell>
          <cell r="V570">
            <v>0</v>
          </cell>
          <cell r="W570">
            <v>0</v>
          </cell>
          <cell r="X570">
            <v>0</v>
          </cell>
        </row>
        <row r="571">
          <cell r="A571">
            <v>2472</v>
          </cell>
          <cell r="B571" t="str">
            <v xml:space="preserve">MA. DE LA LUZ BAUTISTA (ZUMPANGO)                                   </v>
          </cell>
          <cell r="C571" t="str">
            <v/>
          </cell>
          <cell r="D571">
            <v>0</v>
          </cell>
          <cell r="E571" t="str">
            <v xml:space="preserve">ZUMPANGO, EDO. DE MEXICO      </v>
          </cell>
          <cell r="F571" t="str">
            <v/>
          </cell>
          <cell r="G571">
            <v>0</v>
          </cell>
          <cell r="H571" t="str">
            <v>MARICELA MUÑOZ</v>
          </cell>
          <cell r="I571" t="str">
            <v>MARICELA MUÑOZ</v>
          </cell>
          <cell r="J571" t="str">
            <v>F02A</v>
          </cell>
          <cell r="K571" t="str">
            <v/>
          </cell>
          <cell r="L571">
            <v>0</v>
          </cell>
          <cell r="M571">
            <v>488</v>
          </cell>
          <cell r="N571" t="str">
            <v>A</v>
          </cell>
          <cell r="O571">
            <v>41957</v>
          </cell>
          <cell r="P571" t="str">
            <v xml:space="preserve">    2</v>
          </cell>
          <cell r="Q571">
            <v>0</v>
          </cell>
          <cell r="R571">
            <v>0</v>
          </cell>
          <cell r="S571">
            <v>0</v>
          </cell>
          <cell r="T571">
            <v>1535</v>
          </cell>
          <cell r="U571">
            <v>0</v>
          </cell>
          <cell r="V571">
            <v>0</v>
          </cell>
          <cell r="W571" t="str">
            <v/>
          </cell>
          <cell r="X571" t="str">
            <v>atzimbaprodule@hotmail.com</v>
          </cell>
          <cell r="Y571" t="str">
            <v/>
          </cell>
          <cell r="Z571" t="str">
            <v/>
          </cell>
          <cell r="AA571" t="str">
            <v/>
          </cell>
          <cell r="AB571" t="str">
            <v/>
          </cell>
          <cell r="AC571" t="str">
            <v>J0580</v>
          </cell>
          <cell r="AD571" t="str">
            <v/>
          </cell>
          <cell r="AE571" t="str">
            <v/>
          </cell>
          <cell r="AF571" t="str">
            <v/>
          </cell>
          <cell r="AH571" t="str">
            <v>N</v>
          </cell>
          <cell r="AI571">
            <v>0</v>
          </cell>
          <cell r="AJ571">
            <v>0</v>
          </cell>
          <cell r="AK571">
            <v>0</v>
          </cell>
          <cell r="AL571">
            <v>0</v>
          </cell>
          <cell r="AM571">
            <v>1535</v>
          </cell>
          <cell r="AN571">
            <v>0</v>
          </cell>
        </row>
        <row r="572">
          <cell r="A572">
            <v>2473</v>
          </cell>
          <cell r="B572" t="str">
            <v>EDITH SERVIN (A. EL ALTO)</v>
          </cell>
          <cell r="C572">
            <v>0</v>
          </cell>
          <cell r="D572" t="str">
            <v>5 DE MAYO #205</v>
          </cell>
          <cell r="E572" t="str">
            <v>APASEO EL ALTO, GTO.</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t="str">
            <v>CENTRO</v>
          </cell>
          <cell r="W572">
            <v>0</v>
          </cell>
          <cell r="X572">
            <v>0</v>
          </cell>
        </row>
        <row r="573">
          <cell r="A573">
            <v>2474</v>
          </cell>
          <cell r="B573" t="str">
            <v>CARLA MARIA CHAVEZ FLORES (QUERETARO)</v>
          </cell>
          <cell r="C573">
            <v>0</v>
          </cell>
          <cell r="D573" t="str">
            <v>16 DE SEPTIEMPBRE #36</v>
          </cell>
          <cell r="E573" t="str">
            <v>QUERETARO, QRO.</v>
          </cell>
          <cell r="F573">
            <v>0</v>
          </cell>
          <cell r="G573" t="str">
            <v>(448) 121-2720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t="str">
            <v>CENTRO</v>
          </cell>
          <cell r="W573">
            <v>0</v>
          </cell>
          <cell r="X573">
            <v>0</v>
          </cell>
        </row>
        <row r="574">
          <cell r="A574">
            <v>2475</v>
          </cell>
          <cell r="B574" t="str">
            <v>ALICIA SANCHEZ (QUERETARO)</v>
          </cell>
          <cell r="C574">
            <v>0</v>
          </cell>
          <cell r="D574">
            <v>0</v>
          </cell>
          <cell r="E574" t="str">
            <v>QUERETARO, QRO.</v>
          </cell>
          <cell r="F574">
            <v>0</v>
          </cell>
          <cell r="G574">
            <v>0</v>
          </cell>
          <cell r="H574">
            <v>0</v>
          </cell>
          <cell r="I574">
            <v>0</v>
          </cell>
          <cell r="J574">
            <v>0</v>
          </cell>
          <cell r="K574">
            <v>0</v>
          </cell>
          <cell r="L574">
            <v>0</v>
          </cell>
          <cell r="M574">
            <v>0</v>
          </cell>
          <cell r="N574">
            <v>0</v>
          </cell>
          <cell r="O574">
            <v>0</v>
          </cell>
          <cell r="P574">
            <v>0</v>
          </cell>
          <cell r="Q574">
            <v>0</v>
          </cell>
          <cell r="R574">
            <v>0</v>
          </cell>
          <cell r="S574">
            <v>0</v>
          </cell>
          <cell r="T574">
            <v>0</v>
          </cell>
          <cell r="U574">
            <v>0</v>
          </cell>
          <cell r="V574">
            <v>0</v>
          </cell>
          <cell r="W574">
            <v>0</v>
          </cell>
          <cell r="X574">
            <v>0</v>
          </cell>
        </row>
        <row r="575">
          <cell r="A575">
            <v>2476</v>
          </cell>
          <cell r="B575" t="str">
            <v>ANA KAREN (ACTOPAN)</v>
          </cell>
          <cell r="C575">
            <v>0</v>
          </cell>
          <cell r="D575">
            <v>0</v>
          </cell>
          <cell r="E575" t="str">
            <v>ACTOPAN, HGO.</v>
          </cell>
          <cell r="F575">
            <v>0</v>
          </cell>
          <cell r="G575">
            <v>0</v>
          </cell>
          <cell r="H575">
            <v>0</v>
          </cell>
          <cell r="I575">
            <v>0</v>
          </cell>
          <cell r="J575">
            <v>0</v>
          </cell>
          <cell r="K575">
            <v>0</v>
          </cell>
          <cell r="L575">
            <v>0</v>
          </cell>
          <cell r="M575">
            <v>0</v>
          </cell>
          <cell r="N575">
            <v>0</v>
          </cell>
          <cell r="O575">
            <v>0</v>
          </cell>
          <cell r="P575">
            <v>0</v>
          </cell>
          <cell r="Q575">
            <v>0</v>
          </cell>
          <cell r="R575">
            <v>0</v>
          </cell>
          <cell r="S575">
            <v>0</v>
          </cell>
          <cell r="T575">
            <v>0</v>
          </cell>
          <cell r="U575">
            <v>0</v>
          </cell>
          <cell r="V575">
            <v>0</v>
          </cell>
          <cell r="W575">
            <v>0</v>
          </cell>
          <cell r="X575">
            <v>0</v>
          </cell>
        </row>
        <row r="576">
          <cell r="A576">
            <v>2477</v>
          </cell>
          <cell r="B576" t="str">
            <v>CELERINA FAJARDO (MARAVATIO)</v>
          </cell>
          <cell r="C576">
            <v>0</v>
          </cell>
          <cell r="D576">
            <v>0</v>
          </cell>
          <cell r="E576" t="str">
            <v>MARAVATIO, MICH.</v>
          </cell>
          <cell r="F576">
            <v>0</v>
          </cell>
          <cell r="G576">
            <v>0</v>
          </cell>
          <cell r="H576">
            <v>0</v>
          </cell>
          <cell r="I576">
            <v>0</v>
          </cell>
          <cell r="J576">
            <v>0</v>
          </cell>
          <cell r="K576">
            <v>0</v>
          </cell>
          <cell r="L576">
            <v>0</v>
          </cell>
          <cell r="M576">
            <v>0</v>
          </cell>
          <cell r="N576">
            <v>0</v>
          </cell>
          <cell r="O576">
            <v>0</v>
          </cell>
          <cell r="P576">
            <v>0</v>
          </cell>
          <cell r="Q576">
            <v>0</v>
          </cell>
          <cell r="R576">
            <v>0</v>
          </cell>
          <cell r="S576">
            <v>0</v>
          </cell>
          <cell r="T576">
            <v>0</v>
          </cell>
          <cell r="U576">
            <v>0</v>
          </cell>
          <cell r="V576">
            <v>0</v>
          </cell>
          <cell r="W576">
            <v>0</v>
          </cell>
          <cell r="X576">
            <v>0</v>
          </cell>
        </row>
        <row r="577">
          <cell r="A577">
            <v>2478</v>
          </cell>
          <cell r="B577" t="str">
            <v>MALE (JILOTEPEC)</v>
          </cell>
          <cell r="C577">
            <v>0</v>
          </cell>
          <cell r="D577">
            <v>0</v>
          </cell>
          <cell r="E577" t="str">
            <v>JILOTEPEC, EDO. DE MEXICO</v>
          </cell>
          <cell r="F577">
            <v>0</v>
          </cell>
          <cell r="G577">
            <v>0</v>
          </cell>
          <cell r="H577">
            <v>0</v>
          </cell>
          <cell r="I577">
            <v>0</v>
          </cell>
          <cell r="J577">
            <v>0</v>
          </cell>
          <cell r="K577">
            <v>0</v>
          </cell>
          <cell r="L577">
            <v>0</v>
          </cell>
          <cell r="M577">
            <v>0</v>
          </cell>
          <cell r="N577">
            <v>0</v>
          </cell>
          <cell r="O577">
            <v>0</v>
          </cell>
          <cell r="P577">
            <v>0</v>
          </cell>
          <cell r="Q577">
            <v>0</v>
          </cell>
          <cell r="R577">
            <v>0</v>
          </cell>
          <cell r="S577">
            <v>0</v>
          </cell>
          <cell r="T577">
            <v>0</v>
          </cell>
          <cell r="U577">
            <v>0</v>
          </cell>
          <cell r="V577">
            <v>0</v>
          </cell>
          <cell r="W577">
            <v>0</v>
          </cell>
          <cell r="X577">
            <v>0</v>
          </cell>
        </row>
        <row r="578">
          <cell r="A578">
            <v>2479</v>
          </cell>
          <cell r="B578" t="str">
            <v>IVONNE LUJANO M. (JUVENTINO ROSAS)</v>
          </cell>
          <cell r="C578">
            <v>0</v>
          </cell>
          <cell r="D578">
            <v>0</v>
          </cell>
          <cell r="E578" t="str">
            <v>JUVENTINO ROSAS, GTO.</v>
          </cell>
          <cell r="F578">
            <v>0</v>
          </cell>
          <cell r="G578">
            <v>0</v>
          </cell>
          <cell r="H578">
            <v>0</v>
          </cell>
          <cell r="I578">
            <v>0</v>
          </cell>
          <cell r="J578">
            <v>0</v>
          </cell>
          <cell r="K578">
            <v>0</v>
          </cell>
          <cell r="L578">
            <v>0</v>
          </cell>
          <cell r="M578">
            <v>0</v>
          </cell>
          <cell r="N578">
            <v>0</v>
          </cell>
          <cell r="O578">
            <v>0</v>
          </cell>
          <cell r="P578">
            <v>0</v>
          </cell>
          <cell r="Q578">
            <v>0</v>
          </cell>
          <cell r="R578">
            <v>0</v>
          </cell>
          <cell r="S578">
            <v>0</v>
          </cell>
          <cell r="T578">
            <v>0</v>
          </cell>
          <cell r="U578">
            <v>0</v>
          </cell>
          <cell r="V578">
            <v>0</v>
          </cell>
          <cell r="W578">
            <v>0</v>
          </cell>
          <cell r="X578">
            <v>0</v>
          </cell>
        </row>
        <row r="579">
          <cell r="A579">
            <v>2480</v>
          </cell>
          <cell r="B579" t="str">
            <v>NOVIAS ELI (SALAMACA)</v>
          </cell>
          <cell r="C579">
            <v>0</v>
          </cell>
          <cell r="D579">
            <v>0</v>
          </cell>
          <cell r="E579" t="str">
            <v>SALAMANCA, GTO.</v>
          </cell>
          <cell r="F579">
            <v>0</v>
          </cell>
          <cell r="G579">
            <v>0</v>
          </cell>
          <cell r="H579">
            <v>0</v>
          </cell>
          <cell r="I579">
            <v>0</v>
          </cell>
          <cell r="J579">
            <v>0</v>
          </cell>
          <cell r="K579">
            <v>0</v>
          </cell>
          <cell r="L579">
            <v>0</v>
          </cell>
          <cell r="M579">
            <v>0</v>
          </cell>
          <cell r="N579">
            <v>0</v>
          </cell>
          <cell r="O579">
            <v>0</v>
          </cell>
          <cell r="P579">
            <v>0</v>
          </cell>
          <cell r="Q579">
            <v>0</v>
          </cell>
          <cell r="R579">
            <v>0</v>
          </cell>
          <cell r="S579">
            <v>0</v>
          </cell>
          <cell r="T579">
            <v>0</v>
          </cell>
          <cell r="U579">
            <v>0</v>
          </cell>
          <cell r="V579">
            <v>0</v>
          </cell>
          <cell r="W579">
            <v>0</v>
          </cell>
          <cell r="X579">
            <v>0</v>
          </cell>
        </row>
        <row r="580">
          <cell r="A580">
            <v>2481</v>
          </cell>
          <cell r="B580" t="str">
            <v>ADRIAN URBIOLA (ACTOPAN)</v>
          </cell>
          <cell r="C580">
            <v>0</v>
          </cell>
          <cell r="D580">
            <v>0</v>
          </cell>
          <cell r="E580" t="str">
            <v>ACTOPAN, HGO.</v>
          </cell>
          <cell r="F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0</v>
          </cell>
        </row>
        <row r="581">
          <cell r="A581">
            <v>2482</v>
          </cell>
          <cell r="B581" t="str">
            <v>LEO (MIXQUIAHIALA)</v>
          </cell>
          <cell r="C581">
            <v>0</v>
          </cell>
          <cell r="D581">
            <v>0</v>
          </cell>
          <cell r="E581" t="str">
            <v>MIXQUIAHUALA, HGO.</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row>
        <row r="582">
          <cell r="A582">
            <v>2483</v>
          </cell>
          <cell r="B582" t="str">
            <v>VANESSA GARCIA (IXMIQUILPAN)</v>
          </cell>
          <cell r="C582">
            <v>0</v>
          </cell>
          <cell r="D582">
            <v>0</v>
          </cell>
          <cell r="E582" t="str">
            <v>IXMIQUILPAN, HGO.</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row>
        <row r="583">
          <cell r="A583">
            <v>2484</v>
          </cell>
          <cell r="B583" t="str">
            <v>ANDREA SAAVEDRA (JUVENTINO)</v>
          </cell>
          <cell r="C583">
            <v>0</v>
          </cell>
          <cell r="D583">
            <v>0</v>
          </cell>
          <cell r="E583" t="str">
            <v>JUVENTINO ROSAS, GTO.</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row>
        <row r="584">
          <cell r="A584">
            <v>2485</v>
          </cell>
          <cell r="B584">
            <v>0</v>
          </cell>
          <cell r="C584">
            <v>0</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row>
        <row r="585">
          <cell r="A585">
            <v>2486</v>
          </cell>
          <cell r="B585">
            <v>0</v>
          </cell>
          <cell r="C585">
            <v>0</v>
          </cell>
          <cell r="D585">
            <v>0</v>
          </cell>
          <cell r="E585">
            <v>0</v>
          </cell>
          <cell r="F585">
            <v>0</v>
          </cell>
          <cell r="G585">
            <v>0</v>
          </cell>
          <cell r="H585">
            <v>0</v>
          </cell>
          <cell r="I585">
            <v>0</v>
          </cell>
          <cell r="J585">
            <v>0</v>
          </cell>
          <cell r="K585">
            <v>0</v>
          </cell>
          <cell r="L585">
            <v>0</v>
          </cell>
          <cell r="M585">
            <v>0</v>
          </cell>
          <cell r="N585">
            <v>0</v>
          </cell>
          <cell r="O585">
            <v>0</v>
          </cell>
          <cell r="P585">
            <v>0</v>
          </cell>
          <cell r="Q585">
            <v>0</v>
          </cell>
          <cell r="R585">
            <v>0</v>
          </cell>
          <cell r="S585">
            <v>0</v>
          </cell>
          <cell r="T585">
            <v>0</v>
          </cell>
          <cell r="U585">
            <v>0</v>
          </cell>
          <cell r="V585">
            <v>0</v>
          </cell>
          <cell r="W585">
            <v>0</v>
          </cell>
          <cell r="X585">
            <v>0</v>
          </cell>
        </row>
        <row r="586">
          <cell r="A586">
            <v>2487</v>
          </cell>
          <cell r="B586">
            <v>0</v>
          </cell>
          <cell r="C586">
            <v>0</v>
          </cell>
          <cell r="D586">
            <v>0</v>
          </cell>
          <cell r="E586">
            <v>0</v>
          </cell>
          <cell r="F586">
            <v>0</v>
          </cell>
          <cell r="G586">
            <v>0</v>
          </cell>
          <cell r="H586">
            <v>0</v>
          </cell>
          <cell r="I586">
            <v>0</v>
          </cell>
          <cell r="J586">
            <v>0</v>
          </cell>
          <cell r="K586">
            <v>0</v>
          </cell>
          <cell r="L586">
            <v>0</v>
          </cell>
          <cell r="M586">
            <v>0</v>
          </cell>
          <cell r="N586">
            <v>0</v>
          </cell>
          <cell r="O586">
            <v>0</v>
          </cell>
          <cell r="P586">
            <v>0</v>
          </cell>
          <cell r="Q586">
            <v>0</v>
          </cell>
          <cell r="R586">
            <v>0</v>
          </cell>
          <cell r="S586">
            <v>0</v>
          </cell>
          <cell r="T586">
            <v>0</v>
          </cell>
          <cell r="U586">
            <v>0</v>
          </cell>
          <cell r="V586">
            <v>0</v>
          </cell>
          <cell r="W586">
            <v>0</v>
          </cell>
          <cell r="X586">
            <v>0</v>
          </cell>
        </row>
        <row r="587">
          <cell r="A587">
            <v>2488</v>
          </cell>
          <cell r="B587">
            <v>0</v>
          </cell>
          <cell r="C587">
            <v>0</v>
          </cell>
          <cell r="D587">
            <v>0</v>
          </cell>
          <cell r="E587">
            <v>0</v>
          </cell>
          <cell r="F587">
            <v>0</v>
          </cell>
          <cell r="G587">
            <v>0</v>
          </cell>
          <cell r="H587">
            <v>0</v>
          </cell>
          <cell r="I587">
            <v>0</v>
          </cell>
          <cell r="J587">
            <v>0</v>
          </cell>
          <cell r="K587">
            <v>0</v>
          </cell>
          <cell r="L587">
            <v>0</v>
          </cell>
          <cell r="M587">
            <v>0</v>
          </cell>
          <cell r="N587">
            <v>0</v>
          </cell>
          <cell r="O587">
            <v>0</v>
          </cell>
          <cell r="P587">
            <v>0</v>
          </cell>
          <cell r="Q587">
            <v>0</v>
          </cell>
          <cell r="R587">
            <v>0</v>
          </cell>
          <cell r="S587">
            <v>0</v>
          </cell>
          <cell r="T587">
            <v>0</v>
          </cell>
          <cell r="U587">
            <v>0</v>
          </cell>
          <cell r="V587">
            <v>0</v>
          </cell>
          <cell r="W587">
            <v>0</v>
          </cell>
          <cell r="X587">
            <v>0</v>
          </cell>
        </row>
        <row r="588">
          <cell r="A588">
            <v>2489</v>
          </cell>
          <cell r="B588">
            <v>0</v>
          </cell>
          <cell r="C588">
            <v>0</v>
          </cell>
          <cell r="D588">
            <v>0</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row>
        <row r="589">
          <cell r="A589">
            <v>2490</v>
          </cell>
          <cell r="B589">
            <v>0</v>
          </cell>
          <cell r="C589">
            <v>0</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row>
        <row r="590">
          <cell r="A590">
            <v>0</v>
          </cell>
          <cell r="B590" t="str">
            <v>MARICEL (TOLUCA)</v>
          </cell>
          <cell r="C590">
            <v>0</v>
          </cell>
          <cell r="D590" t="str">
            <v>LOCAL 890</v>
          </cell>
          <cell r="E590" t="str">
            <v xml:space="preserve">TOLUCA, EDO. DE MEXICO        </v>
          </cell>
          <cell r="F590">
            <v>0</v>
          </cell>
          <cell r="G590">
            <v>0</v>
          </cell>
          <cell r="H590">
            <v>0</v>
          </cell>
          <cell r="I590">
            <v>0</v>
          </cell>
          <cell r="J590" t="str">
            <v>L08</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row>
        <row r="591">
          <cell r="A591">
            <v>0</v>
          </cell>
          <cell r="B591" t="str">
            <v>MARTHA GUTIERREZ (TOLUCA)</v>
          </cell>
          <cell r="C591">
            <v>0</v>
          </cell>
          <cell r="D591" t="str">
            <v>16 DE SEPTIEMBRE LOCAL 31 Y 33</v>
          </cell>
          <cell r="E591" t="str">
            <v xml:space="preserve">TOLUCA, EDO. DE MEXICO        </v>
          </cell>
          <cell r="F591">
            <v>0</v>
          </cell>
          <cell r="G591">
            <v>0</v>
          </cell>
          <cell r="H591">
            <v>0</v>
          </cell>
          <cell r="I591">
            <v>0</v>
          </cell>
          <cell r="J591" t="str">
            <v>L08</v>
          </cell>
          <cell r="K591">
            <v>0</v>
          </cell>
          <cell r="L591">
            <v>0</v>
          </cell>
          <cell r="M591">
            <v>0</v>
          </cell>
          <cell r="N591">
            <v>0</v>
          </cell>
          <cell r="O591">
            <v>0</v>
          </cell>
          <cell r="P591">
            <v>0</v>
          </cell>
          <cell r="Q591">
            <v>0</v>
          </cell>
          <cell r="R591">
            <v>0</v>
          </cell>
          <cell r="S591">
            <v>0</v>
          </cell>
          <cell r="T591">
            <v>0</v>
          </cell>
          <cell r="U591">
            <v>0</v>
          </cell>
          <cell r="V591" t="str">
            <v>CENTRO</v>
          </cell>
          <cell r="W591">
            <v>0</v>
          </cell>
          <cell r="X591">
            <v>0</v>
          </cell>
        </row>
        <row r="592">
          <cell r="A592" t="str">
            <v>A8034</v>
          </cell>
          <cell r="B592" t="str">
            <v>JORGE DIAZ (TULTEPEC)</v>
          </cell>
          <cell r="C592" t="str">
            <v/>
          </cell>
          <cell r="D592" t="str">
            <v>AV. BENITO JUAREZ S/N</v>
          </cell>
          <cell r="E592" t="str">
            <v>TULTEPEC, EDO. DE MEXICO</v>
          </cell>
          <cell r="F592" t="str">
            <v/>
          </cell>
          <cell r="G592" t="str">
            <v>(55) 5498-4756</v>
          </cell>
          <cell r="H592" t="str">
            <v/>
          </cell>
          <cell r="I592" t="str">
            <v/>
          </cell>
          <cell r="J592" t="str">
            <v>M01</v>
          </cell>
          <cell r="K592" t="str">
            <v/>
          </cell>
          <cell r="L592">
            <v>0</v>
          </cell>
          <cell r="M592">
            <v>557</v>
          </cell>
          <cell r="N592" t="str">
            <v>A</v>
          </cell>
          <cell r="O592">
            <v>42509</v>
          </cell>
          <cell r="P592" t="str">
            <v xml:space="preserve">    5</v>
          </cell>
          <cell r="Q592">
            <v>0</v>
          </cell>
          <cell r="R592">
            <v>0</v>
          </cell>
          <cell r="S592">
            <v>859</v>
          </cell>
          <cell r="T592">
            <v>1859</v>
          </cell>
          <cell r="U592">
            <v>0</v>
          </cell>
          <cell r="V592" t="str">
            <v>TUYEHUALCO</v>
          </cell>
          <cell r="W592" t="str">
            <v/>
          </cell>
          <cell r="X592" t="str">
            <v/>
          </cell>
          <cell r="Y592" t="str">
            <v/>
          </cell>
          <cell r="Z592" t="str">
            <v/>
          </cell>
          <cell r="AA592" t="str">
            <v>(55) 5498-4756</v>
          </cell>
          <cell r="AB592" t="str">
            <v/>
          </cell>
          <cell r="AC592" t="str">
            <v>M111140</v>
          </cell>
          <cell r="AD592" t="str">
            <v/>
          </cell>
          <cell r="AE592" t="str">
            <v/>
          </cell>
          <cell r="AF592" t="str">
            <v/>
          </cell>
          <cell r="AH592" t="str">
            <v>N</v>
          </cell>
          <cell r="AI592">
            <v>0</v>
          </cell>
          <cell r="AJ592">
            <v>0</v>
          </cell>
          <cell r="AK592">
            <v>0</v>
          </cell>
          <cell r="AL592">
            <v>0</v>
          </cell>
          <cell r="AM592">
            <v>689</v>
          </cell>
          <cell r="AN592">
            <v>0</v>
          </cell>
        </row>
        <row r="593">
          <cell r="A593">
            <v>9901</v>
          </cell>
          <cell r="B593" t="str">
            <v>VENTA DIRECTA</v>
          </cell>
          <cell r="C593" t="str">
            <v/>
          </cell>
          <cell r="D593" t="str">
            <v>PABLO CABRERA #82</v>
          </cell>
          <cell r="E593" t="str">
            <v>SAN JUAN DEL RIO, QRO.</v>
          </cell>
          <cell r="F593" t="str">
            <v>76800</v>
          </cell>
          <cell r="G593" t="str">
            <v>(427) 272-6715</v>
          </cell>
          <cell r="H593" t="str">
            <v/>
          </cell>
          <cell r="I593" t="str">
            <v/>
          </cell>
          <cell r="J593" t="str">
            <v>A01</v>
          </cell>
          <cell r="K593" t="str">
            <v/>
          </cell>
          <cell r="L593">
            <v>0</v>
          </cell>
          <cell r="M593">
            <v>49</v>
          </cell>
          <cell r="N593" t="str">
            <v>A</v>
          </cell>
          <cell r="O593">
            <v>42511</v>
          </cell>
          <cell r="P593" t="str">
            <v xml:space="preserve">    1</v>
          </cell>
          <cell r="Q593">
            <v>0</v>
          </cell>
          <cell r="R593">
            <v>0</v>
          </cell>
          <cell r="S593">
            <v>1573</v>
          </cell>
          <cell r="T593">
            <v>159283</v>
          </cell>
          <cell r="U593">
            <v>0</v>
          </cell>
          <cell r="V593" t="str">
            <v>CENTRO</v>
          </cell>
          <cell r="W593" t="str">
            <v/>
          </cell>
          <cell r="X593" t="str">
            <v/>
          </cell>
          <cell r="Y593" t="str">
            <v/>
          </cell>
          <cell r="Z593" t="str">
            <v/>
          </cell>
          <cell r="AA593" t="str">
            <v>(427) 272-6715</v>
          </cell>
          <cell r="AB593" t="str">
            <v xml:space="preserve">     DESC</v>
          </cell>
          <cell r="AC593" t="str">
            <v>F518</v>
          </cell>
          <cell r="AD593" t="str">
            <v/>
          </cell>
          <cell r="AE593" t="str">
            <v/>
          </cell>
          <cell r="AF593" t="str">
            <v/>
          </cell>
          <cell r="AG593">
            <v>42392</v>
          </cell>
          <cell r="AH593" t="str">
            <v>N</v>
          </cell>
          <cell r="AI593">
            <v>0</v>
          </cell>
          <cell r="AJ593">
            <v>0</v>
          </cell>
          <cell r="AK593">
            <v>0</v>
          </cell>
          <cell r="AL593">
            <v>758</v>
          </cell>
          <cell r="AM593">
            <v>730</v>
          </cell>
          <cell r="AN593">
            <v>0</v>
          </cell>
        </row>
        <row r="594">
          <cell r="A594">
            <v>9902</v>
          </cell>
          <cell r="B594" t="str">
            <v>LUPITA GARCIA</v>
          </cell>
          <cell r="C594" t="str">
            <v/>
          </cell>
          <cell r="D594" t="str">
            <v>MORELOS #54</v>
          </cell>
          <cell r="E594" t="str">
            <v>SAN JUAN DEL RIO, QRO.</v>
          </cell>
          <cell r="F594" t="str">
            <v>76800</v>
          </cell>
          <cell r="G594" t="str">
            <v>(55) 36244892</v>
          </cell>
          <cell r="H594" t="str">
            <v>LUPITA GARCIA</v>
          </cell>
          <cell r="I594" t="str">
            <v>LUPITA GARCIA</v>
          </cell>
          <cell r="J594" t="str">
            <v>A01</v>
          </cell>
          <cell r="K594" t="str">
            <v/>
          </cell>
          <cell r="L594">
            <v>0</v>
          </cell>
          <cell r="M594">
            <v>136</v>
          </cell>
          <cell r="N594" t="str">
            <v>A</v>
          </cell>
          <cell r="O594">
            <v>41839</v>
          </cell>
          <cell r="P594" t="str">
            <v xml:space="preserve">    1</v>
          </cell>
          <cell r="Q594">
            <v>0</v>
          </cell>
          <cell r="R594">
            <v>0</v>
          </cell>
          <cell r="S594">
            <v>0</v>
          </cell>
          <cell r="T594">
            <v>24492.18</v>
          </cell>
          <cell r="U594">
            <v>0</v>
          </cell>
          <cell r="V594" t="str">
            <v>CENTRO</v>
          </cell>
          <cell r="W594" t="str">
            <v/>
          </cell>
          <cell r="X594" t="str">
            <v/>
          </cell>
          <cell r="Y594" t="str">
            <v/>
          </cell>
          <cell r="Z594" t="str">
            <v/>
          </cell>
          <cell r="AA594" t="str">
            <v>(55) 36244892</v>
          </cell>
          <cell r="AB594" t="str">
            <v xml:space="preserve">      EFE</v>
          </cell>
          <cell r="AC594" t="str">
            <v>R-0545</v>
          </cell>
          <cell r="AD594" t="str">
            <v/>
          </cell>
          <cell r="AE594" t="str">
            <v/>
          </cell>
          <cell r="AF594" t="str">
            <v/>
          </cell>
          <cell r="AG594">
            <v>41503</v>
          </cell>
          <cell r="AH594" t="str">
            <v>N</v>
          </cell>
          <cell r="AI594">
            <v>0</v>
          </cell>
          <cell r="AJ594">
            <v>0</v>
          </cell>
          <cell r="AK594">
            <v>0</v>
          </cell>
          <cell r="AL594">
            <v>240</v>
          </cell>
          <cell r="AM594">
            <v>95</v>
          </cell>
          <cell r="AN594">
            <v>0</v>
          </cell>
        </row>
        <row r="595">
          <cell r="A595">
            <v>9903</v>
          </cell>
          <cell r="B595" t="str">
            <v>ROSY GARCIA ESPINOSA</v>
          </cell>
          <cell r="C595" t="str">
            <v/>
          </cell>
          <cell r="D595" t="str">
            <v/>
          </cell>
          <cell r="E595" t="str">
            <v>COACALCO, EDO. DE MEXICO</v>
          </cell>
          <cell r="F595" t="str">
            <v/>
          </cell>
          <cell r="G595" t="str">
            <v/>
          </cell>
          <cell r="H595" t="str">
            <v>ROSY GARCIA ESPINOSA</v>
          </cell>
          <cell r="I595" t="str">
            <v>ROSY GARCIA ESPINOSA</v>
          </cell>
          <cell r="J595" t="str">
            <v>M01</v>
          </cell>
          <cell r="K595" t="str">
            <v/>
          </cell>
          <cell r="L595">
            <v>0</v>
          </cell>
          <cell r="M595">
            <v>239</v>
          </cell>
          <cell r="N595" t="str">
            <v>A</v>
          </cell>
          <cell r="O595">
            <v>41776</v>
          </cell>
          <cell r="P595" t="str">
            <v xml:space="preserve">    1</v>
          </cell>
          <cell r="Q595">
            <v>0</v>
          </cell>
          <cell r="R595">
            <v>0</v>
          </cell>
          <cell r="S595">
            <v>1838.53</v>
          </cell>
          <cell r="T595">
            <v>43381.53</v>
          </cell>
          <cell r="U595">
            <v>0</v>
          </cell>
          <cell r="V595" t="str">
            <v>VILLA DE LAS FLORES</v>
          </cell>
          <cell r="W595" t="str">
            <v/>
          </cell>
          <cell r="X595" t="str">
            <v/>
          </cell>
          <cell r="Y595" t="str">
            <v/>
          </cell>
          <cell r="Z595" t="str">
            <v/>
          </cell>
          <cell r="AA595" t="str">
            <v/>
          </cell>
          <cell r="AB595" t="str">
            <v xml:space="preserve">  DEV-183</v>
          </cell>
          <cell r="AC595" t="str">
            <v>M2571</v>
          </cell>
          <cell r="AD595" t="str">
            <v/>
          </cell>
          <cell r="AE595" t="str">
            <v/>
          </cell>
          <cell r="AF595" t="str">
            <v/>
          </cell>
          <cell r="AG595">
            <v>41612</v>
          </cell>
          <cell r="AH595" t="str">
            <v>N</v>
          </cell>
          <cell r="AI595">
            <v>0</v>
          </cell>
          <cell r="AJ595">
            <v>0</v>
          </cell>
          <cell r="AK595">
            <v>0</v>
          </cell>
          <cell r="AL595">
            <v>1482</v>
          </cell>
          <cell r="AM595">
            <v>278</v>
          </cell>
          <cell r="AN595">
            <v>0</v>
          </cell>
        </row>
        <row r="596">
          <cell r="A596">
            <v>9904</v>
          </cell>
          <cell r="B596" t="str">
            <v>GUSTAVO GARCIA ESPINOSA (SJR)</v>
          </cell>
          <cell r="C596" t="str">
            <v/>
          </cell>
          <cell r="D596" t="str">
            <v/>
          </cell>
          <cell r="E596" t="str">
            <v>SAN JUAN DEL RIO, QRO.</v>
          </cell>
          <cell r="F596" t="str">
            <v/>
          </cell>
          <cell r="G596" t="str">
            <v/>
          </cell>
          <cell r="H596" t="str">
            <v/>
          </cell>
          <cell r="I596" t="str">
            <v/>
          </cell>
          <cell r="J596" t="str">
            <v>A01</v>
          </cell>
          <cell r="K596" t="str">
            <v/>
          </cell>
          <cell r="L596">
            <v>0</v>
          </cell>
          <cell r="M596">
            <v>268</v>
          </cell>
          <cell r="N596" t="str">
            <v>A</v>
          </cell>
          <cell r="O596">
            <v>41130</v>
          </cell>
          <cell r="P596" t="str">
            <v xml:space="preserve">    1</v>
          </cell>
          <cell r="Q596">
            <v>0</v>
          </cell>
          <cell r="R596">
            <v>0</v>
          </cell>
          <cell r="S596">
            <v>0</v>
          </cell>
          <cell r="T596">
            <v>5821</v>
          </cell>
          <cell r="U596">
            <v>0</v>
          </cell>
          <cell r="V596" t="str">
            <v/>
          </cell>
          <cell r="W596" t="str">
            <v/>
          </cell>
          <cell r="X596" t="str">
            <v/>
          </cell>
          <cell r="Y596" t="str">
            <v/>
          </cell>
          <cell r="Z596" t="str">
            <v/>
          </cell>
          <cell r="AA596" t="str">
            <v/>
          </cell>
          <cell r="AB596" t="str">
            <v/>
          </cell>
          <cell r="AC596" t="str">
            <v>A-0361</v>
          </cell>
          <cell r="AD596" t="str">
            <v/>
          </cell>
          <cell r="AE596" t="str">
            <v/>
          </cell>
          <cell r="AF596" t="str">
            <v/>
          </cell>
          <cell r="AH596" t="str">
            <v>N</v>
          </cell>
          <cell r="AI596">
            <v>0</v>
          </cell>
          <cell r="AJ596">
            <v>0</v>
          </cell>
          <cell r="AK596">
            <v>0</v>
          </cell>
          <cell r="AL596">
            <v>0</v>
          </cell>
          <cell r="AM596">
            <v>260</v>
          </cell>
          <cell r="AN596">
            <v>0</v>
          </cell>
        </row>
        <row r="597">
          <cell r="A597">
            <v>9905</v>
          </cell>
          <cell r="B597" t="str">
            <v>MARICELA GARCIA ESPINOSA</v>
          </cell>
          <cell r="C597" t="str">
            <v/>
          </cell>
          <cell r="D597" t="str">
            <v>CAPULINES #118</v>
          </cell>
          <cell r="E597" t="str">
            <v>COACALCO, EDO. DE MEXICO</v>
          </cell>
          <cell r="F597" t="str">
            <v/>
          </cell>
          <cell r="G597" t="str">
            <v/>
          </cell>
          <cell r="H597" t="str">
            <v>MARICELA GARCIA E</v>
          </cell>
          <cell r="I597" t="str">
            <v>MARICELA GARCIA E</v>
          </cell>
          <cell r="J597" t="str">
            <v>M01</v>
          </cell>
          <cell r="K597" t="str">
            <v/>
          </cell>
          <cell r="L597">
            <v>0</v>
          </cell>
          <cell r="M597">
            <v>430</v>
          </cell>
          <cell r="N597" t="str">
            <v>A</v>
          </cell>
          <cell r="O597">
            <v>41517</v>
          </cell>
          <cell r="P597" t="str">
            <v xml:space="preserve">   16</v>
          </cell>
          <cell r="Q597">
            <v>0</v>
          </cell>
          <cell r="R597">
            <v>0</v>
          </cell>
          <cell r="S597">
            <v>0</v>
          </cell>
          <cell r="T597">
            <v>2345</v>
          </cell>
          <cell r="U597">
            <v>0</v>
          </cell>
          <cell r="V597" t="str">
            <v>VILLA DE LAS FLORES</v>
          </cell>
          <cell r="W597" t="str">
            <v/>
          </cell>
          <cell r="X597" t="str">
            <v/>
          </cell>
          <cell r="Y597" t="str">
            <v/>
          </cell>
          <cell r="Z597" t="str">
            <v/>
          </cell>
          <cell r="AA597" t="str">
            <v/>
          </cell>
          <cell r="AB597" t="str">
            <v xml:space="preserve"> BMX MARY</v>
          </cell>
          <cell r="AC597" t="str">
            <v>M-0544</v>
          </cell>
          <cell r="AD597" t="str">
            <v/>
          </cell>
          <cell r="AE597" t="str">
            <v/>
          </cell>
          <cell r="AF597" t="str">
            <v/>
          </cell>
          <cell r="AG597">
            <v>41639</v>
          </cell>
          <cell r="AH597" t="str">
            <v>N</v>
          </cell>
          <cell r="AI597">
            <v>0</v>
          </cell>
          <cell r="AJ597">
            <v>0</v>
          </cell>
          <cell r="AK597">
            <v>0</v>
          </cell>
          <cell r="AL597">
            <v>2000</v>
          </cell>
          <cell r="AM597">
            <v>243</v>
          </cell>
          <cell r="AN597">
            <v>0</v>
          </cell>
        </row>
        <row r="598">
          <cell r="A598">
            <v>9999</v>
          </cell>
          <cell r="B598" t="str">
            <v>CANCELADA</v>
          </cell>
          <cell r="C598">
            <v>0</v>
          </cell>
          <cell r="D598" t="str">
            <v>-</v>
          </cell>
          <cell r="E598" t="str">
            <v>-</v>
          </cell>
          <cell r="F598" t="str">
            <v>-</v>
          </cell>
          <cell r="G598" t="str">
            <v>-</v>
          </cell>
          <cell r="H598" t="str">
            <v>-</v>
          </cell>
          <cell r="I598" t="str">
            <v>-</v>
          </cell>
          <cell r="J598" t="str">
            <v>-</v>
          </cell>
          <cell r="K598" t="str">
            <v>-</v>
          </cell>
          <cell r="L598" t="str">
            <v>-</v>
          </cell>
          <cell r="M598" t="str">
            <v>-</v>
          </cell>
          <cell r="N598" t="str">
            <v>-</v>
          </cell>
          <cell r="O598" t="str">
            <v>-</v>
          </cell>
          <cell r="P598" t="str">
            <v>-</v>
          </cell>
          <cell r="Q598" t="str">
            <v>-</v>
          </cell>
          <cell r="R598" t="str">
            <v>-</v>
          </cell>
          <cell r="S598" t="str">
            <v>-</v>
          </cell>
          <cell r="T598" t="str">
            <v>-</v>
          </cell>
          <cell r="U598" t="str">
            <v>-</v>
          </cell>
          <cell r="V598" t="str">
            <v>-</v>
          </cell>
          <cell r="W598">
            <v>0</v>
          </cell>
          <cell r="X598">
            <v>0</v>
          </cell>
        </row>
        <row r="599">
          <cell r="A599">
            <v>6050</v>
          </cell>
          <cell r="B599" t="str">
            <v>PEDRO ALBERTO TREJO BARRERA</v>
          </cell>
          <cell r="C599">
            <v>0</v>
          </cell>
          <cell r="D599" t="str">
            <v>SAN ANTONIO #19</v>
          </cell>
          <cell r="E599" t="str">
            <v>IXMIQUILPAN, HGO.</v>
          </cell>
          <cell r="F599" t="str">
            <v xml:space="preserve"> 4230</v>
          </cell>
          <cell r="G599" t="str">
            <v>(771) 567-1009 CEL</v>
          </cell>
          <cell r="H599" t="str">
            <v/>
          </cell>
          <cell r="I599" t="str">
            <v/>
          </cell>
          <cell r="J599" t="str">
            <v>F02</v>
          </cell>
          <cell r="K599" t="str">
            <v>Ma</v>
          </cell>
          <cell r="L599">
            <v>0</v>
          </cell>
          <cell r="M599">
            <v>548</v>
          </cell>
          <cell r="N599" t="str">
            <v>A</v>
          </cell>
          <cell r="O599">
            <v>42588</v>
          </cell>
          <cell r="P599" t="str">
            <v xml:space="preserve">   16</v>
          </cell>
          <cell r="Q599">
            <v>0</v>
          </cell>
          <cell r="R599">
            <v>0</v>
          </cell>
          <cell r="S599">
            <v>1456</v>
          </cell>
          <cell r="T599">
            <v>170939</v>
          </cell>
          <cell r="U599">
            <v>0</v>
          </cell>
          <cell r="V599" t="str">
            <v>BARRIO SAN ANTONIO</v>
          </cell>
          <cell r="W599" t="str">
            <v/>
          </cell>
          <cell r="X599" t="str">
            <v>pittsystems@hotmail.com</v>
          </cell>
          <cell r="Y599" t="str">
            <v/>
          </cell>
          <cell r="Z599" t="str">
            <v/>
          </cell>
          <cell r="AA599" t="str">
            <v>(771) 567-1009 CEL</v>
          </cell>
          <cell r="AB599" t="str">
            <v xml:space="preserve">     DESC</v>
          </cell>
          <cell r="AC599" t="str">
            <v>F0543</v>
          </cell>
          <cell r="AD599" t="str">
            <v/>
          </cell>
          <cell r="AE599" t="str">
            <v/>
          </cell>
          <cell r="AF599" t="str">
            <v/>
          </cell>
          <cell r="AG599">
            <v>42327</v>
          </cell>
          <cell r="AH599" t="str">
            <v>N</v>
          </cell>
          <cell r="AI599">
            <v>0</v>
          </cell>
          <cell r="AJ599">
            <v>0</v>
          </cell>
          <cell r="AK599">
            <v>0</v>
          </cell>
          <cell r="AL599">
            <v>33</v>
          </cell>
          <cell r="AM599">
            <v>1456</v>
          </cell>
          <cell r="AN599">
            <v>0</v>
          </cell>
        </row>
        <row r="600">
          <cell r="A600">
            <v>5061</v>
          </cell>
          <cell r="B600" t="str">
            <v>ISRAEL RICO</v>
          </cell>
          <cell r="C600">
            <v>0</v>
          </cell>
          <cell r="D600">
            <v>0</v>
          </cell>
          <cell r="E600">
            <v>0</v>
          </cell>
          <cell r="F600">
            <v>0</v>
          </cell>
          <cell r="G600">
            <v>0</v>
          </cell>
          <cell r="H600">
            <v>0</v>
          </cell>
          <cell r="I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row>
        <row r="601">
          <cell r="A601">
            <v>7001</v>
          </cell>
          <cell r="B601" t="str">
            <v>MARIA ISABEL</v>
          </cell>
          <cell r="C601">
            <v>0</v>
          </cell>
          <cell r="D601">
            <v>0</v>
          </cell>
          <cell r="E601">
            <v>0</v>
          </cell>
          <cell r="F601">
            <v>0</v>
          </cell>
          <cell r="G601">
            <v>0</v>
          </cell>
          <cell r="H601">
            <v>0</v>
          </cell>
          <cell r="I601">
            <v>0</v>
          </cell>
          <cell r="J601" t="str">
            <v>C01</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row>
        <row r="602">
          <cell r="A602">
            <v>7002</v>
          </cell>
          <cell r="B602" t="str">
            <v>ROCIO OSORNIO BARRIENTO (SAN JUAN)</v>
          </cell>
          <cell r="C602" t="str">
            <v/>
          </cell>
          <cell r="D602" t="str">
            <v>AV. MERCEDES CAMACHO #202 LOCAL 2</v>
          </cell>
          <cell r="E602" t="str">
            <v>SAN JUAN DEL RIO, QRO.</v>
          </cell>
          <cell r="F602" t="str">
            <v/>
          </cell>
          <cell r="G602" t="str">
            <v>(427) 142-1759</v>
          </cell>
          <cell r="H602" t="str">
            <v>ROCIO OSORNIO B.</v>
          </cell>
          <cell r="I602" t="str">
            <v>ROCIO OSORNIO B.</v>
          </cell>
          <cell r="J602" t="str">
            <v>L01P</v>
          </cell>
          <cell r="K602" t="str">
            <v/>
          </cell>
          <cell r="L602">
            <v>0</v>
          </cell>
          <cell r="M602">
            <v>467</v>
          </cell>
          <cell r="N602" t="str">
            <v>A</v>
          </cell>
          <cell r="O602">
            <v>42418</v>
          </cell>
          <cell r="P602" t="str">
            <v xml:space="preserve">   97</v>
          </cell>
          <cell r="Q602">
            <v>0</v>
          </cell>
          <cell r="R602">
            <v>0</v>
          </cell>
          <cell r="S602">
            <v>4045</v>
          </cell>
          <cell r="T602">
            <v>82896</v>
          </cell>
          <cell r="U602">
            <v>0</v>
          </cell>
          <cell r="V602" t="str">
            <v>CENTRO</v>
          </cell>
          <cell r="W602" t="str">
            <v>(427) 278-8881 CEL</v>
          </cell>
          <cell r="X602" t="str">
            <v/>
          </cell>
          <cell r="Y602" t="str">
            <v/>
          </cell>
          <cell r="Z602" t="str">
            <v/>
          </cell>
          <cell r="AA602" t="str">
            <v>(427) 142-1759</v>
          </cell>
          <cell r="AB602" t="str">
            <v/>
          </cell>
          <cell r="AC602" t="str">
            <v>G-0006</v>
          </cell>
          <cell r="AD602" t="str">
            <v/>
          </cell>
          <cell r="AE602" t="str">
            <v/>
          </cell>
          <cell r="AF602" t="str">
            <v/>
          </cell>
          <cell r="AH602" t="str">
            <v>N</v>
          </cell>
          <cell r="AI602">
            <v>0</v>
          </cell>
          <cell r="AJ602">
            <v>0</v>
          </cell>
          <cell r="AK602">
            <v>0</v>
          </cell>
          <cell r="AL602">
            <v>0</v>
          </cell>
          <cell r="AM602">
            <v>5429</v>
          </cell>
          <cell r="AN602">
            <v>0</v>
          </cell>
        </row>
        <row r="603">
          <cell r="A603">
            <v>7004</v>
          </cell>
          <cell r="B603" t="str">
            <v>SAMUEL RICO ESPINO (QUERETARO)</v>
          </cell>
          <cell r="C603" t="str">
            <v/>
          </cell>
          <cell r="D603" t="str">
            <v>MELCHOR OCAMPO SUR #67</v>
          </cell>
          <cell r="E603" t="str">
            <v>QUERETARO, QRO.</v>
          </cell>
          <cell r="F603" t="str">
            <v/>
          </cell>
          <cell r="G603" t="str">
            <v/>
          </cell>
          <cell r="H603" t="str">
            <v>SAMUEL RICO ESPINO</v>
          </cell>
          <cell r="I603" t="str">
            <v>SAMUEL RICO ESPINO</v>
          </cell>
          <cell r="J603" t="str">
            <v>L04</v>
          </cell>
          <cell r="K603" t="str">
            <v/>
          </cell>
          <cell r="L603">
            <v>0</v>
          </cell>
          <cell r="M603">
            <v>478</v>
          </cell>
          <cell r="N603" t="str">
            <v>A</v>
          </cell>
          <cell r="O603">
            <v>41860</v>
          </cell>
          <cell r="P603" t="str">
            <v xml:space="preserve">   97</v>
          </cell>
          <cell r="Q603">
            <v>0</v>
          </cell>
          <cell r="R603">
            <v>0</v>
          </cell>
          <cell r="S603">
            <v>0</v>
          </cell>
          <cell r="T603">
            <v>161.5</v>
          </cell>
          <cell r="U603">
            <v>0</v>
          </cell>
          <cell r="V603" t="str">
            <v/>
          </cell>
          <cell r="W603" t="str">
            <v/>
          </cell>
          <cell r="X603" t="str">
            <v/>
          </cell>
          <cell r="Y603" t="str">
            <v/>
          </cell>
          <cell r="Z603" t="str">
            <v/>
          </cell>
          <cell r="AA603" t="str">
            <v/>
          </cell>
          <cell r="AB603" t="str">
            <v/>
          </cell>
          <cell r="AC603" t="str">
            <v>L0477</v>
          </cell>
          <cell r="AD603" t="str">
            <v/>
          </cell>
          <cell r="AE603" t="str">
            <v/>
          </cell>
          <cell r="AF603" t="str">
            <v/>
          </cell>
          <cell r="AH603" t="str">
            <v>N</v>
          </cell>
          <cell r="AI603">
            <v>0</v>
          </cell>
          <cell r="AJ603">
            <v>0</v>
          </cell>
          <cell r="AK603">
            <v>0</v>
          </cell>
          <cell r="AL603">
            <v>0</v>
          </cell>
          <cell r="AM603">
            <v>161.5</v>
          </cell>
          <cell r="AN603">
            <v>0</v>
          </cell>
        </row>
        <row r="604">
          <cell r="A604">
            <v>7006</v>
          </cell>
          <cell r="B604" t="str">
            <v>REYNA QUIJANO ZARAZUA (ESCOBEDO)</v>
          </cell>
          <cell r="C604" t="str">
            <v/>
          </cell>
          <cell r="D604" t="str">
            <v>CUAUHTEMOC #3</v>
          </cell>
          <cell r="E604" t="str">
            <v>PEDRO ESCOBEDO, QRO.</v>
          </cell>
          <cell r="F604" t="str">
            <v>76700</v>
          </cell>
          <cell r="G604" t="str">
            <v>(448) 275-0073</v>
          </cell>
          <cell r="H604" t="str">
            <v>REYNA QUIJANO Z.</v>
          </cell>
          <cell r="I604" t="str">
            <v>REYNA QUIJANO Z.</v>
          </cell>
          <cell r="J604" t="str">
            <v>J03P</v>
          </cell>
          <cell r="K604" t="str">
            <v/>
          </cell>
          <cell r="L604">
            <v>0</v>
          </cell>
          <cell r="M604">
            <v>465</v>
          </cell>
          <cell r="N604" t="str">
            <v>A</v>
          </cell>
          <cell r="O604">
            <v>42419</v>
          </cell>
          <cell r="P604" t="str">
            <v xml:space="preserve">   97</v>
          </cell>
          <cell r="Q604">
            <v>0</v>
          </cell>
          <cell r="R604">
            <v>0</v>
          </cell>
          <cell r="S604">
            <v>0</v>
          </cell>
          <cell r="T604">
            <v>96750</v>
          </cell>
          <cell r="U604">
            <v>0</v>
          </cell>
          <cell r="V604" t="str">
            <v>CENTRO</v>
          </cell>
          <cell r="W604" t="str">
            <v>(442) 190-8227 NEXTEL</v>
          </cell>
          <cell r="X604" t="str">
            <v/>
          </cell>
          <cell r="Y604" t="str">
            <v/>
          </cell>
          <cell r="Z604" t="str">
            <v/>
          </cell>
          <cell r="AA604" t="str">
            <v>(448) 275-0073</v>
          </cell>
          <cell r="AB604" t="str">
            <v/>
          </cell>
          <cell r="AC604" t="str">
            <v>P0025</v>
          </cell>
          <cell r="AD604" t="str">
            <v/>
          </cell>
          <cell r="AE604" t="str">
            <v/>
          </cell>
          <cell r="AF604" t="str">
            <v/>
          </cell>
          <cell r="AH604" t="str">
            <v>N</v>
          </cell>
          <cell r="AI604">
            <v>0</v>
          </cell>
          <cell r="AJ604">
            <v>0</v>
          </cell>
          <cell r="AK604">
            <v>0</v>
          </cell>
          <cell r="AL604">
            <v>0</v>
          </cell>
          <cell r="AM604">
            <v>2018</v>
          </cell>
          <cell r="AN604">
            <v>0</v>
          </cell>
        </row>
        <row r="605">
          <cell r="A605">
            <v>7008</v>
          </cell>
          <cell r="B605" t="str">
            <v>ANA LAURA ROCHA FERRE (ESCOBEDO)</v>
          </cell>
          <cell r="C605" t="str">
            <v/>
          </cell>
          <cell r="D605" t="str">
            <v>CUAUHTEMOC #8</v>
          </cell>
          <cell r="E605" t="str">
            <v>PEDRO ESCOBEDO, QRO.</v>
          </cell>
          <cell r="F605" t="str">
            <v/>
          </cell>
          <cell r="G605" t="str">
            <v>(427) 130-9565 CEL</v>
          </cell>
          <cell r="H605" t="str">
            <v>ANA LAURA ROCHA F.</v>
          </cell>
          <cell r="I605" t="str">
            <v>ANA LAURA ROCHA F.</v>
          </cell>
          <cell r="J605" t="str">
            <v>J03P</v>
          </cell>
          <cell r="K605" t="str">
            <v/>
          </cell>
          <cell r="L605">
            <v>0</v>
          </cell>
          <cell r="M605">
            <v>466</v>
          </cell>
          <cell r="N605" t="str">
            <v>A</v>
          </cell>
          <cell r="O605">
            <v>41858</v>
          </cell>
          <cell r="P605" t="str">
            <v xml:space="preserve">   97</v>
          </cell>
          <cell r="Q605">
            <v>0</v>
          </cell>
          <cell r="R605">
            <v>0</v>
          </cell>
          <cell r="S605">
            <v>0</v>
          </cell>
          <cell r="T605">
            <v>6341</v>
          </cell>
          <cell r="U605">
            <v>0</v>
          </cell>
          <cell r="V605" t="str">
            <v>CENTRO</v>
          </cell>
          <cell r="W605" t="str">
            <v/>
          </cell>
          <cell r="X605" t="str">
            <v/>
          </cell>
          <cell r="Y605" t="str">
            <v/>
          </cell>
          <cell r="Z605" t="str">
            <v/>
          </cell>
          <cell r="AA605" t="str">
            <v>(427) 130-9565 CEL</v>
          </cell>
          <cell r="AB605" t="str">
            <v xml:space="preserve">  DEV-206</v>
          </cell>
          <cell r="AC605" t="str">
            <v>L0476</v>
          </cell>
          <cell r="AD605" t="str">
            <v/>
          </cell>
          <cell r="AE605" t="str">
            <v/>
          </cell>
          <cell r="AF605" t="str">
            <v/>
          </cell>
          <cell r="AG605">
            <v>41767</v>
          </cell>
          <cell r="AH605" t="str">
            <v>N</v>
          </cell>
          <cell r="AI605">
            <v>0</v>
          </cell>
          <cell r="AJ605">
            <v>0</v>
          </cell>
          <cell r="AK605">
            <v>0</v>
          </cell>
          <cell r="AL605">
            <v>268</v>
          </cell>
          <cell r="AM605">
            <v>1822</v>
          </cell>
          <cell r="AN605">
            <v>0</v>
          </cell>
        </row>
        <row r="606">
          <cell r="A606">
            <v>7009</v>
          </cell>
          <cell r="B606" t="str">
            <v>SALVADOR ZAVALA (COYOTEPEC)</v>
          </cell>
          <cell r="C606" t="str">
            <v/>
          </cell>
          <cell r="D606" t="str">
            <v>MARIANO PANTALEON</v>
          </cell>
          <cell r="E606" t="str">
            <v>COYOTEPEC, EDO. DE MEXICO</v>
          </cell>
          <cell r="F606" t="str">
            <v/>
          </cell>
          <cell r="G606" t="str">
            <v>(55) 4134-0258</v>
          </cell>
          <cell r="H606" t="str">
            <v>SALVADOR ZAVALA</v>
          </cell>
          <cell r="I606" t="str">
            <v>SALVADOR ZAVALA</v>
          </cell>
          <cell r="J606" t="str">
            <v>M01</v>
          </cell>
          <cell r="K606" t="str">
            <v/>
          </cell>
          <cell r="L606">
            <v>0</v>
          </cell>
          <cell r="M606">
            <v>451</v>
          </cell>
          <cell r="N606" t="str">
            <v>A</v>
          </cell>
          <cell r="O606">
            <v>42462</v>
          </cell>
          <cell r="P606" t="str">
            <v xml:space="preserve">    9</v>
          </cell>
          <cell r="Q606">
            <v>0</v>
          </cell>
          <cell r="R606">
            <v>0</v>
          </cell>
          <cell r="S606">
            <v>425</v>
          </cell>
          <cell r="T606">
            <v>24707</v>
          </cell>
          <cell r="U606">
            <v>0</v>
          </cell>
          <cell r="V606" t="str">
            <v>BARRIO REYES</v>
          </cell>
          <cell r="W606" t="str">
            <v/>
          </cell>
          <cell r="X606" t="str">
            <v/>
          </cell>
          <cell r="Y606" t="str">
            <v/>
          </cell>
          <cell r="Z606" t="str">
            <v/>
          </cell>
          <cell r="AA606" t="str">
            <v>(55) 4134-0258</v>
          </cell>
          <cell r="AB606" t="str">
            <v/>
          </cell>
          <cell r="AC606" t="str">
            <v>M942826</v>
          </cell>
          <cell r="AD606" t="str">
            <v/>
          </cell>
          <cell r="AE606" t="str">
            <v/>
          </cell>
          <cell r="AF606" t="str">
            <v/>
          </cell>
          <cell r="AH606" t="str">
            <v>N</v>
          </cell>
          <cell r="AI606">
            <v>0</v>
          </cell>
          <cell r="AJ606">
            <v>0</v>
          </cell>
          <cell r="AK606">
            <v>0</v>
          </cell>
          <cell r="AL606">
            <v>0</v>
          </cell>
          <cell r="AM606">
            <v>749</v>
          </cell>
          <cell r="AN606">
            <v>0</v>
          </cell>
        </row>
        <row r="607">
          <cell r="A607">
            <v>7011</v>
          </cell>
          <cell r="B607" t="str">
            <v>KARINA GAYTAN GARCIA (QUERETARO)</v>
          </cell>
          <cell r="C607" t="str">
            <v/>
          </cell>
          <cell r="D607" t="str">
            <v>PEDRO URTIAGA #40 (EL PUEBLITO)</v>
          </cell>
          <cell r="E607" t="str">
            <v>EL PUEBLITO, QRO.</v>
          </cell>
          <cell r="F607" t="str">
            <v/>
          </cell>
          <cell r="G607" t="str">
            <v>(442) 266-4557 CEL</v>
          </cell>
          <cell r="H607" t="str">
            <v>KARINA GAYTAN GARCIA</v>
          </cell>
          <cell r="I607" t="str">
            <v>KARINA GAYTAN GARCIA</v>
          </cell>
          <cell r="J607" t="str">
            <v>L04</v>
          </cell>
          <cell r="K607" t="str">
            <v/>
          </cell>
          <cell r="L607">
            <v>0</v>
          </cell>
          <cell r="M607">
            <v>464</v>
          </cell>
          <cell r="N607" t="str">
            <v>A</v>
          </cell>
          <cell r="O607">
            <v>41881</v>
          </cell>
          <cell r="P607" t="str">
            <v xml:space="preserve">    3</v>
          </cell>
          <cell r="Q607">
            <v>0</v>
          </cell>
          <cell r="R607">
            <v>0</v>
          </cell>
          <cell r="S607">
            <v>0</v>
          </cell>
          <cell r="T607">
            <v>917</v>
          </cell>
          <cell r="U607">
            <v>12</v>
          </cell>
          <cell r="V607" t="str">
            <v>CENTRO</v>
          </cell>
          <cell r="W607" t="str">
            <v>(442) 225-0760</v>
          </cell>
          <cell r="X607" t="str">
            <v/>
          </cell>
          <cell r="Y607" t="str">
            <v/>
          </cell>
          <cell r="Z607" t="str">
            <v/>
          </cell>
          <cell r="AA607" t="str">
            <v>(442) 266-4557 CEL</v>
          </cell>
          <cell r="AB607" t="str">
            <v/>
          </cell>
          <cell r="AC607" t="str">
            <v>F016</v>
          </cell>
          <cell r="AD607" t="str">
            <v/>
          </cell>
          <cell r="AE607" t="str">
            <v/>
          </cell>
          <cell r="AF607" t="str">
            <v/>
          </cell>
          <cell r="AH607" t="str">
            <v>N</v>
          </cell>
          <cell r="AI607">
            <v>0</v>
          </cell>
          <cell r="AJ607">
            <v>0</v>
          </cell>
          <cell r="AK607">
            <v>0</v>
          </cell>
          <cell r="AL607">
            <v>0</v>
          </cell>
          <cell r="AM607">
            <v>917</v>
          </cell>
          <cell r="AN607">
            <v>0</v>
          </cell>
        </row>
        <row r="608">
          <cell r="A608">
            <v>7016</v>
          </cell>
          <cell r="B608" t="str">
            <v>CARLOS MERINO (CUAUTITLAN)</v>
          </cell>
          <cell r="C608">
            <v>0</v>
          </cell>
          <cell r="D608">
            <v>0</v>
          </cell>
          <cell r="E608">
            <v>0</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row>
        <row r="609">
          <cell r="A609">
            <v>7046</v>
          </cell>
          <cell r="B609" t="str">
            <v>LIZBETH CRUZ (TEZONTEPEC)</v>
          </cell>
          <cell r="C609" t="str">
            <v/>
          </cell>
          <cell r="D609" t="str">
            <v>AV. JUAN ALDAMA S/N</v>
          </cell>
          <cell r="E609" t="str">
            <v>TEZONTEPEC, HGO.</v>
          </cell>
          <cell r="F609" t="str">
            <v/>
          </cell>
          <cell r="G609" t="str">
            <v>(773) 150-6673</v>
          </cell>
          <cell r="H609" t="str">
            <v/>
          </cell>
          <cell r="I609" t="str">
            <v/>
          </cell>
          <cell r="J609" t="str">
            <v>F02</v>
          </cell>
          <cell r="K609" t="str">
            <v/>
          </cell>
          <cell r="L609">
            <v>0</v>
          </cell>
          <cell r="M609">
            <v>566</v>
          </cell>
          <cell r="N609" t="str">
            <v>A</v>
          </cell>
          <cell r="O609">
            <v>42525</v>
          </cell>
          <cell r="P609" t="str">
            <v xml:space="preserve">    1</v>
          </cell>
          <cell r="Q609">
            <v>0</v>
          </cell>
          <cell r="R609">
            <v>0</v>
          </cell>
          <cell r="S609">
            <v>0</v>
          </cell>
          <cell r="T609">
            <v>760</v>
          </cell>
          <cell r="U609">
            <v>0</v>
          </cell>
          <cell r="V609" t="str">
            <v>CENTRO</v>
          </cell>
          <cell r="W609" t="str">
            <v>(773) 125-2894 TANI</v>
          </cell>
          <cell r="X609" t="str">
            <v/>
          </cell>
          <cell r="Y609" t="str">
            <v/>
          </cell>
          <cell r="Z609" t="str">
            <v/>
          </cell>
          <cell r="AA609" t="str">
            <v>(773) 150-6673</v>
          </cell>
          <cell r="AB609" t="str">
            <v/>
          </cell>
          <cell r="AC609" t="str">
            <v>F0507</v>
          </cell>
          <cell r="AD609" t="str">
            <v/>
          </cell>
          <cell r="AE609" t="str">
            <v/>
          </cell>
          <cell r="AF609" t="str">
            <v/>
          </cell>
          <cell r="AH609" t="str">
            <v>N</v>
          </cell>
          <cell r="AI609">
            <v>0</v>
          </cell>
          <cell r="AJ609">
            <v>0</v>
          </cell>
          <cell r="AK609">
            <v>0</v>
          </cell>
          <cell r="AL609">
            <v>0</v>
          </cell>
          <cell r="AM609">
            <v>760</v>
          </cell>
          <cell r="AN609">
            <v>0</v>
          </cell>
        </row>
        <row r="610">
          <cell r="A610">
            <v>7052</v>
          </cell>
          <cell r="B610" t="str">
            <v>RAMON URIBE ZAVALA (VALLE)</v>
          </cell>
          <cell r="C610" t="str">
            <v/>
          </cell>
          <cell r="D610" t="str">
            <v>DEMOCRACIA NORTE H 1-A</v>
          </cell>
          <cell r="E610" t="str">
            <v>VALLE DE SANTIAGO, GTO.</v>
          </cell>
          <cell r="F610" t="str">
            <v/>
          </cell>
          <cell r="G610" t="str">
            <v>(456) 643-2057 LOCAL</v>
          </cell>
          <cell r="H610" t="str">
            <v/>
          </cell>
          <cell r="I610" t="str">
            <v/>
          </cell>
          <cell r="J610" t="str">
            <v>F04P</v>
          </cell>
          <cell r="K610" t="str">
            <v/>
          </cell>
          <cell r="L610">
            <v>0</v>
          </cell>
          <cell r="M610">
            <v>549</v>
          </cell>
          <cell r="N610" t="str">
            <v>A</v>
          </cell>
          <cell r="O610">
            <v>42406</v>
          </cell>
          <cell r="P610" t="str">
            <v xml:space="preserve">    1</v>
          </cell>
          <cell r="Q610">
            <v>0</v>
          </cell>
          <cell r="R610">
            <v>0</v>
          </cell>
          <cell r="S610">
            <v>0</v>
          </cell>
          <cell r="T610">
            <v>395</v>
          </cell>
          <cell r="U610">
            <v>0</v>
          </cell>
          <cell r="V610" t="str">
            <v>CENTRO</v>
          </cell>
          <cell r="W610" t="str">
            <v/>
          </cell>
          <cell r="X610" t="str">
            <v/>
          </cell>
          <cell r="Y610" t="str">
            <v/>
          </cell>
          <cell r="Z610" t="str">
            <v/>
          </cell>
          <cell r="AA610" t="str">
            <v>(456) 643-2057 LOCAL</v>
          </cell>
          <cell r="AB610" t="str">
            <v/>
          </cell>
          <cell r="AC610" t="str">
            <v>I10985</v>
          </cell>
          <cell r="AD610" t="str">
            <v/>
          </cell>
          <cell r="AE610" t="str">
            <v/>
          </cell>
          <cell r="AF610" t="str">
            <v/>
          </cell>
          <cell r="AH610" t="str">
            <v>N</v>
          </cell>
          <cell r="AI610">
            <v>0</v>
          </cell>
          <cell r="AJ610">
            <v>0</v>
          </cell>
          <cell r="AK610">
            <v>0</v>
          </cell>
          <cell r="AL610">
            <v>0</v>
          </cell>
          <cell r="AM610">
            <v>395</v>
          </cell>
          <cell r="AN610">
            <v>0</v>
          </cell>
        </row>
        <row r="611">
          <cell r="A611">
            <v>7017</v>
          </cell>
          <cell r="B611" t="str">
            <v>JOSUE GASCA (A. EL GRANDE)</v>
          </cell>
          <cell r="C611">
            <v>0</v>
          </cell>
          <cell r="D611" t="str">
            <v>VENUSTIANO CARRANZA #307</v>
          </cell>
          <cell r="E611" t="str">
            <v>APASEO EL GRANDE, GTO.</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t="str">
            <v>CENTRO</v>
          </cell>
          <cell r="W611">
            <v>0</v>
          </cell>
          <cell r="X611">
            <v>0</v>
          </cell>
        </row>
        <row r="612">
          <cell r="A612">
            <v>7018</v>
          </cell>
          <cell r="B612" t="str">
            <v>BRENDA BELMAN (JUVENTINO)</v>
          </cell>
          <cell r="C612">
            <v>0</v>
          </cell>
          <cell r="D612" t="str">
            <v>MORELOS #432</v>
          </cell>
          <cell r="E612" t="str">
            <v>JUVENTINO ROSAS, GTO.</v>
          </cell>
          <cell r="F612">
            <v>0</v>
          </cell>
          <cell r="G612" t="str">
            <v>(461) 135-1258</v>
          </cell>
          <cell r="H612">
            <v>0</v>
          </cell>
          <cell r="I612">
            <v>0</v>
          </cell>
          <cell r="J612">
            <v>0</v>
          </cell>
          <cell r="K612">
            <v>0</v>
          </cell>
          <cell r="L612">
            <v>0</v>
          </cell>
          <cell r="M612">
            <v>0</v>
          </cell>
          <cell r="N612">
            <v>0</v>
          </cell>
          <cell r="O612">
            <v>0</v>
          </cell>
          <cell r="P612">
            <v>0</v>
          </cell>
          <cell r="Q612">
            <v>0</v>
          </cell>
          <cell r="R612">
            <v>0</v>
          </cell>
          <cell r="S612">
            <v>0</v>
          </cell>
          <cell r="T612">
            <v>0</v>
          </cell>
          <cell r="U612">
            <v>0</v>
          </cell>
          <cell r="V612" t="str">
            <v>CENTRO</v>
          </cell>
          <cell r="W612">
            <v>0</v>
          </cell>
          <cell r="X612">
            <v>0</v>
          </cell>
        </row>
        <row r="613">
          <cell r="A613">
            <v>7019</v>
          </cell>
          <cell r="B613" t="str">
            <v>ABARROTES ESCOBAR (IMIQUILPAN)</v>
          </cell>
          <cell r="C613">
            <v>0</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row>
        <row r="614">
          <cell r="A614">
            <v>7022</v>
          </cell>
          <cell r="B614" t="str">
            <v>SHARON MENDOZAROMERO (APASEO EL GRANDE)</v>
          </cell>
          <cell r="C614">
            <v>0</v>
          </cell>
          <cell r="D614">
            <v>0</v>
          </cell>
          <cell r="E614" t="str">
            <v>APASEO EL GRANDE, GTO.</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row>
        <row r="615">
          <cell r="A615">
            <v>7023</v>
          </cell>
          <cell r="B615" t="str">
            <v>IVAN RAMOS (JUVENTINO ROSAS)</v>
          </cell>
          <cell r="C615">
            <v>0</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row>
        <row r="616">
          <cell r="A616">
            <v>7024</v>
          </cell>
          <cell r="B616" t="str">
            <v>HILDA POLO (VILLAGRAN)</v>
          </cell>
          <cell r="C616">
            <v>0</v>
          </cell>
          <cell r="D616">
            <v>0</v>
          </cell>
          <cell r="E616">
            <v>0</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row>
        <row r="617">
          <cell r="A617">
            <v>7025</v>
          </cell>
          <cell r="B617" t="str">
            <v>JORGE SALVADOR PEREZ (APASEO EL GRANDE)</v>
          </cell>
          <cell r="C617">
            <v>0</v>
          </cell>
          <cell r="D617">
            <v>0</v>
          </cell>
          <cell r="E617">
            <v>0</v>
          </cell>
          <cell r="F617">
            <v>0</v>
          </cell>
          <cell r="G617">
            <v>0</v>
          </cell>
          <cell r="H617">
            <v>0</v>
          </cell>
          <cell r="I617">
            <v>0</v>
          </cell>
          <cell r="J617">
            <v>0</v>
          </cell>
          <cell r="K617">
            <v>0</v>
          </cell>
          <cell r="L617">
            <v>0</v>
          </cell>
          <cell r="M617">
            <v>0</v>
          </cell>
          <cell r="N617">
            <v>0</v>
          </cell>
          <cell r="O617">
            <v>0</v>
          </cell>
          <cell r="P617">
            <v>0</v>
          </cell>
          <cell r="Q617">
            <v>0</v>
          </cell>
          <cell r="R617">
            <v>0</v>
          </cell>
          <cell r="S617">
            <v>0</v>
          </cell>
          <cell r="T617">
            <v>0</v>
          </cell>
          <cell r="U617">
            <v>0</v>
          </cell>
          <cell r="V617">
            <v>0</v>
          </cell>
          <cell r="W617">
            <v>0</v>
          </cell>
          <cell r="X617">
            <v>0</v>
          </cell>
        </row>
        <row r="618">
          <cell r="A618">
            <v>7026</v>
          </cell>
          <cell r="B618" t="str">
            <v>YOLANDA ARROMIZ (APASEO EL GRANDE)</v>
          </cell>
          <cell r="C618">
            <v>0</v>
          </cell>
          <cell r="D618">
            <v>0</v>
          </cell>
          <cell r="E618">
            <v>0</v>
          </cell>
          <cell r="F618">
            <v>0</v>
          </cell>
          <cell r="G618">
            <v>0</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row>
        <row r="619">
          <cell r="A619">
            <v>7027</v>
          </cell>
          <cell r="B619" t="str">
            <v>BASILIO ROJAS (APASEO EL GRANDE)</v>
          </cell>
          <cell r="C619">
            <v>0</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row>
        <row r="620">
          <cell r="A620">
            <v>7028</v>
          </cell>
          <cell r="B620" t="str">
            <v>GEORGINA VILLEDA CHAVEZ (HUICHAPAN)</v>
          </cell>
          <cell r="C620">
            <v>0</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row>
        <row r="621">
          <cell r="A621">
            <v>7029</v>
          </cell>
          <cell r="B621" t="str">
            <v>VICTOR MANUEL PEREZ "PAPELERIA ALE" (HUICHAPAN)</v>
          </cell>
          <cell r="C621">
            <v>0</v>
          </cell>
          <cell r="D621">
            <v>0</v>
          </cell>
          <cell r="E621">
            <v>0</v>
          </cell>
          <cell r="F621">
            <v>0</v>
          </cell>
          <cell r="G621">
            <v>0</v>
          </cell>
          <cell r="H621">
            <v>0</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0</v>
          </cell>
        </row>
        <row r="622">
          <cell r="A622">
            <v>7030</v>
          </cell>
          <cell r="B622" t="str">
            <v>JAIME DARIO RAMIREZ C. (MIXQUIAHUALA)</v>
          </cell>
          <cell r="C622">
            <v>0</v>
          </cell>
          <cell r="D622">
            <v>0</v>
          </cell>
          <cell r="E622">
            <v>0</v>
          </cell>
          <cell r="F622">
            <v>0</v>
          </cell>
          <cell r="G622">
            <v>0</v>
          </cell>
          <cell r="H622">
            <v>0</v>
          </cell>
          <cell r="I622">
            <v>0</v>
          </cell>
          <cell r="J622">
            <v>0</v>
          </cell>
          <cell r="K622">
            <v>0</v>
          </cell>
          <cell r="L622">
            <v>0</v>
          </cell>
          <cell r="M622">
            <v>0</v>
          </cell>
          <cell r="N622">
            <v>0</v>
          </cell>
          <cell r="O622">
            <v>0</v>
          </cell>
          <cell r="P622">
            <v>0</v>
          </cell>
          <cell r="Q622">
            <v>0</v>
          </cell>
          <cell r="R622">
            <v>0</v>
          </cell>
          <cell r="S622">
            <v>0</v>
          </cell>
          <cell r="T622">
            <v>0</v>
          </cell>
          <cell r="U622">
            <v>0</v>
          </cell>
          <cell r="V622">
            <v>0</v>
          </cell>
          <cell r="W622">
            <v>0</v>
          </cell>
          <cell r="X622">
            <v>0</v>
          </cell>
        </row>
        <row r="623">
          <cell r="A623">
            <v>7031</v>
          </cell>
          <cell r="B623" t="str">
            <v>SARITA BARRERA CORNEJO (TEZONTEPEC)</v>
          </cell>
          <cell r="C623">
            <v>0</v>
          </cell>
          <cell r="D623" t="str">
            <v>VENUSTIANO CARRANZA S/N</v>
          </cell>
          <cell r="E623" t="str">
            <v>TEZONTEPEC, HGO.</v>
          </cell>
          <cell r="F623">
            <v>0</v>
          </cell>
          <cell r="G623" t="str">
            <v>(773) 111-3391</v>
          </cell>
          <cell r="H623">
            <v>0</v>
          </cell>
          <cell r="I623">
            <v>0</v>
          </cell>
          <cell r="J623">
            <v>0</v>
          </cell>
          <cell r="K623">
            <v>0</v>
          </cell>
          <cell r="L623">
            <v>0</v>
          </cell>
          <cell r="M623">
            <v>0</v>
          </cell>
          <cell r="N623">
            <v>0</v>
          </cell>
          <cell r="O623">
            <v>0</v>
          </cell>
          <cell r="P623">
            <v>0</v>
          </cell>
          <cell r="Q623">
            <v>0</v>
          </cell>
          <cell r="R623">
            <v>0</v>
          </cell>
          <cell r="S623">
            <v>0</v>
          </cell>
          <cell r="T623">
            <v>0</v>
          </cell>
          <cell r="U623">
            <v>0</v>
          </cell>
          <cell r="V623" t="str">
            <v>SAN JUAN</v>
          </cell>
          <cell r="W623">
            <v>0</v>
          </cell>
          <cell r="X623">
            <v>0</v>
          </cell>
        </row>
        <row r="624">
          <cell r="A624">
            <v>7032</v>
          </cell>
          <cell r="B624" t="str">
            <v>GUADALUPE CHAIRES BLANCO (IXMIQUILPAN)</v>
          </cell>
          <cell r="C624">
            <v>0</v>
          </cell>
          <cell r="D624" t="str">
            <v>RAUL GUERRERO #16</v>
          </cell>
          <cell r="E624" t="str">
            <v>IXMIQUILPAN, HGO.</v>
          </cell>
          <cell r="F624">
            <v>0</v>
          </cell>
          <cell r="G624" t="str">
            <v>(772) 157-4923 CEL.</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t="str">
            <v>CENTRO</v>
          </cell>
          <cell r="W624">
            <v>0</v>
          </cell>
          <cell r="X624">
            <v>0</v>
          </cell>
        </row>
        <row r="625">
          <cell r="A625">
            <v>7033</v>
          </cell>
          <cell r="B625" t="str">
            <v>MARIA LUISA NUÑEZ (A. EL GRANDE)</v>
          </cell>
          <cell r="C625">
            <v>0</v>
          </cell>
          <cell r="D625" t="str">
            <v>ALLENDE #222</v>
          </cell>
          <cell r="E625" t="str">
            <v>APASEO EL GRANDE, GTO.</v>
          </cell>
          <cell r="F625">
            <v>0</v>
          </cell>
          <cell r="G625" t="str">
            <v>(413) 110-6106 GUADALUPE</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t="str">
            <v>CENTRO</v>
          </cell>
          <cell r="W625">
            <v>0</v>
          </cell>
          <cell r="X625">
            <v>0</v>
          </cell>
        </row>
        <row r="626">
          <cell r="A626">
            <v>7034</v>
          </cell>
          <cell r="B626" t="str">
            <v>LUIS REY CARDENAS ENRIQUEZ (A. EL GRANDE)</v>
          </cell>
          <cell r="C626">
            <v>0</v>
          </cell>
          <cell r="D626" t="str">
            <v>ALDAMA #118</v>
          </cell>
          <cell r="E626" t="str">
            <v>APASEO EL GRANDE, GTO.</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t="str">
            <v>CENTRO</v>
          </cell>
          <cell r="W626">
            <v>0</v>
          </cell>
          <cell r="X626">
            <v>0</v>
          </cell>
        </row>
        <row r="627">
          <cell r="A627">
            <v>7035</v>
          </cell>
          <cell r="B627" t="str">
            <v>ABEL RICO ARELLANO (JUVENTINO)</v>
          </cell>
          <cell r="C627">
            <v>0</v>
          </cell>
          <cell r="D627" t="str">
            <v>BLVD. MANUEL MORENO #624</v>
          </cell>
          <cell r="E627" t="str">
            <v>JUVENTINO ROSAS, GTO.</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t="str">
            <v>CENTRO</v>
          </cell>
          <cell r="W627">
            <v>0</v>
          </cell>
          <cell r="X627">
            <v>0</v>
          </cell>
        </row>
        <row r="628">
          <cell r="A628">
            <v>7036</v>
          </cell>
          <cell r="B628" t="str">
            <v>OSCAR AVILA (APASEO EL GRANDE)</v>
          </cell>
          <cell r="C628">
            <v>0</v>
          </cell>
          <cell r="D628">
            <v>0</v>
          </cell>
          <cell r="E628" t="str">
            <v>APASEO EL GRANDE, GTO.</v>
          </cell>
          <cell r="F628">
            <v>0</v>
          </cell>
          <cell r="G628">
            <v>0</v>
          </cell>
          <cell r="H628">
            <v>0</v>
          </cell>
          <cell r="I628">
            <v>0</v>
          </cell>
          <cell r="J628">
            <v>0</v>
          </cell>
          <cell r="K628">
            <v>0</v>
          </cell>
          <cell r="L628">
            <v>0</v>
          </cell>
          <cell r="M628">
            <v>0</v>
          </cell>
          <cell r="N628">
            <v>0</v>
          </cell>
          <cell r="O628">
            <v>0</v>
          </cell>
          <cell r="P628">
            <v>0</v>
          </cell>
          <cell r="Q628">
            <v>0</v>
          </cell>
          <cell r="R628">
            <v>0</v>
          </cell>
          <cell r="S628">
            <v>0</v>
          </cell>
          <cell r="T628">
            <v>0</v>
          </cell>
          <cell r="U628">
            <v>0</v>
          </cell>
          <cell r="V628">
            <v>0</v>
          </cell>
          <cell r="W628">
            <v>0</v>
          </cell>
          <cell r="X628">
            <v>0</v>
          </cell>
        </row>
        <row r="629">
          <cell r="A629">
            <v>7037</v>
          </cell>
          <cell r="B629" t="str">
            <v>ELSA MUSIÑO HERNANDEZ (APAXCO)</v>
          </cell>
          <cell r="C629">
            <v>0</v>
          </cell>
          <cell r="D629" t="str">
            <v>ESTRELLA #11</v>
          </cell>
          <cell r="E629" t="str">
            <v>APAXCO, EDO. DE MEXICO</v>
          </cell>
          <cell r="F629">
            <v>0</v>
          </cell>
          <cell r="G629">
            <v>0</v>
          </cell>
          <cell r="H629">
            <v>0</v>
          </cell>
          <cell r="I629">
            <v>0</v>
          </cell>
          <cell r="J629">
            <v>0</v>
          </cell>
          <cell r="K629">
            <v>0</v>
          </cell>
          <cell r="L629">
            <v>0</v>
          </cell>
          <cell r="M629">
            <v>0</v>
          </cell>
          <cell r="N629">
            <v>0</v>
          </cell>
          <cell r="O629">
            <v>0</v>
          </cell>
          <cell r="P629">
            <v>0</v>
          </cell>
          <cell r="Q629">
            <v>0</v>
          </cell>
          <cell r="R629">
            <v>0</v>
          </cell>
          <cell r="S629">
            <v>0</v>
          </cell>
          <cell r="T629">
            <v>0</v>
          </cell>
          <cell r="U629">
            <v>0</v>
          </cell>
          <cell r="V629" t="str">
            <v>CENTRO</v>
          </cell>
          <cell r="W629">
            <v>0</v>
          </cell>
          <cell r="X629">
            <v>0</v>
          </cell>
        </row>
        <row r="630">
          <cell r="A630">
            <v>7038</v>
          </cell>
          <cell r="B630" t="str">
            <v>NANCY AQUINO (COACALCO)</v>
          </cell>
          <cell r="C630">
            <v>0</v>
          </cell>
          <cell r="D630" t="str">
            <v>CANOSAS</v>
          </cell>
          <cell r="E630" t="str">
            <v>COACALCO, EDO. DE MEXICO</v>
          </cell>
          <cell r="F630">
            <v>0</v>
          </cell>
          <cell r="G630">
            <v>0</v>
          </cell>
          <cell r="H630">
            <v>0</v>
          </cell>
          <cell r="I630">
            <v>0</v>
          </cell>
          <cell r="J630">
            <v>0</v>
          </cell>
          <cell r="K630">
            <v>0</v>
          </cell>
          <cell r="L630">
            <v>0</v>
          </cell>
          <cell r="M630">
            <v>0</v>
          </cell>
          <cell r="N630">
            <v>0</v>
          </cell>
          <cell r="O630">
            <v>0</v>
          </cell>
          <cell r="P630">
            <v>0</v>
          </cell>
          <cell r="Q630">
            <v>0</v>
          </cell>
          <cell r="R630">
            <v>0</v>
          </cell>
          <cell r="S630">
            <v>0</v>
          </cell>
          <cell r="T630">
            <v>0</v>
          </cell>
          <cell r="U630">
            <v>0</v>
          </cell>
          <cell r="V630" t="str">
            <v>VILLA DE LAS FLORES</v>
          </cell>
          <cell r="W630">
            <v>0</v>
          </cell>
          <cell r="X630">
            <v>0</v>
          </cell>
        </row>
        <row r="631">
          <cell r="A631">
            <v>7039</v>
          </cell>
          <cell r="B631" t="str">
            <v>FELIPE ANDRES RODRIGUEZ LAGUNA (QUERETARO)</v>
          </cell>
          <cell r="C631" t="str">
            <v>CHURPS</v>
          </cell>
          <cell r="D631" t="str">
            <v>CHABACANO #74</v>
          </cell>
          <cell r="E631" t="str">
            <v>QUERETARO, QRO.</v>
          </cell>
          <cell r="F631">
            <v>0</v>
          </cell>
          <cell r="G631" t="str">
            <v>(442) 319-4361</v>
          </cell>
          <cell r="H631">
            <v>0</v>
          </cell>
          <cell r="I631">
            <v>0</v>
          </cell>
          <cell r="J631">
            <v>0</v>
          </cell>
          <cell r="K631">
            <v>0</v>
          </cell>
          <cell r="L631">
            <v>0</v>
          </cell>
          <cell r="M631">
            <v>0</v>
          </cell>
          <cell r="N631">
            <v>0</v>
          </cell>
          <cell r="O631">
            <v>0</v>
          </cell>
          <cell r="P631">
            <v>0</v>
          </cell>
          <cell r="Q631">
            <v>0</v>
          </cell>
          <cell r="R631">
            <v>0</v>
          </cell>
          <cell r="S631">
            <v>0</v>
          </cell>
          <cell r="T631">
            <v>0</v>
          </cell>
          <cell r="U631">
            <v>0</v>
          </cell>
          <cell r="V631" t="str">
            <v>EL PORTICO</v>
          </cell>
          <cell r="W631">
            <v>0</v>
          </cell>
          <cell r="X631">
            <v>0</v>
          </cell>
        </row>
        <row r="632">
          <cell r="A632">
            <v>7040</v>
          </cell>
          <cell r="B632" t="str">
            <v>AURELIA CRUZ (HUICHAPAN)</v>
          </cell>
          <cell r="C632">
            <v>0</v>
          </cell>
          <cell r="D632">
            <v>0</v>
          </cell>
          <cell r="E632" t="str">
            <v>HUICHAPAN, HGO.</v>
          </cell>
          <cell r="F632">
            <v>0</v>
          </cell>
          <cell r="G632">
            <v>0</v>
          </cell>
          <cell r="H632">
            <v>0</v>
          </cell>
          <cell r="I632">
            <v>0</v>
          </cell>
          <cell r="J632">
            <v>0</v>
          </cell>
          <cell r="K632">
            <v>0</v>
          </cell>
          <cell r="L632">
            <v>0</v>
          </cell>
          <cell r="M632">
            <v>0</v>
          </cell>
          <cell r="N632">
            <v>0</v>
          </cell>
          <cell r="O632">
            <v>0</v>
          </cell>
          <cell r="P632">
            <v>0</v>
          </cell>
          <cell r="Q632">
            <v>0</v>
          </cell>
          <cell r="R632">
            <v>0</v>
          </cell>
          <cell r="S632">
            <v>0</v>
          </cell>
          <cell r="T632">
            <v>0</v>
          </cell>
          <cell r="U632">
            <v>0</v>
          </cell>
          <cell r="V632">
            <v>0</v>
          </cell>
          <cell r="W632">
            <v>0</v>
          </cell>
          <cell r="X632">
            <v>0</v>
          </cell>
        </row>
        <row r="633">
          <cell r="A633">
            <v>7041</v>
          </cell>
          <cell r="B633" t="str">
            <v>ARODITH GARCIA ORTEGA (ACTOPAN)</v>
          </cell>
          <cell r="C633">
            <v>0</v>
          </cell>
          <cell r="D633" t="str">
            <v>ZARAGOZA #35</v>
          </cell>
          <cell r="E633" t="str">
            <v>ACTOPAN, HGO.</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t="str">
            <v>CENTRO</v>
          </cell>
          <cell r="W633">
            <v>0</v>
          </cell>
          <cell r="X633">
            <v>0</v>
          </cell>
        </row>
        <row r="634">
          <cell r="A634">
            <v>7042</v>
          </cell>
          <cell r="B634" t="str">
            <v>ALFONSO RAMIREZ AVILES (ACTOPAN)</v>
          </cell>
          <cell r="C634">
            <v>0</v>
          </cell>
          <cell r="D634" t="str">
            <v>DURANGO #2</v>
          </cell>
          <cell r="E634" t="str">
            <v>ACTOPAN, HGO.</v>
          </cell>
          <cell r="F634">
            <v>0</v>
          </cell>
          <cell r="G634" t="str">
            <v>(772) 155-1341</v>
          </cell>
          <cell r="H634">
            <v>0</v>
          </cell>
          <cell r="I634">
            <v>0</v>
          </cell>
          <cell r="J634">
            <v>0</v>
          </cell>
          <cell r="K634">
            <v>0</v>
          </cell>
          <cell r="L634">
            <v>0</v>
          </cell>
          <cell r="M634">
            <v>0</v>
          </cell>
          <cell r="N634">
            <v>0</v>
          </cell>
          <cell r="O634">
            <v>0</v>
          </cell>
          <cell r="P634">
            <v>0</v>
          </cell>
          <cell r="Q634">
            <v>0</v>
          </cell>
          <cell r="R634">
            <v>0</v>
          </cell>
          <cell r="S634">
            <v>0</v>
          </cell>
          <cell r="T634">
            <v>0</v>
          </cell>
          <cell r="U634">
            <v>0</v>
          </cell>
          <cell r="V634" t="str">
            <v>LOS OLIVOS</v>
          </cell>
          <cell r="W634">
            <v>0</v>
          </cell>
          <cell r="X634">
            <v>0</v>
          </cell>
        </row>
        <row r="635">
          <cell r="A635">
            <v>7043</v>
          </cell>
          <cell r="B635" t="str">
            <v>JORGE SIMAE ORTIZ (MIXQUIAHUALA)</v>
          </cell>
          <cell r="C635">
            <v>0</v>
          </cell>
          <cell r="D635">
            <v>0</v>
          </cell>
          <cell r="E635" t="str">
            <v>MIXQUIAHUALA, HGO.</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row>
        <row r="636">
          <cell r="A636">
            <v>7044</v>
          </cell>
          <cell r="B636" t="str">
            <v>IVONE ROQUE AVILA (POLOTITLAN)</v>
          </cell>
          <cell r="C636">
            <v>0</v>
          </cell>
          <cell r="D636" t="str">
            <v>16 DE SEPTIEMBRE #13</v>
          </cell>
          <cell r="E636" t="str">
            <v>POLOTITLAN, EDO. DE MEXICO</v>
          </cell>
          <cell r="F636">
            <v>0</v>
          </cell>
          <cell r="G636" t="str">
            <v>(427) 127-1041</v>
          </cell>
          <cell r="H636">
            <v>0</v>
          </cell>
          <cell r="I636">
            <v>0</v>
          </cell>
          <cell r="J636">
            <v>0</v>
          </cell>
          <cell r="K636">
            <v>0</v>
          </cell>
          <cell r="L636">
            <v>0</v>
          </cell>
          <cell r="M636">
            <v>0</v>
          </cell>
          <cell r="N636">
            <v>0</v>
          </cell>
          <cell r="O636">
            <v>0</v>
          </cell>
          <cell r="P636">
            <v>0</v>
          </cell>
          <cell r="Q636">
            <v>0</v>
          </cell>
          <cell r="R636">
            <v>0</v>
          </cell>
          <cell r="S636">
            <v>0</v>
          </cell>
          <cell r="T636">
            <v>0</v>
          </cell>
          <cell r="U636">
            <v>0</v>
          </cell>
          <cell r="V636" t="str">
            <v>CENTRO</v>
          </cell>
          <cell r="W636">
            <v>0</v>
          </cell>
          <cell r="X636">
            <v>0</v>
          </cell>
        </row>
        <row r="637">
          <cell r="A637">
            <v>7045</v>
          </cell>
          <cell r="B637" t="str">
            <v>HERLINDA URBINA SILVA (SALAMANCA)</v>
          </cell>
          <cell r="C637">
            <v>0</v>
          </cell>
          <cell r="D637" t="str">
            <v>EZEQUIEL ORDOÑEZ #112 A</v>
          </cell>
          <cell r="E637" t="str">
            <v>SALAMANCA, GTO.</v>
          </cell>
          <cell r="F637" t="str">
            <v>36730</v>
          </cell>
          <cell r="G637" t="str">
            <v>(464) 157-0354</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t="str">
            <v>BELLA VISTA</v>
          </cell>
          <cell r="W637">
            <v>0</v>
          </cell>
          <cell r="X637">
            <v>0</v>
          </cell>
        </row>
        <row r="638">
          <cell r="A638">
            <v>7047</v>
          </cell>
          <cell r="B638" t="str">
            <v>FLOR BARBOSA SANCHEZ (GUANAJUATO)</v>
          </cell>
          <cell r="C638">
            <v>0</v>
          </cell>
          <cell r="D638">
            <v>0</v>
          </cell>
          <cell r="E638" t="str">
            <v>GUANAJUATO, GTO.</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row>
        <row r="639">
          <cell r="A639">
            <v>7048</v>
          </cell>
          <cell r="B639" t="str">
            <v>JOSEFINA PAREDES RODRIGUEZ (A. EL ALTO)</v>
          </cell>
          <cell r="C639">
            <v>0</v>
          </cell>
          <cell r="D639">
            <v>0</v>
          </cell>
          <cell r="E639" t="str">
            <v>APASEO EL ALTO, GTO.</v>
          </cell>
          <cell r="F639">
            <v>0</v>
          </cell>
          <cell r="G639" t="str">
            <v>640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row>
        <row r="640">
          <cell r="A640">
            <v>7049</v>
          </cell>
          <cell r="B640" t="str">
            <v>BLANCA ISELA REYES (TLAHUELILPAN)</v>
          </cell>
          <cell r="C640">
            <v>0</v>
          </cell>
          <cell r="D640" t="str">
            <v>HOMBRES ILUSTRES #14</v>
          </cell>
          <cell r="E640" t="str">
            <v>TLAHUELILPAN, HGO.</v>
          </cell>
          <cell r="F640">
            <v>0</v>
          </cell>
          <cell r="G640" t="str">
            <v>1019</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t="str">
            <v>CENTRO</v>
          </cell>
          <cell r="W640">
            <v>0</v>
          </cell>
          <cell r="X640">
            <v>0</v>
          </cell>
        </row>
        <row r="641">
          <cell r="A641">
            <v>7050</v>
          </cell>
          <cell r="B641" t="str">
            <v>FRANCISCO LOPEZ VIEYRA (ATLACOMULCO)</v>
          </cell>
          <cell r="C641">
            <v>0</v>
          </cell>
          <cell r="D641" t="str">
            <v>AV. ISIDRO FABELA #12 Y 19 "A"</v>
          </cell>
          <cell r="E641" t="str">
            <v>ATLACOMULCO, EDO. DE MEXICO</v>
          </cell>
          <cell r="F641">
            <v>0</v>
          </cell>
          <cell r="G641" t="str">
            <v>400</v>
          </cell>
          <cell r="H641">
            <v>0</v>
          </cell>
          <cell r="I641">
            <v>0</v>
          </cell>
          <cell r="J641">
            <v>0</v>
          </cell>
          <cell r="K641">
            <v>0</v>
          </cell>
          <cell r="L641">
            <v>0</v>
          </cell>
          <cell r="M641">
            <v>0</v>
          </cell>
          <cell r="N641">
            <v>0</v>
          </cell>
          <cell r="O641">
            <v>0</v>
          </cell>
          <cell r="P641">
            <v>0</v>
          </cell>
          <cell r="Q641">
            <v>0</v>
          </cell>
          <cell r="R641">
            <v>0</v>
          </cell>
          <cell r="S641">
            <v>0</v>
          </cell>
          <cell r="T641">
            <v>0</v>
          </cell>
          <cell r="U641">
            <v>0</v>
          </cell>
          <cell r="V641" t="str">
            <v>CENTRO</v>
          </cell>
          <cell r="W641">
            <v>0</v>
          </cell>
          <cell r="X641">
            <v>0</v>
          </cell>
        </row>
        <row r="642">
          <cell r="A642">
            <v>7051</v>
          </cell>
          <cell r="B642" t="str">
            <v>SRA. ACAMBAY</v>
          </cell>
          <cell r="C642">
            <v>0</v>
          </cell>
          <cell r="D642">
            <v>0</v>
          </cell>
          <cell r="E642" t="str">
            <v>ACAMBAY, EDO. DE MEXICO</v>
          </cell>
          <cell r="F642">
            <v>0</v>
          </cell>
          <cell r="G642" t="str">
            <v>1332</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row>
        <row r="643">
          <cell r="A643">
            <v>7047</v>
          </cell>
          <cell r="B643" t="str">
            <v>FLOR BARBOSA SANCHEZ (GUANAJUATO)</v>
          </cell>
          <cell r="C643">
            <v>0</v>
          </cell>
          <cell r="D643">
            <v>0</v>
          </cell>
          <cell r="E643" t="str">
            <v>GUANAJUATO, GTO.</v>
          </cell>
          <cell r="F643">
            <v>0</v>
          </cell>
          <cell r="G643" t="str">
            <v>=SUMA(F(-4)C:F(-1)C)</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row>
        <row r="644">
          <cell r="A644">
            <v>7054</v>
          </cell>
          <cell r="B644" t="str">
            <v>ERIKA SERRANO LEMUS (CUAUTITLAN)</v>
          </cell>
          <cell r="C644">
            <v>0</v>
          </cell>
          <cell r="D644">
            <v>0</v>
          </cell>
          <cell r="E644" t="str">
            <v>CUAUTITLAN, EDO. DE MEXICO</v>
          </cell>
          <cell r="F644">
            <v>0</v>
          </cell>
          <cell r="G644" t="str">
            <v>(55) 6657-8802</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row>
        <row r="645">
          <cell r="A645">
            <v>7055</v>
          </cell>
          <cell r="B645" t="str">
            <v>ARACELI HERNANDEZ GOMEZ (QUERETARO)</v>
          </cell>
          <cell r="C645">
            <v>0</v>
          </cell>
          <cell r="D645" t="str">
            <v>CARR. SAN PEDRO MARTIR LOCAL A-1</v>
          </cell>
          <cell r="E645" t="str">
            <v>QUERETARO, QRO.</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t="str">
            <v>EL ROCIO</v>
          </cell>
          <cell r="W645">
            <v>0</v>
          </cell>
          <cell r="X645">
            <v>0</v>
          </cell>
        </row>
        <row r="646">
          <cell r="A646">
            <v>7056</v>
          </cell>
          <cell r="B646" t="str">
            <v>MA. HORRTENCIA SANCHEZ CHAVEZ (SJR)</v>
          </cell>
          <cell r="C646">
            <v>0</v>
          </cell>
          <cell r="D646" t="str">
            <v>FRANCISCO ZARCO #51</v>
          </cell>
          <cell r="E646" t="str">
            <v>SAN JUAN DEL RIO, QRO.</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t="str">
            <v>FATIMA</v>
          </cell>
          <cell r="W646">
            <v>0</v>
          </cell>
          <cell r="X646">
            <v>0</v>
          </cell>
        </row>
        <row r="647">
          <cell r="A647">
            <v>7057</v>
          </cell>
          <cell r="B647" t="str">
            <v>PATY "MERCADO" (VILLA)</v>
          </cell>
          <cell r="C647">
            <v>0</v>
          </cell>
          <cell r="D647">
            <v>0</v>
          </cell>
          <cell r="E647" t="str">
            <v>COACALCO, EDO. DE MEXICO</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t="str">
            <v>VILLA DE LAS FLORES</v>
          </cell>
          <cell r="W647">
            <v>0</v>
          </cell>
          <cell r="X647">
            <v>0</v>
          </cell>
        </row>
        <row r="648">
          <cell r="A648">
            <v>7058</v>
          </cell>
          <cell r="B648" t="str">
            <v>ALICIA SOSA YAÑEZ (TULA)</v>
          </cell>
          <cell r="C648">
            <v>0</v>
          </cell>
          <cell r="D648">
            <v>0</v>
          </cell>
          <cell r="E648" t="str">
            <v>TULA, HGO.</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row>
        <row r="649">
          <cell r="A649">
            <v>7059</v>
          </cell>
          <cell r="B649" t="str">
            <v>BENJAMIN DE ANDA (SJR)</v>
          </cell>
          <cell r="C649">
            <v>0</v>
          </cell>
          <cell r="D649" t="str">
            <v>MOCTEZUMA #57</v>
          </cell>
          <cell r="E649" t="str">
            <v>SAN JUAN DEL RIO, QRO.</v>
          </cell>
          <cell r="F649">
            <v>0</v>
          </cell>
          <cell r="G649" t="str">
            <v>(427) 132-2006</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t="str">
            <v>SAN CAYETANO</v>
          </cell>
          <cell r="W649">
            <v>0</v>
          </cell>
          <cell r="X649">
            <v>0</v>
          </cell>
        </row>
        <row r="650">
          <cell r="A650">
            <v>7060</v>
          </cell>
          <cell r="B650" t="str">
            <v>ERICA RAMIREZ (IXMIQUILPAN)</v>
          </cell>
          <cell r="C650">
            <v>0</v>
          </cell>
          <cell r="D650" t="str">
            <v>ADOLFO LOPEZ MATEOS #32</v>
          </cell>
          <cell r="E650" t="str">
            <v>IXMIQUILPAN, HGO.</v>
          </cell>
          <cell r="F650">
            <v>0</v>
          </cell>
          <cell r="G650" t="str">
            <v>(772) 126-9263</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row>
        <row r="651">
          <cell r="A651">
            <v>7061</v>
          </cell>
          <cell r="B651" t="str">
            <v>ERNESTINA TREJO CASAS (IXMIQUILPAN)</v>
          </cell>
          <cell r="C651">
            <v>0</v>
          </cell>
          <cell r="D651" t="str">
            <v>PEÑA Y RAMIREZ #11</v>
          </cell>
          <cell r="E651" t="str">
            <v>IXMIQUILPAN, HGO.</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v>
          </cell>
          <cell r="U651">
            <v>0</v>
          </cell>
          <cell r="V651" t="str">
            <v>CENTRO</v>
          </cell>
          <cell r="W651">
            <v>0</v>
          </cell>
          <cell r="X651">
            <v>0</v>
          </cell>
        </row>
        <row r="652">
          <cell r="A652">
            <v>7062</v>
          </cell>
          <cell r="B652" t="str">
            <v>EL RINCON DE VANESU</v>
          </cell>
          <cell r="C652">
            <v>0</v>
          </cell>
          <cell r="D652">
            <v>0</v>
          </cell>
          <cell r="E652" t="str">
            <v>-</v>
          </cell>
          <cell r="F652">
            <v>0</v>
          </cell>
          <cell r="G652" t="str">
            <v>(773) 734-1894</v>
          </cell>
          <cell r="H652">
            <v>0</v>
          </cell>
          <cell r="I652">
            <v>0</v>
          </cell>
          <cell r="J652">
            <v>0</v>
          </cell>
          <cell r="K652">
            <v>0</v>
          </cell>
          <cell r="L652">
            <v>0</v>
          </cell>
          <cell r="M652">
            <v>0</v>
          </cell>
          <cell r="N652">
            <v>0</v>
          </cell>
          <cell r="O652">
            <v>0</v>
          </cell>
          <cell r="P652">
            <v>0</v>
          </cell>
          <cell r="Q652">
            <v>0</v>
          </cell>
          <cell r="R652">
            <v>0</v>
          </cell>
          <cell r="S652">
            <v>0</v>
          </cell>
          <cell r="T652">
            <v>0</v>
          </cell>
          <cell r="U652">
            <v>0</v>
          </cell>
          <cell r="V652">
            <v>0</v>
          </cell>
          <cell r="W652">
            <v>0</v>
          </cell>
          <cell r="X652">
            <v>0</v>
          </cell>
        </row>
        <row r="653">
          <cell r="A653">
            <v>7063</v>
          </cell>
          <cell r="B653" t="str">
            <v>LUCIA VELAZQUEZ (SAN JUAN)</v>
          </cell>
          <cell r="C653">
            <v>0</v>
          </cell>
          <cell r="D653" t="str">
            <v>MORELOS</v>
          </cell>
          <cell r="E653" t="str">
            <v>SAN JUAN DEL RIO, QRO.</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v>0</v>
          </cell>
          <cell r="V653" t="str">
            <v>CENTRO</v>
          </cell>
          <cell r="W653">
            <v>0</v>
          </cell>
          <cell r="X653">
            <v>0</v>
          </cell>
        </row>
        <row r="654">
          <cell r="A654">
            <v>7064</v>
          </cell>
          <cell r="B654" t="str">
            <v>ALMA GUTIERREZ RODRIGUEZ</v>
          </cell>
          <cell r="C654">
            <v>0</v>
          </cell>
          <cell r="D654" t="str">
            <v>MERCADO 54</v>
          </cell>
          <cell r="E654" t="str">
            <v>-</v>
          </cell>
          <cell r="F654">
            <v>0</v>
          </cell>
          <cell r="G654">
            <v>0</v>
          </cell>
          <cell r="H654">
            <v>0</v>
          </cell>
          <cell r="I654">
            <v>0</v>
          </cell>
          <cell r="J654">
            <v>0</v>
          </cell>
          <cell r="K654">
            <v>0</v>
          </cell>
          <cell r="L654">
            <v>0</v>
          </cell>
          <cell r="M654">
            <v>0</v>
          </cell>
          <cell r="N654">
            <v>0</v>
          </cell>
          <cell r="O654">
            <v>0</v>
          </cell>
          <cell r="P654">
            <v>0</v>
          </cell>
          <cell r="Q654">
            <v>0</v>
          </cell>
          <cell r="R654">
            <v>0</v>
          </cell>
          <cell r="S654">
            <v>0</v>
          </cell>
          <cell r="T654">
            <v>0</v>
          </cell>
          <cell r="U654">
            <v>0</v>
          </cell>
          <cell r="V654">
            <v>0</v>
          </cell>
          <cell r="W654">
            <v>0</v>
          </cell>
          <cell r="X654">
            <v>0</v>
          </cell>
        </row>
        <row r="655">
          <cell r="A655">
            <v>7065</v>
          </cell>
          <cell r="B655" t="str">
            <v>MINERVA PEREZ HERNANDEZ (ECATEPEC)</v>
          </cell>
          <cell r="C655">
            <v>0</v>
          </cell>
          <cell r="D655" t="str">
            <v>HIDALGO #16</v>
          </cell>
          <cell r="E655" t="str">
            <v>ECATEPEC, EDO. DE MEXICO</v>
          </cell>
          <cell r="F655">
            <v>0</v>
          </cell>
          <cell r="G655" t="str">
            <v>(55) 7190-0034</v>
          </cell>
          <cell r="H655">
            <v>0</v>
          </cell>
          <cell r="I655">
            <v>0</v>
          </cell>
          <cell r="J655">
            <v>0</v>
          </cell>
          <cell r="K655">
            <v>0</v>
          </cell>
          <cell r="L655">
            <v>0</v>
          </cell>
          <cell r="M655">
            <v>0</v>
          </cell>
          <cell r="N655">
            <v>0</v>
          </cell>
          <cell r="O655">
            <v>0</v>
          </cell>
          <cell r="P655">
            <v>0</v>
          </cell>
          <cell r="Q655">
            <v>0</v>
          </cell>
          <cell r="R655">
            <v>0</v>
          </cell>
          <cell r="S655">
            <v>0</v>
          </cell>
          <cell r="T655">
            <v>0</v>
          </cell>
          <cell r="U655">
            <v>0</v>
          </cell>
          <cell r="V655" t="str">
            <v>CENTRO</v>
          </cell>
          <cell r="W655">
            <v>0</v>
          </cell>
          <cell r="X655">
            <v>0</v>
          </cell>
        </row>
        <row r="656">
          <cell r="A656">
            <v>7066</v>
          </cell>
          <cell r="B656" t="str">
            <v>AMADA SANCHEZ (GUANAJUATO)</v>
          </cell>
          <cell r="C656">
            <v>0</v>
          </cell>
          <cell r="D656" t="str">
            <v>BLVD. LUTERIO GUERRERO KM 7.5</v>
          </cell>
          <cell r="E656" t="str">
            <v>GUANAJUATO, GTO.</v>
          </cell>
          <cell r="F656">
            <v>0</v>
          </cell>
          <cell r="G656">
            <v>0</v>
          </cell>
          <cell r="H656">
            <v>0</v>
          </cell>
          <cell r="I656">
            <v>0</v>
          </cell>
          <cell r="J656">
            <v>0</v>
          </cell>
          <cell r="K656">
            <v>0</v>
          </cell>
          <cell r="L656">
            <v>0</v>
          </cell>
          <cell r="M656">
            <v>0</v>
          </cell>
          <cell r="N656">
            <v>0</v>
          </cell>
          <cell r="O656">
            <v>0</v>
          </cell>
          <cell r="P656">
            <v>0</v>
          </cell>
          <cell r="Q656">
            <v>0</v>
          </cell>
          <cell r="R656">
            <v>0</v>
          </cell>
          <cell r="S656">
            <v>0</v>
          </cell>
          <cell r="T656">
            <v>0</v>
          </cell>
          <cell r="U656">
            <v>0</v>
          </cell>
          <cell r="V656">
            <v>0</v>
          </cell>
          <cell r="W656">
            <v>0</v>
          </cell>
          <cell r="X656">
            <v>0</v>
          </cell>
        </row>
        <row r="657">
          <cell r="A657">
            <v>7067</v>
          </cell>
          <cell r="B657" t="str">
            <v>ADRIANA LABRA TORREZ (IXMIQUILPAN)</v>
          </cell>
          <cell r="C657">
            <v>0</v>
          </cell>
          <cell r="D657" t="str">
            <v>FRANCISCO I. MADERO #16</v>
          </cell>
          <cell r="E657" t="str">
            <v>IXMIQUILPAN, HGO.</v>
          </cell>
          <cell r="F657">
            <v>0</v>
          </cell>
          <cell r="G657" t="str">
            <v>(772) 736-3594</v>
          </cell>
          <cell r="H657">
            <v>0</v>
          </cell>
          <cell r="I657">
            <v>0</v>
          </cell>
          <cell r="J657">
            <v>0</v>
          </cell>
          <cell r="K657">
            <v>0</v>
          </cell>
          <cell r="L657">
            <v>0</v>
          </cell>
          <cell r="M657">
            <v>0</v>
          </cell>
          <cell r="N657">
            <v>0</v>
          </cell>
          <cell r="O657">
            <v>0</v>
          </cell>
          <cell r="P657">
            <v>0</v>
          </cell>
          <cell r="Q657">
            <v>0</v>
          </cell>
          <cell r="R657">
            <v>0</v>
          </cell>
          <cell r="S657">
            <v>0</v>
          </cell>
          <cell r="T657">
            <v>0</v>
          </cell>
          <cell r="U657">
            <v>0</v>
          </cell>
          <cell r="V657" t="str">
            <v>EL FITZI</v>
          </cell>
          <cell r="W657">
            <v>0</v>
          </cell>
          <cell r="X657">
            <v>0</v>
          </cell>
        </row>
        <row r="658">
          <cell r="A658">
            <v>7068</v>
          </cell>
          <cell r="B658" t="str">
            <v>MIRNA TORREZ (QUERETARO)</v>
          </cell>
          <cell r="C658">
            <v>0</v>
          </cell>
          <cell r="D658" t="str">
            <v>AV. BELEN #537</v>
          </cell>
          <cell r="E658" t="str">
            <v>QUERETARO, QRO.</v>
          </cell>
          <cell r="F658">
            <v>0</v>
          </cell>
          <cell r="G658">
            <v>0</v>
          </cell>
          <cell r="H658">
            <v>0</v>
          </cell>
          <cell r="I658">
            <v>0</v>
          </cell>
          <cell r="J658">
            <v>0</v>
          </cell>
          <cell r="K658">
            <v>0</v>
          </cell>
          <cell r="L658">
            <v>0</v>
          </cell>
          <cell r="M658">
            <v>0</v>
          </cell>
          <cell r="N658">
            <v>0</v>
          </cell>
          <cell r="O658">
            <v>0</v>
          </cell>
          <cell r="P658">
            <v>0</v>
          </cell>
          <cell r="Q658">
            <v>0</v>
          </cell>
          <cell r="R658">
            <v>0</v>
          </cell>
          <cell r="S658">
            <v>0</v>
          </cell>
          <cell r="T658">
            <v>0</v>
          </cell>
          <cell r="U658">
            <v>0</v>
          </cell>
          <cell r="V658" t="str">
            <v>SAN PEDRITO PEÑUELOS</v>
          </cell>
          <cell r="W658">
            <v>0</v>
          </cell>
          <cell r="X658">
            <v>0</v>
          </cell>
        </row>
        <row r="659">
          <cell r="A659">
            <v>7069</v>
          </cell>
          <cell r="B659" t="str">
            <v>ESMERALDA MALDONADO (SAN JUAN)</v>
          </cell>
          <cell r="C659">
            <v>0</v>
          </cell>
          <cell r="D659" t="str">
            <v>AV. DE LAS GARZAS #9</v>
          </cell>
          <cell r="E659" t="str">
            <v>SAN JUAN DEL RIO, QRO.</v>
          </cell>
          <cell r="F659">
            <v>0</v>
          </cell>
          <cell r="G659" t="str">
            <v>(427) 226-0737</v>
          </cell>
          <cell r="H659">
            <v>0</v>
          </cell>
          <cell r="I659">
            <v>0</v>
          </cell>
          <cell r="J659">
            <v>0</v>
          </cell>
          <cell r="K659">
            <v>0</v>
          </cell>
          <cell r="L659">
            <v>0</v>
          </cell>
          <cell r="M659">
            <v>0</v>
          </cell>
          <cell r="N659">
            <v>0</v>
          </cell>
          <cell r="O659">
            <v>0</v>
          </cell>
          <cell r="P659">
            <v>0</v>
          </cell>
          <cell r="Q659">
            <v>0</v>
          </cell>
          <cell r="R659">
            <v>0</v>
          </cell>
          <cell r="S659">
            <v>0</v>
          </cell>
          <cell r="T659">
            <v>0</v>
          </cell>
          <cell r="U659">
            <v>0</v>
          </cell>
          <cell r="V659" t="str">
            <v>INDECO</v>
          </cell>
          <cell r="W659">
            <v>0</v>
          </cell>
          <cell r="X659">
            <v>0</v>
          </cell>
        </row>
        <row r="660">
          <cell r="A660">
            <v>7070</v>
          </cell>
          <cell r="B660" t="str">
            <v>CECILIA MANDUJANO HERNANDEZ  (EL COLORADO)</v>
          </cell>
          <cell r="C660">
            <v>0</v>
          </cell>
          <cell r="D660" t="str">
            <v>ADOLFO LOPEZ MATEOS #30</v>
          </cell>
          <cell r="E660" t="str">
            <v>EL COLORADO, QRO.</v>
          </cell>
          <cell r="F660">
            <v>0</v>
          </cell>
          <cell r="G660">
            <v>0</v>
          </cell>
          <cell r="H660">
            <v>0</v>
          </cell>
          <cell r="I660">
            <v>0</v>
          </cell>
          <cell r="J660">
            <v>0</v>
          </cell>
          <cell r="K660">
            <v>0</v>
          </cell>
          <cell r="L660">
            <v>0</v>
          </cell>
          <cell r="M660">
            <v>0</v>
          </cell>
          <cell r="N660">
            <v>0</v>
          </cell>
          <cell r="O660">
            <v>0</v>
          </cell>
          <cell r="P660">
            <v>0</v>
          </cell>
          <cell r="Q660">
            <v>0</v>
          </cell>
          <cell r="R660">
            <v>0</v>
          </cell>
          <cell r="S660">
            <v>0</v>
          </cell>
          <cell r="T660">
            <v>0</v>
          </cell>
          <cell r="U660">
            <v>0</v>
          </cell>
          <cell r="V660" t="str">
            <v>CENTRO</v>
          </cell>
          <cell r="W660">
            <v>0</v>
          </cell>
          <cell r="X660">
            <v>0</v>
          </cell>
        </row>
        <row r="661">
          <cell r="A661">
            <v>7071</v>
          </cell>
          <cell r="B661" t="str">
            <v>ARACELI MARTINEZ ARROYO (SAN JUAN)</v>
          </cell>
          <cell r="C661">
            <v>0</v>
          </cell>
          <cell r="D661" t="str">
            <v>CARLOS SAAVEDRA LAMAS #56</v>
          </cell>
          <cell r="E661" t="str">
            <v>SAN JUAN DEL RIO, QRO.</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v>0</v>
          </cell>
          <cell r="V661" t="str">
            <v>LA FLORESTA</v>
          </cell>
          <cell r="W661">
            <v>0</v>
          </cell>
          <cell r="X661">
            <v>0</v>
          </cell>
        </row>
        <row r="662">
          <cell r="A662">
            <v>7072</v>
          </cell>
          <cell r="B662" t="str">
            <v>JESSICA (HUICHAPAN)</v>
          </cell>
          <cell r="C662">
            <v>0</v>
          </cell>
          <cell r="D662">
            <v>0</v>
          </cell>
          <cell r="E662" t="str">
            <v>HUICHAPAN, HGO.</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v>0</v>
          </cell>
          <cell r="V662">
            <v>0</v>
          </cell>
          <cell r="W662">
            <v>0</v>
          </cell>
          <cell r="X662">
            <v>0</v>
          </cell>
        </row>
        <row r="663">
          <cell r="A663">
            <v>7073</v>
          </cell>
          <cell r="B663" t="str">
            <v>MAGDALENA LARRIETA ANAYA (ESCOBEDO)</v>
          </cell>
          <cell r="C663">
            <v>0</v>
          </cell>
          <cell r="D663" t="str">
            <v>PANAMERICANA #60 LOCAL D "VIDARY"</v>
          </cell>
          <cell r="E663" t="str">
            <v>PEDRO ESCOBEDO, QRO.</v>
          </cell>
          <cell r="F663">
            <v>0</v>
          </cell>
          <cell r="G663" t="str">
            <v>(442) 468-3540</v>
          </cell>
          <cell r="H663">
            <v>0</v>
          </cell>
          <cell r="I663">
            <v>0</v>
          </cell>
          <cell r="J663">
            <v>0</v>
          </cell>
          <cell r="K663">
            <v>0</v>
          </cell>
          <cell r="L663">
            <v>0</v>
          </cell>
          <cell r="M663">
            <v>0</v>
          </cell>
          <cell r="N663">
            <v>0</v>
          </cell>
          <cell r="O663">
            <v>0</v>
          </cell>
          <cell r="P663">
            <v>0</v>
          </cell>
          <cell r="Q663">
            <v>0</v>
          </cell>
          <cell r="R663">
            <v>0</v>
          </cell>
          <cell r="S663">
            <v>0</v>
          </cell>
          <cell r="T663">
            <v>0</v>
          </cell>
          <cell r="U663">
            <v>0</v>
          </cell>
          <cell r="V663" t="str">
            <v>CENTRO</v>
          </cell>
          <cell r="W663">
            <v>0</v>
          </cell>
          <cell r="X663">
            <v>0</v>
          </cell>
        </row>
        <row r="664">
          <cell r="A664">
            <v>7074</v>
          </cell>
          <cell r="B664" t="str">
            <v>JONNY CANDELARIO (ACTOPAN)</v>
          </cell>
          <cell r="C664">
            <v>0</v>
          </cell>
          <cell r="D664">
            <v>0</v>
          </cell>
          <cell r="E664" t="str">
            <v>ACTOPAN, HGO.</v>
          </cell>
          <cell r="F664">
            <v>0</v>
          </cell>
          <cell r="G664">
            <v>0</v>
          </cell>
          <cell r="H664">
            <v>0</v>
          </cell>
          <cell r="I664">
            <v>0</v>
          </cell>
          <cell r="J664">
            <v>0</v>
          </cell>
          <cell r="K664">
            <v>0</v>
          </cell>
          <cell r="L664">
            <v>0</v>
          </cell>
          <cell r="M664">
            <v>0</v>
          </cell>
          <cell r="N664">
            <v>0</v>
          </cell>
          <cell r="O664">
            <v>0</v>
          </cell>
          <cell r="P664">
            <v>0</v>
          </cell>
          <cell r="Q664">
            <v>0</v>
          </cell>
          <cell r="R664">
            <v>0</v>
          </cell>
          <cell r="S664">
            <v>0</v>
          </cell>
          <cell r="T664">
            <v>0</v>
          </cell>
          <cell r="U664">
            <v>0</v>
          </cell>
          <cell r="V664">
            <v>0</v>
          </cell>
          <cell r="W664">
            <v>0</v>
          </cell>
          <cell r="X664">
            <v>0</v>
          </cell>
        </row>
        <row r="665">
          <cell r="A665">
            <v>7075</v>
          </cell>
          <cell r="B665" t="str">
            <v>MARIBEL OLVERA (SALAMANCA)</v>
          </cell>
          <cell r="C665">
            <v>0</v>
          </cell>
          <cell r="D665" t="str">
            <v>TOMAS ESTEVES #108 LOC. C</v>
          </cell>
          <cell r="E665" t="str">
            <v>SALAMANCA, GTO.</v>
          </cell>
          <cell r="F665">
            <v>0</v>
          </cell>
          <cell r="G665" t="str">
            <v>(464) 157-0723 CEL</v>
          </cell>
          <cell r="H665">
            <v>0</v>
          </cell>
          <cell r="I665">
            <v>0</v>
          </cell>
          <cell r="J665">
            <v>0</v>
          </cell>
          <cell r="K665">
            <v>0</v>
          </cell>
          <cell r="L665">
            <v>0</v>
          </cell>
          <cell r="M665">
            <v>0</v>
          </cell>
          <cell r="N665">
            <v>0</v>
          </cell>
          <cell r="O665">
            <v>0</v>
          </cell>
          <cell r="P665">
            <v>0</v>
          </cell>
          <cell r="Q665">
            <v>0</v>
          </cell>
          <cell r="R665">
            <v>0</v>
          </cell>
          <cell r="S665">
            <v>0</v>
          </cell>
          <cell r="T665">
            <v>0</v>
          </cell>
          <cell r="U665">
            <v>0</v>
          </cell>
          <cell r="V665" t="str">
            <v>CENTRO</v>
          </cell>
          <cell r="W665">
            <v>0</v>
          </cell>
          <cell r="X665">
            <v>0</v>
          </cell>
        </row>
        <row r="666">
          <cell r="A666">
            <v>7076</v>
          </cell>
          <cell r="B666" t="str">
            <v>MA. DOLORES ABONCE (SALVATIERRA)</v>
          </cell>
          <cell r="C666">
            <v>0</v>
          </cell>
          <cell r="D666" t="str">
            <v>HIDALGO #517</v>
          </cell>
          <cell r="E666" t="str">
            <v>SALVATIERRA, GTO.</v>
          </cell>
          <cell r="F666">
            <v>0</v>
          </cell>
          <cell r="G666" t="str">
            <v>(466) 115-8785</v>
          </cell>
          <cell r="H666">
            <v>0</v>
          </cell>
          <cell r="I666">
            <v>0</v>
          </cell>
          <cell r="J666">
            <v>0</v>
          </cell>
          <cell r="K666">
            <v>0</v>
          </cell>
          <cell r="L666">
            <v>0</v>
          </cell>
          <cell r="M666">
            <v>0</v>
          </cell>
          <cell r="N666">
            <v>0</v>
          </cell>
          <cell r="O666">
            <v>0</v>
          </cell>
          <cell r="P666">
            <v>0</v>
          </cell>
          <cell r="Q666">
            <v>0</v>
          </cell>
          <cell r="R666">
            <v>0</v>
          </cell>
          <cell r="S666">
            <v>0</v>
          </cell>
          <cell r="T666">
            <v>0</v>
          </cell>
          <cell r="U666">
            <v>0</v>
          </cell>
          <cell r="V666" t="str">
            <v>CENTRO</v>
          </cell>
          <cell r="W666">
            <v>0</v>
          </cell>
          <cell r="X666">
            <v>0</v>
          </cell>
        </row>
        <row r="667">
          <cell r="A667">
            <v>7077</v>
          </cell>
          <cell r="B667" t="str">
            <v>FRIDA SOLORIO (SAN JUAN)</v>
          </cell>
          <cell r="C667">
            <v>0</v>
          </cell>
          <cell r="D667" t="str">
            <v>DALAILAMA #108</v>
          </cell>
          <cell r="E667" t="str">
            <v>SAN JUAN DEL RIO, QRO.</v>
          </cell>
          <cell r="F667">
            <v>0</v>
          </cell>
          <cell r="G667" t="str">
            <v>(427) 119-9826 CEL</v>
          </cell>
          <cell r="H667">
            <v>0</v>
          </cell>
          <cell r="I667">
            <v>0</v>
          </cell>
          <cell r="J667">
            <v>0</v>
          </cell>
          <cell r="K667">
            <v>0</v>
          </cell>
          <cell r="L667">
            <v>0</v>
          </cell>
          <cell r="M667">
            <v>0</v>
          </cell>
          <cell r="N667">
            <v>0</v>
          </cell>
          <cell r="O667">
            <v>0</v>
          </cell>
          <cell r="P667">
            <v>0</v>
          </cell>
          <cell r="Q667">
            <v>0</v>
          </cell>
          <cell r="R667">
            <v>0</v>
          </cell>
          <cell r="S667">
            <v>0</v>
          </cell>
          <cell r="T667">
            <v>0</v>
          </cell>
          <cell r="U667">
            <v>0</v>
          </cell>
          <cell r="V667" t="str">
            <v>PRADERAS DEL SOL</v>
          </cell>
          <cell r="W667">
            <v>0</v>
          </cell>
          <cell r="X667">
            <v>0</v>
          </cell>
        </row>
        <row r="668">
          <cell r="A668">
            <v>7078</v>
          </cell>
          <cell r="B668" t="str">
            <v>ANA LUISA HERNANDESZ CUELLAR (SILAO)</v>
          </cell>
          <cell r="C668">
            <v>0</v>
          </cell>
          <cell r="D668" t="str">
            <v>GUERRERO #56</v>
          </cell>
          <cell r="E668" t="str">
            <v>SILAO, GTO.</v>
          </cell>
          <cell r="F668">
            <v>0</v>
          </cell>
          <cell r="G668" t="str">
            <v>(472) 738-1107</v>
          </cell>
          <cell r="H668">
            <v>0</v>
          </cell>
          <cell r="I668">
            <v>0</v>
          </cell>
          <cell r="J668">
            <v>0</v>
          </cell>
          <cell r="K668">
            <v>0</v>
          </cell>
          <cell r="L668">
            <v>0</v>
          </cell>
          <cell r="M668">
            <v>0</v>
          </cell>
          <cell r="N668">
            <v>0</v>
          </cell>
          <cell r="O668">
            <v>0</v>
          </cell>
          <cell r="P668">
            <v>0</v>
          </cell>
          <cell r="Q668">
            <v>0</v>
          </cell>
          <cell r="R668">
            <v>0</v>
          </cell>
          <cell r="S668">
            <v>0</v>
          </cell>
          <cell r="T668">
            <v>0</v>
          </cell>
          <cell r="U668">
            <v>0</v>
          </cell>
          <cell r="V668" t="str">
            <v>CENTRO</v>
          </cell>
          <cell r="W668">
            <v>0</v>
          </cell>
          <cell r="X668">
            <v>0</v>
          </cell>
        </row>
        <row r="669">
          <cell r="A669">
            <v>7079</v>
          </cell>
          <cell r="B669" t="str">
            <v>ROSA MONROY SOTELO (TLAXCOAPAN)</v>
          </cell>
          <cell r="C669">
            <v>0</v>
          </cell>
          <cell r="D669" t="str">
            <v>PLAZA JUAREZ #27</v>
          </cell>
          <cell r="E669" t="str">
            <v>TLAXCOAPAN, HGO.</v>
          </cell>
          <cell r="F669">
            <v>0</v>
          </cell>
          <cell r="G669" t="str">
            <v>(773) 102-4716</v>
          </cell>
          <cell r="H669">
            <v>0</v>
          </cell>
          <cell r="I669">
            <v>0</v>
          </cell>
          <cell r="J669">
            <v>0</v>
          </cell>
          <cell r="K669">
            <v>0</v>
          </cell>
          <cell r="L669">
            <v>0</v>
          </cell>
          <cell r="M669">
            <v>0</v>
          </cell>
          <cell r="N669">
            <v>0</v>
          </cell>
          <cell r="O669">
            <v>0</v>
          </cell>
          <cell r="P669">
            <v>0</v>
          </cell>
          <cell r="Q669">
            <v>0</v>
          </cell>
          <cell r="R669">
            <v>0</v>
          </cell>
          <cell r="S669">
            <v>0</v>
          </cell>
          <cell r="T669">
            <v>0</v>
          </cell>
          <cell r="U669">
            <v>0</v>
          </cell>
          <cell r="V669" t="str">
            <v>CENTRO</v>
          </cell>
          <cell r="W669">
            <v>0</v>
          </cell>
          <cell r="X669">
            <v>0</v>
          </cell>
        </row>
        <row r="670">
          <cell r="A670">
            <v>7080</v>
          </cell>
          <cell r="B670" t="str">
            <v>KARLA AGUILAR (TLAHUELILPAN)</v>
          </cell>
          <cell r="C670">
            <v>0</v>
          </cell>
          <cell r="D670" t="str">
            <v>HOTEL</v>
          </cell>
          <cell r="E670" t="str">
            <v>-</v>
          </cell>
          <cell r="F670">
            <v>0</v>
          </cell>
          <cell r="G670" t="str">
            <v>(773-148-4146</v>
          </cell>
          <cell r="H670">
            <v>0</v>
          </cell>
          <cell r="I670">
            <v>0</v>
          </cell>
          <cell r="J670">
            <v>0</v>
          </cell>
          <cell r="K670">
            <v>0</v>
          </cell>
          <cell r="L670">
            <v>0</v>
          </cell>
          <cell r="M670">
            <v>0</v>
          </cell>
          <cell r="N670">
            <v>0</v>
          </cell>
          <cell r="O670">
            <v>0</v>
          </cell>
          <cell r="P670">
            <v>0</v>
          </cell>
          <cell r="Q670">
            <v>0</v>
          </cell>
          <cell r="R670">
            <v>0</v>
          </cell>
          <cell r="S670">
            <v>0</v>
          </cell>
          <cell r="T670">
            <v>0</v>
          </cell>
          <cell r="U670">
            <v>0</v>
          </cell>
          <cell r="V670">
            <v>0</v>
          </cell>
          <cell r="W670">
            <v>0</v>
          </cell>
          <cell r="X670">
            <v>0</v>
          </cell>
        </row>
        <row r="671">
          <cell r="A671">
            <v>7081</v>
          </cell>
          <cell r="B671" t="str">
            <v>BLANCA ZARASUA (APASEO)</v>
          </cell>
          <cell r="C671">
            <v>0</v>
          </cell>
          <cell r="D671" t="str">
            <v>C. GUADALUPE VICTORIA #600-D</v>
          </cell>
          <cell r="E671" t="str">
            <v>APASEO EL GRANDE, GTO.</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v>0</v>
          </cell>
          <cell r="V671">
            <v>0</v>
          </cell>
          <cell r="W671">
            <v>0</v>
          </cell>
          <cell r="X671">
            <v>0</v>
          </cell>
        </row>
        <row r="672">
          <cell r="A672">
            <v>7082</v>
          </cell>
          <cell r="B672" t="str">
            <v>MIRIAM ARIAS JURADO (CORONEO)</v>
          </cell>
          <cell r="C672">
            <v>0</v>
          </cell>
          <cell r="D672" t="str">
            <v>HEROICO COLOGIO MILITAR #37</v>
          </cell>
          <cell r="E672" t="str">
            <v>CORONEO, GTO.</v>
          </cell>
          <cell r="F672">
            <v>0</v>
          </cell>
          <cell r="G672" t="str">
            <v>(421) 102-6815</v>
          </cell>
          <cell r="H672">
            <v>0</v>
          </cell>
          <cell r="I672">
            <v>0</v>
          </cell>
          <cell r="J672">
            <v>0</v>
          </cell>
          <cell r="K672">
            <v>0</v>
          </cell>
          <cell r="L672">
            <v>0</v>
          </cell>
          <cell r="M672">
            <v>0</v>
          </cell>
          <cell r="N672">
            <v>0</v>
          </cell>
          <cell r="O672">
            <v>0</v>
          </cell>
          <cell r="P672">
            <v>0</v>
          </cell>
          <cell r="Q672">
            <v>0</v>
          </cell>
          <cell r="R672">
            <v>0</v>
          </cell>
          <cell r="S672">
            <v>0</v>
          </cell>
          <cell r="T672">
            <v>0</v>
          </cell>
          <cell r="U672">
            <v>0</v>
          </cell>
          <cell r="V672" t="str">
            <v>CENTRO</v>
          </cell>
          <cell r="W672">
            <v>0</v>
          </cell>
          <cell r="X672">
            <v>0</v>
          </cell>
        </row>
        <row r="673">
          <cell r="A673">
            <v>7083</v>
          </cell>
          <cell r="B673" t="str">
            <v>CONCEPCION SANCHEZ ESPINOZA (TEPEJI)</v>
          </cell>
          <cell r="C673">
            <v>0</v>
          </cell>
          <cell r="D673" t="str">
            <v>IGNACIO COMONFORT E/N</v>
          </cell>
          <cell r="E673" t="str">
            <v>TEPEJI DEL RIO, HGO.</v>
          </cell>
          <cell r="F673">
            <v>0</v>
          </cell>
          <cell r="G673" t="str">
            <v>(773) 101-7960 ESTEBAN</v>
          </cell>
          <cell r="H673">
            <v>0</v>
          </cell>
          <cell r="I673">
            <v>0</v>
          </cell>
          <cell r="J673">
            <v>0</v>
          </cell>
          <cell r="K673">
            <v>0</v>
          </cell>
          <cell r="L673">
            <v>0</v>
          </cell>
          <cell r="M673">
            <v>0</v>
          </cell>
          <cell r="N673">
            <v>0</v>
          </cell>
          <cell r="O673">
            <v>0</v>
          </cell>
          <cell r="P673">
            <v>0</v>
          </cell>
          <cell r="Q673">
            <v>0</v>
          </cell>
          <cell r="R673">
            <v>0</v>
          </cell>
          <cell r="S673">
            <v>0</v>
          </cell>
          <cell r="T673">
            <v>0</v>
          </cell>
          <cell r="U673">
            <v>0</v>
          </cell>
          <cell r="V673" t="str">
            <v>EL EDEN</v>
          </cell>
          <cell r="W673">
            <v>0</v>
          </cell>
          <cell r="X673">
            <v>0</v>
          </cell>
        </row>
        <row r="674">
          <cell r="A674">
            <v>7084</v>
          </cell>
          <cell r="B674" t="str">
            <v>ELIZABETH ESPINOZA BRIONES (COACALCO)</v>
          </cell>
          <cell r="C674">
            <v>0</v>
          </cell>
          <cell r="D674">
            <v>0</v>
          </cell>
          <cell r="E674" t="str">
            <v>PARQUE RESIDENCIAL, COACALCO</v>
          </cell>
          <cell r="F674">
            <v>0</v>
          </cell>
          <cell r="G674">
            <v>0</v>
          </cell>
          <cell r="H674">
            <v>0</v>
          </cell>
          <cell r="I674">
            <v>0</v>
          </cell>
          <cell r="J674">
            <v>0</v>
          </cell>
          <cell r="K674">
            <v>0</v>
          </cell>
          <cell r="L674">
            <v>0</v>
          </cell>
          <cell r="M674">
            <v>0</v>
          </cell>
          <cell r="N674">
            <v>0</v>
          </cell>
          <cell r="O674">
            <v>0</v>
          </cell>
          <cell r="P674">
            <v>0</v>
          </cell>
          <cell r="Q674">
            <v>0</v>
          </cell>
          <cell r="R674">
            <v>0</v>
          </cell>
          <cell r="S674">
            <v>0</v>
          </cell>
          <cell r="T674">
            <v>0</v>
          </cell>
          <cell r="U674">
            <v>0</v>
          </cell>
          <cell r="V674">
            <v>0</v>
          </cell>
          <cell r="W674">
            <v>0</v>
          </cell>
          <cell r="X674">
            <v>0</v>
          </cell>
        </row>
        <row r="675">
          <cell r="A675">
            <v>7085</v>
          </cell>
          <cell r="B675" t="str">
            <v>ATALA CASTAÑEDA (ATITALAQUIA)</v>
          </cell>
          <cell r="C675">
            <v>0</v>
          </cell>
          <cell r="D675" t="str">
            <v>MELCHOR OCAMPO #18</v>
          </cell>
          <cell r="E675" t="str">
            <v>ATITALAQUIA, HGO.</v>
          </cell>
          <cell r="F675">
            <v>0</v>
          </cell>
          <cell r="G675">
            <v>0</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t="str">
            <v>CENTRO</v>
          </cell>
          <cell r="W675">
            <v>0</v>
          </cell>
          <cell r="X675">
            <v>0</v>
          </cell>
        </row>
        <row r="676">
          <cell r="A676">
            <v>7086</v>
          </cell>
          <cell r="B676" t="str">
            <v>MARTHA VAZQUEZ TORREZ (ATITALAQUIA)</v>
          </cell>
          <cell r="C676">
            <v>0</v>
          </cell>
          <cell r="D676" t="str">
            <v>AV. DEL NORTE #2</v>
          </cell>
          <cell r="E676" t="str">
            <v>ATITALAQUIA, HGO.</v>
          </cell>
          <cell r="F676">
            <v>0</v>
          </cell>
          <cell r="G676" t="str">
            <v>(778) 737-0114</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t="str">
            <v>TLALMINULPA</v>
          </cell>
          <cell r="W676">
            <v>0</v>
          </cell>
          <cell r="X676">
            <v>0</v>
          </cell>
        </row>
        <row r="677">
          <cell r="A677">
            <v>7087</v>
          </cell>
          <cell r="B677" t="str">
            <v>JAIME PEREZ GALVAN (ALFAJAYUCAN)</v>
          </cell>
          <cell r="C677">
            <v>0</v>
          </cell>
          <cell r="D677">
            <v>0</v>
          </cell>
          <cell r="E677" t="str">
            <v>ALFAJAYUCAN, HGO.</v>
          </cell>
          <cell r="F677">
            <v>0</v>
          </cell>
          <cell r="G677">
            <v>0</v>
          </cell>
          <cell r="H677">
            <v>0</v>
          </cell>
          <cell r="I677">
            <v>0</v>
          </cell>
          <cell r="J677">
            <v>0</v>
          </cell>
          <cell r="K677">
            <v>0</v>
          </cell>
          <cell r="L677">
            <v>0</v>
          </cell>
          <cell r="M677">
            <v>0</v>
          </cell>
          <cell r="N677">
            <v>0</v>
          </cell>
          <cell r="O677">
            <v>0</v>
          </cell>
          <cell r="P677">
            <v>0</v>
          </cell>
          <cell r="Q677">
            <v>0</v>
          </cell>
          <cell r="R677">
            <v>0</v>
          </cell>
          <cell r="S677">
            <v>0</v>
          </cell>
          <cell r="T677">
            <v>0</v>
          </cell>
          <cell r="U677">
            <v>0</v>
          </cell>
          <cell r="V677">
            <v>0</v>
          </cell>
          <cell r="W677">
            <v>0</v>
          </cell>
          <cell r="X677">
            <v>0</v>
          </cell>
        </row>
        <row r="678">
          <cell r="A678">
            <v>7088</v>
          </cell>
          <cell r="B678" t="str">
            <v>OLIVIA PAZ ESTRELLA (HUICHAPAN)</v>
          </cell>
          <cell r="C678">
            <v>0</v>
          </cell>
          <cell r="D678" t="str">
            <v>PLAZA JUAREZ #61</v>
          </cell>
          <cell r="E678" t="str">
            <v>HUICHAPAN, HGO.</v>
          </cell>
          <cell r="F678">
            <v>0</v>
          </cell>
          <cell r="G678" t="str">
            <v>(773) 137-9351</v>
          </cell>
          <cell r="H678">
            <v>0</v>
          </cell>
          <cell r="I678">
            <v>0</v>
          </cell>
          <cell r="J678">
            <v>0</v>
          </cell>
          <cell r="K678">
            <v>0</v>
          </cell>
          <cell r="L678">
            <v>0</v>
          </cell>
          <cell r="M678">
            <v>0</v>
          </cell>
          <cell r="N678">
            <v>0</v>
          </cell>
          <cell r="O678">
            <v>0</v>
          </cell>
          <cell r="P678">
            <v>0</v>
          </cell>
          <cell r="Q678">
            <v>0</v>
          </cell>
          <cell r="R678">
            <v>0</v>
          </cell>
          <cell r="S678">
            <v>0</v>
          </cell>
          <cell r="T678">
            <v>0</v>
          </cell>
          <cell r="U678">
            <v>0</v>
          </cell>
          <cell r="V678" t="str">
            <v>CENTRO</v>
          </cell>
          <cell r="W678">
            <v>0</v>
          </cell>
          <cell r="X678">
            <v>0</v>
          </cell>
        </row>
        <row r="679">
          <cell r="A679">
            <v>7089</v>
          </cell>
          <cell r="B679" t="str">
            <v>GEMA VAZQUEZ F. (SILAO)</v>
          </cell>
          <cell r="C679">
            <v>0</v>
          </cell>
          <cell r="D679">
            <v>0</v>
          </cell>
          <cell r="E679" t="str">
            <v>SILAO, GTO.</v>
          </cell>
          <cell r="F679">
            <v>0</v>
          </cell>
          <cell r="G679">
            <v>0</v>
          </cell>
          <cell r="H679">
            <v>0</v>
          </cell>
          <cell r="I679">
            <v>0</v>
          </cell>
          <cell r="J679">
            <v>0</v>
          </cell>
          <cell r="K679">
            <v>0</v>
          </cell>
          <cell r="L679">
            <v>0</v>
          </cell>
          <cell r="M679">
            <v>0</v>
          </cell>
          <cell r="N679">
            <v>0</v>
          </cell>
          <cell r="O679">
            <v>0</v>
          </cell>
          <cell r="P679">
            <v>0</v>
          </cell>
          <cell r="Q679">
            <v>0</v>
          </cell>
          <cell r="R679">
            <v>0</v>
          </cell>
          <cell r="S679">
            <v>0</v>
          </cell>
          <cell r="T679">
            <v>0</v>
          </cell>
          <cell r="U679">
            <v>0</v>
          </cell>
          <cell r="V679">
            <v>0</v>
          </cell>
          <cell r="W679">
            <v>0</v>
          </cell>
          <cell r="X679">
            <v>0</v>
          </cell>
        </row>
        <row r="680">
          <cell r="A680">
            <v>7090</v>
          </cell>
          <cell r="B680" t="str">
            <v>ISIDRA FLORES VAZQUEZ (E. MONTES)</v>
          </cell>
          <cell r="C680">
            <v>0</v>
          </cell>
          <cell r="D680" t="str">
            <v>JOSEFA ORTIZ DE DOMINGUEZ #97</v>
          </cell>
          <cell r="E680" t="str">
            <v>E. MONTES, QRO.</v>
          </cell>
          <cell r="F680">
            <v>0</v>
          </cell>
          <cell r="G680">
            <v>0</v>
          </cell>
          <cell r="H680">
            <v>0</v>
          </cell>
          <cell r="I680">
            <v>0</v>
          </cell>
          <cell r="J680">
            <v>0</v>
          </cell>
          <cell r="K680">
            <v>0</v>
          </cell>
          <cell r="L680">
            <v>0</v>
          </cell>
          <cell r="M680">
            <v>0</v>
          </cell>
          <cell r="N680">
            <v>0</v>
          </cell>
          <cell r="O680">
            <v>0</v>
          </cell>
          <cell r="P680">
            <v>0</v>
          </cell>
          <cell r="Q680">
            <v>0</v>
          </cell>
          <cell r="R680">
            <v>0</v>
          </cell>
          <cell r="S680">
            <v>0</v>
          </cell>
          <cell r="T680">
            <v>0</v>
          </cell>
          <cell r="U680">
            <v>0</v>
          </cell>
          <cell r="V680" t="str">
            <v>CENTRO</v>
          </cell>
          <cell r="W680">
            <v>0</v>
          </cell>
          <cell r="X680">
            <v>0</v>
          </cell>
        </row>
        <row r="681">
          <cell r="A681">
            <v>7091</v>
          </cell>
          <cell r="B681" t="str">
            <v>ALICIA GOMEZ (IXMIQUILPAN)</v>
          </cell>
          <cell r="C681">
            <v>0</v>
          </cell>
          <cell r="D681" t="str">
            <v>PALLARES #9</v>
          </cell>
          <cell r="E681" t="str">
            <v>IXMIQUILPAN, HGO.</v>
          </cell>
          <cell r="F681">
            <v>0</v>
          </cell>
          <cell r="G681">
            <v>0</v>
          </cell>
          <cell r="H681">
            <v>0</v>
          </cell>
          <cell r="I681">
            <v>0</v>
          </cell>
          <cell r="J681">
            <v>0</v>
          </cell>
          <cell r="K681">
            <v>0</v>
          </cell>
          <cell r="L681">
            <v>0</v>
          </cell>
          <cell r="M681">
            <v>0</v>
          </cell>
          <cell r="N681">
            <v>0</v>
          </cell>
          <cell r="O681">
            <v>0</v>
          </cell>
          <cell r="P681">
            <v>0</v>
          </cell>
          <cell r="Q681">
            <v>0</v>
          </cell>
          <cell r="R681">
            <v>0</v>
          </cell>
          <cell r="S681">
            <v>0</v>
          </cell>
          <cell r="T681">
            <v>0</v>
          </cell>
          <cell r="U681">
            <v>0</v>
          </cell>
          <cell r="V681" t="str">
            <v>CENTRO</v>
          </cell>
          <cell r="W681">
            <v>0</v>
          </cell>
          <cell r="X681">
            <v>0</v>
          </cell>
        </row>
        <row r="682">
          <cell r="A682">
            <v>7092</v>
          </cell>
          <cell r="B682" t="str">
            <v>RUBI MORENO (IXMIQUILPAN)</v>
          </cell>
          <cell r="C682">
            <v>0</v>
          </cell>
          <cell r="D682" t="str">
            <v>ANTONIO ALZAPE #6 "B"</v>
          </cell>
          <cell r="E682" t="str">
            <v>IXMIQUILPAN, HGO.</v>
          </cell>
          <cell r="F682">
            <v>0</v>
          </cell>
          <cell r="G682" t="str">
            <v>(772) 104-6412</v>
          </cell>
          <cell r="H682">
            <v>0</v>
          </cell>
          <cell r="I682">
            <v>0</v>
          </cell>
          <cell r="J682">
            <v>0</v>
          </cell>
          <cell r="K682">
            <v>0</v>
          </cell>
          <cell r="L682">
            <v>0</v>
          </cell>
          <cell r="M682">
            <v>0</v>
          </cell>
          <cell r="N682">
            <v>0</v>
          </cell>
          <cell r="O682">
            <v>0</v>
          </cell>
          <cell r="P682">
            <v>0</v>
          </cell>
          <cell r="Q682">
            <v>0</v>
          </cell>
          <cell r="R682">
            <v>0</v>
          </cell>
          <cell r="S682">
            <v>0</v>
          </cell>
          <cell r="T682">
            <v>0</v>
          </cell>
          <cell r="U682">
            <v>0</v>
          </cell>
          <cell r="V682" t="str">
            <v>CENTRO</v>
          </cell>
          <cell r="W682">
            <v>0</v>
          </cell>
          <cell r="X682">
            <v>0</v>
          </cell>
        </row>
        <row r="683">
          <cell r="A683">
            <v>7093</v>
          </cell>
          <cell r="B683" t="str">
            <v>GUILLERMINA GONZALEZ ALCANTAR (AMEALCO)</v>
          </cell>
          <cell r="C683">
            <v>0</v>
          </cell>
          <cell r="D683" t="str">
            <v>4TO. CENTENARIO #95</v>
          </cell>
          <cell r="E683" t="str">
            <v>AMEALCO, QRO.</v>
          </cell>
          <cell r="F683">
            <v>0</v>
          </cell>
          <cell r="G683">
            <v>0</v>
          </cell>
          <cell r="H683">
            <v>0</v>
          </cell>
          <cell r="I683">
            <v>0</v>
          </cell>
          <cell r="J683">
            <v>0</v>
          </cell>
          <cell r="K683">
            <v>0</v>
          </cell>
          <cell r="L683">
            <v>0</v>
          </cell>
          <cell r="M683">
            <v>0</v>
          </cell>
          <cell r="N683">
            <v>0</v>
          </cell>
          <cell r="O683">
            <v>0</v>
          </cell>
          <cell r="P683">
            <v>0</v>
          </cell>
          <cell r="Q683">
            <v>0</v>
          </cell>
          <cell r="R683">
            <v>0</v>
          </cell>
          <cell r="S683">
            <v>0</v>
          </cell>
          <cell r="T683">
            <v>0</v>
          </cell>
          <cell r="U683">
            <v>0</v>
          </cell>
          <cell r="V683" t="str">
            <v>CENTRO</v>
          </cell>
          <cell r="W683">
            <v>0</v>
          </cell>
          <cell r="X683">
            <v>0</v>
          </cell>
        </row>
        <row r="684">
          <cell r="A684">
            <v>7094</v>
          </cell>
          <cell r="B684" t="str">
            <v>MARIPAZ MORALES MEJIA (AMEALCO)</v>
          </cell>
          <cell r="C684">
            <v>0</v>
          </cell>
          <cell r="D684" t="str">
            <v>ALLENDE #50</v>
          </cell>
          <cell r="E684" t="str">
            <v>AMEALCO, QRO.</v>
          </cell>
          <cell r="F684">
            <v>0</v>
          </cell>
          <cell r="G684">
            <v>0</v>
          </cell>
          <cell r="H684">
            <v>0</v>
          </cell>
          <cell r="I684">
            <v>0</v>
          </cell>
          <cell r="J684">
            <v>0</v>
          </cell>
          <cell r="K684">
            <v>0</v>
          </cell>
          <cell r="L684">
            <v>0</v>
          </cell>
          <cell r="M684">
            <v>0</v>
          </cell>
          <cell r="N684">
            <v>0</v>
          </cell>
          <cell r="O684">
            <v>0</v>
          </cell>
          <cell r="P684">
            <v>0</v>
          </cell>
          <cell r="Q684">
            <v>0</v>
          </cell>
          <cell r="R684">
            <v>0</v>
          </cell>
          <cell r="S684">
            <v>0</v>
          </cell>
          <cell r="T684">
            <v>0</v>
          </cell>
          <cell r="U684">
            <v>0</v>
          </cell>
          <cell r="V684" t="str">
            <v>CENTRO</v>
          </cell>
          <cell r="W684">
            <v>0</v>
          </cell>
          <cell r="X684">
            <v>0</v>
          </cell>
        </row>
        <row r="685">
          <cell r="A685">
            <v>7095</v>
          </cell>
          <cell r="B685" t="str">
            <v>JORGE RODRIGUEZ (SILAO)</v>
          </cell>
          <cell r="C685">
            <v>0</v>
          </cell>
          <cell r="D685">
            <v>0</v>
          </cell>
          <cell r="E685" t="str">
            <v>SILAO, GTO.</v>
          </cell>
          <cell r="F685">
            <v>0</v>
          </cell>
          <cell r="G685">
            <v>0</v>
          </cell>
          <cell r="H685">
            <v>0</v>
          </cell>
          <cell r="I685">
            <v>0</v>
          </cell>
          <cell r="J685">
            <v>0</v>
          </cell>
          <cell r="K685">
            <v>0</v>
          </cell>
          <cell r="L685">
            <v>0</v>
          </cell>
          <cell r="M685">
            <v>0</v>
          </cell>
          <cell r="N685">
            <v>0</v>
          </cell>
          <cell r="O685">
            <v>0</v>
          </cell>
          <cell r="P685">
            <v>0</v>
          </cell>
          <cell r="Q685">
            <v>0</v>
          </cell>
          <cell r="R685">
            <v>0</v>
          </cell>
          <cell r="S685">
            <v>0</v>
          </cell>
          <cell r="T685">
            <v>0</v>
          </cell>
          <cell r="U685">
            <v>0</v>
          </cell>
          <cell r="V685">
            <v>0</v>
          </cell>
          <cell r="W685">
            <v>0</v>
          </cell>
          <cell r="X685">
            <v>0</v>
          </cell>
        </row>
        <row r="686">
          <cell r="A686">
            <v>7096</v>
          </cell>
          <cell r="B686" t="str">
            <v>IMELDA SANCHEZ PISAÑA (TLAXCOAPAN)</v>
          </cell>
          <cell r="C686">
            <v>0</v>
          </cell>
          <cell r="D686" t="str">
            <v>AV. REFORMA S/N</v>
          </cell>
          <cell r="E686" t="str">
            <v>TLAXCOAPAN, HGO.</v>
          </cell>
          <cell r="F686">
            <v>0</v>
          </cell>
          <cell r="G686">
            <v>0</v>
          </cell>
          <cell r="H686">
            <v>0</v>
          </cell>
          <cell r="I686">
            <v>0</v>
          </cell>
          <cell r="J686">
            <v>0</v>
          </cell>
          <cell r="K686">
            <v>0</v>
          </cell>
          <cell r="L686">
            <v>0</v>
          </cell>
          <cell r="M686">
            <v>0</v>
          </cell>
          <cell r="N686">
            <v>0</v>
          </cell>
          <cell r="O686">
            <v>0</v>
          </cell>
          <cell r="P686">
            <v>0</v>
          </cell>
          <cell r="Q686">
            <v>0</v>
          </cell>
          <cell r="R686">
            <v>0</v>
          </cell>
          <cell r="S686">
            <v>0</v>
          </cell>
          <cell r="T686">
            <v>0</v>
          </cell>
          <cell r="U686">
            <v>0</v>
          </cell>
          <cell r="V686" t="str">
            <v>CENTRO</v>
          </cell>
          <cell r="W686">
            <v>0</v>
          </cell>
          <cell r="X686">
            <v>0</v>
          </cell>
        </row>
        <row r="687">
          <cell r="A687">
            <v>7097</v>
          </cell>
          <cell r="B687" t="str">
            <v>JOSE MARTIN CORCHADO OLVERA (ESCOBEDO)</v>
          </cell>
          <cell r="C687">
            <v>0</v>
          </cell>
          <cell r="D687" t="str">
            <v>FRANCISCO I. MADERO NORIA</v>
          </cell>
          <cell r="E687" t="str">
            <v>PEDRO ESCOBEDO, QRO.</v>
          </cell>
          <cell r="F687">
            <v>0</v>
          </cell>
          <cell r="G687" t="str">
            <v>(427) 166-7599</v>
          </cell>
          <cell r="H687">
            <v>0</v>
          </cell>
          <cell r="I687">
            <v>0</v>
          </cell>
          <cell r="J687">
            <v>0</v>
          </cell>
          <cell r="K687">
            <v>0</v>
          </cell>
          <cell r="L687">
            <v>0</v>
          </cell>
          <cell r="M687">
            <v>0</v>
          </cell>
          <cell r="N687">
            <v>0</v>
          </cell>
          <cell r="O687">
            <v>0</v>
          </cell>
          <cell r="P687">
            <v>0</v>
          </cell>
          <cell r="Q687">
            <v>0</v>
          </cell>
          <cell r="R687">
            <v>0</v>
          </cell>
          <cell r="S687">
            <v>0</v>
          </cell>
          <cell r="T687">
            <v>0</v>
          </cell>
          <cell r="U687">
            <v>0</v>
          </cell>
          <cell r="V687" t="str">
            <v>NUEVA</v>
          </cell>
          <cell r="W687">
            <v>0</v>
          </cell>
          <cell r="X687">
            <v>0</v>
          </cell>
        </row>
        <row r="688">
          <cell r="A688">
            <v>7098</v>
          </cell>
          <cell r="B688" t="str">
            <v>VERONICA JIMENEZ (APASEO EL ALTO)</v>
          </cell>
          <cell r="C688">
            <v>0</v>
          </cell>
          <cell r="D688" t="str">
            <v>CONSTITUYENTES #407</v>
          </cell>
          <cell r="E688" t="str">
            <v>APASEO EL ALTO, GTO.</v>
          </cell>
          <cell r="F688">
            <v>0</v>
          </cell>
          <cell r="G688" t="str">
            <v>(413) 102-1474</v>
          </cell>
          <cell r="H688">
            <v>0</v>
          </cell>
          <cell r="I688">
            <v>0</v>
          </cell>
          <cell r="J688">
            <v>0</v>
          </cell>
          <cell r="K688">
            <v>0</v>
          </cell>
          <cell r="L688">
            <v>0</v>
          </cell>
          <cell r="M688">
            <v>0</v>
          </cell>
          <cell r="N688">
            <v>0</v>
          </cell>
          <cell r="O688">
            <v>0</v>
          </cell>
          <cell r="P688">
            <v>0</v>
          </cell>
          <cell r="Q688">
            <v>0</v>
          </cell>
          <cell r="R688">
            <v>0</v>
          </cell>
          <cell r="S688">
            <v>0</v>
          </cell>
          <cell r="T688">
            <v>0</v>
          </cell>
          <cell r="U688">
            <v>0</v>
          </cell>
          <cell r="V688" t="str">
            <v>CENTRO</v>
          </cell>
          <cell r="W688">
            <v>0</v>
          </cell>
          <cell r="X688">
            <v>0</v>
          </cell>
        </row>
        <row r="689">
          <cell r="A689">
            <v>7099</v>
          </cell>
          <cell r="B689" t="str">
            <v>ELENA ROMERO MUÑOZ (QUERETARO)</v>
          </cell>
          <cell r="C689">
            <v>0</v>
          </cell>
          <cell r="D689" t="str">
            <v>MERCADO ESCOBEDO LOC. 33 Y 34</v>
          </cell>
          <cell r="E689" t="str">
            <v>QUERETARO, QRO.</v>
          </cell>
          <cell r="F689" t="str">
            <v/>
          </cell>
          <cell r="G689" t="str">
            <v>(442) 274-2263 CEL</v>
          </cell>
          <cell r="H689" t="str">
            <v>ELENA ROMERO MUÑOZ</v>
          </cell>
          <cell r="I689" t="str">
            <v>ELENA ROMERO MUÑOZ</v>
          </cell>
          <cell r="J689" t="str">
            <v>L04</v>
          </cell>
          <cell r="K689" t="str">
            <v/>
          </cell>
          <cell r="L689">
            <v>0</v>
          </cell>
          <cell r="M689">
            <v>380</v>
          </cell>
          <cell r="N689" t="str">
            <v>A</v>
          </cell>
          <cell r="O689">
            <v>41290</v>
          </cell>
          <cell r="P689" t="str">
            <v xml:space="preserve">    1</v>
          </cell>
          <cell r="Q689">
            <v>0</v>
          </cell>
          <cell r="R689">
            <v>0</v>
          </cell>
          <cell r="S689">
            <v>0</v>
          </cell>
          <cell r="T689">
            <v>3789</v>
          </cell>
          <cell r="U689">
            <v>0</v>
          </cell>
          <cell r="V689" t="str">
            <v>CENTRO</v>
          </cell>
          <cell r="W689">
            <v>0</v>
          </cell>
          <cell r="X689">
            <v>0</v>
          </cell>
        </row>
        <row r="690">
          <cell r="A690">
            <v>7100</v>
          </cell>
          <cell r="B690" t="str">
            <v>MA. ISABEL ACEVEDO MARTINEZ (JERECUARO)</v>
          </cell>
          <cell r="C690">
            <v>0</v>
          </cell>
          <cell r="D690" t="str">
            <v>AGUILAR Y MAYA #20</v>
          </cell>
          <cell r="E690" t="str">
            <v>JERECUARO, GTO.</v>
          </cell>
          <cell r="F690">
            <v>0</v>
          </cell>
          <cell r="G690">
            <v>0</v>
          </cell>
          <cell r="H690">
            <v>0</v>
          </cell>
          <cell r="I690">
            <v>0</v>
          </cell>
          <cell r="J690">
            <v>0</v>
          </cell>
          <cell r="K690">
            <v>0</v>
          </cell>
          <cell r="L690">
            <v>0</v>
          </cell>
          <cell r="M690">
            <v>0</v>
          </cell>
          <cell r="N690">
            <v>0</v>
          </cell>
          <cell r="O690">
            <v>0</v>
          </cell>
          <cell r="P690">
            <v>0</v>
          </cell>
          <cell r="Q690">
            <v>0</v>
          </cell>
          <cell r="R690">
            <v>0</v>
          </cell>
          <cell r="S690">
            <v>0</v>
          </cell>
          <cell r="T690">
            <v>0</v>
          </cell>
          <cell r="U690">
            <v>0</v>
          </cell>
          <cell r="V690" t="str">
            <v>CENTRO</v>
          </cell>
          <cell r="W690">
            <v>0</v>
          </cell>
          <cell r="X690">
            <v>0</v>
          </cell>
        </row>
        <row r="691">
          <cell r="A691">
            <v>7101</v>
          </cell>
          <cell r="B691" t="str">
            <v>FLORENCIA VELAZQUEZ OROZCO (SAN JUAN DEL RIO)</v>
          </cell>
          <cell r="C691" t="str">
            <v>VEOF-651018-PC5</v>
          </cell>
          <cell r="D691" t="str">
            <v>PINO SUAREZ #58 LOCAL 10, PLANTA BAJA</v>
          </cell>
          <cell r="E691" t="str">
            <v>SAN JUAN DEL RIO, QRO.</v>
          </cell>
          <cell r="F691" t="str">
            <v>76800</v>
          </cell>
          <cell r="G691" t="str">
            <v>(427) 272-4690</v>
          </cell>
          <cell r="H691">
            <v>0</v>
          </cell>
          <cell r="I691">
            <v>0</v>
          </cell>
          <cell r="J691">
            <v>0</v>
          </cell>
          <cell r="K691">
            <v>0</v>
          </cell>
          <cell r="L691">
            <v>0</v>
          </cell>
          <cell r="M691">
            <v>0</v>
          </cell>
          <cell r="N691">
            <v>0</v>
          </cell>
          <cell r="O691">
            <v>0</v>
          </cell>
          <cell r="P691">
            <v>0</v>
          </cell>
          <cell r="Q691">
            <v>0</v>
          </cell>
          <cell r="R691">
            <v>0</v>
          </cell>
          <cell r="S691">
            <v>0</v>
          </cell>
          <cell r="T691">
            <v>0</v>
          </cell>
          <cell r="U691">
            <v>0</v>
          </cell>
          <cell r="V691" t="str">
            <v>CENTRO</v>
          </cell>
          <cell r="W691">
            <v>0</v>
          </cell>
          <cell r="X691">
            <v>0</v>
          </cell>
        </row>
        <row r="692">
          <cell r="A692">
            <v>7102</v>
          </cell>
          <cell r="B692" t="str">
            <v>AMALIA MARTINEZ B. (QUERETARO)</v>
          </cell>
          <cell r="C692">
            <v>0</v>
          </cell>
          <cell r="D692" t="str">
            <v>AV. SAN AGUSTIN DEL RETABLO 114-B</v>
          </cell>
          <cell r="E692" t="str">
            <v>QUERETARO, QRO.</v>
          </cell>
          <cell r="F692">
            <v>0</v>
          </cell>
          <cell r="G692">
            <v>0</v>
          </cell>
          <cell r="H692">
            <v>0</v>
          </cell>
          <cell r="I692">
            <v>0</v>
          </cell>
          <cell r="J692">
            <v>0</v>
          </cell>
          <cell r="K692">
            <v>0</v>
          </cell>
          <cell r="L692">
            <v>0</v>
          </cell>
          <cell r="M692">
            <v>0</v>
          </cell>
          <cell r="N692">
            <v>0</v>
          </cell>
          <cell r="O692">
            <v>0</v>
          </cell>
          <cell r="P692">
            <v>0</v>
          </cell>
          <cell r="Q692">
            <v>0</v>
          </cell>
          <cell r="R692">
            <v>0</v>
          </cell>
          <cell r="S692">
            <v>0</v>
          </cell>
          <cell r="T692">
            <v>0</v>
          </cell>
          <cell r="U692">
            <v>0</v>
          </cell>
          <cell r="V692" t="str">
            <v>LA ERA</v>
          </cell>
          <cell r="W692">
            <v>0</v>
          </cell>
          <cell r="X692">
            <v>0</v>
          </cell>
        </row>
        <row r="693">
          <cell r="A693">
            <v>7103</v>
          </cell>
          <cell r="B693" t="str">
            <v>EDNA AMBROCIO (APAXCO)</v>
          </cell>
          <cell r="C693">
            <v>0</v>
          </cell>
          <cell r="D693">
            <v>0</v>
          </cell>
          <cell r="E693" t="str">
            <v>APAXCO, EDO. DE MEXICO</v>
          </cell>
          <cell r="F693">
            <v>0</v>
          </cell>
          <cell r="G693">
            <v>0</v>
          </cell>
          <cell r="H693">
            <v>0</v>
          </cell>
          <cell r="I693">
            <v>0</v>
          </cell>
          <cell r="J693">
            <v>0</v>
          </cell>
          <cell r="K693">
            <v>0</v>
          </cell>
          <cell r="L693">
            <v>0</v>
          </cell>
          <cell r="M693">
            <v>0</v>
          </cell>
          <cell r="N693">
            <v>0</v>
          </cell>
          <cell r="O693">
            <v>0</v>
          </cell>
          <cell r="P693">
            <v>0</v>
          </cell>
          <cell r="Q693">
            <v>0</v>
          </cell>
          <cell r="R693">
            <v>0</v>
          </cell>
          <cell r="S693">
            <v>0</v>
          </cell>
          <cell r="T693">
            <v>0</v>
          </cell>
          <cell r="U693">
            <v>0</v>
          </cell>
          <cell r="V693">
            <v>0</v>
          </cell>
          <cell r="W693">
            <v>0</v>
          </cell>
          <cell r="X693">
            <v>0</v>
          </cell>
        </row>
        <row r="694">
          <cell r="A694">
            <v>7104</v>
          </cell>
          <cell r="B694" t="str">
            <v>LUCILA (PROGRESO)</v>
          </cell>
          <cell r="C694">
            <v>0</v>
          </cell>
          <cell r="D694">
            <v>0</v>
          </cell>
          <cell r="E694" t="str">
            <v>PROGRESO, HGO.</v>
          </cell>
          <cell r="F694">
            <v>0</v>
          </cell>
          <cell r="G694">
            <v>0</v>
          </cell>
          <cell r="H694">
            <v>0</v>
          </cell>
          <cell r="I694">
            <v>0</v>
          </cell>
          <cell r="J694">
            <v>0</v>
          </cell>
          <cell r="K694">
            <v>0</v>
          </cell>
          <cell r="L694">
            <v>0</v>
          </cell>
          <cell r="M694">
            <v>0</v>
          </cell>
          <cell r="N694">
            <v>0</v>
          </cell>
          <cell r="O694">
            <v>0</v>
          </cell>
          <cell r="P694">
            <v>0</v>
          </cell>
          <cell r="Q694">
            <v>0</v>
          </cell>
          <cell r="R694">
            <v>0</v>
          </cell>
          <cell r="S694">
            <v>0</v>
          </cell>
          <cell r="T694">
            <v>0</v>
          </cell>
          <cell r="U694">
            <v>0</v>
          </cell>
          <cell r="V694">
            <v>0</v>
          </cell>
          <cell r="W694">
            <v>0</v>
          </cell>
          <cell r="X694">
            <v>0</v>
          </cell>
        </row>
        <row r="695">
          <cell r="A695">
            <v>7105</v>
          </cell>
          <cell r="B695" t="str">
            <v>DAMARIS TUNALES NIÑO (GUANAJUATO)</v>
          </cell>
          <cell r="C695">
            <v>0</v>
          </cell>
          <cell r="D695" t="str">
            <v>MORELOS #203</v>
          </cell>
          <cell r="E695" t="str">
            <v>JARAL DEL PROGRESO, GTO.</v>
          </cell>
          <cell r="F695" t="str">
            <v>38470</v>
          </cell>
          <cell r="G695">
            <v>0</v>
          </cell>
          <cell r="H695">
            <v>0</v>
          </cell>
          <cell r="I695">
            <v>0</v>
          </cell>
          <cell r="J695">
            <v>0</v>
          </cell>
          <cell r="K695">
            <v>0</v>
          </cell>
          <cell r="L695">
            <v>0</v>
          </cell>
          <cell r="M695">
            <v>0</v>
          </cell>
          <cell r="N695">
            <v>0</v>
          </cell>
          <cell r="O695">
            <v>0</v>
          </cell>
          <cell r="P695">
            <v>0</v>
          </cell>
          <cell r="Q695">
            <v>0</v>
          </cell>
          <cell r="R695">
            <v>0</v>
          </cell>
          <cell r="S695">
            <v>0</v>
          </cell>
          <cell r="T695">
            <v>0</v>
          </cell>
          <cell r="U695">
            <v>0</v>
          </cell>
          <cell r="V695" t="str">
            <v>CENTRO</v>
          </cell>
          <cell r="W695">
            <v>0</v>
          </cell>
          <cell r="X695">
            <v>0</v>
          </cell>
        </row>
        <row r="696">
          <cell r="A696">
            <v>7106</v>
          </cell>
          <cell r="B696" t="str">
            <v>WENDY CASTRO CASTRO (QUERETARO)</v>
          </cell>
          <cell r="C696" t="str">
            <v>CACW-770420-5W7</v>
          </cell>
          <cell r="D696" t="str">
            <v>AV. HIDALGO #173-A PTE.</v>
          </cell>
          <cell r="E696" t="str">
            <v>QUERETARO, QRO.</v>
          </cell>
          <cell r="F696" t="str">
            <v/>
          </cell>
          <cell r="G696" t="str">
            <v>(442) 125-8583</v>
          </cell>
          <cell r="H696" t="str">
            <v>WENDY CASTRO CASTRO</v>
          </cell>
          <cell r="I696" t="str">
            <v>WENDY CASTRO CASTRO</v>
          </cell>
          <cell r="J696" t="str">
            <v>BAJA</v>
          </cell>
          <cell r="K696" t="str">
            <v/>
          </cell>
          <cell r="L696">
            <v>0</v>
          </cell>
          <cell r="M696">
            <v>378</v>
          </cell>
          <cell r="N696" t="str">
            <v>A</v>
          </cell>
          <cell r="O696">
            <v>41295</v>
          </cell>
          <cell r="P696" t="str">
            <v xml:space="preserve">    1</v>
          </cell>
          <cell r="Q696">
            <v>0</v>
          </cell>
          <cell r="R696">
            <v>0</v>
          </cell>
          <cell r="S696">
            <v>0</v>
          </cell>
          <cell r="T696">
            <v>3089</v>
          </cell>
          <cell r="U696">
            <v>0</v>
          </cell>
          <cell r="V696" t="str">
            <v>CENTRO</v>
          </cell>
          <cell r="W696" t="str">
            <v>GLOBOMAGIC TEJEDA</v>
          </cell>
          <cell r="X696" t="str">
            <v>GLOBOMAGIC HIDALGO</v>
          </cell>
          <cell r="Y696" t="str">
            <v/>
          </cell>
          <cell r="Z696" t="str">
            <v/>
          </cell>
          <cell r="AA696" t="str">
            <v/>
          </cell>
          <cell r="AB696" t="str">
            <v/>
          </cell>
          <cell r="AC696" t="str">
            <v>P0219</v>
          </cell>
          <cell r="AD696" t="str">
            <v/>
          </cell>
          <cell r="AE696" t="str">
            <v/>
          </cell>
          <cell r="AF696" t="str">
            <v/>
          </cell>
          <cell r="AH696" t="str">
            <v>N</v>
          </cell>
          <cell r="AI696">
            <v>0</v>
          </cell>
          <cell r="AJ696">
            <v>0</v>
          </cell>
          <cell r="AK696">
            <v>0</v>
          </cell>
          <cell r="AL696">
            <v>0</v>
          </cell>
          <cell r="AM696">
            <v>1650</v>
          </cell>
          <cell r="AN696">
            <v>0</v>
          </cell>
        </row>
        <row r="697">
          <cell r="A697">
            <v>7107</v>
          </cell>
          <cell r="B697" t="str">
            <v>MARCO ANTONIO CASTRO (QUERETARO)</v>
          </cell>
          <cell r="C697">
            <v>0</v>
          </cell>
          <cell r="D697" t="str">
            <v>MADERO #267 INT. 3</v>
          </cell>
          <cell r="E697" t="str">
            <v>QUERETARO, QRO.</v>
          </cell>
          <cell r="F697" t="str">
            <v>76000</v>
          </cell>
          <cell r="G697">
            <v>0</v>
          </cell>
          <cell r="H697">
            <v>0</v>
          </cell>
          <cell r="I697">
            <v>0</v>
          </cell>
          <cell r="J697">
            <v>0</v>
          </cell>
          <cell r="K697">
            <v>0</v>
          </cell>
          <cell r="L697">
            <v>0</v>
          </cell>
          <cell r="M697">
            <v>0</v>
          </cell>
          <cell r="N697">
            <v>0</v>
          </cell>
          <cell r="O697">
            <v>0</v>
          </cell>
          <cell r="P697">
            <v>0</v>
          </cell>
          <cell r="Q697">
            <v>0</v>
          </cell>
          <cell r="R697">
            <v>0</v>
          </cell>
          <cell r="S697">
            <v>0</v>
          </cell>
          <cell r="T697">
            <v>0</v>
          </cell>
          <cell r="U697">
            <v>0</v>
          </cell>
          <cell r="V697" t="str">
            <v>CENTRO</v>
          </cell>
          <cell r="W697">
            <v>0</v>
          </cell>
          <cell r="X697">
            <v>0</v>
          </cell>
        </row>
        <row r="698">
          <cell r="A698">
            <v>7108</v>
          </cell>
          <cell r="B698" t="str">
            <v>FABIOLA (SAN JOSE ITURBIDE)</v>
          </cell>
          <cell r="C698">
            <v>0</v>
          </cell>
          <cell r="D698">
            <v>0</v>
          </cell>
          <cell r="E698" t="str">
            <v>SAN JOSE ITURBIDE, GTO.</v>
          </cell>
          <cell r="F698">
            <v>0</v>
          </cell>
          <cell r="G698">
            <v>0</v>
          </cell>
          <cell r="H698">
            <v>0</v>
          </cell>
          <cell r="I698">
            <v>0</v>
          </cell>
          <cell r="J698">
            <v>0</v>
          </cell>
          <cell r="K698">
            <v>0</v>
          </cell>
          <cell r="L698">
            <v>0</v>
          </cell>
          <cell r="M698">
            <v>0</v>
          </cell>
          <cell r="N698">
            <v>0</v>
          </cell>
          <cell r="O698">
            <v>0</v>
          </cell>
          <cell r="P698">
            <v>0</v>
          </cell>
          <cell r="Q698">
            <v>0</v>
          </cell>
          <cell r="R698">
            <v>0</v>
          </cell>
          <cell r="S698">
            <v>0</v>
          </cell>
          <cell r="T698">
            <v>0</v>
          </cell>
          <cell r="U698">
            <v>0</v>
          </cell>
          <cell r="V698">
            <v>0</v>
          </cell>
          <cell r="W698">
            <v>0</v>
          </cell>
          <cell r="X698">
            <v>0</v>
          </cell>
        </row>
        <row r="699">
          <cell r="A699">
            <v>7109</v>
          </cell>
          <cell r="B699" t="str">
            <v>JULIO VIQUEZ (CUAUTITLAN)</v>
          </cell>
          <cell r="C699">
            <v>0</v>
          </cell>
          <cell r="D699" t="str">
            <v>MERCADO CUAUTITLAN</v>
          </cell>
          <cell r="E699" t="str">
            <v>CUAUTITLAN, EDO. DE MEXICO</v>
          </cell>
          <cell r="F699">
            <v>0</v>
          </cell>
          <cell r="G699">
            <v>0</v>
          </cell>
          <cell r="H699">
            <v>0</v>
          </cell>
          <cell r="I699">
            <v>0</v>
          </cell>
          <cell r="J699">
            <v>0</v>
          </cell>
          <cell r="K699">
            <v>0</v>
          </cell>
          <cell r="L699">
            <v>0</v>
          </cell>
          <cell r="M699">
            <v>0</v>
          </cell>
          <cell r="N699">
            <v>0</v>
          </cell>
          <cell r="O699">
            <v>0</v>
          </cell>
          <cell r="P699">
            <v>0</v>
          </cell>
          <cell r="Q699">
            <v>0</v>
          </cell>
          <cell r="R699">
            <v>0</v>
          </cell>
          <cell r="S699">
            <v>0</v>
          </cell>
          <cell r="T699">
            <v>0</v>
          </cell>
          <cell r="U699">
            <v>0</v>
          </cell>
          <cell r="V699">
            <v>0</v>
          </cell>
          <cell r="W699">
            <v>0</v>
          </cell>
          <cell r="X699">
            <v>0</v>
          </cell>
        </row>
        <row r="700">
          <cell r="A700">
            <v>7110</v>
          </cell>
          <cell r="B700" t="str">
            <v>ROSALINDA VALLEJO PLAZA (SALAMANCA)</v>
          </cell>
          <cell r="C700">
            <v>0</v>
          </cell>
          <cell r="D700" t="str">
            <v>MERCADO SALAMANCA</v>
          </cell>
          <cell r="E700" t="str">
            <v>SALAMANCA, GTO.</v>
          </cell>
          <cell r="F700">
            <v>0</v>
          </cell>
          <cell r="G700">
            <v>0</v>
          </cell>
          <cell r="H700">
            <v>0</v>
          </cell>
          <cell r="I700">
            <v>0</v>
          </cell>
          <cell r="J700">
            <v>0</v>
          </cell>
          <cell r="K700">
            <v>0</v>
          </cell>
          <cell r="L700">
            <v>0</v>
          </cell>
          <cell r="M700">
            <v>0</v>
          </cell>
          <cell r="N700">
            <v>0</v>
          </cell>
          <cell r="O700">
            <v>0</v>
          </cell>
          <cell r="P700">
            <v>0</v>
          </cell>
          <cell r="Q700">
            <v>0</v>
          </cell>
          <cell r="R700">
            <v>0</v>
          </cell>
          <cell r="S700">
            <v>0</v>
          </cell>
          <cell r="T700">
            <v>0</v>
          </cell>
          <cell r="U700">
            <v>0</v>
          </cell>
          <cell r="V700">
            <v>0</v>
          </cell>
          <cell r="W700">
            <v>0</v>
          </cell>
          <cell r="X700">
            <v>0</v>
          </cell>
        </row>
        <row r="701">
          <cell r="A701">
            <v>7111</v>
          </cell>
          <cell r="B701" t="str">
            <v>ADRIANA AYALA (PARQUE)</v>
          </cell>
          <cell r="C701">
            <v>0</v>
          </cell>
          <cell r="D701">
            <v>0</v>
          </cell>
          <cell r="E701" t="str">
            <v>COACALCO, EDO. DE MEXICO</v>
          </cell>
          <cell r="F701">
            <v>0</v>
          </cell>
          <cell r="G701">
            <v>0</v>
          </cell>
          <cell r="H701">
            <v>0</v>
          </cell>
          <cell r="I701">
            <v>0</v>
          </cell>
          <cell r="J701">
            <v>0</v>
          </cell>
          <cell r="K701">
            <v>0</v>
          </cell>
          <cell r="L701">
            <v>0</v>
          </cell>
          <cell r="M701">
            <v>0</v>
          </cell>
          <cell r="N701">
            <v>0</v>
          </cell>
          <cell r="O701">
            <v>0</v>
          </cell>
          <cell r="P701">
            <v>0</v>
          </cell>
          <cell r="Q701">
            <v>0</v>
          </cell>
          <cell r="R701">
            <v>0</v>
          </cell>
          <cell r="S701">
            <v>0</v>
          </cell>
          <cell r="T701">
            <v>0</v>
          </cell>
          <cell r="U701">
            <v>0</v>
          </cell>
          <cell r="V701">
            <v>0</v>
          </cell>
          <cell r="W701">
            <v>0</v>
          </cell>
          <cell r="X701">
            <v>0</v>
          </cell>
        </row>
        <row r="702">
          <cell r="A702">
            <v>7112</v>
          </cell>
          <cell r="B702" t="str">
            <v>CECILIA CRUZ RODRIGUEZ (SILAO)</v>
          </cell>
          <cell r="C702">
            <v>0</v>
          </cell>
          <cell r="D702" t="str">
            <v>FUNDACION #17</v>
          </cell>
          <cell r="E702" t="str">
            <v>SILAO, GTO.</v>
          </cell>
          <cell r="F702" t="str">
            <v>36100</v>
          </cell>
          <cell r="G702" t="str">
            <v>(472) 738-8370</v>
          </cell>
          <cell r="H702">
            <v>0</v>
          </cell>
          <cell r="I702">
            <v>0</v>
          </cell>
          <cell r="J702">
            <v>0</v>
          </cell>
          <cell r="K702">
            <v>0</v>
          </cell>
          <cell r="L702">
            <v>0</v>
          </cell>
          <cell r="M702">
            <v>0</v>
          </cell>
          <cell r="N702">
            <v>0</v>
          </cell>
          <cell r="O702">
            <v>0</v>
          </cell>
          <cell r="P702">
            <v>0</v>
          </cell>
          <cell r="Q702">
            <v>0</v>
          </cell>
          <cell r="R702">
            <v>0</v>
          </cell>
          <cell r="S702">
            <v>0</v>
          </cell>
          <cell r="T702">
            <v>0</v>
          </cell>
          <cell r="U702">
            <v>0</v>
          </cell>
          <cell r="V702" t="str">
            <v>CENTRO</v>
          </cell>
          <cell r="W702">
            <v>0</v>
          </cell>
          <cell r="X702">
            <v>0</v>
          </cell>
        </row>
        <row r="703">
          <cell r="A703">
            <v>7113</v>
          </cell>
          <cell r="B703" t="str">
            <v>MARTHA MONROY (VILLA)</v>
          </cell>
          <cell r="C703">
            <v>0</v>
          </cell>
          <cell r="D703">
            <v>0</v>
          </cell>
          <cell r="E703" t="str">
            <v>COACALCO, EDO. DE MEXICO</v>
          </cell>
          <cell r="F703">
            <v>0</v>
          </cell>
          <cell r="G703">
            <v>0</v>
          </cell>
          <cell r="H703">
            <v>0</v>
          </cell>
          <cell r="I703">
            <v>0</v>
          </cell>
          <cell r="J703">
            <v>0</v>
          </cell>
          <cell r="K703">
            <v>0</v>
          </cell>
          <cell r="L703">
            <v>0</v>
          </cell>
          <cell r="M703">
            <v>0</v>
          </cell>
          <cell r="N703">
            <v>0</v>
          </cell>
          <cell r="O703">
            <v>0</v>
          </cell>
          <cell r="P703">
            <v>0</v>
          </cell>
          <cell r="Q703">
            <v>0</v>
          </cell>
          <cell r="R703">
            <v>0</v>
          </cell>
          <cell r="S703">
            <v>0</v>
          </cell>
          <cell r="T703">
            <v>0</v>
          </cell>
          <cell r="U703">
            <v>0</v>
          </cell>
          <cell r="V703">
            <v>0</v>
          </cell>
          <cell r="W703">
            <v>0</v>
          </cell>
          <cell r="X703">
            <v>0</v>
          </cell>
        </row>
        <row r="704">
          <cell r="A704">
            <v>7114</v>
          </cell>
          <cell r="B704" t="str">
            <v>ELISA MONDRAGON (QUERETARO)</v>
          </cell>
          <cell r="C704">
            <v>0</v>
          </cell>
          <cell r="D704" t="str">
            <v>ANDADOR 16 DE SEPTIEMBRE #25</v>
          </cell>
          <cell r="E704" t="str">
            <v>QUERETARO, QRO.</v>
          </cell>
          <cell r="F704">
            <v>0</v>
          </cell>
          <cell r="G704">
            <v>0</v>
          </cell>
          <cell r="H704">
            <v>0</v>
          </cell>
          <cell r="I704">
            <v>0</v>
          </cell>
          <cell r="J704">
            <v>0</v>
          </cell>
          <cell r="K704">
            <v>0</v>
          </cell>
          <cell r="L704">
            <v>0</v>
          </cell>
          <cell r="M704">
            <v>0</v>
          </cell>
          <cell r="N704">
            <v>0</v>
          </cell>
          <cell r="O704">
            <v>0</v>
          </cell>
          <cell r="P704">
            <v>0</v>
          </cell>
          <cell r="Q704">
            <v>0</v>
          </cell>
          <cell r="R704">
            <v>0</v>
          </cell>
          <cell r="S704">
            <v>0</v>
          </cell>
          <cell r="T704">
            <v>0</v>
          </cell>
          <cell r="U704">
            <v>0</v>
          </cell>
          <cell r="V704" t="str">
            <v>CENTRO</v>
          </cell>
          <cell r="W704">
            <v>0</v>
          </cell>
          <cell r="X704">
            <v>0</v>
          </cell>
        </row>
        <row r="705">
          <cell r="A705">
            <v>7115</v>
          </cell>
          <cell r="B705" t="str">
            <v>LA FIESTA DE VALENTINA (QUERETARO(</v>
          </cell>
          <cell r="C705">
            <v>0</v>
          </cell>
          <cell r="D705" t="str">
            <v>SOMBRETE #1080, LOCAL 12</v>
          </cell>
          <cell r="E705" t="str">
            <v>QUERETARO, QRO.</v>
          </cell>
          <cell r="F705">
            <v>0</v>
          </cell>
          <cell r="G705">
            <v>0</v>
          </cell>
          <cell r="H705">
            <v>0</v>
          </cell>
          <cell r="I705">
            <v>0</v>
          </cell>
          <cell r="J705">
            <v>0</v>
          </cell>
          <cell r="K705">
            <v>0</v>
          </cell>
          <cell r="L705">
            <v>0</v>
          </cell>
          <cell r="M705">
            <v>0</v>
          </cell>
          <cell r="N705">
            <v>0</v>
          </cell>
          <cell r="O705">
            <v>0</v>
          </cell>
          <cell r="P705">
            <v>0</v>
          </cell>
          <cell r="Q705">
            <v>0</v>
          </cell>
          <cell r="R705">
            <v>0</v>
          </cell>
          <cell r="S705">
            <v>0</v>
          </cell>
          <cell r="T705">
            <v>0</v>
          </cell>
          <cell r="U705">
            <v>0</v>
          </cell>
          <cell r="V705">
            <v>0</v>
          </cell>
          <cell r="W705">
            <v>0</v>
          </cell>
          <cell r="X705">
            <v>0</v>
          </cell>
        </row>
        <row r="706">
          <cell r="A706">
            <v>7116</v>
          </cell>
          <cell r="B706" t="str">
            <v>FATIMA HERRERA "REGALOS FIORY" (QUERETARO)</v>
          </cell>
          <cell r="C706">
            <v>0</v>
          </cell>
          <cell r="D706" t="str">
            <v>HDA. EL JACAL #410</v>
          </cell>
          <cell r="E706" t="str">
            <v>QUERETARO, QRO.</v>
          </cell>
          <cell r="F706">
            <v>0</v>
          </cell>
          <cell r="G706" t="str">
            <v>(442) 119-2608</v>
          </cell>
          <cell r="H706">
            <v>0</v>
          </cell>
          <cell r="I706">
            <v>0</v>
          </cell>
          <cell r="J706">
            <v>0</v>
          </cell>
          <cell r="K706">
            <v>0</v>
          </cell>
          <cell r="L706">
            <v>0</v>
          </cell>
          <cell r="M706">
            <v>0</v>
          </cell>
          <cell r="N706">
            <v>0</v>
          </cell>
          <cell r="O706">
            <v>0</v>
          </cell>
          <cell r="P706">
            <v>0</v>
          </cell>
          <cell r="Q706">
            <v>0</v>
          </cell>
          <cell r="R706">
            <v>0</v>
          </cell>
          <cell r="S706">
            <v>0</v>
          </cell>
          <cell r="T706">
            <v>0</v>
          </cell>
          <cell r="U706">
            <v>0</v>
          </cell>
          <cell r="V706" t="str">
            <v>JARDINES DE LA HDA.</v>
          </cell>
          <cell r="W706">
            <v>0</v>
          </cell>
          <cell r="X706">
            <v>0</v>
          </cell>
        </row>
        <row r="707">
          <cell r="A707">
            <v>7117</v>
          </cell>
          <cell r="B707" t="str">
            <v>CLAUDIA "PARTY LAND"</v>
          </cell>
          <cell r="C707">
            <v>0</v>
          </cell>
          <cell r="D707">
            <v>0</v>
          </cell>
          <cell r="E707" t="str">
            <v>QUERETARO, QRO.</v>
          </cell>
          <cell r="F707">
            <v>0</v>
          </cell>
          <cell r="G707">
            <v>0</v>
          </cell>
          <cell r="H707">
            <v>0</v>
          </cell>
          <cell r="I707">
            <v>0</v>
          </cell>
          <cell r="J707">
            <v>0</v>
          </cell>
          <cell r="K707">
            <v>0</v>
          </cell>
          <cell r="L707">
            <v>0</v>
          </cell>
          <cell r="M707">
            <v>0</v>
          </cell>
          <cell r="N707">
            <v>0</v>
          </cell>
          <cell r="O707">
            <v>0</v>
          </cell>
          <cell r="P707">
            <v>0</v>
          </cell>
          <cell r="Q707">
            <v>0</v>
          </cell>
          <cell r="R707">
            <v>0</v>
          </cell>
          <cell r="S707">
            <v>0</v>
          </cell>
          <cell r="T707">
            <v>0</v>
          </cell>
          <cell r="U707">
            <v>0</v>
          </cell>
          <cell r="V707">
            <v>0</v>
          </cell>
          <cell r="W707">
            <v>0</v>
          </cell>
          <cell r="X707">
            <v>0</v>
          </cell>
        </row>
        <row r="708">
          <cell r="A708">
            <v>7118</v>
          </cell>
          <cell r="B708" t="str">
            <v>LAURA CARLA OROZCO (QUERETARO)</v>
          </cell>
          <cell r="C708">
            <v>0</v>
          </cell>
          <cell r="D708" t="str">
            <v>AV. PASEO DE LA REFORMA #111, LOCAL 7</v>
          </cell>
          <cell r="E708" t="str">
            <v>QUERETARO, QRO.</v>
          </cell>
          <cell r="F708">
            <v>0</v>
          </cell>
          <cell r="G708">
            <v>0</v>
          </cell>
          <cell r="H708">
            <v>0</v>
          </cell>
          <cell r="I708">
            <v>0</v>
          </cell>
          <cell r="J708">
            <v>0</v>
          </cell>
          <cell r="K708">
            <v>0</v>
          </cell>
          <cell r="L708">
            <v>0</v>
          </cell>
          <cell r="M708">
            <v>0</v>
          </cell>
          <cell r="N708">
            <v>0</v>
          </cell>
          <cell r="O708">
            <v>0</v>
          </cell>
          <cell r="P708">
            <v>0</v>
          </cell>
          <cell r="Q708">
            <v>0</v>
          </cell>
          <cell r="R708">
            <v>0</v>
          </cell>
          <cell r="S708">
            <v>0</v>
          </cell>
          <cell r="T708">
            <v>0</v>
          </cell>
          <cell r="U708">
            <v>0</v>
          </cell>
          <cell r="V708" t="str">
            <v>LOMAS DEL MARQUEZ</v>
          </cell>
          <cell r="W708">
            <v>0</v>
          </cell>
          <cell r="X708">
            <v>0</v>
          </cell>
        </row>
        <row r="709">
          <cell r="A709">
            <v>7119</v>
          </cell>
          <cell r="B709" t="str">
            <v>MARINA GARCIA (CUAUTITLAN)</v>
          </cell>
          <cell r="C709">
            <v>0</v>
          </cell>
          <cell r="D709">
            <v>0</v>
          </cell>
          <cell r="E709" t="str">
            <v>CUAUTITLAN, EDO. DE MEXICO</v>
          </cell>
          <cell r="F709">
            <v>0</v>
          </cell>
          <cell r="G709" t="str">
            <v>(56) 2124-0979</v>
          </cell>
          <cell r="H709">
            <v>0</v>
          </cell>
          <cell r="I709">
            <v>0</v>
          </cell>
          <cell r="J709">
            <v>0</v>
          </cell>
          <cell r="K709">
            <v>0</v>
          </cell>
          <cell r="L709">
            <v>0</v>
          </cell>
          <cell r="M709">
            <v>0</v>
          </cell>
          <cell r="N709">
            <v>0</v>
          </cell>
          <cell r="O709">
            <v>0</v>
          </cell>
          <cell r="P709">
            <v>0</v>
          </cell>
          <cell r="Q709">
            <v>0</v>
          </cell>
          <cell r="R709">
            <v>0</v>
          </cell>
          <cell r="S709">
            <v>0</v>
          </cell>
          <cell r="T709">
            <v>0</v>
          </cell>
          <cell r="U709">
            <v>0</v>
          </cell>
          <cell r="V709">
            <v>0</v>
          </cell>
          <cell r="W709">
            <v>0</v>
          </cell>
          <cell r="X709">
            <v>0</v>
          </cell>
        </row>
        <row r="710">
          <cell r="A710">
            <v>7120</v>
          </cell>
          <cell r="B710" t="str">
            <v>ALICIA OLVERA (A. EL ALTO)</v>
          </cell>
          <cell r="C710">
            <v>0</v>
          </cell>
          <cell r="D710" t="str">
            <v>INDEPENDENCIA #10</v>
          </cell>
          <cell r="E710" t="str">
            <v>APASEO EL ALTO, GTO.</v>
          </cell>
          <cell r="F710">
            <v>0</v>
          </cell>
          <cell r="G710" t="str">
            <v>(413) 113-3665</v>
          </cell>
          <cell r="H710">
            <v>0</v>
          </cell>
          <cell r="I710">
            <v>0</v>
          </cell>
          <cell r="J710">
            <v>0</v>
          </cell>
          <cell r="K710">
            <v>0</v>
          </cell>
          <cell r="L710">
            <v>0</v>
          </cell>
          <cell r="M710">
            <v>0</v>
          </cell>
          <cell r="N710">
            <v>0</v>
          </cell>
          <cell r="O710">
            <v>0</v>
          </cell>
          <cell r="P710">
            <v>0</v>
          </cell>
          <cell r="Q710">
            <v>0</v>
          </cell>
          <cell r="R710">
            <v>0</v>
          </cell>
          <cell r="S710">
            <v>0</v>
          </cell>
          <cell r="T710">
            <v>0</v>
          </cell>
          <cell r="U710">
            <v>0</v>
          </cell>
          <cell r="V710" t="str">
            <v>CENTRO</v>
          </cell>
          <cell r="W710">
            <v>0</v>
          </cell>
          <cell r="X710">
            <v>0</v>
          </cell>
        </row>
        <row r="711">
          <cell r="A711">
            <v>7121</v>
          </cell>
          <cell r="B711" t="str">
            <v>RAQUEL NAVARRO (APAXCO)</v>
          </cell>
          <cell r="C711">
            <v>0</v>
          </cell>
          <cell r="D711" t="str">
            <v>AV. JUAREZ ESQ. PINO SUAREZ S/N</v>
          </cell>
          <cell r="E711" t="str">
            <v>APAXCO, EDO. DE MEXICO</v>
          </cell>
          <cell r="F711">
            <v>0</v>
          </cell>
          <cell r="G711" t="str">
            <v>(55) 3931-3393</v>
          </cell>
          <cell r="H711">
            <v>0</v>
          </cell>
          <cell r="I711">
            <v>0</v>
          </cell>
          <cell r="J711">
            <v>0</v>
          </cell>
          <cell r="K711">
            <v>0</v>
          </cell>
          <cell r="L711">
            <v>0</v>
          </cell>
          <cell r="M711">
            <v>0</v>
          </cell>
          <cell r="N711">
            <v>0</v>
          </cell>
          <cell r="O711">
            <v>0</v>
          </cell>
          <cell r="P711">
            <v>0</v>
          </cell>
          <cell r="Q711">
            <v>0</v>
          </cell>
          <cell r="R711">
            <v>0</v>
          </cell>
          <cell r="S711">
            <v>0</v>
          </cell>
          <cell r="T711">
            <v>0</v>
          </cell>
          <cell r="U711">
            <v>0</v>
          </cell>
          <cell r="V711" t="str">
            <v>CENTRO</v>
          </cell>
          <cell r="W711">
            <v>0</v>
          </cell>
          <cell r="X711">
            <v>0</v>
          </cell>
        </row>
        <row r="712">
          <cell r="A712">
            <v>7122</v>
          </cell>
          <cell r="B712" t="str">
            <v>ANGELICA REYES (TEQUISQUIAC)</v>
          </cell>
          <cell r="C712">
            <v>0</v>
          </cell>
          <cell r="D712" t="str">
            <v>PORFIRIO DIAZ S/N</v>
          </cell>
          <cell r="E712" t="str">
            <v>TEQUISQUIAC, EDO. DE MEXICO</v>
          </cell>
          <cell r="F712">
            <v>0</v>
          </cell>
          <cell r="G712">
            <v>0</v>
          </cell>
          <cell r="H712">
            <v>0</v>
          </cell>
          <cell r="I712">
            <v>0</v>
          </cell>
          <cell r="J712">
            <v>0</v>
          </cell>
          <cell r="K712">
            <v>0</v>
          </cell>
          <cell r="L712">
            <v>0</v>
          </cell>
          <cell r="M712">
            <v>0</v>
          </cell>
          <cell r="N712">
            <v>0</v>
          </cell>
          <cell r="O712">
            <v>0</v>
          </cell>
          <cell r="P712">
            <v>0</v>
          </cell>
          <cell r="Q712">
            <v>0</v>
          </cell>
          <cell r="R712">
            <v>0</v>
          </cell>
          <cell r="S712">
            <v>0</v>
          </cell>
          <cell r="T712">
            <v>0</v>
          </cell>
          <cell r="U712">
            <v>0</v>
          </cell>
          <cell r="V712">
            <v>0</v>
          </cell>
          <cell r="W712">
            <v>0</v>
          </cell>
          <cell r="X712">
            <v>0</v>
          </cell>
        </row>
        <row r="713">
          <cell r="A713">
            <v>7123</v>
          </cell>
          <cell r="B713" t="str">
            <v>BRIANDA MONTES (E. MONTES)</v>
          </cell>
          <cell r="C713">
            <v>0</v>
          </cell>
          <cell r="D713" t="str">
            <v>EMILIANO ZAPATA #109-A</v>
          </cell>
          <cell r="E713" t="str">
            <v>EZEQUIEL MONTES, QRO.</v>
          </cell>
          <cell r="F713">
            <v>0</v>
          </cell>
          <cell r="G713" t="str">
            <v>(441) 109-0189</v>
          </cell>
          <cell r="H713">
            <v>0</v>
          </cell>
          <cell r="I713">
            <v>0</v>
          </cell>
          <cell r="J713">
            <v>0</v>
          </cell>
          <cell r="K713">
            <v>0</v>
          </cell>
          <cell r="L713">
            <v>0</v>
          </cell>
          <cell r="M713">
            <v>0</v>
          </cell>
          <cell r="N713">
            <v>0</v>
          </cell>
          <cell r="O713">
            <v>0</v>
          </cell>
          <cell r="P713">
            <v>0</v>
          </cell>
          <cell r="Q713">
            <v>0</v>
          </cell>
          <cell r="R713">
            <v>0</v>
          </cell>
          <cell r="S713">
            <v>0</v>
          </cell>
          <cell r="T713">
            <v>0</v>
          </cell>
          <cell r="U713">
            <v>0</v>
          </cell>
          <cell r="V713" t="str">
            <v>CENTRO</v>
          </cell>
          <cell r="W713">
            <v>0</v>
          </cell>
          <cell r="X713">
            <v>0</v>
          </cell>
        </row>
        <row r="714">
          <cell r="A714">
            <v>7124</v>
          </cell>
          <cell r="B714" t="str">
            <v>ADRIANA CABALLERO (ACAMBARO)</v>
          </cell>
          <cell r="C714">
            <v>0</v>
          </cell>
          <cell r="D714" t="str">
            <v>MORELOS ESQ. ABASOLO</v>
          </cell>
          <cell r="E714" t="str">
            <v>ACAMBARO, GTO.</v>
          </cell>
          <cell r="F714">
            <v>0</v>
          </cell>
          <cell r="G714" t="str">
            <v>(417) 110-0028</v>
          </cell>
          <cell r="H714">
            <v>0</v>
          </cell>
          <cell r="I714">
            <v>0</v>
          </cell>
          <cell r="J714">
            <v>0</v>
          </cell>
          <cell r="K714">
            <v>0</v>
          </cell>
          <cell r="L714">
            <v>0</v>
          </cell>
          <cell r="M714">
            <v>0</v>
          </cell>
          <cell r="N714">
            <v>0</v>
          </cell>
          <cell r="O714">
            <v>0</v>
          </cell>
          <cell r="P714">
            <v>0</v>
          </cell>
          <cell r="Q714">
            <v>0</v>
          </cell>
          <cell r="R714">
            <v>0</v>
          </cell>
          <cell r="S714">
            <v>0</v>
          </cell>
          <cell r="T714">
            <v>0</v>
          </cell>
          <cell r="U714">
            <v>0</v>
          </cell>
          <cell r="V714" t="str">
            <v>CENTRO</v>
          </cell>
          <cell r="W714">
            <v>0</v>
          </cell>
          <cell r="X714">
            <v>0</v>
          </cell>
        </row>
        <row r="715">
          <cell r="A715">
            <v>7125</v>
          </cell>
          <cell r="B715" t="str">
            <v>KARLA OROZCO (QUERETARO)</v>
          </cell>
          <cell r="C715">
            <v>0</v>
          </cell>
          <cell r="D715">
            <v>0</v>
          </cell>
          <cell r="E715" t="str">
            <v>QUERETARO, QRO.</v>
          </cell>
          <cell r="F715">
            <v>0</v>
          </cell>
          <cell r="G715">
            <v>0</v>
          </cell>
          <cell r="H715">
            <v>0</v>
          </cell>
          <cell r="I715">
            <v>0</v>
          </cell>
          <cell r="J715">
            <v>0</v>
          </cell>
          <cell r="K715">
            <v>0</v>
          </cell>
          <cell r="L715">
            <v>0</v>
          </cell>
          <cell r="M715">
            <v>0</v>
          </cell>
          <cell r="N715">
            <v>0</v>
          </cell>
          <cell r="O715">
            <v>0</v>
          </cell>
          <cell r="P715">
            <v>0</v>
          </cell>
          <cell r="Q715">
            <v>0</v>
          </cell>
          <cell r="R715">
            <v>0</v>
          </cell>
          <cell r="S715">
            <v>0</v>
          </cell>
          <cell r="T715">
            <v>0</v>
          </cell>
          <cell r="U715">
            <v>0</v>
          </cell>
          <cell r="V715">
            <v>0</v>
          </cell>
          <cell r="W715">
            <v>0</v>
          </cell>
          <cell r="X715">
            <v>0</v>
          </cell>
        </row>
        <row r="716">
          <cell r="A716">
            <v>7126</v>
          </cell>
          <cell r="B716" t="str">
            <v>SANDRA HERNANDEZ (COACALCO)</v>
          </cell>
          <cell r="C716">
            <v>0</v>
          </cell>
          <cell r="D716">
            <v>0</v>
          </cell>
          <cell r="E716" t="str">
            <v>COACALCO, EDO. DE MEXICO</v>
          </cell>
          <cell r="F716">
            <v>0</v>
          </cell>
          <cell r="G716">
            <v>0</v>
          </cell>
          <cell r="H716">
            <v>0</v>
          </cell>
          <cell r="I716">
            <v>0</v>
          </cell>
          <cell r="J716">
            <v>0</v>
          </cell>
          <cell r="K716">
            <v>0</v>
          </cell>
          <cell r="L716">
            <v>0</v>
          </cell>
          <cell r="M716">
            <v>0</v>
          </cell>
          <cell r="N716">
            <v>0</v>
          </cell>
          <cell r="O716">
            <v>0</v>
          </cell>
          <cell r="P716">
            <v>0</v>
          </cell>
          <cell r="Q716">
            <v>0</v>
          </cell>
          <cell r="R716">
            <v>0</v>
          </cell>
          <cell r="S716">
            <v>0</v>
          </cell>
          <cell r="T716">
            <v>0</v>
          </cell>
          <cell r="U716">
            <v>0</v>
          </cell>
          <cell r="V716">
            <v>0</v>
          </cell>
          <cell r="W716">
            <v>0</v>
          </cell>
          <cell r="X716">
            <v>0</v>
          </cell>
        </row>
        <row r="717">
          <cell r="A717">
            <v>7127</v>
          </cell>
          <cell r="B717" t="str">
            <v>MONSERRAT MUSIÑO (APAXCO)</v>
          </cell>
          <cell r="C717">
            <v>0</v>
          </cell>
          <cell r="D717" t="str">
            <v>ESTRELLA #11</v>
          </cell>
          <cell r="E717" t="str">
            <v>APAXCO, EDO. DE MEXICO</v>
          </cell>
          <cell r="F717">
            <v>0</v>
          </cell>
          <cell r="G717">
            <v>0</v>
          </cell>
          <cell r="H717">
            <v>0</v>
          </cell>
          <cell r="I717">
            <v>0</v>
          </cell>
          <cell r="J717">
            <v>0</v>
          </cell>
          <cell r="K717">
            <v>0</v>
          </cell>
          <cell r="L717">
            <v>0</v>
          </cell>
          <cell r="M717">
            <v>0</v>
          </cell>
          <cell r="N717">
            <v>0</v>
          </cell>
          <cell r="O717">
            <v>0</v>
          </cell>
          <cell r="P717">
            <v>0</v>
          </cell>
          <cell r="Q717">
            <v>0</v>
          </cell>
          <cell r="R717">
            <v>0</v>
          </cell>
          <cell r="S717">
            <v>0</v>
          </cell>
          <cell r="T717">
            <v>0</v>
          </cell>
          <cell r="U717">
            <v>0</v>
          </cell>
          <cell r="V717" t="str">
            <v>CENTRO</v>
          </cell>
          <cell r="W717">
            <v>0</v>
          </cell>
          <cell r="X717">
            <v>0</v>
          </cell>
        </row>
        <row r="718">
          <cell r="A718">
            <v>7128</v>
          </cell>
          <cell r="B718" t="str">
            <v>KAREN CRUZ AGUILAR (TEZONTEPEC)</v>
          </cell>
          <cell r="C718">
            <v>0</v>
          </cell>
          <cell r="D718">
            <v>0</v>
          </cell>
          <cell r="E718" t="str">
            <v>TEZONTEPEC, HGO.</v>
          </cell>
          <cell r="F718">
            <v>0</v>
          </cell>
          <cell r="G718">
            <v>0</v>
          </cell>
          <cell r="H718">
            <v>0</v>
          </cell>
          <cell r="I718">
            <v>0</v>
          </cell>
          <cell r="J718">
            <v>0</v>
          </cell>
          <cell r="K718">
            <v>0</v>
          </cell>
          <cell r="L718">
            <v>0</v>
          </cell>
          <cell r="M718">
            <v>0</v>
          </cell>
          <cell r="N718">
            <v>0</v>
          </cell>
          <cell r="O718">
            <v>0</v>
          </cell>
          <cell r="P718">
            <v>0</v>
          </cell>
          <cell r="Q718">
            <v>0</v>
          </cell>
          <cell r="R718">
            <v>0</v>
          </cell>
          <cell r="S718">
            <v>0</v>
          </cell>
          <cell r="T718">
            <v>0</v>
          </cell>
          <cell r="U718">
            <v>0</v>
          </cell>
          <cell r="V718">
            <v>0</v>
          </cell>
          <cell r="W718">
            <v>0</v>
          </cell>
          <cell r="X718">
            <v>0</v>
          </cell>
        </row>
        <row r="719">
          <cell r="A719">
            <v>7129</v>
          </cell>
          <cell r="B719" t="str">
            <v>ELYUD PUANTA (TEQUIS)</v>
          </cell>
          <cell r="C719">
            <v>0</v>
          </cell>
          <cell r="D719">
            <v>0</v>
          </cell>
          <cell r="E719" t="str">
            <v>TEQUISQUIAPAN, QRO.</v>
          </cell>
          <cell r="F719">
            <v>0</v>
          </cell>
          <cell r="G719" t="str">
            <v>(55) 6942-0521</v>
          </cell>
          <cell r="H719">
            <v>0</v>
          </cell>
          <cell r="I719">
            <v>0</v>
          </cell>
          <cell r="J719">
            <v>0</v>
          </cell>
          <cell r="K719">
            <v>0</v>
          </cell>
          <cell r="L719">
            <v>0</v>
          </cell>
          <cell r="M719">
            <v>0</v>
          </cell>
          <cell r="N719">
            <v>0</v>
          </cell>
          <cell r="O719">
            <v>0</v>
          </cell>
          <cell r="P719">
            <v>0</v>
          </cell>
          <cell r="Q719">
            <v>0</v>
          </cell>
          <cell r="R719">
            <v>0</v>
          </cell>
          <cell r="S719">
            <v>0</v>
          </cell>
          <cell r="T719">
            <v>0</v>
          </cell>
          <cell r="U719">
            <v>0</v>
          </cell>
          <cell r="V719">
            <v>0</v>
          </cell>
          <cell r="W719">
            <v>0</v>
          </cell>
          <cell r="X719">
            <v>0</v>
          </cell>
        </row>
        <row r="720">
          <cell r="A720">
            <v>7130</v>
          </cell>
          <cell r="B720" t="str">
            <v>CARLOS EDUARDO GUEVARA SORIA (QUERETARO)</v>
          </cell>
          <cell r="C720">
            <v>0</v>
          </cell>
          <cell r="D720" t="str">
            <v>ZARAGOZA #39 ORIENTE, ENTRE PASTEUR Y VERGARA</v>
          </cell>
          <cell r="E720" t="str">
            <v>QUERETARO, QRO.</v>
          </cell>
          <cell r="F720">
            <v>0</v>
          </cell>
          <cell r="G720">
            <v>0</v>
          </cell>
          <cell r="H720">
            <v>0</v>
          </cell>
          <cell r="I720">
            <v>0</v>
          </cell>
          <cell r="J720">
            <v>0</v>
          </cell>
          <cell r="K720">
            <v>0</v>
          </cell>
          <cell r="L720">
            <v>0</v>
          </cell>
          <cell r="M720">
            <v>0</v>
          </cell>
          <cell r="N720">
            <v>0</v>
          </cell>
          <cell r="O720">
            <v>0</v>
          </cell>
          <cell r="P720">
            <v>0</v>
          </cell>
          <cell r="Q720">
            <v>0</v>
          </cell>
          <cell r="R720">
            <v>0</v>
          </cell>
          <cell r="S720">
            <v>0</v>
          </cell>
          <cell r="T720">
            <v>0</v>
          </cell>
          <cell r="U720">
            <v>0</v>
          </cell>
          <cell r="V720" t="str">
            <v>CENTRO</v>
          </cell>
          <cell r="W720">
            <v>0</v>
          </cell>
          <cell r="X720">
            <v>0</v>
          </cell>
        </row>
        <row r="721">
          <cell r="A721">
            <v>7131</v>
          </cell>
          <cell r="B721" t="str">
            <v>BLANCA REYES (TEZONTEPEC)</v>
          </cell>
          <cell r="C721">
            <v>0</v>
          </cell>
          <cell r="D721">
            <v>0</v>
          </cell>
          <cell r="E721" t="str">
            <v>-</v>
          </cell>
          <cell r="F721">
            <v>0</v>
          </cell>
          <cell r="G721">
            <v>0</v>
          </cell>
          <cell r="H721">
            <v>0</v>
          </cell>
          <cell r="I721">
            <v>0</v>
          </cell>
          <cell r="J721">
            <v>0</v>
          </cell>
          <cell r="K721">
            <v>0</v>
          </cell>
          <cell r="L721">
            <v>0</v>
          </cell>
          <cell r="M721">
            <v>0</v>
          </cell>
          <cell r="N721">
            <v>0</v>
          </cell>
          <cell r="O721">
            <v>0</v>
          </cell>
          <cell r="P721">
            <v>0</v>
          </cell>
          <cell r="Q721">
            <v>0</v>
          </cell>
          <cell r="R721">
            <v>0</v>
          </cell>
          <cell r="S721">
            <v>0</v>
          </cell>
          <cell r="T721">
            <v>0</v>
          </cell>
          <cell r="U721">
            <v>0</v>
          </cell>
          <cell r="V721">
            <v>0</v>
          </cell>
          <cell r="W721">
            <v>0</v>
          </cell>
          <cell r="X721">
            <v>0</v>
          </cell>
        </row>
        <row r="722">
          <cell r="A722">
            <v>7132</v>
          </cell>
          <cell r="B722" t="str">
            <v>MARCO CASTRO "ENGLOBATE" (QUERETARO)</v>
          </cell>
          <cell r="C722">
            <v>0</v>
          </cell>
          <cell r="D722">
            <v>0</v>
          </cell>
          <cell r="E722" t="str">
            <v>QUERETARO, QRO.</v>
          </cell>
          <cell r="F722">
            <v>0</v>
          </cell>
          <cell r="G722" t="str">
            <v>(442) 343-4413</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row>
        <row r="723">
          <cell r="A723">
            <v>7133</v>
          </cell>
          <cell r="B723" t="str">
            <v>ALEJANDRO CAMARENA "HAPPY BOX" (QUERETARO)</v>
          </cell>
          <cell r="C723">
            <v>0</v>
          </cell>
          <cell r="D723">
            <v>0</v>
          </cell>
          <cell r="E723" t="str">
            <v>QUERETARO, QRO.</v>
          </cell>
          <cell r="F723">
            <v>0</v>
          </cell>
          <cell r="G723" t="str">
            <v>(442) 608-9743</v>
          </cell>
          <cell r="H723">
            <v>0</v>
          </cell>
          <cell r="I723">
            <v>0</v>
          </cell>
          <cell r="J723">
            <v>0</v>
          </cell>
          <cell r="K723">
            <v>0</v>
          </cell>
          <cell r="L723">
            <v>0</v>
          </cell>
          <cell r="M723">
            <v>0</v>
          </cell>
          <cell r="N723">
            <v>0</v>
          </cell>
          <cell r="O723">
            <v>0</v>
          </cell>
          <cell r="P723">
            <v>0</v>
          </cell>
          <cell r="Q723">
            <v>0</v>
          </cell>
          <cell r="R723">
            <v>0</v>
          </cell>
          <cell r="S723">
            <v>0</v>
          </cell>
          <cell r="T723">
            <v>0</v>
          </cell>
          <cell r="U723">
            <v>0</v>
          </cell>
          <cell r="V723">
            <v>0</v>
          </cell>
          <cell r="W723">
            <v>0</v>
          </cell>
          <cell r="X723">
            <v>0</v>
          </cell>
        </row>
        <row r="724">
          <cell r="A724">
            <v>7134</v>
          </cell>
          <cell r="B724" t="str">
            <v>ANGEL CRUZ / JUDITH MENDOZA (ATLACOMULCO)</v>
          </cell>
          <cell r="C724">
            <v>0</v>
          </cell>
          <cell r="D724" t="str">
            <v>MERCADO LA MADRID LOC. 8</v>
          </cell>
          <cell r="E724" t="str">
            <v>ATLACOMULCO, EDO. DE MEXICO</v>
          </cell>
          <cell r="F724">
            <v>0</v>
          </cell>
          <cell r="G724" t="str">
            <v>(712) 149-8625</v>
          </cell>
          <cell r="H724">
            <v>0</v>
          </cell>
          <cell r="I724">
            <v>0</v>
          </cell>
          <cell r="J724">
            <v>0</v>
          </cell>
          <cell r="K724">
            <v>0</v>
          </cell>
          <cell r="L724">
            <v>0</v>
          </cell>
          <cell r="M724">
            <v>0</v>
          </cell>
          <cell r="N724">
            <v>0</v>
          </cell>
          <cell r="O724">
            <v>0</v>
          </cell>
          <cell r="P724">
            <v>0</v>
          </cell>
          <cell r="Q724">
            <v>0</v>
          </cell>
          <cell r="R724">
            <v>0</v>
          </cell>
          <cell r="S724">
            <v>0</v>
          </cell>
          <cell r="T724">
            <v>0</v>
          </cell>
          <cell r="U724">
            <v>0</v>
          </cell>
          <cell r="V724" t="str">
            <v>CENTRO</v>
          </cell>
          <cell r="W724">
            <v>0</v>
          </cell>
          <cell r="X724">
            <v>0</v>
          </cell>
        </row>
        <row r="725">
          <cell r="A725">
            <v>7135</v>
          </cell>
          <cell r="B725" t="str">
            <v>IVEN OLVERA (SALAMANCA)</v>
          </cell>
          <cell r="C725">
            <v>0</v>
          </cell>
          <cell r="D725">
            <v>0</v>
          </cell>
          <cell r="E725" t="str">
            <v>SALAMANCA, GTO.</v>
          </cell>
          <cell r="F725">
            <v>0</v>
          </cell>
          <cell r="G725" t="str">
            <v>(464) 125-3549</v>
          </cell>
          <cell r="H725">
            <v>0</v>
          </cell>
          <cell r="I725">
            <v>0</v>
          </cell>
          <cell r="J725">
            <v>0</v>
          </cell>
          <cell r="K725">
            <v>0</v>
          </cell>
          <cell r="L725">
            <v>0</v>
          </cell>
          <cell r="M725">
            <v>0</v>
          </cell>
          <cell r="N725">
            <v>0</v>
          </cell>
          <cell r="O725">
            <v>0</v>
          </cell>
          <cell r="P725">
            <v>0</v>
          </cell>
          <cell r="Q725">
            <v>0</v>
          </cell>
          <cell r="R725">
            <v>0</v>
          </cell>
          <cell r="S725">
            <v>0</v>
          </cell>
          <cell r="T725">
            <v>0</v>
          </cell>
          <cell r="U725">
            <v>0</v>
          </cell>
          <cell r="V725">
            <v>0</v>
          </cell>
          <cell r="W725">
            <v>0</v>
          </cell>
          <cell r="X725">
            <v>0</v>
          </cell>
        </row>
        <row r="726">
          <cell r="A726">
            <v>7136</v>
          </cell>
          <cell r="B726" t="str">
            <v>ANTONIO HERNANDEZ MACIAS (QUERETARO)</v>
          </cell>
          <cell r="C726">
            <v>0</v>
          </cell>
          <cell r="D726" t="str">
            <v>EZEQUIEL MONTES #47</v>
          </cell>
          <cell r="E726" t="str">
            <v>QUERETARO, QRO.</v>
          </cell>
          <cell r="F726" t="str">
            <v>76000</v>
          </cell>
          <cell r="G726" t="str">
            <v>(444) 848-7174</v>
          </cell>
          <cell r="H726">
            <v>0</v>
          </cell>
          <cell r="I726">
            <v>0</v>
          </cell>
          <cell r="J726">
            <v>0</v>
          </cell>
          <cell r="K726">
            <v>0</v>
          </cell>
          <cell r="L726">
            <v>0</v>
          </cell>
          <cell r="M726">
            <v>0</v>
          </cell>
          <cell r="N726">
            <v>0</v>
          </cell>
          <cell r="O726">
            <v>0</v>
          </cell>
          <cell r="P726">
            <v>0</v>
          </cell>
          <cell r="Q726">
            <v>0</v>
          </cell>
          <cell r="R726">
            <v>0</v>
          </cell>
          <cell r="S726">
            <v>0</v>
          </cell>
          <cell r="T726">
            <v>0</v>
          </cell>
          <cell r="U726">
            <v>0</v>
          </cell>
          <cell r="V726" t="str">
            <v>CENTRO</v>
          </cell>
          <cell r="W726">
            <v>0</v>
          </cell>
          <cell r="X726">
            <v>0</v>
          </cell>
        </row>
        <row r="727">
          <cell r="A727">
            <v>7137</v>
          </cell>
          <cell r="B727" t="str">
            <v>TERESA RODRIGUEZ (COACALCO)</v>
          </cell>
          <cell r="C727">
            <v>0</v>
          </cell>
          <cell r="D727" t="str">
            <v>16 DE SEPTIEMBRE #17</v>
          </cell>
          <cell r="E727" t="str">
            <v>COACALCO, EDO. DE MEXICO</v>
          </cell>
          <cell r="F727">
            <v>0</v>
          </cell>
          <cell r="G727">
            <v>0</v>
          </cell>
          <cell r="H727">
            <v>0</v>
          </cell>
          <cell r="I727">
            <v>0</v>
          </cell>
          <cell r="J727" t="str">
            <v>F02A</v>
          </cell>
          <cell r="K727">
            <v>0</v>
          </cell>
          <cell r="L727">
            <v>0</v>
          </cell>
          <cell r="M727">
            <v>0</v>
          </cell>
          <cell r="N727">
            <v>0</v>
          </cell>
          <cell r="O727">
            <v>0</v>
          </cell>
          <cell r="P727">
            <v>0</v>
          </cell>
          <cell r="Q727">
            <v>0</v>
          </cell>
          <cell r="R727">
            <v>0</v>
          </cell>
          <cell r="S727">
            <v>0</v>
          </cell>
          <cell r="T727">
            <v>0</v>
          </cell>
          <cell r="U727">
            <v>0</v>
          </cell>
          <cell r="V727" t="str">
            <v>CENTRO</v>
          </cell>
          <cell r="W727">
            <v>0</v>
          </cell>
          <cell r="X727">
            <v>0</v>
          </cell>
        </row>
        <row r="728">
          <cell r="A728">
            <v>7138</v>
          </cell>
          <cell r="B728" t="str">
            <v>FELICITAS OROPEZA (TEZONTEPEC)</v>
          </cell>
          <cell r="C728">
            <v>0</v>
          </cell>
          <cell r="D728" t="str">
            <v>INSURGENTES #8</v>
          </cell>
          <cell r="E728" t="str">
            <v>TEZONTEPEC, HGO.</v>
          </cell>
          <cell r="F728">
            <v>0</v>
          </cell>
          <cell r="G728" t="str">
            <v>(773) 138-6336</v>
          </cell>
          <cell r="H728">
            <v>0</v>
          </cell>
          <cell r="I728">
            <v>0</v>
          </cell>
          <cell r="J728" t="str">
            <v>F02</v>
          </cell>
          <cell r="K728">
            <v>0</v>
          </cell>
          <cell r="L728">
            <v>0</v>
          </cell>
          <cell r="M728">
            <v>0</v>
          </cell>
          <cell r="N728">
            <v>0</v>
          </cell>
          <cell r="O728">
            <v>0</v>
          </cell>
          <cell r="P728">
            <v>0</v>
          </cell>
          <cell r="Q728">
            <v>0</v>
          </cell>
          <cell r="R728">
            <v>0</v>
          </cell>
          <cell r="S728">
            <v>0</v>
          </cell>
          <cell r="T728">
            <v>0</v>
          </cell>
          <cell r="U728">
            <v>0</v>
          </cell>
          <cell r="V728" t="str">
            <v>CENTRO</v>
          </cell>
          <cell r="W728">
            <v>0</v>
          </cell>
          <cell r="X728">
            <v>0</v>
          </cell>
        </row>
        <row r="729">
          <cell r="A729">
            <v>7139</v>
          </cell>
          <cell r="B729" t="str">
            <v>ROSALIA GRANADOS (TEPEJI)</v>
          </cell>
          <cell r="C729">
            <v>0</v>
          </cell>
          <cell r="D729" t="str">
            <v>AV. HIDALGO S/N</v>
          </cell>
          <cell r="E729" t="str">
            <v>TEXCOCO, EDO. DE MEXICO</v>
          </cell>
          <cell r="F729">
            <v>0</v>
          </cell>
          <cell r="G729" t="str">
            <v>(55) 4948-2124</v>
          </cell>
          <cell r="H729">
            <v>0</v>
          </cell>
          <cell r="I729">
            <v>0</v>
          </cell>
          <cell r="J729" t="str">
            <v>F02</v>
          </cell>
          <cell r="K729">
            <v>0</v>
          </cell>
          <cell r="L729">
            <v>0</v>
          </cell>
          <cell r="M729">
            <v>0</v>
          </cell>
          <cell r="N729">
            <v>0</v>
          </cell>
          <cell r="O729">
            <v>0</v>
          </cell>
          <cell r="P729">
            <v>0</v>
          </cell>
          <cell r="Q729">
            <v>0</v>
          </cell>
          <cell r="R729">
            <v>0</v>
          </cell>
          <cell r="S729">
            <v>0</v>
          </cell>
          <cell r="T729">
            <v>0</v>
          </cell>
          <cell r="U729">
            <v>0</v>
          </cell>
          <cell r="V729" t="str">
            <v>SANTA MARIA</v>
          </cell>
          <cell r="W729">
            <v>0</v>
          </cell>
          <cell r="X729">
            <v>0</v>
          </cell>
        </row>
        <row r="730">
          <cell r="A730">
            <v>7140</v>
          </cell>
          <cell r="B730" t="str">
            <v>KARINA RIVERA RAMIREZ (CUERAMARO)</v>
          </cell>
          <cell r="C730">
            <v>0</v>
          </cell>
          <cell r="D730" t="str">
            <v>PORTAL MADERO #115</v>
          </cell>
          <cell r="E730" t="str">
            <v>CUERAMARO, GTO.</v>
          </cell>
          <cell r="F730">
            <v>0</v>
          </cell>
          <cell r="G730">
            <v>0</v>
          </cell>
          <cell r="H730">
            <v>0</v>
          </cell>
          <cell r="I730">
            <v>0</v>
          </cell>
          <cell r="J730" t="str">
            <v>F04</v>
          </cell>
          <cell r="K730">
            <v>0</v>
          </cell>
          <cell r="L730">
            <v>0</v>
          </cell>
          <cell r="M730">
            <v>0</v>
          </cell>
          <cell r="N730">
            <v>0</v>
          </cell>
          <cell r="O730">
            <v>0</v>
          </cell>
          <cell r="P730">
            <v>0</v>
          </cell>
          <cell r="Q730">
            <v>0</v>
          </cell>
          <cell r="R730">
            <v>0</v>
          </cell>
          <cell r="S730">
            <v>0</v>
          </cell>
          <cell r="T730">
            <v>0</v>
          </cell>
          <cell r="U730">
            <v>0</v>
          </cell>
          <cell r="V730" t="str">
            <v>CENTRO</v>
          </cell>
          <cell r="W730">
            <v>0</v>
          </cell>
          <cell r="X730">
            <v>0</v>
          </cell>
        </row>
        <row r="731">
          <cell r="A731">
            <v>7141</v>
          </cell>
          <cell r="B731" t="str">
            <v>ANGELICA HERNANDEZ (CUERAMARO)</v>
          </cell>
          <cell r="C731">
            <v>0</v>
          </cell>
          <cell r="D731" t="str">
            <v>VENUSTIANO CARRANZA #105</v>
          </cell>
          <cell r="E731" t="str">
            <v>CUERAMARO, GTO.</v>
          </cell>
          <cell r="F731">
            <v>0</v>
          </cell>
          <cell r="G731">
            <v>0</v>
          </cell>
          <cell r="H731">
            <v>0</v>
          </cell>
          <cell r="I731">
            <v>0</v>
          </cell>
          <cell r="J731" t="str">
            <v>F04</v>
          </cell>
          <cell r="K731">
            <v>0</v>
          </cell>
          <cell r="L731">
            <v>0</v>
          </cell>
          <cell r="M731">
            <v>0</v>
          </cell>
          <cell r="N731">
            <v>0</v>
          </cell>
          <cell r="O731">
            <v>0</v>
          </cell>
          <cell r="P731">
            <v>0</v>
          </cell>
          <cell r="Q731">
            <v>0</v>
          </cell>
          <cell r="R731">
            <v>0</v>
          </cell>
          <cell r="S731">
            <v>0</v>
          </cell>
          <cell r="T731">
            <v>0</v>
          </cell>
          <cell r="U731">
            <v>0</v>
          </cell>
          <cell r="V731" t="str">
            <v>CENTRO</v>
          </cell>
          <cell r="W731">
            <v>0</v>
          </cell>
          <cell r="X731">
            <v>0</v>
          </cell>
        </row>
        <row r="732">
          <cell r="A732">
            <v>7142</v>
          </cell>
          <cell r="B732" t="str">
            <v>LUPITA RICO ESPINO (SAN JUAN)</v>
          </cell>
          <cell r="C732">
            <v>0</v>
          </cell>
          <cell r="D732" t="str">
            <v>AV. JUAREZ</v>
          </cell>
          <cell r="E732" t="str">
            <v>SAN JUAN DEL RIO, QRO.</v>
          </cell>
          <cell r="F732">
            <v>0</v>
          </cell>
          <cell r="G732">
            <v>0</v>
          </cell>
          <cell r="H732">
            <v>0</v>
          </cell>
          <cell r="I732">
            <v>0</v>
          </cell>
          <cell r="J732" t="str">
            <v>L04</v>
          </cell>
          <cell r="K732">
            <v>0</v>
          </cell>
          <cell r="L732">
            <v>0</v>
          </cell>
          <cell r="M732">
            <v>0</v>
          </cell>
          <cell r="N732">
            <v>0</v>
          </cell>
          <cell r="O732">
            <v>0</v>
          </cell>
          <cell r="P732">
            <v>0</v>
          </cell>
          <cell r="Q732">
            <v>0</v>
          </cell>
          <cell r="R732">
            <v>0</v>
          </cell>
          <cell r="S732">
            <v>0</v>
          </cell>
          <cell r="T732">
            <v>0</v>
          </cell>
          <cell r="U732">
            <v>0</v>
          </cell>
          <cell r="V732" t="str">
            <v>CENTRO</v>
          </cell>
          <cell r="W732">
            <v>0</v>
          </cell>
          <cell r="X732">
            <v>0</v>
          </cell>
        </row>
        <row r="733">
          <cell r="A733">
            <v>7143</v>
          </cell>
          <cell r="B733" t="str">
            <v>SARA GUILLERMINA BARRON ROSAS (ESCOBEDO)</v>
          </cell>
          <cell r="C733">
            <v>0</v>
          </cell>
          <cell r="D733" t="str">
            <v>PLAZA PRINCIPAL #4</v>
          </cell>
          <cell r="E733" t="str">
            <v>PEDRO ESCOBEDO, QRO.</v>
          </cell>
          <cell r="F733">
            <v>0</v>
          </cell>
          <cell r="G733" t="str">
            <v>(448) 105-1924 CEL SARITA</v>
          </cell>
          <cell r="H733">
            <v>0</v>
          </cell>
          <cell r="I733">
            <v>0</v>
          </cell>
          <cell r="J733" t="str">
            <v>L04</v>
          </cell>
          <cell r="K733">
            <v>0</v>
          </cell>
          <cell r="L733">
            <v>0</v>
          </cell>
          <cell r="M733">
            <v>0</v>
          </cell>
          <cell r="N733">
            <v>0</v>
          </cell>
          <cell r="O733">
            <v>0</v>
          </cell>
          <cell r="P733">
            <v>0</v>
          </cell>
          <cell r="Q733">
            <v>0</v>
          </cell>
          <cell r="R733">
            <v>0</v>
          </cell>
          <cell r="S733">
            <v>0</v>
          </cell>
          <cell r="T733">
            <v>0</v>
          </cell>
          <cell r="U733">
            <v>0</v>
          </cell>
          <cell r="V733" t="str">
            <v>CENTRO</v>
          </cell>
          <cell r="W733">
            <v>0</v>
          </cell>
          <cell r="X733">
            <v>0</v>
          </cell>
        </row>
        <row r="734">
          <cell r="A734">
            <v>7144</v>
          </cell>
          <cell r="B734" t="str">
            <v>CINTHIA MARTINEZ (ESCOBEDO)</v>
          </cell>
          <cell r="C734">
            <v>0</v>
          </cell>
          <cell r="D734" t="str">
            <v>CUAUHTEMOC #9</v>
          </cell>
          <cell r="E734" t="str">
            <v>PEDRO ESCOBEDO, QRO.</v>
          </cell>
          <cell r="F734">
            <v>0</v>
          </cell>
          <cell r="G734" t="str">
            <v>(448) 111-8698</v>
          </cell>
          <cell r="H734">
            <v>0</v>
          </cell>
          <cell r="I734">
            <v>0</v>
          </cell>
          <cell r="J734" t="str">
            <v>L04</v>
          </cell>
          <cell r="K734">
            <v>0</v>
          </cell>
          <cell r="L734">
            <v>0</v>
          </cell>
          <cell r="M734">
            <v>0</v>
          </cell>
          <cell r="N734">
            <v>0</v>
          </cell>
          <cell r="O734">
            <v>0</v>
          </cell>
          <cell r="P734">
            <v>0</v>
          </cell>
          <cell r="Q734">
            <v>0</v>
          </cell>
          <cell r="R734">
            <v>0</v>
          </cell>
          <cell r="S734">
            <v>0</v>
          </cell>
          <cell r="T734">
            <v>0</v>
          </cell>
          <cell r="U734">
            <v>0</v>
          </cell>
          <cell r="V734" t="str">
            <v>CENTRO</v>
          </cell>
          <cell r="W734">
            <v>0</v>
          </cell>
          <cell r="X734">
            <v>0</v>
          </cell>
        </row>
        <row r="735">
          <cell r="A735">
            <v>7145</v>
          </cell>
          <cell r="B735" t="str">
            <v>CELIA RAMIREZ R. (CADEREYTA)</v>
          </cell>
          <cell r="C735">
            <v>0</v>
          </cell>
          <cell r="D735" t="str">
            <v>CONJUNTO COMERCIAL</v>
          </cell>
          <cell r="E735" t="str">
            <v>CADEREYTA, QRO.</v>
          </cell>
          <cell r="F735">
            <v>0</v>
          </cell>
          <cell r="G735" t="str">
            <v>(441) 100-3075</v>
          </cell>
          <cell r="H735">
            <v>0</v>
          </cell>
          <cell r="I735">
            <v>0</v>
          </cell>
          <cell r="J735" t="str">
            <v>J02</v>
          </cell>
          <cell r="K735">
            <v>0</v>
          </cell>
          <cell r="L735">
            <v>0</v>
          </cell>
          <cell r="M735">
            <v>0</v>
          </cell>
          <cell r="N735">
            <v>0</v>
          </cell>
          <cell r="O735">
            <v>0</v>
          </cell>
          <cell r="P735">
            <v>0</v>
          </cell>
          <cell r="Q735">
            <v>0</v>
          </cell>
          <cell r="R735">
            <v>0</v>
          </cell>
          <cell r="S735">
            <v>0</v>
          </cell>
          <cell r="T735">
            <v>0</v>
          </cell>
          <cell r="U735">
            <v>0</v>
          </cell>
          <cell r="V735" t="str">
            <v>CENTRO</v>
          </cell>
          <cell r="W735">
            <v>0</v>
          </cell>
          <cell r="X735">
            <v>0</v>
          </cell>
        </row>
        <row r="736">
          <cell r="A736">
            <v>7146</v>
          </cell>
          <cell r="B736" t="str">
            <v>ALBERTO BRAVO (NOPALA DE HIDALGO)</v>
          </cell>
          <cell r="C736">
            <v>0</v>
          </cell>
          <cell r="D736" t="str">
            <v>AV. VILLAGRAN S/N</v>
          </cell>
          <cell r="E736" t="str">
            <v>NOPALA DE VILLAGRAN, HGO.</v>
          </cell>
          <cell r="F736">
            <v>0</v>
          </cell>
          <cell r="G736" t="str">
            <v>(773) 156-0977</v>
          </cell>
          <cell r="H736">
            <v>0</v>
          </cell>
          <cell r="I736">
            <v>0</v>
          </cell>
          <cell r="J736" t="str">
            <v>F01</v>
          </cell>
          <cell r="K736">
            <v>0</v>
          </cell>
          <cell r="L736">
            <v>0</v>
          </cell>
          <cell r="M736">
            <v>0</v>
          </cell>
          <cell r="N736">
            <v>0</v>
          </cell>
          <cell r="O736">
            <v>0</v>
          </cell>
          <cell r="P736">
            <v>0</v>
          </cell>
          <cell r="Q736">
            <v>0</v>
          </cell>
          <cell r="R736">
            <v>0</v>
          </cell>
          <cell r="S736">
            <v>0</v>
          </cell>
          <cell r="T736">
            <v>0</v>
          </cell>
          <cell r="U736">
            <v>0</v>
          </cell>
          <cell r="V736" t="str">
            <v>CENTRO</v>
          </cell>
          <cell r="W736">
            <v>0</v>
          </cell>
          <cell r="X736">
            <v>0</v>
          </cell>
        </row>
        <row r="737">
          <cell r="A737">
            <v>7147</v>
          </cell>
          <cell r="B737" t="str">
            <v>PATRICIA RESENDIS (APAXCO)</v>
          </cell>
          <cell r="C737">
            <v>0</v>
          </cell>
          <cell r="D737" t="str">
            <v>ALLENDE #39</v>
          </cell>
          <cell r="E737" t="str">
            <v>APAXCO, EDO. DE MEXICO</v>
          </cell>
          <cell r="F737">
            <v>0</v>
          </cell>
          <cell r="G737">
            <v>0</v>
          </cell>
          <cell r="H737">
            <v>0</v>
          </cell>
          <cell r="I737">
            <v>0</v>
          </cell>
          <cell r="J737" t="str">
            <v>F02B</v>
          </cell>
          <cell r="K737">
            <v>0</v>
          </cell>
          <cell r="L737">
            <v>0</v>
          </cell>
          <cell r="M737">
            <v>0</v>
          </cell>
          <cell r="N737">
            <v>0</v>
          </cell>
          <cell r="O737">
            <v>0</v>
          </cell>
          <cell r="P737">
            <v>0</v>
          </cell>
          <cell r="Q737">
            <v>0</v>
          </cell>
          <cell r="R737">
            <v>0</v>
          </cell>
          <cell r="S737">
            <v>0</v>
          </cell>
          <cell r="T737">
            <v>0</v>
          </cell>
          <cell r="U737">
            <v>0</v>
          </cell>
          <cell r="V737" t="str">
            <v>CENTRO</v>
          </cell>
          <cell r="W737">
            <v>0</v>
          </cell>
          <cell r="X737">
            <v>0</v>
          </cell>
        </row>
        <row r="738">
          <cell r="A738">
            <v>7148</v>
          </cell>
          <cell r="B738" t="str">
            <v>MARTHA GONZALEZ (ACAMBAY)</v>
          </cell>
          <cell r="C738">
            <v>0</v>
          </cell>
          <cell r="D738" t="str">
            <v>5 DE MAYO #20</v>
          </cell>
          <cell r="E738" t="str">
            <v>ACAMBAY, EDO. DE MEXICO</v>
          </cell>
          <cell r="F738">
            <v>0</v>
          </cell>
          <cell r="G738" t="str">
            <v>(712) 108-6573</v>
          </cell>
          <cell r="H738">
            <v>0</v>
          </cell>
          <cell r="I738">
            <v>0</v>
          </cell>
          <cell r="J738" t="str">
            <v>L08</v>
          </cell>
          <cell r="K738">
            <v>0</v>
          </cell>
          <cell r="L738">
            <v>0</v>
          </cell>
          <cell r="M738">
            <v>0</v>
          </cell>
          <cell r="N738">
            <v>0</v>
          </cell>
          <cell r="O738">
            <v>0</v>
          </cell>
          <cell r="P738">
            <v>0</v>
          </cell>
          <cell r="Q738">
            <v>0</v>
          </cell>
          <cell r="R738">
            <v>0</v>
          </cell>
          <cell r="S738">
            <v>0</v>
          </cell>
          <cell r="T738">
            <v>0</v>
          </cell>
          <cell r="U738">
            <v>0</v>
          </cell>
          <cell r="V738" t="str">
            <v>CENTRO</v>
          </cell>
          <cell r="W738">
            <v>0</v>
          </cell>
          <cell r="X738">
            <v>0</v>
          </cell>
        </row>
        <row r="739">
          <cell r="A739">
            <v>7149</v>
          </cell>
          <cell r="B739" t="str">
            <v>ALMA DELIA RANGEL "ALEBRIJE SHOP" (SAN JUAN)</v>
          </cell>
          <cell r="C739">
            <v>0</v>
          </cell>
          <cell r="D739">
            <v>0</v>
          </cell>
          <cell r="E739" t="str">
            <v>SAN JUAN DEL RIO, QRO.</v>
          </cell>
          <cell r="F739">
            <v>0</v>
          </cell>
          <cell r="G739" t="str">
            <v>(427) 150-2594</v>
          </cell>
          <cell r="H739">
            <v>0</v>
          </cell>
          <cell r="I739">
            <v>0</v>
          </cell>
          <cell r="J739" t="str">
            <v>J01</v>
          </cell>
          <cell r="K739">
            <v>0</v>
          </cell>
          <cell r="L739">
            <v>0</v>
          </cell>
          <cell r="M739">
            <v>0</v>
          </cell>
          <cell r="N739">
            <v>0</v>
          </cell>
          <cell r="O739">
            <v>0</v>
          </cell>
          <cell r="P739">
            <v>0</v>
          </cell>
          <cell r="Q739">
            <v>0</v>
          </cell>
          <cell r="R739">
            <v>0</v>
          </cell>
          <cell r="S739">
            <v>0</v>
          </cell>
          <cell r="T739">
            <v>0</v>
          </cell>
          <cell r="U739">
            <v>0</v>
          </cell>
          <cell r="V739">
            <v>0</v>
          </cell>
          <cell r="W739">
            <v>0</v>
          </cell>
          <cell r="X739">
            <v>0</v>
          </cell>
        </row>
        <row r="740">
          <cell r="A740">
            <v>7150</v>
          </cell>
          <cell r="B740" t="str">
            <v>GILBERTO ELIZONDE OROPEZA (SAN JUAN DEL RIO)</v>
          </cell>
          <cell r="C740">
            <v>0</v>
          </cell>
          <cell r="D740" t="str">
            <v>AGUILA MAYA #101-8B</v>
          </cell>
          <cell r="E740" t="str">
            <v>SAN JUAN DEL RIO, QRO.</v>
          </cell>
          <cell r="F740">
            <v>0</v>
          </cell>
          <cell r="G740" t="str">
            <v>(427) 122-7305 / (427) 219-9105</v>
          </cell>
          <cell r="H740">
            <v>0</v>
          </cell>
          <cell r="I740">
            <v>0</v>
          </cell>
          <cell r="J740" t="str">
            <v>J01</v>
          </cell>
          <cell r="K740">
            <v>0</v>
          </cell>
          <cell r="L740">
            <v>0</v>
          </cell>
          <cell r="M740">
            <v>0</v>
          </cell>
          <cell r="N740">
            <v>0</v>
          </cell>
          <cell r="O740">
            <v>0</v>
          </cell>
          <cell r="P740">
            <v>0</v>
          </cell>
          <cell r="Q740">
            <v>0</v>
          </cell>
          <cell r="R740">
            <v>0</v>
          </cell>
          <cell r="S740">
            <v>0</v>
          </cell>
          <cell r="T740">
            <v>0</v>
          </cell>
          <cell r="U740">
            <v>0</v>
          </cell>
          <cell r="V740" t="str">
            <v>LAS AGUILAS</v>
          </cell>
          <cell r="W740">
            <v>0</v>
          </cell>
          <cell r="X740">
            <v>0</v>
          </cell>
        </row>
        <row r="741">
          <cell r="A741">
            <v>7151</v>
          </cell>
          <cell r="B741" t="str">
            <v>MIRNA MONROY (POLOTITLAN)</v>
          </cell>
          <cell r="C741">
            <v>0</v>
          </cell>
          <cell r="D741">
            <v>0</v>
          </cell>
          <cell r="E741" t="str">
            <v>POLOTITLAN, EDO. DE MEXICO</v>
          </cell>
          <cell r="F741">
            <v>0</v>
          </cell>
          <cell r="G741" t="str">
            <v>(55) 5460-4122</v>
          </cell>
          <cell r="H741">
            <v>0</v>
          </cell>
          <cell r="I741">
            <v>0</v>
          </cell>
          <cell r="J741" t="str">
            <v>F02B</v>
          </cell>
          <cell r="K741">
            <v>0</v>
          </cell>
          <cell r="L741">
            <v>0</v>
          </cell>
          <cell r="M741">
            <v>0</v>
          </cell>
          <cell r="N741">
            <v>0</v>
          </cell>
          <cell r="O741">
            <v>0</v>
          </cell>
          <cell r="P741">
            <v>0</v>
          </cell>
          <cell r="Q741">
            <v>0</v>
          </cell>
          <cell r="R741">
            <v>0</v>
          </cell>
          <cell r="S741">
            <v>0</v>
          </cell>
          <cell r="T741">
            <v>0</v>
          </cell>
          <cell r="U741">
            <v>0</v>
          </cell>
          <cell r="V741">
            <v>0</v>
          </cell>
          <cell r="W741">
            <v>0</v>
          </cell>
          <cell r="X741">
            <v>0</v>
          </cell>
        </row>
        <row r="742">
          <cell r="A742">
            <v>7152</v>
          </cell>
          <cell r="B742" t="str">
            <v>ANA LAURA CAMACHO (JILOTEPEC)</v>
          </cell>
          <cell r="C742">
            <v>0</v>
          </cell>
          <cell r="D742">
            <v>0</v>
          </cell>
          <cell r="E742" t="str">
            <v>JILOTEPEC, EDO. DE MEXICO</v>
          </cell>
          <cell r="F742">
            <v>0</v>
          </cell>
          <cell r="G742" t="str">
            <v>(761) 734-0152 LOCAL</v>
          </cell>
          <cell r="H742">
            <v>0</v>
          </cell>
          <cell r="I742">
            <v>0</v>
          </cell>
          <cell r="J742" t="str">
            <v>F02B</v>
          </cell>
          <cell r="K742">
            <v>0</v>
          </cell>
          <cell r="L742">
            <v>0</v>
          </cell>
          <cell r="M742">
            <v>0</v>
          </cell>
          <cell r="N742">
            <v>0</v>
          </cell>
          <cell r="O742">
            <v>0</v>
          </cell>
          <cell r="P742">
            <v>0</v>
          </cell>
          <cell r="Q742">
            <v>0</v>
          </cell>
          <cell r="R742">
            <v>0</v>
          </cell>
          <cell r="S742">
            <v>0</v>
          </cell>
          <cell r="T742">
            <v>0</v>
          </cell>
          <cell r="U742">
            <v>0</v>
          </cell>
          <cell r="V742">
            <v>0</v>
          </cell>
          <cell r="W742">
            <v>0</v>
          </cell>
          <cell r="X742">
            <v>0</v>
          </cell>
        </row>
        <row r="743">
          <cell r="A743">
            <v>7153</v>
          </cell>
          <cell r="B743" t="str">
            <v>AMELIA FUENTES (PROGRESO)</v>
          </cell>
          <cell r="C743">
            <v>0</v>
          </cell>
          <cell r="D743" t="str">
            <v>AV. DEL TRABAJO</v>
          </cell>
          <cell r="E743" t="str">
            <v>PROGRESO, HGO.</v>
          </cell>
          <cell r="F743">
            <v>0</v>
          </cell>
          <cell r="G743" t="str">
            <v>(773) 128-1719</v>
          </cell>
          <cell r="H743">
            <v>0</v>
          </cell>
          <cell r="I743">
            <v>0</v>
          </cell>
          <cell r="J743" t="str">
            <v>F02B</v>
          </cell>
          <cell r="K743">
            <v>0</v>
          </cell>
          <cell r="L743">
            <v>0</v>
          </cell>
          <cell r="M743">
            <v>0</v>
          </cell>
          <cell r="N743">
            <v>0</v>
          </cell>
          <cell r="O743">
            <v>0</v>
          </cell>
          <cell r="P743">
            <v>0</v>
          </cell>
          <cell r="Q743">
            <v>0</v>
          </cell>
          <cell r="R743">
            <v>0</v>
          </cell>
          <cell r="S743">
            <v>0</v>
          </cell>
          <cell r="T743">
            <v>0</v>
          </cell>
          <cell r="U743">
            <v>0</v>
          </cell>
          <cell r="V743">
            <v>0</v>
          </cell>
          <cell r="W743">
            <v>0</v>
          </cell>
          <cell r="X743">
            <v>0</v>
          </cell>
        </row>
        <row r="744">
          <cell r="A744">
            <v>7154</v>
          </cell>
          <cell r="B744" t="str">
            <v>IVAN PEREZ (TEZONTEPEC)</v>
          </cell>
          <cell r="C744">
            <v>0</v>
          </cell>
          <cell r="D744">
            <v>0</v>
          </cell>
          <cell r="E744" t="str">
            <v>TEZONTEPEC, HGO.</v>
          </cell>
          <cell r="F744">
            <v>0</v>
          </cell>
          <cell r="G744" t="str">
            <v>(773) 107-4445</v>
          </cell>
          <cell r="H744">
            <v>0</v>
          </cell>
          <cell r="I744">
            <v>0</v>
          </cell>
          <cell r="J744" t="str">
            <v>F02B</v>
          </cell>
          <cell r="K744">
            <v>0</v>
          </cell>
          <cell r="L744">
            <v>0</v>
          </cell>
          <cell r="M744">
            <v>0</v>
          </cell>
          <cell r="N744">
            <v>0</v>
          </cell>
          <cell r="O744">
            <v>0</v>
          </cell>
          <cell r="P744">
            <v>0</v>
          </cell>
          <cell r="Q744">
            <v>0</v>
          </cell>
          <cell r="R744">
            <v>0</v>
          </cell>
          <cell r="S744">
            <v>0</v>
          </cell>
          <cell r="T744">
            <v>0</v>
          </cell>
          <cell r="U744">
            <v>0</v>
          </cell>
          <cell r="V744">
            <v>0</v>
          </cell>
          <cell r="W744">
            <v>0</v>
          </cell>
          <cell r="X744">
            <v>0</v>
          </cell>
        </row>
        <row r="745">
          <cell r="A745">
            <v>7155</v>
          </cell>
          <cell r="B745" t="str">
            <v>LUZ GARCIA VELAZQUEZ (TLAXCOAPAN)</v>
          </cell>
          <cell r="C745">
            <v>0</v>
          </cell>
          <cell r="D745" t="str">
            <v>20 DE NOVIEMBRE</v>
          </cell>
          <cell r="E745" t="str">
            <v>TLAXCOAPAN, HGO.</v>
          </cell>
          <cell r="F745">
            <v>0</v>
          </cell>
          <cell r="G745" t="str">
            <v>(773) 114-5548</v>
          </cell>
          <cell r="H745">
            <v>0</v>
          </cell>
          <cell r="I745">
            <v>0</v>
          </cell>
          <cell r="J745" t="str">
            <v>F02B</v>
          </cell>
          <cell r="K745">
            <v>0</v>
          </cell>
          <cell r="L745">
            <v>0</v>
          </cell>
          <cell r="M745">
            <v>0</v>
          </cell>
          <cell r="N745">
            <v>0</v>
          </cell>
          <cell r="O745">
            <v>0</v>
          </cell>
          <cell r="P745">
            <v>0</v>
          </cell>
          <cell r="Q745">
            <v>0</v>
          </cell>
          <cell r="R745">
            <v>0</v>
          </cell>
          <cell r="S745">
            <v>0</v>
          </cell>
          <cell r="T745">
            <v>0</v>
          </cell>
          <cell r="U745">
            <v>0</v>
          </cell>
          <cell r="V745" t="str">
            <v>CENTRO</v>
          </cell>
          <cell r="W745">
            <v>0</v>
          </cell>
          <cell r="X745">
            <v>0</v>
          </cell>
        </row>
        <row r="746">
          <cell r="A746">
            <v>7156</v>
          </cell>
          <cell r="B746" t="str">
            <v>KARLA DIEGO (SILAO)</v>
          </cell>
          <cell r="C746">
            <v>0</v>
          </cell>
          <cell r="D746" t="str">
            <v>PLAZA PRINCIPAL #24</v>
          </cell>
          <cell r="E746" t="str">
            <v>SILAO, GTO.</v>
          </cell>
          <cell r="F746">
            <v>0</v>
          </cell>
          <cell r="G746">
            <v>0</v>
          </cell>
          <cell r="H746">
            <v>0</v>
          </cell>
          <cell r="I746">
            <v>0</v>
          </cell>
          <cell r="J746" t="str">
            <v>F04</v>
          </cell>
          <cell r="K746">
            <v>0</v>
          </cell>
          <cell r="L746">
            <v>0</v>
          </cell>
          <cell r="M746">
            <v>0</v>
          </cell>
          <cell r="N746">
            <v>0</v>
          </cell>
          <cell r="O746">
            <v>0</v>
          </cell>
          <cell r="P746">
            <v>0</v>
          </cell>
          <cell r="Q746">
            <v>0</v>
          </cell>
          <cell r="R746">
            <v>0</v>
          </cell>
          <cell r="S746">
            <v>0</v>
          </cell>
          <cell r="T746">
            <v>0</v>
          </cell>
          <cell r="U746">
            <v>0</v>
          </cell>
          <cell r="V746" t="str">
            <v>CENTRO</v>
          </cell>
          <cell r="W746">
            <v>0</v>
          </cell>
          <cell r="X746">
            <v>0</v>
          </cell>
        </row>
        <row r="747">
          <cell r="A747">
            <v>7157</v>
          </cell>
          <cell r="B747" t="str">
            <v>PERLA IVONNE ABASTA GARCIA (HUIXQUILUCAN)</v>
          </cell>
          <cell r="C747">
            <v>0</v>
          </cell>
          <cell r="D747" t="str">
            <v>SAN MARTIN SANTOS DEGOLLADOS #25</v>
          </cell>
          <cell r="E747" t="str">
            <v>HUIXQUILUCAN, EDO. DE MEXICO</v>
          </cell>
          <cell r="F747">
            <v>0</v>
          </cell>
          <cell r="G747" t="str">
            <v>(712) 185-8015</v>
          </cell>
          <cell r="H747">
            <v>0</v>
          </cell>
          <cell r="I747">
            <v>0</v>
          </cell>
          <cell r="J747" t="str">
            <v>L08</v>
          </cell>
          <cell r="K747">
            <v>0</v>
          </cell>
          <cell r="L747">
            <v>0</v>
          </cell>
          <cell r="M747">
            <v>0</v>
          </cell>
          <cell r="N747">
            <v>0</v>
          </cell>
          <cell r="O747">
            <v>0</v>
          </cell>
          <cell r="P747">
            <v>0</v>
          </cell>
          <cell r="Q747">
            <v>0</v>
          </cell>
          <cell r="R747">
            <v>0</v>
          </cell>
          <cell r="S747">
            <v>0</v>
          </cell>
          <cell r="T747">
            <v>0</v>
          </cell>
          <cell r="U747">
            <v>0</v>
          </cell>
          <cell r="V747" t="str">
            <v>CENTRO</v>
          </cell>
          <cell r="W747">
            <v>0</v>
          </cell>
          <cell r="X747">
            <v>0</v>
          </cell>
        </row>
        <row r="748">
          <cell r="A748">
            <v>7158</v>
          </cell>
          <cell r="B748" t="str">
            <v>GUADALUPE AGUILAR (APAXCO)</v>
          </cell>
          <cell r="C748">
            <v>0</v>
          </cell>
          <cell r="D748">
            <v>0</v>
          </cell>
          <cell r="E748" t="str">
            <v>APAXCO, EDO. DE MEXICO</v>
          </cell>
          <cell r="F748">
            <v>0</v>
          </cell>
          <cell r="G748">
            <v>0</v>
          </cell>
          <cell r="H748">
            <v>0</v>
          </cell>
          <cell r="I748">
            <v>0</v>
          </cell>
          <cell r="J748" t="str">
            <v>F02B</v>
          </cell>
          <cell r="K748">
            <v>0</v>
          </cell>
          <cell r="L748">
            <v>0</v>
          </cell>
          <cell r="M748">
            <v>0</v>
          </cell>
          <cell r="N748">
            <v>0</v>
          </cell>
          <cell r="O748">
            <v>0</v>
          </cell>
          <cell r="P748">
            <v>0</v>
          </cell>
          <cell r="Q748">
            <v>0</v>
          </cell>
          <cell r="R748">
            <v>0</v>
          </cell>
          <cell r="S748">
            <v>0</v>
          </cell>
          <cell r="T748">
            <v>0</v>
          </cell>
          <cell r="U748">
            <v>0</v>
          </cell>
          <cell r="V748">
            <v>0</v>
          </cell>
          <cell r="W748">
            <v>0</v>
          </cell>
          <cell r="X748">
            <v>0</v>
          </cell>
        </row>
        <row r="749">
          <cell r="A749">
            <v>7159</v>
          </cell>
          <cell r="B749" t="str">
            <v>LOGANDRUS (APAXCO)</v>
          </cell>
          <cell r="C749">
            <v>0</v>
          </cell>
          <cell r="D749">
            <v>0</v>
          </cell>
          <cell r="E749" t="str">
            <v>APAXCO, EDO. DE MEXICO</v>
          </cell>
          <cell r="F749">
            <v>0</v>
          </cell>
          <cell r="G749">
            <v>0</v>
          </cell>
          <cell r="H749">
            <v>0</v>
          </cell>
          <cell r="I749">
            <v>0</v>
          </cell>
          <cell r="J749" t="str">
            <v>F02B</v>
          </cell>
          <cell r="K749">
            <v>0</v>
          </cell>
          <cell r="L749">
            <v>0</v>
          </cell>
          <cell r="M749">
            <v>0</v>
          </cell>
          <cell r="N749">
            <v>0</v>
          </cell>
          <cell r="O749">
            <v>0</v>
          </cell>
          <cell r="P749">
            <v>0</v>
          </cell>
          <cell r="Q749">
            <v>0</v>
          </cell>
          <cell r="R749">
            <v>0</v>
          </cell>
          <cell r="S749">
            <v>0</v>
          </cell>
          <cell r="T749">
            <v>0</v>
          </cell>
          <cell r="U749">
            <v>0</v>
          </cell>
          <cell r="V749">
            <v>0</v>
          </cell>
          <cell r="W749">
            <v>0</v>
          </cell>
          <cell r="X749">
            <v>0</v>
          </cell>
        </row>
        <row r="750">
          <cell r="A750">
            <v>7160</v>
          </cell>
          <cell r="B750" t="str">
            <v>KARLA VIRIDIANA CONTRERAS DIAZ (TLALMINULPAN)</v>
          </cell>
          <cell r="C750">
            <v>0</v>
          </cell>
          <cell r="D750" t="str">
            <v>AV. DEL NORTE S/N</v>
          </cell>
          <cell r="E750" t="str">
            <v>TLALMINULPA, HGO.</v>
          </cell>
          <cell r="F750">
            <v>0</v>
          </cell>
          <cell r="G750">
            <v>0</v>
          </cell>
          <cell r="H750">
            <v>0</v>
          </cell>
          <cell r="I750">
            <v>0</v>
          </cell>
          <cell r="J750" t="str">
            <v>F02B</v>
          </cell>
          <cell r="K750">
            <v>0</v>
          </cell>
          <cell r="L750">
            <v>0</v>
          </cell>
          <cell r="M750">
            <v>0</v>
          </cell>
          <cell r="N750">
            <v>0</v>
          </cell>
          <cell r="O750">
            <v>0</v>
          </cell>
          <cell r="P750">
            <v>0</v>
          </cell>
          <cell r="Q750">
            <v>0</v>
          </cell>
          <cell r="R750">
            <v>0</v>
          </cell>
          <cell r="S750">
            <v>0</v>
          </cell>
          <cell r="T750">
            <v>0</v>
          </cell>
          <cell r="U750">
            <v>0</v>
          </cell>
          <cell r="V750">
            <v>0</v>
          </cell>
          <cell r="W750">
            <v>0</v>
          </cell>
          <cell r="X750">
            <v>0</v>
          </cell>
        </row>
        <row r="751">
          <cell r="A751">
            <v>7161</v>
          </cell>
          <cell r="B751" t="str">
            <v>CIBER CITY (HUICHAPAN)</v>
          </cell>
          <cell r="C751">
            <v>0</v>
          </cell>
          <cell r="D751" t="str">
            <v>JORGE ROJO LUGO #15</v>
          </cell>
          <cell r="E751" t="str">
            <v>HUICHAPAN, HGO.</v>
          </cell>
          <cell r="F751">
            <v>0</v>
          </cell>
          <cell r="G751" t="str">
            <v>(773) 131-3338</v>
          </cell>
          <cell r="H751">
            <v>0</v>
          </cell>
          <cell r="I751">
            <v>0</v>
          </cell>
          <cell r="J751" t="str">
            <v>F02</v>
          </cell>
          <cell r="K751">
            <v>0</v>
          </cell>
          <cell r="L751">
            <v>0</v>
          </cell>
          <cell r="M751">
            <v>0</v>
          </cell>
          <cell r="N751">
            <v>0</v>
          </cell>
          <cell r="O751">
            <v>0</v>
          </cell>
          <cell r="P751">
            <v>0</v>
          </cell>
          <cell r="Q751">
            <v>0</v>
          </cell>
          <cell r="R751">
            <v>0</v>
          </cell>
          <cell r="S751">
            <v>0</v>
          </cell>
          <cell r="T751">
            <v>0</v>
          </cell>
          <cell r="U751">
            <v>0</v>
          </cell>
          <cell r="V751" t="str">
            <v>CENTRO</v>
          </cell>
          <cell r="W751">
            <v>0</v>
          </cell>
          <cell r="X751">
            <v>0</v>
          </cell>
        </row>
        <row r="752">
          <cell r="A752">
            <v>7162</v>
          </cell>
          <cell r="B752" t="str">
            <v>SERGIO HERNANDEZ "EL GLOBO ROJO" (IRAPUATO)</v>
          </cell>
          <cell r="C752">
            <v>0</v>
          </cell>
          <cell r="D752" t="str">
            <v>BLVD. LAZARO CARDENAS #411-B</v>
          </cell>
          <cell r="E752" t="str">
            <v>IRAPUATO, GTO.</v>
          </cell>
          <cell r="F752">
            <v>0</v>
          </cell>
          <cell r="G752" t="str">
            <v>(462) 124-3611</v>
          </cell>
          <cell r="H752">
            <v>0</v>
          </cell>
          <cell r="I752">
            <v>0</v>
          </cell>
          <cell r="J752" t="str">
            <v>F04</v>
          </cell>
          <cell r="K752">
            <v>0</v>
          </cell>
          <cell r="L752">
            <v>0</v>
          </cell>
          <cell r="M752">
            <v>0</v>
          </cell>
          <cell r="N752">
            <v>0</v>
          </cell>
          <cell r="O752">
            <v>0</v>
          </cell>
          <cell r="P752">
            <v>0</v>
          </cell>
          <cell r="Q752">
            <v>0</v>
          </cell>
          <cell r="R752">
            <v>0</v>
          </cell>
          <cell r="S752">
            <v>0</v>
          </cell>
          <cell r="T752">
            <v>0</v>
          </cell>
          <cell r="U752">
            <v>0</v>
          </cell>
          <cell r="V752">
            <v>0</v>
          </cell>
          <cell r="W752">
            <v>0</v>
          </cell>
          <cell r="X752">
            <v>0</v>
          </cell>
        </row>
        <row r="753">
          <cell r="A753">
            <v>7163</v>
          </cell>
          <cell r="B753" t="str">
            <v>SOLEDAD SERVIN (SALAMANCA)</v>
          </cell>
          <cell r="C753">
            <v>0</v>
          </cell>
          <cell r="D753" t="str">
            <v>JUAREZ #127</v>
          </cell>
          <cell r="E753" t="str">
            <v>SALAMANCA, GTO.</v>
          </cell>
          <cell r="F753">
            <v>0</v>
          </cell>
          <cell r="G753" t="str">
            <v>(464) 134-7128</v>
          </cell>
          <cell r="H753">
            <v>0</v>
          </cell>
          <cell r="I753">
            <v>0</v>
          </cell>
          <cell r="J753" t="str">
            <v>F04</v>
          </cell>
          <cell r="K753">
            <v>0</v>
          </cell>
          <cell r="L753">
            <v>0</v>
          </cell>
          <cell r="M753">
            <v>0</v>
          </cell>
          <cell r="N753">
            <v>0</v>
          </cell>
          <cell r="O753">
            <v>0</v>
          </cell>
          <cell r="P753">
            <v>0</v>
          </cell>
          <cell r="Q753">
            <v>0</v>
          </cell>
          <cell r="R753">
            <v>0</v>
          </cell>
          <cell r="S753">
            <v>0</v>
          </cell>
          <cell r="T753">
            <v>0</v>
          </cell>
          <cell r="U753">
            <v>0</v>
          </cell>
          <cell r="V753" t="str">
            <v>CENTRO</v>
          </cell>
          <cell r="W753">
            <v>0</v>
          </cell>
          <cell r="X753">
            <v>0</v>
          </cell>
        </row>
        <row r="754">
          <cell r="A754">
            <v>7164</v>
          </cell>
          <cell r="B754" t="str">
            <v>FABIOLA LOPEZ TORRES (APAXCO)</v>
          </cell>
          <cell r="C754">
            <v>0</v>
          </cell>
          <cell r="D754" t="str">
            <v>HIDALGO #113</v>
          </cell>
          <cell r="E754" t="str">
            <v>APAXCO, EDO. DE MEXICO</v>
          </cell>
          <cell r="F754">
            <v>0</v>
          </cell>
          <cell r="G754">
            <v>0</v>
          </cell>
          <cell r="H754">
            <v>0</v>
          </cell>
          <cell r="I754">
            <v>0</v>
          </cell>
          <cell r="J754" t="str">
            <v>F02B</v>
          </cell>
          <cell r="K754">
            <v>0</v>
          </cell>
          <cell r="L754">
            <v>0</v>
          </cell>
          <cell r="M754">
            <v>0</v>
          </cell>
          <cell r="N754">
            <v>0</v>
          </cell>
          <cell r="O754">
            <v>0</v>
          </cell>
          <cell r="P754">
            <v>0</v>
          </cell>
          <cell r="Q754">
            <v>0</v>
          </cell>
          <cell r="R754">
            <v>0</v>
          </cell>
          <cell r="S754">
            <v>0</v>
          </cell>
          <cell r="T754">
            <v>0</v>
          </cell>
          <cell r="U754">
            <v>0</v>
          </cell>
          <cell r="V754" t="str">
            <v>CENTRO</v>
          </cell>
          <cell r="W754">
            <v>0</v>
          </cell>
          <cell r="X754">
            <v>0</v>
          </cell>
        </row>
        <row r="755">
          <cell r="A755">
            <v>7165</v>
          </cell>
          <cell r="B755" t="str">
            <v>PAULA CRUZ PAREDES (TEZONTEPEC)</v>
          </cell>
          <cell r="C755">
            <v>0</v>
          </cell>
          <cell r="D755" t="str">
            <v>JUAN ALDAMA</v>
          </cell>
          <cell r="E755" t="str">
            <v>TEZONTEPEC, HGO.</v>
          </cell>
          <cell r="F755">
            <v>0</v>
          </cell>
          <cell r="G755" t="str">
            <v>(773)130-8318</v>
          </cell>
          <cell r="H755">
            <v>0</v>
          </cell>
          <cell r="I755">
            <v>0</v>
          </cell>
          <cell r="J755" t="str">
            <v>F02B</v>
          </cell>
          <cell r="K755">
            <v>0</v>
          </cell>
          <cell r="L755">
            <v>0</v>
          </cell>
          <cell r="M755">
            <v>0</v>
          </cell>
          <cell r="N755">
            <v>0</v>
          </cell>
          <cell r="O755">
            <v>0</v>
          </cell>
          <cell r="P755">
            <v>0</v>
          </cell>
          <cell r="Q755">
            <v>0</v>
          </cell>
          <cell r="R755">
            <v>0</v>
          </cell>
          <cell r="S755">
            <v>0</v>
          </cell>
          <cell r="T755">
            <v>0</v>
          </cell>
          <cell r="U755">
            <v>0</v>
          </cell>
          <cell r="V755">
            <v>0</v>
          </cell>
          <cell r="W755">
            <v>0</v>
          </cell>
          <cell r="X755">
            <v>0</v>
          </cell>
        </row>
        <row r="756">
          <cell r="A756">
            <v>7166</v>
          </cell>
          <cell r="B756" t="str">
            <v>ANGELICA MORALES (AMEALCO)</v>
          </cell>
          <cell r="C756">
            <v>0</v>
          </cell>
          <cell r="D756" t="str">
            <v>ALLENDE S/N</v>
          </cell>
          <cell r="E756" t="str">
            <v>AMEALCO, QRO.</v>
          </cell>
          <cell r="F756">
            <v>0</v>
          </cell>
          <cell r="G756">
            <v>0</v>
          </cell>
          <cell r="H756">
            <v>0</v>
          </cell>
          <cell r="I756">
            <v>0</v>
          </cell>
          <cell r="J756" t="str">
            <v>L06</v>
          </cell>
          <cell r="K756">
            <v>0</v>
          </cell>
          <cell r="L756">
            <v>0</v>
          </cell>
          <cell r="M756">
            <v>0</v>
          </cell>
          <cell r="N756">
            <v>0</v>
          </cell>
          <cell r="O756">
            <v>0</v>
          </cell>
          <cell r="P756">
            <v>0</v>
          </cell>
          <cell r="Q756">
            <v>0</v>
          </cell>
          <cell r="R756">
            <v>0</v>
          </cell>
          <cell r="S756">
            <v>0</v>
          </cell>
          <cell r="T756">
            <v>0</v>
          </cell>
          <cell r="U756">
            <v>0</v>
          </cell>
          <cell r="V756" t="str">
            <v>CENTRO</v>
          </cell>
          <cell r="W756">
            <v>0</v>
          </cell>
          <cell r="X756">
            <v>0</v>
          </cell>
        </row>
        <row r="757">
          <cell r="A757">
            <v>7167</v>
          </cell>
          <cell r="B757" t="str">
            <v>BLANCA MARTINEZ (ACAMBARO)</v>
          </cell>
          <cell r="C757">
            <v>0</v>
          </cell>
          <cell r="D757" t="str">
            <v>GUERRERO #14</v>
          </cell>
          <cell r="E757" t="str">
            <v>ACAMBARO, GTO.</v>
          </cell>
          <cell r="F757">
            <v>0</v>
          </cell>
          <cell r="G757" t="str">
            <v>(417) 103-4870 ELISEO</v>
          </cell>
          <cell r="H757">
            <v>0</v>
          </cell>
          <cell r="I757">
            <v>0</v>
          </cell>
          <cell r="J757" t="str">
            <v>J06</v>
          </cell>
          <cell r="K757">
            <v>0</v>
          </cell>
          <cell r="L757">
            <v>0</v>
          </cell>
          <cell r="M757">
            <v>0</v>
          </cell>
          <cell r="N757">
            <v>0</v>
          </cell>
          <cell r="O757">
            <v>0</v>
          </cell>
          <cell r="P757">
            <v>0</v>
          </cell>
          <cell r="Q757">
            <v>0</v>
          </cell>
          <cell r="R757">
            <v>0</v>
          </cell>
          <cell r="S757">
            <v>0</v>
          </cell>
          <cell r="T757">
            <v>0</v>
          </cell>
          <cell r="U757">
            <v>0</v>
          </cell>
          <cell r="V757" t="str">
            <v>CENTRO</v>
          </cell>
          <cell r="W757">
            <v>0</v>
          </cell>
          <cell r="X757">
            <v>0</v>
          </cell>
        </row>
        <row r="758">
          <cell r="A758">
            <v>7168</v>
          </cell>
          <cell r="B758" t="str">
            <v>ARACELI PINEDA (COACALCO)</v>
          </cell>
          <cell r="C758">
            <v>0</v>
          </cell>
          <cell r="D758" t="str">
            <v>PASEO DE LAS JOYAS</v>
          </cell>
          <cell r="E758" t="str">
            <v>COACALCO, EDO. DE MEXICO</v>
          </cell>
          <cell r="F758">
            <v>0</v>
          </cell>
          <cell r="G758">
            <v>0</v>
          </cell>
          <cell r="H758">
            <v>0</v>
          </cell>
          <cell r="I758">
            <v>0</v>
          </cell>
          <cell r="J758" t="str">
            <v>F02A</v>
          </cell>
          <cell r="K758">
            <v>0</v>
          </cell>
          <cell r="L758">
            <v>0</v>
          </cell>
          <cell r="M758">
            <v>0</v>
          </cell>
          <cell r="N758">
            <v>0</v>
          </cell>
          <cell r="O758">
            <v>0</v>
          </cell>
          <cell r="P758">
            <v>0</v>
          </cell>
          <cell r="Q758">
            <v>0</v>
          </cell>
          <cell r="R758">
            <v>0</v>
          </cell>
          <cell r="S758">
            <v>0</v>
          </cell>
          <cell r="T758">
            <v>0</v>
          </cell>
          <cell r="U758">
            <v>0</v>
          </cell>
          <cell r="V758">
            <v>0</v>
          </cell>
          <cell r="W758">
            <v>0</v>
          </cell>
          <cell r="X758">
            <v>0</v>
          </cell>
        </row>
        <row r="759">
          <cell r="A759">
            <v>7169</v>
          </cell>
          <cell r="B759" t="str">
            <v>PILAR REYES AGUILAR (APAXCO)</v>
          </cell>
          <cell r="C759">
            <v>0</v>
          </cell>
          <cell r="D759">
            <v>0</v>
          </cell>
          <cell r="E759" t="str">
            <v>APAXCO, EDO. DE MEXICO</v>
          </cell>
          <cell r="F759">
            <v>0</v>
          </cell>
          <cell r="G759">
            <v>0</v>
          </cell>
          <cell r="H759">
            <v>0</v>
          </cell>
          <cell r="I759">
            <v>0</v>
          </cell>
          <cell r="J759" t="str">
            <v>F02B</v>
          </cell>
          <cell r="K759">
            <v>0</v>
          </cell>
          <cell r="L759">
            <v>0</v>
          </cell>
          <cell r="M759">
            <v>0</v>
          </cell>
          <cell r="N759">
            <v>0</v>
          </cell>
          <cell r="O759">
            <v>0</v>
          </cell>
          <cell r="P759">
            <v>0</v>
          </cell>
          <cell r="Q759">
            <v>0</v>
          </cell>
          <cell r="R759">
            <v>0</v>
          </cell>
          <cell r="S759">
            <v>0</v>
          </cell>
          <cell r="T759">
            <v>0</v>
          </cell>
          <cell r="U759">
            <v>0</v>
          </cell>
          <cell r="V759">
            <v>0</v>
          </cell>
          <cell r="W759">
            <v>0</v>
          </cell>
          <cell r="X759">
            <v>0</v>
          </cell>
        </row>
        <row r="760">
          <cell r="A760">
            <v>7170</v>
          </cell>
          <cell r="B760" t="str">
            <v>MERCEDES PEREZ SANTIAGO (ATITALAQUIA)</v>
          </cell>
          <cell r="C760">
            <v>0</v>
          </cell>
          <cell r="D760">
            <v>0</v>
          </cell>
          <cell r="E760" t="str">
            <v>ATITALAQUIA, HGO.</v>
          </cell>
          <cell r="F760">
            <v>0</v>
          </cell>
          <cell r="G760">
            <v>0</v>
          </cell>
          <cell r="H760">
            <v>0</v>
          </cell>
          <cell r="I760">
            <v>0</v>
          </cell>
          <cell r="J760" t="str">
            <v>F02B</v>
          </cell>
          <cell r="K760">
            <v>0</v>
          </cell>
          <cell r="L760">
            <v>0</v>
          </cell>
          <cell r="M760">
            <v>0</v>
          </cell>
          <cell r="N760">
            <v>0</v>
          </cell>
          <cell r="O760">
            <v>0</v>
          </cell>
          <cell r="P760">
            <v>0</v>
          </cell>
          <cell r="Q760">
            <v>0</v>
          </cell>
          <cell r="R760">
            <v>0</v>
          </cell>
          <cell r="S760">
            <v>0</v>
          </cell>
          <cell r="T760">
            <v>0</v>
          </cell>
          <cell r="U760">
            <v>0</v>
          </cell>
          <cell r="V760">
            <v>0</v>
          </cell>
          <cell r="W760">
            <v>0</v>
          </cell>
          <cell r="X760">
            <v>0</v>
          </cell>
        </row>
        <row r="761">
          <cell r="A761">
            <v>7171</v>
          </cell>
          <cell r="B761" t="str">
            <v>MARIA DE LA LUZ (TLAXCOAPAN)</v>
          </cell>
          <cell r="C761">
            <v>0</v>
          </cell>
          <cell r="D761">
            <v>0</v>
          </cell>
          <cell r="E761" t="str">
            <v>TLAXCOAPAN, HGO.</v>
          </cell>
          <cell r="F761">
            <v>0</v>
          </cell>
          <cell r="G761">
            <v>0</v>
          </cell>
          <cell r="H761">
            <v>0</v>
          </cell>
          <cell r="I761">
            <v>0</v>
          </cell>
          <cell r="J761" t="str">
            <v>F02B</v>
          </cell>
          <cell r="K761">
            <v>0</v>
          </cell>
          <cell r="L761">
            <v>0</v>
          </cell>
          <cell r="M761">
            <v>0</v>
          </cell>
          <cell r="N761">
            <v>0</v>
          </cell>
          <cell r="O761">
            <v>0</v>
          </cell>
          <cell r="P761">
            <v>0</v>
          </cell>
          <cell r="Q761">
            <v>0</v>
          </cell>
          <cell r="R761">
            <v>0</v>
          </cell>
          <cell r="S761">
            <v>0</v>
          </cell>
          <cell r="T761">
            <v>0</v>
          </cell>
          <cell r="U761">
            <v>0</v>
          </cell>
          <cell r="V761">
            <v>0</v>
          </cell>
          <cell r="W761">
            <v>0</v>
          </cell>
          <cell r="X761">
            <v>0</v>
          </cell>
        </row>
        <row r="762">
          <cell r="A762">
            <v>7172</v>
          </cell>
          <cell r="B762" t="str">
            <v>EDITH MIRANDA (IZCALLI)</v>
          </cell>
          <cell r="C762">
            <v>0</v>
          </cell>
          <cell r="D762" t="str">
            <v>PLAZA CAPRICORNIO LOCAL 5</v>
          </cell>
          <cell r="E762" t="str">
            <v>C. IZCALLI, ESTADO DE MEXICO</v>
          </cell>
          <cell r="F762">
            <v>0</v>
          </cell>
          <cell r="G762">
            <v>0</v>
          </cell>
          <cell r="H762">
            <v>0</v>
          </cell>
          <cell r="I762">
            <v>0</v>
          </cell>
          <cell r="J762" t="str">
            <v>F02A</v>
          </cell>
          <cell r="K762">
            <v>0</v>
          </cell>
          <cell r="L762">
            <v>0</v>
          </cell>
          <cell r="M762">
            <v>0</v>
          </cell>
          <cell r="N762">
            <v>0</v>
          </cell>
          <cell r="O762">
            <v>0</v>
          </cell>
          <cell r="P762">
            <v>0</v>
          </cell>
          <cell r="Q762">
            <v>0</v>
          </cell>
          <cell r="R762">
            <v>0</v>
          </cell>
          <cell r="S762">
            <v>0</v>
          </cell>
          <cell r="T762">
            <v>0</v>
          </cell>
          <cell r="U762">
            <v>0</v>
          </cell>
          <cell r="V762">
            <v>0</v>
          </cell>
          <cell r="W762">
            <v>0</v>
          </cell>
          <cell r="X762">
            <v>0</v>
          </cell>
        </row>
        <row r="763">
          <cell r="A763">
            <v>7173</v>
          </cell>
          <cell r="B763" t="str">
            <v>MAYRA NAVA (COACALCO)</v>
          </cell>
          <cell r="C763">
            <v>0</v>
          </cell>
          <cell r="D763" t="str">
            <v>VILLA DE LAS FLORES</v>
          </cell>
          <cell r="E763" t="str">
            <v>COACALCO, EDO. DE MEXICO</v>
          </cell>
          <cell r="F763">
            <v>0</v>
          </cell>
          <cell r="G763">
            <v>0</v>
          </cell>
          <cell r="H763">
            <v>0</v>
          </cell>
          <cell r="I763">
            <v>0</v>
          </cell>
          <cell r="J763" t="str">
            <v>F02A</v>
          </cell>
          <cell r="K763">
            <v>0</v>
          </cell>
          <cell r="L763">
            <v>0</v>
          </cell>
          <cell r="M763">
            <v>0</v>
          </cell>
          <cell r="N763">
            <v>0</v>
          </cell>
          <cell r="O763">
            <v>0</v>
          </cell>
          <cell r="P763">
            <v>0</v>
          </cell>
          <cell r="Q763">
            <v>0</v>
          </cell>
          <cell r="R763">
            <v>0</v>
          </cell>
          <cell r="S763">
            <v>0</v>
          </cell>
          <cell r="T763">
            <v>0</v>
          </cell>
          <cell r="U763">
            <v>0</v>
          </cell>
          <cell r="V763">
            <v>0</v>
          </cell>
          <cell r="W763">
            <v>0</v>
          </cell>
          <cell r="X763">
            <v>0</v>
          </cell>
        </row>
        <row r="764">
          <cell r="A764">
            <v>7174</v>
          </cell>
          <cell r="B764" t="str">
            <v>LAURA ORTEGA (ZARZAPARRILLAS)</v>
          </cell>
          <cell r="C764">
            <v>0</v>
          </cell>
          <cell r="D764" t="str">
            <v>ZARZAPARRILLAS</v>
          </cell>
          <cell r="E764" t="str">
            <v>COACALCO, EDO. DE MEXICO</v>
          </cell>
          <cell r="F764">
            <v>0</v>
          </cell>
          <cell r="G764">
            <v>0</v>
          </cell>
          <cell r="H764">
            <v>0</v>
          </cell>
          <cell r="I764">
            <v>0</v>
          </cell>
          <cell r="J764" t="str">
            <v>F02A</v>
          </cell>
          <cell r="K764">
            <v>0</v>
          </cell>
          <cell r="L764">
            <v>0</v>
          </cell>
          <cell r="M764">
            <v>0</v>
          </cell>
          <cell r="N764">
            <v>0</v>
          </cell>
          <cell r="O764">
            <v>0</v>
          </cell>
          <cell r="P764">
            <v>0</v>
          </cell>
          <cell r="Q764">
            <v>0</v>
          </cell>
          <cell r="R764">
            <v>0</v>
          </cell>
          <cell r="S764">
            <v>0</v>
          </cell>
          <cell r="T764">
            <v>0</v>
          </cell>
          <cell r="U764">
            <v>0</v>
          </cell>
          <cell r="V764">
            <v>0</v>
          </cell>
          <cell r="W764">
            <v>0</v>
          </cell>
          <cell r="X764">
            <v>0</v>
          </cell>
        </row>
        <row r="765">
          <cell r="A765">
            <v>7175</v>
          </cell>
          <cell r="B765" t="str">
            <v>ANDREA MEZA BARRANCO (TLAHUELILPAN)</v>
          </cell>
          <cell r="C765">
            <v>0</v>
          </cell>
          <cell r="D765" t="str">
            <v>AV. REFORMA #53</v>
          </cell>
          <cell r="E765" t="str">
            <v>TLAHUELILPAN, HGO.</v>
          </cell>
          <cell r="F765">
            <v>0</v>
          </cell>
          <cell r="G765">
            <v>0</v>
          </cell>
          <cell r="H765">
            <v>0</v>
          </cell>
          <cell r="I765">
            <v>0</v>
          </cell>
          <cell r="J765" t="str">
            <v>F02B</v>
          </cell>
          <cell r="K765">
            <v>0</v>
          </cell>
          <cell r="L765">
            <v>0</v>
          </cell>
          <cell r="M765">
            <v>0</v>
          </cell>
          <cell r="N765">
            <v>0</v>
          </cell>
          <cell r="O765">
            <v>0</v>
          </cell>
          <cell r="P765">
            <v>0</v>
          </cell>
          <cell r="Q765">
            <v>0</v>
          </cell>
          <cell r="R765">
            <v>0</v>
          </cell>
          <cell r="S765">
            <v>0</v>
          </cell>
          <cell r="T765">
            <v>0</v>
          </cell>
          <cell r="U765">
            <v>0</v>
          </cell>
          <cell r="V765" t="str">
            <v>CENTRO</v>
          </cell>
          <cell r="W765">
            <v>0</v>
          </cell>
          <cell r="X765">
            <v>0</v>
          </cell>
        </row>
        <row r="766">
          <cell r="A766">
            <v>7176</v>
          </cell>
          <cell r="B766" t="str">
            <v>CARLOS JIMENEZ (TLAXCOAPAN)</v>
          </cell>
          <cell r="C766">
            <v>0</v>
          </cell>
          <cell r="D766" t="str">
            <v>AV. 16 DE SEPTIEMBRE #1</v>
          </cell>
          <cell r="E766" t="str">
            <v>TLAXCOAPAN, HGO.</v>
          </cell>
          <cell r="F766">
            <v>0</v>
          </cell>
          <cell r="G766">
            <v>0</v>
          </cell>
          <cell r="H766">
            <v>0</v>
          </cell>
          <cell r="I766">
            <v>0</v>
          </cell>
          <cell r="J766" t="str">
            <v>F02B</v>
          </cell>
          <cell r="K766">
            <v>0</v>
          </cell>
          <cell r="L766">
            <v>0</v>
          </cell>
          <cell r="M766">
            <v>0</v>
          </cell>
          <cell r="N766">
            <v>0</v>
          </cell>
          <cell r="O766">
            <v>0</v>
          </cell>
          <cell r="P766">
            <v>0</v>
          </cell>
          <cell r="Q766">
            <v>0</v>
          </cell>
          <cell r="R766">
            <v>0</v>
          </cell>
          <cell r="S766">
            <v>0</v>
          </cell>
          <cell r="T766">
            <v>0</v>
          </cell>
          <cell r="U766">
            <v>0</v>
          </cell>
          <cell r="V766" t="str">
            <v>CENTRO</v>
          </cell>
          <cell r="W766">
            <v>0</v>
          </cell>
          <cell r="X766">
            <v>0</v>
          </cell>
        </row>
        <row r="767">
          <cell r="A767">
            <v>7177</v>
          </cell>
          <cell r="B767" t="str">
            <v>RODRIGO LEDESMA (SILAO)</v>
          </cell>
          <cell r="C767">
            <v>0</v>
          </cell>
          <cell r="D767" t="str">
            <v>ALVARO OBREGON #64</v>
          </cell>
          <cell r="E767" t="str">
            <v>SILAO, GTO.</v>
          </cell>
          <cell r="F767">
            <v>0</v>
          </cell>
          <cell r="G767">
            <v>0</v>
          </cell>
          <cell r="H767">
            <v>0</v>
          </cell>
          <cell r="I767">
            <v>0</v>
          </cell>
          <cell r="J767" t="str">
            <v>F04</v>
          </cell>
          <cell r="K767">
            <v>0</v>
          </cell>
          <cell r="L767">
            <v>0</v>
          </cell>
          <cell r="M767">
            <v>0</v>
          </cell>
          <cell r="N767">
            <v>0</v>
          </cell>
          <cell r="O767">
            <v>0</v>
          </cell>
          <cell r="P767">
            <v>0</v>
          </cell>
          <cell r="Q767">
            <v>0</v>
          </cell>
          <cell r="R767">
            <v>0</v>
          </cell>
          <cell r="S767">
            <v>0</v>
          </cell>
          <cell r="T767">
            <v>0</v>
          </cell>
          <cell r="U767">
            <v>0</v>
          </cell>
          <cell r="V767" t="str">
            <v>CENTRO</v>
          </cell>
          <cell r="W767">
            <v>0</v>
          </cell>
          <cell r="X767">
            <v>0</v>
          </cell>
        </row>
        <row r="768">
          <cell r="A768">
            <v>7178</v>
          </cell>
          <cell r="B768" t="str">
            <v>ALMA LUCIA RANGEL (SALAMANCA)</v>
          </cell>
          <cell r="C768">
            <v>0</v>
          </cell>
          <cell r="D768" t="str">
            <v>HIDALGO #108</v>
          </cell>
          <cell r="E768" t="str">
            <v>SALAMANCA, GTO.</v>
          </cell>
          <cell r="F768">
            <v>0</v>
          </cell>
          <cell r="G768" t="str">
            <v>(464) 579-2882</v>
          </cell>
          <cell r="H768">
            <v>0</v>
          </cell>
          <cell r="I768">
            <v>0</v>
          </cell>
          <cell r="J768" t="str">
            <v>F04</v>
          </cell>
          <cell r="K768">
            <v>0</v>
          </cell>
          <cell r="L768">
            <v>0</v>
          </cell>
          <cell r="M768">
            <v>0</v>
          </cell>
          <cell r="N768">
            <v>0</v>
          </cell>
          <cell r="O768">
            <v>0</v>
          </cell>
          <cell r="P768">
            <v>0</v>
          </cell>
          <cell r="Q768">
            <v>0</v>
          </cell>
          <cell r="R768">
            <v>0</v>
          </cell>
          <cell r="S768">
            <v>0</v>
          </cell>
          <cell r="T768">
            <v>0</v>
          </cell>
          <cell r="U768">
            <v>0</v>
          </cell>
          <cell r="V768" t="str">
            <v>CENTRO</v>
          </cell>
          <cell r="W768">
            <v>0</v>
          </cell>
          <cell r="X768">
            <v>0</v>
          </cell>
        </row>
        <row r="769">
          <cell r="A769">
            <v>7179</v>
          </cell>
          <cell r="B769" t="str">
            <v>MARICELA CHAVEZ SOSA (TEQUISQUIAPAN)</v>
          </cell>
          <cell r="C769">
            <v>0</v>
          </cell>
          <cell r="D769" t="str">
            <v>PLAZA ARCOS #3</v>
          </cell>
          <cell r="E769" t="str">
            <v>TEQUISQUIAPAN, QRO.</v>
          </cell>
          <cell r="F769">
            <v>0</v>
          </cell>
          <cell r="G769" t="str">
            <v>(55) 2077-6312</v>
          </cell>
          <cell r="H769">
            <v>0</v>
          </cell>
          <cell r="I769">
            <v>0</v>
          </cell>
          <cell r="J769" t="str">
            <v>T02</v>
          </cell>
          <cell r="K769">
            <v>0</v>
          </cell>
          <cell r="L769">
            <v>0</v>
          </cell>
          <cell r="M769">
            <v>0</v>
          </cell>
          <cell r="N769">
            <v>0</v>
          </cell>
          <cell r="O769">
            <v>0</v>
          </cell>
          <cell r="P769">
            <v>0</v>
          </cell>
          <cell r="Q769">
            <v>0</v>
          </cell>
          <cell r="R769">
            <v>0</v>
          </cell>
          <cell r="S769">
            <v>0</v>
          </cell>
          <cell r="T769">
            <v>0</v>
          </cell>
          <cell r="U769">
            <v>0</v>
          </cell>
          <cell r="V769" t="str">
            <v>CENTRO</v>
          </cell>
          <cell r="W769">
            <v>0</v>
          </cell>
          <cell r="X769">
            <v>0</v>
          </cell>
        </row>
        <row r="770">
          <cell r="A770">
            <v>7180</v>
          </cell>
          <cell r="B770" t="str">
            <v>REGALOS D'ARI</v>
          </cell>
          <cell r="C770">
            <v>0</v>
          </cell>
          <cell r="D770" t="str">
            <v>MORELOS #3</v>
          </cell>
          <cell r="E770" t="str">
            <v>SAN JUAN DEL RIO, QRO.</v>
          </cell>
          <cell r="F770" t="str">
            <v>76800</v>
          </cell>
          <cell r="G770" t="str">
            <v>(427) 127-5004</v>
          </cell>
          <cell r="H770">
            <v>0</v>
          </cell>
          <cell r="I770">
            <v>0</v>
          </cell>
          <cell r="J770" t="str">
            <v>T01</v>
          </cell>
          <cell r="K770">
            <v>0</v>
          </cell>
          <cell r="L770">
            <v>0</v>
          </cell>
          <cell r="M770">
            <v>0</v>
          </cell>
          <cell r="N770">
            <v>0</v>
          </cell>
          <cell r="O770">
            <v>0</v>
          </cell>
          <cell r="P770">
            <v>0</v>
          </cell>
          <cell r="Q770">
            <v>0</v>
          </cell>
          <cell r="R770">
            <v>0</v>
          </cell>
          <cell r="S770">
            <v>0</v>
          </cell>
          <cell r="T770">
            <v>0</v>
          </cell>
          <cell r="U770">
            <v>0</v>
          </cell>
          <cell r="V770" t="str">
            <v>CENTRO</v>
          </cell>
          <cell r="W770">
            <v>0</v>
          </cell>
          <cell r="X770">
            <v>0</v>
          </cell>
        </row>
        <row r="771">
          <cell r="A771">
            <v>7181</v>
          </cell>
          <cell r="B771" t="str">
            <v>KARLA TREJO UGALDE (TEQUIS)</v>
          </cell>
          <cell r="C771">
            <v>0</v>
          </cell>
          <cell r="D771" t="str">
            <v>PLAZA PEDREGAL</v>
          </cell>
          <cell r="E771" t="str">
            <v>TEQUISQUIAPAN, QRO.</v>
          </cell>
          <cell r="F771">
            <v>0</v>
          </cell>
          <cell r="G771" t="str">
            <v>(414) 273-4124 / (442) 266-1433</v>
          </cell>
          <cell r="H771">
            <v>0</v>
          </cell>
          <cell r="I771">
            <v>0</v>
          </cell>
          <cell r="J771" t="str">
            <v>T02</v>
          </cell>
          <cell r="K771">
            <v>0</v>
          </cell>
          <cell r="L771">
            <v>0</v>
          </cell>
          <cell r="M771">
            <v>0</v>
          </cell>
          <cell r="N771">
            <v>0</v>
          </cell>
          <cell r="O771">
            <v>0</v>
          </cell>
          <cell r="P771">
            <v>0</v>
          </cell>
          <cell r="Q771">
            <v>0</v>
          </cell>
          <cell r="R771">
            <v>0</v>
          </cell>
          <cell r="S771">
            <v>0</v>
          </cell>
          <cell r="T771">
            <v>0</v>
          </cell>
          <cell r="U771">
            <v>0</v>
          </cell>
          <cell r="V771" t="str">
            <v>CENTRO</v>
          </cell>
          <cell r="W771">
            <v>0</v>
          </cell>
          <cell r="X771">
            <v>0</v>
          </cell>
        </row>
        <row r="772">
          <cell r="A772">
            <v>7182</v>
          </cell>
          <cell r="B772" t="str">
            <v>LILIANA MARTINEZ (ATLACOMULCO)</v>
          </cell>
          <cell r="C772">
            <v>0</v>
          </cell>
          <cell r="D772">
            <v>0</v>
          </cell>
          <cell r="E772" t="str">
            <v>ATLACOMULCO, EDO. DE MEXICO</v>
          </cell>
          <cell r="F772">
            <v>0</v>
          </cell>
          <cell r="G772" t="str">
            <v>(712) 135-5378</v>
          </cell>
          <cell r="H772">
            <v>0</v>
          </cell>
          <cell r="I772">
            <v>0</v>
          </cell>
          <cell r="J772" t="str">
            <v>L08</v>
          </cell>
          <cell r="K772">
            <v>0</v>
          </cell>
          <cell r="L772">
            <v>0</v>
          </cell>
          <cell r="M772">
            <v>0</v>
          </cell>
          <cell r="N772">
            <v>0</v>
          </cell>
          <cell r="O772">
            <v>0</v>
          </cell>
          <cell r="P772">
            <v>0</v>
          </cell>
          <cell r="Q772">
            <v>0</v>
          </cell>
          <cell r="R772">
            <v>0</v>
          </cell>
          <cell r="S772">
            <v>0</v>
          </cell>
          <cell r="T772">
            <v>0</v>
          </cell>
          <cell r="U772">
            <v>0</v>
          </cell>
          <cell r="V772">
            <v>0</v>
          </cell>
          <cell r="W772">
            <v>0</v>
          </cell>
          <cell r="X772">
            <v>0</v>
          </cell>
        </row>
        <row r="773">
          <cell r="A773">
            <v>7183</v>
          </cell>
          <cell r="B773" t="str">
            <v>KAZANA TIENDA DE REGALOS (E. MONTES)</v>
          </cell>
          <cell r="C773">
            <v>0</v>
          </cell>
          <cell r="D773" t="str">
            <v>AV. PRINCIPAL</v>
          </cell>
          <cell r="E773" t="str">
            <v>E. MONTES, QRO.</v>
          </cell>
          <cell r="F773">
            <v>0</v>
          </cell>
          <cell r="G773">
            <v>0</v>
          </cell>
          <cell r="H773">
            <v>0</v>
          </cell>
          <cell r="I773">
            <v>0</v>
          </cell>
          <cell r="J773" t="str">
            <v>J02</v>
          </cell>
          <cell r="K773">
            <v>0</v>
          </cell>
          <cell r="L773">
            <v>0</v>
          </cell>
          <cell r="M773">
            <v>0</v>
          </cell>
          <cell r="N773">
            <v>0</v>
          </cell>
          <cell r="O773">
            <v>0</v>
          </cell>
          <cell r="P773">
            <v>0</v>
          </cell>
          <cell r="Q773">
            <v>0</v>
          </cell>
          <cell r="R773">
            <v>0</v>
          </cell>
          <cell r="S773">
            <v>0</v>
          </cell>
          <cell r="T773">
            <v>0</v>
          </cell>
          <cell r="U773">
            <v>0</v>
          </cell>
          <cell r="V773">
            <v>0</v>
          </cell>
          <cell r="W773">
            <v>0</v>
          </cell>
          <cell r="X773">
            <v>0</v>
          </cell>
        </row>
        <row r="774">
          <cell r="A774">
            <v>7184</v>
          </cell>
          <cell r="B774" t="str">
            <v>GUSTAVO MEJIA (CADEREYTA)</v>
          </cell>
          <cell r="C774">
            <v>0</v>
          </cell>
          <cell r="D774" t="str">
            <v>FCO. I. MADERO #17</v>
          </cell>
          <cell r="E774" t="str">
            <v>CADEREYTA, QRO.</v>
          </cell>
          <cell r="F774">
            <v>0</v>
          </cell>
          <cell r="G774" t="str">
            <v>(442) 281-3466</v>
          </cell>
          <cell r="H774">
            <v>0</v>
          </cell>
          <cell r="I774">
            <v>0</v>
          </cell>
          <cell r="J774" t="str">
            <v>J02</v>
          </cell>
          <cell r="K774">
            <v>0</v>
          </cell>
          <cell r="L774">
            <v>0</v>
          </cell>
          <cell r="M774">
            <v>0</v>
          </cell>
          <cell r="N774">
            <v>0</v>
          </cell>
          <cell r="O774">
            <v>0</v>
          </cell>
          <cell r="P774">
            <v>0</v>
          </cell>
          <cell r="Q774">
            <v>0</v>
          </cell>
          <cell r="R774">
            <v>0</v>
          </cell>
          <cell r="S774">
            <v>0</v>
          </cell>
          <cell r="T774">
            <v>0</v>
          </cell>
          <cell r="U774">
            <v>0</v>
          </cell>
          <cell r="V774" t="str">
            <v>CENTRO</v>
          </cell>
          <cell r="W774">
            <v>0</v>
          </cell>
          <cell r="X774">
            <v>0</v>
          </cell>
        </row>
        <row r="775">
          <cell r="A775">
            <v>7185</v>
          </cell>
          <cell r="B775" t="str">
            <v>"LA PAPE" ANGELINA MORALES (AMEALCO)</v>
          </cell>
          <cell r="C775">
            <v>0</v>
          </cell>
          <cell r="D775" t="str">
            <v>CENTENARIO S/N</v>
          </cell>
          <cell r="E775" t="str">
            <v>AMEALCO, QRO.</v>
          </cell>
          <cell r="F775" t="str">
            <v>76850</v>
          </cell>
          <cell r="G775" t="str">
            <v>(448) 169-7213</v>
          </cell>
          <cell r="H775">
            <v>0</v>
          </cell>
          <cell r="I775">
            <v>0</v>
          </cell>
          <cell r="J775" t="str">
            <v>L06</v>
          </cell>
          <cell r="K775">
            <v>0</v>
          </cell>
          <cell r="L775">
            <v>0</v>
          </cell>
          <cell r="M775">
            <v>0</v>
          </cell>
          <cell r="N775">
            <v>0</v>
          </cell>
          <cell r="O775">
            <v>0</v>
          </cell>
          <cell r="P775">
            <v>0</v>
          </cell>
          <cell r="Q775">
            <v>0</v>
          </cell>
          <cell r="R775">
            <v>0</v>
          </cell>
          <cell r="S775">
            <v>0</v>
          </cell>
          <cell r="T775">
            <v>0</v>
          </cell>
          <cell r="U775">
            <v>0</v>
          </cell>
          <cell r="V775">
            <v>0</v>
          </cell>
          <cell r="W775">
            <v>0</v>
          </cell>
          <cell r="X775">
            <v>0</v>
          </cell>
        </row>
        <row r="776">
          <cell r="A776">
            <v>7186</v>
          </cell>
          <cell r="B776" t="str">
            <v>BENJAMIN CARDENAS (A. EL GRANDE)</v>
          </cell>
          <cell r="C776">
            <v>0</v>
          </cell>
          <cell r="D776">
            <v>0</v>
          </cell>
          <cell r="E776" t="str">
            <v>APASEO EL GRANDE, GTO.</v>
          </cell>
          <cell r="F776">
            <v>0</v>
          </cell>
          <cell r="G776">
            <v>0</v>
          </cell>
          <cell r="H776">
            <v>0</v>
          </cell>
          <cell r="I776">
            <v>0</v>
          </cell>
          <cell r="J776" t="str">
            <v>F04</v>
          </cell>
          <cell r="K776">
            <v>0</v>
          </cell>
          <cell r="L776">
            <v>0</v>
          </cell>
          <cell r="M776">
            <v>0</v>
          </cell>
          <cell r="N776">
            <v>0</v>
          </cell>
          <cell r="O776">
            <v>0</v>
          </cell>
          <cell r="P776">
            <v>0</v>
          </cell>
          <cell r="Q776">
            <v>0</v>
          </cell>
          <cell r="R776">
            <v>0</v>
          </cell>
          <cell r="S776">
            <v>0</v>
          </cell>
          <cell r="T776">
            <v>0</v>
          </cell>
          <cell r="U776">
            <v>0</v>
          </cell>
          <cell r="V776">
            <v>0</v>
          </cell>
          <cell r="W776">
            <v>0</v>
          </cell>
          <cell r="X776">
            <v>0</v>
          </cell>
        </row>
        <row r="777">
          <cell r="A777">
            <v>7187</v>
          </cell>
          <cell r="B777" t="str">
            <v>ALMENDRA VALADEZ (SIALO)</v>
          </cell>
          <cell r="C777">
            <v>0</v>
          </cell>
          <cell r="D777" t="str">
            <v>COSTA RICA #5</v>
          </cell>
          <cell r="E777" t="str">
            <v>SILAO, GTO.</v>
          </cell>
          <cell r="F777">
            <v>0</v>
          </cell>
          <cell r="G777">
            <v>0</v>
          </cell>
          <cell r="H777">
            <v>0</v>
          </cell>
          <cell r="I777">
            <v>0</v>
          </cell>
          <cell r="J777" t="str">
            <v>F04</v>
          </cell>
          <cell r="K777">
            <v>0</v>
          </cell>
          <cell r="L777">
            <v>0</v>
          </cell>
          <cell r="M777">
            <v>0</v>
          </cell>
          <cell r="N777">
            <v>0</v>
          </cell>
          <cell r="O777">
            <v>0</v>
          </cell>
          <cell r="P777">
            <v>0</v>
          </cell>
          <cell r="Q777">
            <v>0</v>
          </cell>
          <cell r="R777">
            <v>0</v>
          </cell>
          <cell r="S777">
            <v>0</v>
          </cell>
          <cell r="T777">
            <v>0</v>
          </cell>
          <cell r="U777">
            <v>0</v>
          </cell>
          <cell r="V777" t="str">
            <v>VIA II</v>
          </cell>
          <cell r="W777">
            <v>0</v>
          </cell>
          <cell r="X777">
            <v>0</v>
          </cell>
        </row>
        <row r="778">
          <cell r="A778">
            <v>7188</v>
          </cell>
          <cell r="B778" t="str">
            <v>ESTHER NIETO NIETO (LA TRINIDAD)</v>
          </cell>
          <cell r="C778">
            <v>0</v>
          </cell>
          <cell r="D778" t="str">
            <v>5 DE FEBRERO #19</v>
          </cell>
          <cell r="E778" t="str">
            <v>LA TRINIDAD, QRO.</v>
          </cell>
          <cell r="F778">
            <v>0</v>
          </cell>
          <cell r="G778" t="str">
            <v>(414) 104-5725</v>
          </cell>
          <cell r="H778">
            <v>0</v>
          </cell>
          <cell r="I778">
            <v>0</v>
          </cell>
          <cell r="J778" t="str">
            <v>J02</v>
          </cell>
          <cell r="K778">
            <v>0</v>
          </cell>
          <cell r="L778">
            <v>0</v>
          </cell>
          <cell r="M778">
            <v>0</v>
          </cell>
          <cell r="N778">
            <v>0</v>
          </cell>
          <cell r="O778">
            <v>0</v>
          </cell>
          <cell r="P778">
            <v>0</v>
          </cell>
          <cell r="Q778">
            <v>0</v>
          </cell>
          <cell r="R778">
            <v>0</v>
          </cell>
          <cell r="S778">
            <v>0</v>
          </cell>
          <cell r="T778">
            <v>0</v>
          </cell>
          <cell r="U778">
            <v>0</v>
          </cell>
          <cell r="V778">
            <v>0</v>
          </cell>
          <cell r="W778">
            <v>0</v>
          </cell>
          <cell r="X778">
            <v>0</v>
          </cell>
        </row>
        <row r="779">
          <cell r="A779">
            <v>7189</v>
          </cell>
          <cell r="B779" t="str">
            <v>ISABELA (LA TRINIDAD)</v>
          </cell>
          <cell r="C779">
            <v>0</v>
          </cell>
          <cell r="D779" t="str">
            <v>21 DE MARZO ESQ. 5 DE FEBRERO</v>
          </cell>
          <cell r="E779" t="str">
            <v>LA TRINIDAD, QRO.</v>
          </cell>
          <cell r="F779">
            <v>0</v>
          </cell>
          <cell r="G779" t="str">
            <v>(414) 226-6253</v>
          </cell>
          <cell r="H779">
            <v>0</v>
          </cell>
          <cell r="I779">
            <v>0</v>
          </cell>
          <cell r="J779" t="str">
            <v>J02</v>
          </cell>
          <cell r="K779">
            <v>0</v>
          </cell>
          <cell r="L779">
            <v>0</v>
          </cell>
          <cell r="M779">
            <v>0</v>
          </cell>
          <cell r="N779">
            <v>0</v>
          </cell>
          <cell r="O779">
            <v>0</v>
          </cell>
          <cell r="P779">
            <v>0</v>
          </cell>
          <cell r="Q779">
            <v>0</v>
          </cell>
          <cell r="R779">
            <v>0</v>
          </cell>
          <cell r="S779">
            <v>0</v>
          </cell>
          <cell r="T779">
            <v>0</v>
          </cell>
          <cell r="U779">
            <v>0</v>
          </cell>
          <cell r="V779">
            <v>0</v>
          </cell>
          <cell r="W779">
            <v>0</v>
          </cell>
          <cell r="X779">
            <v>0</v>
          </cell>
        </row>
        <row r="780">
          <cell r="A780">
            <v>7190</v>
          </cell>
          <cell r="B780" t="str">
            <v>IRENE VILLAGOMEZ (TEQUIS)</v>
          </cell>
          <cell r="C780">
            <v>0</v>
          </cell>
          <cell r="D780" t="str">
            <v xml:space="preserve">CARR. E. MONTES #5 LOC. C               </v>
          </cell>
          <cell r="E780" t="str">
            <v xml:space="preserve">TEQUISQUIAPAN, QRO.           </v>
          </cell>
          <cell r="F780">
            <v>0</v>
          </cell>
          <cell r="G780" t="str">
            <v>(414) 280-3159</v>
          </cell>
          <cell r="H780">
            <v>0</v>
          </cell>
          <cell r="I780">
            <v>0</v>
          </cell>
          <cell r="J780" t="str">
            <v>F02</v>
          </cell>
          <cell r="K780">
            <v>0</v>
          </cell>
          <cell r="L780">
            <v>0</v>
          </cell>
          <cell r="M780">
            <v>0</v>
          </cell>
          <cell r="N780">
            <v>0</v>
          </cell>
          <cell r="O780">
            <v>0</v>
          </cell>
          <cell r="P780">
            <v>0</v>
          </cell>
          <cell r="Q780">
            <v>0</v>
          </cell>
          <cell r="R780">
            <v>0</v>
          </cell>
          <cell r="S780">
            <v>0</v>
          </cell>
          <cell r="T780">
            <v>0</v>
          </cell>
          <cell r="U780">
            <v>0</v>
          </cell>
          <cell r="V780" t="str">
            <v xml:space="preserve">LOPEZ MATEOS        </v>
          </cell>
          <cell r="W780">
            <v>0</v>
          </cell>
          <cell r="X780">
            <v>0</v>
          </cell>
        </row>
        <row r="781">
          <cell r="A781">
            <v>7191</v>
          </cell>
          <cell r="B781" t="str">
            <v>ELIZABETH "PAPELERIA" (JERECUARO)</v>
          </cell>
          <cell r="C781">
            <v>0</v>
          </cell>
          <cell r="D781" t="str">
            <v>CALZ. JUAREZ #02</v>
          </cell>
          <cell r="E781" t="str">
            <v>JERECUARO, GTO.</v>
          </cell>
          <cell r="F781">
            <v>0</v>
          </cell>
          <cell r="G781">
            <v>0</v>
          </cell>
          <cell r="H781">
            <v>0</v>
          </cell>
          <cell r="I781">
            <v>0</v>
          </cell>
          <cell r="J781" t="str">
            <v>J06</v>
          </cell>
          <cell r="K781">
            <v>0</v>
          </cell>
          <cell r="L781">
            <v>0</v>
          </cell>
          <cell r="M781">
            <v>0</v>
          </cell>
          <cell r="N781">
            <v>0</v>
          </cell>
          <cell r="O781">
            <v>0</v>
          </cell>
          <cell r="P781">
            <v>0</v>
          </cell>
          <cell r="Q781">
            <v>0</v>
          </cell>
          <cell r="R781">
            <v>0</v>
          </cell>
          <cell r="S781">
            <v>0</v>
          </cell>
          <cell r="T781">
            <v>0</v>
          </cell>
          <cell r="U781">
            <v>0</v>
          </cell>
          <cell r="V781" t="str">
            <v>CENTRO</v>
          </cell>
          <cell r="W781">
            <v>0</v>
          </cell>
          <cell r="X781">
            <v>0</v>
          </cell>
        </row>
        <row r="782">
          <cell r="A782">
            <v>7192</v>
          </cell>
          <cell r="B782" t="str">
            <v>NORA NELLY FUENTES (TEQUISQUIAPAN)</v>
          </cell>
          <cell r="C782">
            <v>0</v>
          </cell>
          <cell r="D782" t="str">
            <v>BELISARIO DOMINGUEZ #52</v>
          </cell>
          <cell r="E782" t="str">
            <v>TEQUISQUIAPAN, QRO.</v>
          </cell>
          <cell r="F782">
            <v>0</v>
          </cell>
          <cell r="G782" t="str">
            <v>(414) 104-1987</v>
          </cell>
          <cell r="H782">
            <v>0</v>
          </cell>
          <cell r="I782">
            <v>0</v>
          </cell>
          <cell r="J782" t="str">
            <v>J02</v>
          </cell>
          <cell r="K782">
            <v>0</v>
          </cell>
          <cell r="L782">
            <v>0</v>
          </cell>
          <cell r="M782">
            <v>0</v>
          </cell>
          <cell r="N782">
            <v>0</v>
          </cell>
          <cell r="O782">
            <v>0</v>
          </cell>
          <cell r="P782">
            <v>0</v>
          </cell>
          <cell r="Q782">
            <v>0</v>
          </cell>
          <cell r="R782">
            <v>0</v>
          </cell>
          <cell r="S782">
            <v>0</v>
          </cell>
          <cell r="T782">
            <v>0</v>
          </cell>
          <cell r="U782">
            <v>0</v>
          </cell>
          <cell r="V782">
            <v>0</v>
          </cell>
          <cell r="W782">
            <v>0</v>
          </cell>
          <cell r="X782">
            <v>0</v>
          </cell>
        </row>
        <row r="783">
          <cell r="A783">
            <v>7193</v>
          </cell>
          <cell r="B783" t="str">
            <v>ALICIA ZUÑIGA TORRES (MIXQUIAHUALA)</v>
          </cell>
          <cell r="C783">
            <v>0</v>
          </cell>
          <cell r="D783" t="str">
            <v>PLAZA CAISTI LUCIA #18</v>
          </cell>
          <cell r="E783" t="str">
            <v>MIXQUIAHUALA, HGO.</v>
          </cell>
          <cell r="F783">
            <v>0</v>
          </cell>
          <cell r="G783" t="str">
            <v>(772) 121-0217</v>
          </cell>
          <cell r="H783">
            <v>0</v>
          </cell>
          <cell r="I783">
            <v>0</v>
          </cell>
          <cell r="J783" t="str">
            <v>F02</v>
          </cell>
          <cell r="K783">
            <v>0</v>
          </cell>
          <cell r="L783">
            <v>0</v>
          </cell>
          <cell r="M783">
            <v>0</v>
          </cell>
          <cell r="N783">
            <v>0</v>
          </cell>
          <cell r="O783">
            <v>0</v>
          </cell>
          <cell r="P783">
            <v>0</v>
          </cell>
          <cell r="Q783">
            <v>0</v>
          </cell>
          <cell r="R783">
            <v>0</v>
          </cell>
          <cell r="S783">
            <v>0</v>
          </cell>
          <cell r="T783">
            <v>0</v>
          </cell>
          <cell r="U783">
            <v>0</v>
          </cell>
          <cell r="V783">
            <v>0</v>
          </cell>
          <cell r="W783">
            <v>0</v>
          </cell>
          <cell r="X783">
            <v>0</v>
          </cell>
        </row>
        <row r="784">
          <cell r="A784">
            <v>7194</v>
          </cell>
          <cell r="B784" t="str">
            <v>NAYELI GARCIA (COACALCO)</v>
          </cell>
          <cell r="C784">
            <v>0</v>
          </cell>
          <cell r="D784">
            <v>0</v>
          </cell>
          <cell r="E784" t="str">
            <v>COACALCO, EDO. DE MEXICO</v>
          </cell>
          <cell r="F784">
            <v>0</v>
          </cell>
          <cell r="G784">
            <v>0</v>
          </cell>
          <cell r="H784">
            <v>0</v>
          </cell>
          <cell r="I784">
            <v>0</v>
          </cell>
          <cell r="J784" t="str">
            <v>F02</v>
          </cell>
          <cell r="K784">
            <v>0</v>
          </cell>
          <cell r="L784">
            <v>0</v>
          </cell>
          <cell r="M784">
            <v>0</v>
          </cell>
          <cell r="N784">
            <v>0</v>
          </cell>
          <cell r="O784">
            <v>0</v>
          </cell>
          <cell r="P784">
            <v>0</v>
          </cell>
          <cell r="Q784">
            <v>0</v>
          </cell>
          <cell r="R784">
            <v>0</v>
          </cell>
          <cell r="S784">
            <v>0</v>
          </cell>
          <cell r="T784">
            <v>0</v>
          </cell>
          <cell r="U784">
            <v>0</v>
          </cell>
          <cell r="V784" t="str">
            <v>VILLA DE LAS FLORES</v>
          </cell>
          <cell r="W784">
            <v>0</v>
          </cell>
          <cell r="X784">
            <v>0</v>
          </cell>
        </row>
        <row r="785">
          <cell r="A785">
            <v>7195</v>
          </cell>
          <cell r="B785" t="str">
            <v>PAOLA ALEJANDRA FLORES FUENTES (QUERETARO)</v>
          </cell>
          <cell r="C785">
            <v>0</v>
          </cell>
          <cell r="D785" t="str">
            <v>PROL. ZARAGOZA #1063 LOCAL 4</v>
          </cell>
          <cell r="E785" t="str">
            <v>QUERETARO, QRO.</v>
          </cell>
          <cell r="F785">
            <v>0</v>
          </cell>
          <cell r="G785">
            <v>0</v>
          </cell>
          <cell r="H785">
            <v>0</v>
          </cell>
          <cell r="I785">
            <v>0</v>
          </cell>
          <cell r="J785" t="str">
            <v>L04</v>
          </cell>
          <cell r="K785">
            <v>0</v>
          </cell>
          <cell r="L785">
            <v>0</v>
          </cell>
          <cell r="M785">
            <v>0</v>
          </cell>
          <cell r="N785">
            <v>0</v>
          </cell>
          <cell r="O785">
            <v>0</v>
          </cell>
          <cell r="P785">
            <v>0</v>
          </cell>
          <cell r="Q785">
            <v>0</v>
          </cell>
          <cell r="R785">
            <v>0</v>
          </cell>
          <cell r="S785">
            <v>0</v>
          </cell>
          <cell r="T785">
            <v>0</v>
          </cell>
          <cell r="U785">
            <v>0</v>
          </cell>
          <cell r="V785" t="str">
            <v>SAN JOSE DE LOS OLVERA</v>
          </cell>
          <cell r="W785">
            <v>0</v>
          </cell>
          <cell r="X785">
            <v>0</v>
          </cell>
        </row>
        <row r="786">
          <cell r="A786">
            <v>7196</v>
          </cell>
          <cell r="B786" t="str">
            <v>KARLA MARTINEZ (COACALCO)</v>
          </cell>
          <cell r="C786">
            <v>0</v>
          </cell>
          <cell r="D786" t="str">
            <v>AV. 16 DE SEPTIEMBRE</v>
          </cell>
          <cell r="E786" t="str">
            <v>COACALCO, EDO. DE MEXICO</v>
          </cell>
          <cell r="F786">
            <v>0</v>
          </cell>
          <cell r="G786">
            <v>0</v>
          </cell>
          <cell r="H786">
            <v>0</v>
          </cell>
          <cell r="I786">
            <v>0</v>
          </cell>
          <cell r="J786" t="str">
            <v>F02A</v>
          </cell>
          <cell r="K786">
            <v>0</v>
          </cell>
          <cell r="L786">
            <v>0</v>
          </cell>
          <cell r="M786">
            <v>0</v>
          </cell>
          <cell r="N786">
            <v>0</v>
          </cell>
          <cell r="O786">
            <v>0</v>
          </cell>
          <cell r="P786">
            <v>0</v>
          </cell>
          <cell r="Q786">
            <v>0</v>
          </cell>
          <cell r="R786">
            <v>0</v>
          </cell>
          <cell r="S786">
            <v>0</v>
          </cell>
          <cell r="T786">
            <v>0</v>
          </cell>
          <cell r="U786">
            <v>0</v>
          </cell>
          <cell r="V786">
            <v>0</v>
          </cell>
          <cell r="W786">
            <v>0</v>
          </cell>
          <cell r="X786">
            <v>0</v>
          </cell>
        </row>
        <row r="787">
          <cell r="A787">
            <v>7197</v>
          </cell>
          <cell r="B787" t="str">
            <v>ALMA RANGEL ESPAÑA (VILLA)</v>
          </cell>
          <cell r="C787">
            <v>0</v>
          </cell>
          <cell r="D787" t="str">
            <v>HARIMOSAS S/N LOCAL 5</v>
          </cell>
          <cell r="E787" t="str">
            <v>COACALCO, EDO. DE MEXICO</v>
          </cell>
          <cell r="F787">
            <v>0</v>
          </cell>
          <cell r="G787" t="str">
            <v>(55) 5437-6392</v>
          </cell>
          <cell r="H787">
            <v>0</v>
          </cell>
          <cell r="I787">
            <v>0</v>
          </cell>
          <cell r="J787" t="str">
            <v>F02A</v>
          </cell>
          <cell r="K787">
            <v>0</v>
          </cell>
          <cell r="L787">
            <v>0</v>
          </cell>
          <cell r="M787">
            <v>0</v>
          </cell>
          <cell r="N787">
            <v>0</v>
          </cell>
          <cell r="O787">
            <v>0</v>
          </cell>
          <cell r="P787">
            <v>0</v>
          </cell>
          <cell r="Q787">
            <v>0</v>
          </cell>
          <cell r="R787">
            <v>0</v>
          </cell>
          <cell r="S787">
            <v>0</v>
          </cell>
          <cell r="T787">
            <v>0</v>
          </cell>
          <cell r="U787">
            <v>0</v>
          </cell>
          <cell r="V787" t="str">
            <v>VILLA DE LAS FLORES</v>
          </cell>
          <cell r="W787">
            <v>0</v>
          </cell>
          <cell r="X787">
            <v>0</v>
          </cell>
        </row>
        <row r="788">
          <cell r="A788">
            <v>7198</v>
          </cell>
          <cell r="B788" t="str">
            <v>MALENA LUNA (TULTEPEC)</v>
          </cell>
          <cell r="C788">
            <v>0</v>
          </cell>
          <cell r="D788">
            <v>0</v>
          </cell>
          <cell r="E788" t="str">
            <v>TULTEPEC, EDO. DE MEXICO</v>
          </cell>
          <cell r="F788">
            <v>0</v>
          </cell>
          <cell r="G788">
            <v>0</v>
          </cell>
          <cell r="H788">
            <v>0</v>
          </cell>
          <cell r="I788">
            <v>0</v>
          </cell>
          <cell r="J788" t="str">
            <v>F02A</v>
          </cell>
          <cell r="K788">
            <v>0</v>
          </cell>
          <cell r="L788">
            <v>0</v>
          </cell>
          <cell r="M788">
            <v>0</v>
          </cell>
          <cell r="N788">
            <v>0</v>
          </cell>
          <cell r="O788">
            <v>0</v>
          </cell>
          <cell r="P788">
            <v>0</v>
          </cell>
          <cell r="Q788">
            <v>0</v>
          </cell>
          <cell r="R788">
            <v>0</v>
          </cell>
          <cell r="S788">
            <v>0</v>
          </cell>
          <cell r="T788">
            <v>0</v>
          </cell>
          <cell r="U788">
            <v>0</v>
          </cell>
          <cell r="V788">
            <v>0</v>
          </cell>
          <cell r="W788">
            <v>0</v>
          </cell>
          <cell r="X788">
            <v>0</v>
          </cell>
        </row>
        <row r="789">
          <cell r="A789">
            <v>7199</v>
          </cell>
          <cell r="B789" t="str">
            <v>ALEJANDRO BAUTISTA (TULTEPEC)</v>
          </cell>
          <cell r="C789">
            <v>0</v>
          </cell>
          <cell r="D789" t="str">
            <v>DIAGONAL JAGUEY #8</v>
          </cell>
          <cell r="E789" t="str">
            <v>TULTEPEC, EDO. DE MEXICO</v>
          </cell>
          <cell r="F789">
            <v>0</v>
          </cell>
          <cell r="G789">
            <v>0</v>
          </cell>
          <cell r="H789">
            <v>0</v>
          </cell>
          <cell r="I789">
            <v>0</v>
          </cell>
          <cell r="J789" t="str">
            <v>F02A</v>
          </cell>
          <cell r="K789">
            <v>0</v>
          </cell>
          <cell r="L789">
            <v>0</v>
          </cell>
          <cell r="M789">
            <v>0</v>
          </cell>
          <cell r="N789">
            <v>0</v>
          </cell>
          <cell r="O789">
            <v>0</v>
          </cell>
          <cell r="P789">
            <v>0</v>
          </cell>
          <cell r="Q789">
            <v>0</v>
          </cell>
          <cell r="R789">
            <v>0</v>
          </cell>
          <cell r="S789">
            <v>0</v>
          </cell>
          <cell r="T789">
            <v>0</v>
          </cell>
          <cell r="U789">
            <v>0</v>
          </cell>
          <cell r="V789">
            <v>0</v>
          </cell>
          <cell r="W789">
            <v>0</v>
          </cell>
          <cell r="X789">
            <v>0</v>
          </cell>
        </row>
        <row r="790">
          <cell r="A790">
            <v>7200</v>
          </cell>
          <cell r="B790" t="str">
            <v>NEIRY CORTES SANCHEZ (A. EL GRANDE)</v>
          </cell>
          <cell r="C790">
            <v>0</v>
          </cell>
          <cell r="D790" t="str">
            <v>PIPILA #115</v>
          </cell>
          <cell r="E790" t="str">
            <v>APASEO EL GRANDE, GTO.</v>
          </cell>
          <cell r="F790">
            <v>0</v>
          </cell>
          <cell r="G790" t="str">
            <v>(413) 115-7909</v>
          </cell>
          <cell r="H790">
            <v>0</v>
          </cell>
          <cell r="I790">
            <v>0</v>
          </cell>
          <cell r="J790" t="str">
            <v>F04</v>
          </cell>
          <cell r="K790">
            <v>0</v>
          </cell>
          <cell r="L790">
            <v>0</v>
          </cell>
          <cell r="M790">
            <v>0</v>
          </cell>
          <cell r="N790">
            <v>0</v>
          </cell>
          <cell r="O790">
            <v>0</v>
          </cell>
          <cell r="P790">
            <v>0</v>
          </cell>
          <cell r="Q790">
            <v>0</v>
          </cell>
          <cell r="R790">
            <v>0</v>
          </cell>
          <cell r="S790">
            <v>0</v>
          </cell>
          <cell r="T790">
            <v>0</v>
          </cell>
          <cell r="U790">
            <v>0</v>
          </cell>
          <cell r="V790" t="str">
            <v>CENTRO</v>
          </cell>
          <cell r="W790">
            <v>0</v>
          </cell>
          <cell r="X790">
            <v>0</v>
          </cell>
        </row>
        <row r="791">
          <cell r="A791">
            <v>7201</v>
          </cell>
          <cell r="B791" t="str">
            <v>GLADIS HERMAMDEZ GARCIA (ATITALAQUIA)</v>
          </cell>
          <cell r="C791">
            <v>0</v>
          </cell>
          <cell r="D791" t="str">
            <v>ESQ. DEL MAGUEY Y EL CORDONAL</v>
          </cell>
          <cell r="E791" t="str">
            <v>ATITALAQUIA, HGO.</v>
          </cell>
          <cell r="F791">
            <v>0</v>
          </cell>
          <cell r="G791" t="str">
            <v>(773) 115-7986</v>
          </cell>
          <cell r="H791">
            <v>0</v>
          </cell>
          <cell r="I791">
            <v>0</v>
          </cell>
          <cell r="J791" t="str">
            <v>F02</v>
          </cell>
          <cell r="K791">
            <v>0</v>
          </cell>
          <cell r="L791">
            <v>0</v>
          </cell>
          <cell r="M791">
            <v>0</v>
          </cell>
          <cell r="N791">
            <v>0</v>
          </cell>
          <cell r="O791">
            <v>0</v>
          </cell>
          <cell r="P791">
            <v>0</v>
          </cell>
          <cell r="Q791">
            <v>0</v>
          </cell>
          <cell r="R791">
            <v>0</v>
          </cell>
          <cell r="S791">
            <v>0</v>
          </cell>
          <cell r="T791">
            <v>0</v>
          </cell>
          <cell r="U791">
            <v>0</v>
          </cell>
          <cell r="V791" t="str">
            <v>CENTRO</v>
          </cell>
          <cell r="W791">
            <v>0</v>
          </cell>
          <cell r="X791">
            <v>0</v>
          </cell>
        </row>
        <row r="792">
          <cell r="A792">
            <v>7202</v>
          </cell>
          <cell r="B792" t="str">
            <v>ANA CARMEN MANCILLA (PEDRO ESCOBEDO)</v>
          </cell>
          <cell r="C792">
            <v>0</v>
          </cell>
          <cell r="D792" t="str">
            <v>CUAUHTEMOC #45</v>
          </cell>
          <cell r="E792" t="str">
            <v>PEDRO ESCOBEDO, QRO.</v>
          </cell>
          <cell r="F792">
            <v>0</v>
          </cell>
          <cell r="G792" t="str">
            <v>(442) 487-8718</v>
          </cell>
          <cell r="H792">
            <v>0</v>
          </cell>
          <cell r="I792">
            <v>0</v>
          </cell>
          <cell r="J792" t="str">
            <v>L04</v>
          </cell>
          <cell r="K792">
            <v>0</v>
          </cell>
          <cell r="L792">
            <v>0</v>
          </cell>
          <cell r="M792">
            <v>0</v>
          </cell>
          <cell r="N792">
            <v>0</v>
          </cell>
          <cell r="O792">
            <v>0</v>
          </cell>
          <cell r="P792">
            <v>0</v>
          </cell>
          <cell r="Q792">
            <v>0</v>
          </cell>
          <cell r="R792">
            <v>0</v>
          </cell>
          <cell r="S792">
            <v>0</v>
          </cell>
          <cell r="T792">
            <v>0</v>
          </cell>
          <cell r="U792">
            <v>0</v>
          </cell>
          <cell r="V792" t="str">
            <v>CENTRO</v>
          </cell>
          <cell r="W792">
            <v>0</v>
          </cell>
          <cell r="X792">
            <v>0</v>
          </cell>
        </row>
        <row r="793">
          <cell r="A793">
            <v>7203</v>
          </cell>
          <cell r="B793" t="str">
            <v>JULIO LICEO MONROY (A. EL GRANDE)</v>
          </cell>
          <cell r="C793">
            <v>0</v>
          </cell>
          <cell r="D793" t="str">
            <v>GUADALUPE VICTORIA #209</v>
          </cell>
          <cell r="E793" t="str">
            <v>APASEO EL GRANDE, GTO.</v>
          </cell>
          <cell r="F793">
            <v>0</v>
          </cell>
          <cell r="G793" t="str">
            <v>(413) 129-4214</v>
          </cell>
          <cell r="H793">
            <v>0</v>
          </cell>
          <cell r="I793">
            <v>0</v>
          </cell>
          <cell r="J793" t="str">
            <v>F04</v>
          </cell>
          <cell r="K793">
            <v>0</v>
          </cell>
          <cell r="L793">
            <v>0</v>
          </cell>
          <cell r="M793">
            <v>0</v>
          </cell>
          <cell r="N793">
            <v>0</v>
          </cell>
          <cell r="O793">
            <v>0</v>
          </cell>
          <cell r="P793">
            <v>0</v>
          </cell>
          <cell r="Q793">
            <v>0</v>
          </cell>
          <cell r="R793">
            <v>0</v>
          </cell>
          <cell r="S793">
            <v>0</v>
          </cell>
          <cell r="T793">
            <v>0</v>
          </cell>
          <cell r="U793">
            <v>0</v>
          </cell>
          <cell r="V793" t="str">
            <v>CENTRO</v>
          </cell>
          <cell r="W793">
            <v>0</v>
          </cell>
          <cell r="X793">
            <v>0</v>
          </cell>
        </row>
        <row r="794">
          <cell r="A794">
            <v>7204</v>
          </cell>
          <cell r="B794" t="str">
            <v>LUIS GARCIA MIRANDA (SILAO)</v>
          </cell>
          <cell r="C794">
            <v>0</v>
          </cell>
          <cell r="D794" t="str">
            <v>16 DE SEPTIEMBRE #77</v>
          </cell>
          <cell r="E794" t="str">
            <v>SILAO, GTO.</v>
          </cell>
          <cell r="F794">
            <v>0</v>
          </cell>
          <cell r="G794" t="str">
            <v>(472) 121-240</v>
          </cell>
          <cell r="H794">
            <v>0</v>
          </cell>
          <cell r="I794">
            <v>0</v>
          </cell>
          <cell r="J794" t="str">
            <v>F04</v>
          </cell>
          <cell r="K794">
            <v>0</v>
          </cell>
          <cell r="L794">
            <v>0</v>
          </cell>
          <cell r="M794">
            <v>0</v>
          </cell>
          <cell r="N794">
            <v>0</v>
          </cell>
          <cell r="O794">
            <v>0</v>
          </cell>
          <cell r="P794">
            <v>0</v>
          </cell>
          <cell r="Q794">
            <v>0</v>
          </cell>
          <cell r="R794">
            <v>0</v>
          </cell>
          <cell r="S794">
            <v>0</v>
          </cell>
          <cell r="T794">
            <v>0</v>
          </cell>
          <cell r="U794">
            <v>0</v>
          </cell>
          <cell r="V794" t="str">
            <v>CENTRO</v>
          </cell>
          <cell r="W794">
            <v>0</v>
          </cell>
          <cell r="X794">
            <v>0</v>
          </cell>
        </row>
        <row r="795">
          <cell r="A795">
            <v>7205</v>
          </cell>
          <cell r="B795" t="str">
            <v>LUCIA RAMIREZ TORRES (TLALMINULPAN)</v>
          </cell>
          <cell r="C795">
            <v>0</v>
          </cell>
          <cell r="D795" t="str">
            <v>AV. DEL NORTE S/N</v>
          </cell>
          <cell r="E795" t="str">
            <v>TLALMINULPA, HGO.</v>
          </cell>
          <cell r="F795">
            <v>0</v>
          </cell>
          <cell r="G795" t="str">
            <v>(773) 113-6804</v>
          </cell>
          <cell r="H795">
            <v>0</v>
          </cell>
          <cell r="I795">
            <v>0</v>
          </cell>
          <cell r="J795" t="str">
            <v>F02</v>
          </cell>
          <cell r="K795">
            <v>0</v>
          </cell>
          <cell r="L795">
            <v>0</v>
          </cell>
          <cell r="M795">
            <v>0</v>
          </cell>
          <cell r="N795">
            <v>0</v>
          </cell>
          <cell r="O795">
            <v>0</v>
          </cell>
          <cell r="P795">
            <v>0</v>
          </cell>
          <cell r="Q795">
            <v>0</v>
          </cell>
          <cell r="R795">
            <v>0</v>
          </cell>
          <cell r="S795">
            <v>0</v>
          </cell>
          <cell r="T795">
            <v>0</v>
          </cell>
          <cell r="U795">
            <v>0</v>
          </cell>
          <cell r="V795">
            <v>0</v>
          </cell>
          <cell r="W795">
            <v>0</v>
          </cell>
          <cell r="X795">
            <v>0</v>
          </cell>
        </row>
        <row r="796">
          <cell r="A796">
            <v>7206</v>
          </cell>
          <cell r="B796" t="str">
            <v>BEATRIZ JOAQUIN (IXMIQUILPAN)</v>
          </cell>
          <cell r="C796">
            <v>0</v>
          </cell>
          <cell r="D796" t="str">
            <v>MERCADO LOCAL.184</v>
          </cell>
          <cell r="E796" t="str">
            <v>IXMIQUILPAN, HGO.</v>
          </cell>
          <cell r="F796">
            <v>0</v>
          </cell>
          <cell r="G796" t="str">
            <v>(772) 137-5329</v>
          </cell>
          <cell r="H796">
            <v>0</v>
          </cell>
          <cell r="I796">
            <v>0</v>
          </cell>
          <cell r="J796" t="str">
            <v>F02</v>
          </cell>
          <cell r="K796">
            <v>0</v>
          </cell>
          <cell r="L796">
            <v>0</v>
          </cell>
          <cell r="M796">
            <v>0</v>
          </cell>
          <cell r="N796">
            <v>0</v>
          </cell>
          <cell r="O796">
            <v>0</v>
          </cell>
          <cell r="P796">
            <v>0</v>
          </cell>
          <cell r="Q796">
            <v>0</v>
          </cell>
          <cell r="R796">
            <v>0</v>
          </cell>
          <cell r="S796">
            <v>0</v>
          </cell>
          <cell r="T796">
            <v>0</v>
          </cell>
          <cell r="U796">
            <v>0</v>
          </cell>
          <cell r="V796">
            <v>0</v>
          </cell>
          <cell r="W796">
            <v>0</v>
          </cell>
          <cell r="X796">
            <v>0</v>
          </cell>
        </row>
        <row r="797">
          <cell r="A797">
            <v>7207</v>
          </cell>
          <cell r="B797" t="str">
            <v>MARIA DE LA LUZ RAMIREZ (CADEREYTA)</v>
          </cell>
          <cell r="C797">
            <v>0</v>
          </cell>
          <cell r="D797" t="str">
            <v>FCO. I. MADERO #37</v>
          </cell>
          <cell r="E797" t="str">
            <v>CADEREYTA, QRO.</v>
          </cell>
          <cell r="F797">
            <v>0</v>
          </cell>
          <cell r="G797" t="str">
            <v>(441) 100-9589</v>
          </cell>
          <cell r="H797">
            <v>0</v>
          </cell>
          <cell r="I797">
            <v>0</v>
          </cell>
          <cell r="J797" t="str">
            <v>J02</v>
          </cell>
          <cell r="K797">
            <v>0</v>
          </cell>
          <cell r="L797">
            <v>0</v>
          </cell>
          <cell r="M797">
            <v>0</v>
          </cell>
          <cell r="N797">
            <v>0</v>
          </cell>
          <cell r="O797">
            <v>0</v>
          </cell>
          <cell r="P797">
            <v>0</v>
          </cell>
          <cell r="Q797">
            <v>0</v>
          </cell>
          <cell r="R797">
            <v>0</v>
          </cell>
          <cell r="S797">
            <v>0</v>
          </cell>
          <cell r="T797">
            <v>0</v>
          </cell>
          <cell r="U797">
            <v>0</v>
          </cell>
          <cell r="V797" t="str">
            <v>CENTRO</v>
          </cell>
          <cell r="W797">
            <v>0</v>
          </cell>
          <cell r="X797">
            <v>0</v>
          </cell>
        </row>
        <row r="798">
          <cell r="A798">
            <v>7208</v>
          </cell>
          <cell r="B798" t="str">
            <v>ERICK OSORNIO (SILAO)</v>
          </cell>
          <cell r="C798">
            <v>0</v>
          </cell>
          <cell r="D798">
            <v>0</v>
          </cell>
          <cell r="E798" t="str">
            <v>-</v>
          </cell>
          <cell r="F798">
            <v>0</v>
          </cell>
          <cell r="G798">
            <v>0</v>
          </cell>
          <cell r="H798">
            <v>0</v>
          </cell>
          <cell r="I798">
            <v>0</v>
          </cell>
          <cell r="J798">
            <v>0</v>
          </cell>
          <cell r="K798">
            <v>0</v>
          </cell>
          <cell r="L798">
            <v>0</v>
          </cell>
          <cell r="M798">
            <v>0</v>
          </cell>
          <cell r="N798">
            <v>0</v>
          </cell>
          <cell r="O798">
            <v>0</v>
          </cell>
          <cell r="P798">
            <v>0</v>
          </cell>
          <cell r="Q798">
            <v>0</v>
          </cell>
          <cell r="R798">
            <v>0</v>
          </cell>
          <cell r="S798">
            <v>0</v>
          </cell>
          <cell r="T798">
            <v>0</v>
          </cell>
          <cell r="U798">
            <v>0</v>
          </cell>
          <cell r="V798">
            <v>0</v>
          </cell>
          <cell r="W798">
            <v>0</v>
          </cell>
          <cell r="X798">
            <v>0</v>
          </cell>
        </row>
        <row r="799">
          <cell r="A799">
            <v>7209</v>
          </cell>
          <cell r="B799" t="str">
            <v>VIRGINIA CRUZ (SAN JUAN)</v>
          </cell>
          <cell r="C799">
            <v>0</v>
          </cell>
          <cell r="D799">
            <v>0</v>
          </cell>
          <cell r="E799" t="str">
            <v>-</v>
          </cell>
          <cell r="F799">
            <v>0</v>
          </cell>
          <cell r="G799">
            <v>0</v>
          </cell>
          <cell r="H799">
            <v>0</v>
          </cell>
          <cell r="I799">
            <v>0</v>
          </cell>
          <cell r="J799">
            <v>0</v>
          </cell>
          <cell r="K799">
            <v>0</v>
          </cell>
          <cell r="L799">
            <v>0</v>
          </cell>
          <cell r="M799">
            <v>0</v>
          </cell>
          <cell r="N799">
            <v>0</v>
          </cell>
          <cell r="O799">
            <v>0</v>
          </cell>
          <cell r="P799">
            <v>0</v>
          </cell>
          <cell r="Q799">
            <v>0</v>
          </cell>
          <cell r="R799">
            <v>0</v>
          </cell>
          <cell r="S799">
            <v>0</v>
          </cell>
          <cell r="T799">
            <v>0</v>
          </cell>
          <cell r="U799">
            <v>0</v>
          </cell>
          <cell r="V799">
            <v>0</v>
          </cell>
          <cell r="W799">
            <v>0</v>
          </cell>
          <cell r="X799">
            <v>0</v>
          </cell>
        </row>
        <row r="800">
          <cell r="A800">
            <v>7210</v>
          </cell>
          <cell r="B800" t="str">
            <v>OLIVIA RESENDIZ ARTEAGA (TEQUIS)</v>
          </cell>
          <cell r="C800">
            <v>0</v>
          </cell>
          <cell r="D800" t="str">
            <v>SOMBRERETE</v>
          </cell>
          <cell r="E800" t="str">
            <v>TEQUISQUIAPAN, QRO.</v>
          </cell>
          <cell r="F800">
            <v>0</v>
          </cell>
          <cell r="G800" t="str">
            <v>(414) 226-3685</v>
          </cell>
          <cell r="H800">
            <v>0</v>
          </cell>
          <cell r="I800">
            <v>0</v>
          </cell>
          <cell r="J800" t="str">
            <v>J02</v>
          </cell>
          <cell r="K800">
            <v>0</v>
          </cell>
          <cell r="L800">
            <v>0</v>
          </cell>
          <cell r="M800">
            <v>0</v>
          </cell>
          <cell r="N800">
            <v>0</v>
          </cell>
          <cell r="O800">
            <v>0</v>
          </cell>
          <cell r="P800">
            <v>0</v>
          </cell>
          <cell r="Q800">
            <v>0</v>
          </cell>
          <cell r="R800">
            <v>0</v>
          </cell>
          <cell r="S800">
            <v>0</v>
          </cell>
          <cell r="T800">
            <v>0</v>
          </cell>
          <cell r="U800">
            <v>0</v>
          </cell>
          <cell r="V800">
            <v>0</v>
          </cell>
          <cell r="W800">
            <v>0</v>
          </cell>
          <cell r="X800">
            <v>0</v>
          </cell>
        </row>
        <row r="801">
          <cell r="A801">
            <v>7211</v>
          </cell>
          <cell r="B801" t="str">
            <v>ROSALIA GRANADOS CRUZ (SAN JUAN)</v>
          </cell>
          <cell r="C801">
            <v>0</v>
          </cell>
          <cell r="D801" t="str">
            <v>ALVARO OBREGON #3</v>
          </cell>
          <cell r="E801" t="str">
            <v>SAN JUAN DEL RIO, QRO.</v>
          </cell>
          <cell r="F801">
            <v>0</v>
          </cell>
          <cell r="G801" t="str">
            <v>(427) 103-7258</v>
          </cell>
          <cell r="H801">
            <v>0</v>
          </cell>
          <cell r="I801">
            <v>0</v>
          </cell>
          <cell r="J801">
            <v>0</v>
          </cell>
          <cell r="K801">
            <v>0</v>
          </cell>
          <cell r="L801">
            <v>0</v>
          </cell>
          <cell r="M801">
            <v>0</v>
          </cell>
          <cell r="N801">
            <v>0</v>
          </cell>
          <cell r="O801">
            <v>0</v>
          </cell>
          <cell r="P801">
            <v>0</v>
          </cell>
          <cell r="Q801">
            <v>0</v>
          </cell>
          <cell r="R801">
            <v>0</v>
          </cell>
          <cell r="S801">
            <v>0</v>
          </cell>
          <cell r="T801">
            <v>0</v>
          </cell>
          <cell r="U801">
            <v>0</v>
          </cell>
          <cell r="V801" t="str">
            <v>SANTA FE</v>
          </cell>
          <cell r="W801">
            <v>0</v>
          </cell>
          <cell r="X801">
            <v>0</v>
          </cell>
        </row>
        <row r="802">
          <cell r="A802">
            <v>7212</v>
          </cell>
          <cell r="B802" t="str">
            <v>MARCOS LINARES ROCIO (ACAMBAY)</v>
          </cell>
          <cell r="C802">
            <v>0</v>
          </cell>
          <cell r="D802" t="str">
            <v>AV. CONSTITUYENTES S/N "NOVEDADES DON LUPE"</v>
          </cell>
          <cell r="E802" t="str">
            <v>ACAMBAY, EDO. DE MEXICO</v>
          </cell>
          <cell r="F802">
            <v>0</v>
          </cell>
          <cell r="G802" t="str">
            <v>(712) 258-4390</v>
          </cell>
          <cell r="H802">
            <v>0</v>
          </cell>
          <cell r="I802">
            <v>0</v>
          </cell>
          <cell r="J802" t="str">
            <v>L08</v>
          </cell>
          <cell r="K802">
            <v>0</v>
          </cell>
          <cell r="L802">
            <v>0</v>
          </cell>
          <cell r="M802">
            <v>0</v>
          </cell>
          <cell r="N802">
            <v>0</v>
          </cell>
          <cell r="O802">
            <v>0</v>
          </cell>
          <cell r="P802">
            <v>0</v>
          </cell>
          <cell r="Q802">
            <v>0</v>
          </cell>
          <cell r="R802">
            <v>0</v>
          </cell>
          <cell r="S802">
            <v>0</v>
          </cell>
          <cell r="T802">
            <v>0</v>
          </cell>
          <cell r="U802">
            <v>0</v>
          </cell>
          <cell r="V802" t="str">
            <v>CENTRO</v>
          </cell>
          <cell r="W802">
            <v>0</v>
          </cell>
          <cell r="X802">
            <v>0</v>
          </cell>
        </row>
        <row r="803">
          <cell r="A803">
            <v>7213</v>
          </cell>
          <cell r="B803" t="str">
            <v>ANGELES JENNYFER GUADARRAMA VELAZCO (ATLACOMULCO)</v>
          </cell>
          <cell r="C803">
            <v>0</v>
          </cell>
          <cell r="D803" t="str">
            <v>ISIDRO FABELA NTE.</v>
          </cell>
          <cell r="E803" t="str">
            <v>ATLACOMULCO, EDO. DE MEXICO</v>
          </cell>
          <cell r="F803">
            <v>0</v>
          </cell>
          <cell r="G803">
            <v>0</v>
          </cell>
          <cell r="H803">
            <v>0</v>
          </cell>
          <cell r="I803">
            <v>0</v>
          </cell>
          <cell r="J803" t="str">
            <v>L08</v>
          </cell>
          <cell r="K803">
            <v>0</v>
          </cell>
          <cell r="L803">
            <v>0</v>
          </cell>
          <cell r="M803">
            <v>0</v>
          </cell>
          <cell r="N803">
            <v>0</v>
          </cell>
          <cell r="O803">
            <v>0</v>
          </cell>
          <cell r="P803">
            <v>0</v>
          </cell>
          <cell r="Q803">
            <v>0</v>
          </cell>
          <cell r="R803">
            <v>0</v>
          </cell>
          <cell r="S803">
            <v>0</v>
          </cell>
          <cell r="T803">
            <v>0</v>
          </cell>
          <cell r="U803">
            <v>0</v>
          </cell>
          <cell r="V803">
            <v>0</v>
          </cell>
          <cell r="W803">
            <v>0</v>
          </cell>
          <cell r="X803">
            <v>0</v>
          </cell>
        </row>
        <row r="804">
          <cell r="A804">
            <v>7214</v>
          </cell>
          <cell r="B804" t="str">
            <v>JESSICA MIGUEL (TEQUIXQUIAC)</v>
          </cell>
          <cell r="C804">
            <v>0</v>
          </cell>
          <cell r="D804" t="str">
            <v>AV. HIDALGO S/N</v>
          </cell>
          <cell r="E804" t="str">
            <v>TEQUISQUIAC, EDO. DE MEXICO</v>
          </cell>
          <cell r="F804">
            <v>0</v>
          </cell>
          <cell r="G804" t="str">
            <v>(55) 3427-3652</v>
          </cell>
          <cell r="H804">
            <v>0</v>
          </cell>
          <cell r="I804">
            <v>0</v>
          </cell>
          <cell r="J804" t="str">
            <v>J02A</v>
          </cell>
          <cell r="K804">
            <v>0</v>
          </cell>
          <cell r="L804">
            <v>0</v>
          </cell>
          <cell r="M804">
            <v>0</v>
          </cell>
          <cell r="N804">
            <v>0</v>
          </cell>
          <cell r="O804">
            <v>0</v>
          </cell>
          <cell r="P804">
            <v>0</v>
          </cell>
          <cell r="Q804">
            <v>0</v>
          </cell>
          <cell r="R804">
            <v>0</v>
          </cell>
          <cell r="S804">
            <v>0</v>
          </cell>
          <cell r="T804">
            <v>0</v>
          </cell>
          <cell r="U804">
            <v>0</v>
          </cell>
          <cell r="V804" t="str">
            <v>CENTRO</v>
          </cell>
          <cell r="W804">
            <v>0</v>
          </cell>
          <cell r="X804">
            <v>0</v>
          </cell>
        </row>
        <row r="805">
          <cell r="A805">
            <v>7215</v>
          </cell>
          <cell r="B805" t="str">
            <v>YESENIA MARTINEZ (JERECUARO)</v>
          </cell>
          <cell r="C805">
            <v>0</v>
          </cell>
          <cell r="D805" t="str">
            <v>ABASOLO #4</v>
          </cell>
          <cell r="E805" t="str">
            <v>JERECUARO, GTO.</v>
          </cell>
          <cell r="F805">
            <v>0</v>
          </cell>
          <cell r="G805">
            <v>0</v>
          </cell>
          <cell r="H805">
            <v>0</v>
          </cell>
          <cell r="I805">
            <v>0</v>
          </cell>
          <cell r="J805" t="str">
            <v>J06</v>
          </cell>
          <cell r="K805">
            <v>0</v>
          </cell>
          <cell r="L805">
            <v>0</v>
          </cell>
          <cell r="M805">
            <v>0</v>
          </cell>
          <cell r="N805">
            <v>0</v>
          </cell>
          <cell r="O805">
            <v>0</v>
          </cell>
          <cell r="P805">
            <v>0</v>
          </cell>
          <cell r="Q805">
            <v>0</v>
          </cell>
          <cell r="R805">
            <v>0</v>
          </cell>
          <cell r="S805">
            <v>0</v>
          </cell>
          <cell r="T805">
            <v>0</v>
          </cell>
          <cell r="U805">
            <v>0</v>
          </cell>
          <cell r="V805" t="str">
            <v>CENTRO</v>
          </cell>
          <cell r="W805">
            <v>0</v>
          </cell>
          <cell r="X805">
            <v>0</v>
          </cell>
        </row>
        <row r="806">
          <cell r="A806">
            <v>7216</v>
          </cell>
          <cell r="B806" t="str">
            <v>CYNTHIA ESPITIA (VILLA)</v>
          </cell>
          <cell r="C806">
            <v>0</v>
          </cell>
          <cell r="D806">
            <v>0</v>
          </cell>
          <cell r="E806" t="str">
            <v>COACALCO, EDO. DE MEXICO</v>
          </cell>
          <cell r="F806">
            <v>0</v>
          </cell>
          <cell r="G806">
            <v>0</v>
          </cell>
          <cell r="H806">
            <v>0</v>
          </cell>
          <cell r="I806">
            <v>0</v>
          </cell>
          <cell r="J806" t="str">
            <v>F02A</v>
          </cell>
          <cell r="K806">
            <v>0</v>
          </cell>
          <cell r="L806">
            <v>0</v>
          </cell>
          <cell r="M806">
            <v>0</v>
          </cell>
          <cell r="N806">
            <v>0</v>
          </cell>
          <cell r="O806">
            <v>0</v>
          </cell>
          <cell r="P806">
            <v>0</v>
          </cell>
          <cell r="Q806">
            <v>0</v>
          </cell>
          <cell r="R806">
            <v>0</v>
          </cell>
          <cell r="S806">
            <v>0</v>
          </cell>
          <cell r="T806">
            <v>0</v>
          </cell>
          <cell r="U806">
            <v>0</v>
          </cell>
          <cell r="V806" t="str">
            <v>VILLA DE LAS FLORES</v>
          </cell>
          <cell r="W806">
            <v>0</v>
          </cell>
          <cell r="X806">
            <v>0</v>
          </cell>
        </row>
        <row r="807">
          <cell r="A807">
            <v>7217</v>
          </cell>
          <cell r="B807" t="str">
            <v>ERICK LOPEZ GUZMAN (ATLACOMULCO)</v>
          </cell>
          <cell r="C807">
            <v>0</v>
          </cell>
          <cell r="D807" t="str">
            <v>ALFREDO DEL MAZO OTE #15</v>
          </cell>
          <cell r="E807" t="str">
            <v>ATLACOMULCO, EDO. DE MEXICO</v>
          </cell>
          <cell r="F807">
            <v>0</v>
          </cell>
          <cell r="G807" t="str">
            <v>(951) 252-6911</v>
          </cell>
          <cell r="H807">
            <v>0</v>
          </cell>
          <cell r="I807">
            <v>0</v>
          </cell>
          <cell r="J807" t="str">
            <v>L08</v>
          </cell>
          <cell r="K807">
            <v>0</v>
          </cell>
          <cell r="L807">
            <v>0</v>
          </cell>
          <cell r="M807">
            <v>0</v>
          </cell>
          <cell r="N807">
            <v>0</v>
          </cell>
          <cell r="O807">
            <v>0</v>
          </cell>
          <cell r="P807">
            <v>0</v>
          </cell>
          <cell r="Q807">
            <v>0</v>
          </cell>
          <cell r="R807">
            <v>0</v>
          </cell>
          <cell r="S807">
            <v>0</v>
          </cell>
          <cell r="T807">
            <v>0</v>
          </cell>
          <cell r="U807">
            <v>0</v>
          </cell>
          <cell r="V807" t="str">
            <v>CENTRO</v>
          </cell>
          <cell r="W807">
            <v>0</v>
          </cell>
          <cell r="X807">
            <v>0</v>
          </cell>
        </row>
        <row r="808">
          <cell r="A808">
            <v>7218</v>
          </cell>
          <cell r="B808" t="str">
            <v>BLANCA ESTELA MARTINEZ U. (ACAMBARO)</v>
          </cell>
          <cell r="C808">
            <v>0</v>
          </cell>
          <cell r="D808" t="str">
            <v>EL LAPIZ ROJO</v>
          </cell>
          <cell r="E808" t="str">
            <v>ACAMBARO, GTO.</v>
          </cell>
          <cell r="F808">
            <v>0</v>
          </cell>
          <cell r="G808" t="str">
            <v>(312) 148-0098</v>
          </cell>
          <cell r="H808">
            <v>0</v>
          </cell>
          <cell r="I808">
            <v>0</v>
          </cell>
          <cell r="J808" t="str">
            <v>J06</v>
          </cell>
          <cell r="K808">
            <v>0</v>
          </cell>
          <cell r="L808">
            <v>0</v>
          </cell>
          <cell r="M808">
            <v>0</v>
          </cell>
          <cell r="N808">
            <v>0</v>
          </cell>
          <cell r="O808">
            <v>0</v>
          </cell>
          <cell r="P808">
            <v>0</v>
          </cell>
          <cell r="Q808">
            <v>0</v>
          </cell>
          <cell r="R808">
            <v>0</v>
          </cell>
          <cell r="S808">
            <v>0</v>
          </cell>
          <cell r="T808">
            <v>0</v>
          </cell>
          <cell r="U808">
            <v>0</v>
          </cell>
          <cell r="V808">
            <v>0</v>
          </cell>
          <cell r="W808">
            <v>0</v>
          </cell>
          <cell r="X808">
            <v>0</v>
          </cell>
        </row>
        <row r="809">
          <cell r="A809">
            <v>7219</v>
          </cell>
          <cell r="B809" t="str">
            <v>MARICELA MUÑOZ RODRIGUEZ (ZINAPECUARO)</v>
          </cell>
          <cell r="C809">
            <v>0</v>
          </cell>
          <cell r="D809" t="str">
            <v>RAFAEL CARRILLO #59</v>
          </cell>
          <cell r="E809" t="str">
            <v>ZINAPECUARO, MICH.</v>
          </cell>
          <cell r="F809" t="str">
            <v/>
          </cell>
          <cell r="G809">
            <v>0</v>
          </cell>
          <cell r="H809" t="str">
            <v>MARICELA MUÑOZ</v>
          </cell>
          <cell r="I809" t="str">
            <v>MARICELA MUÑOZ</v>
          </cell>
          <cell r="J809" t="str">
            <v>J06</v>
          </cell>
          <cell r="K809" t="str">
            <v/>
          </cell>
          <cell r="L809">
            <v>0</v>
          </cell>
          <cell r="M809">
            <v>488</v>
          </cell>
          <cell r="N809" t="str">
            <v>A</v>
          </cell>
          <cell r="O809">
            <v>41957</v>
          </cell>
          <cell r="P809" t="str">
            <v xml:space="preserve">    2</v>
          </cell>
          <cell r="Q809">
            <v>0</v>
          </cell>
          <cell r="R809">
            <v>0</v>
          </cell>
          <cell r="S809">
            <v>0</v>
          </cell>
          <cell r="T809">
            <v>1535</v>
          </cell>
          <cell r="U809">
            <v>0</v>
          </cell>
          <cell r="V809" t="str">
            <v>CENTRO</v>
          </cell>
          <cell r="W809">
            <v>0</v>
          </cell>
          <cell r="X809">
            <v>0</v>
          </cell>
        </row>
        <row r="810">
          <cell r="A810">
            <v>7220</v>
          </cell>
          <cell r="B810" t="str">
            <v>PATRICIA ARELLANO (VILLAGRAN)</v>
          </cell>
          <cell r="C810">
            <v>0</v>
          </cell>
          <cell r="D810" t="str">
            <v>ALLENDE #302 INT. 1</v>
          </cell>
          <cell r="E810" t="str">
            <v>VILLAGRAN, GTO.</v>
          </cell>
          <cell r="F810">
            <v>0</v>
          </cell>
          <cell r="G810" t="str">
            <v>(461) 186-1154</v>
          </cell>
          <cell r="H810">
            <v>0</v>
          </cell>
          <cell r="I810">
            <v>0</v>
          </cell>
          <cell r="J810" t="str">
            <v>J06</v>
          </cell>
          <cell r="K810">
            <v>0</v>
          </cell>
          <cell r="L810">
            <v>0</v>
          </cell>
          <cell r="M810">
            <v>0</v>
          </cell>
          <cell r="N810">
            <v>0</v>
          </cell>
          <cell r="O810">
            <v>0</v>
          </cell>
          <cell r="P810">
            <v>0</v>
          </cell>
          <cell r="Q810">
            <v>0</v>
          </cell>
          <cell r="R810">
            <v>0</v>
          </cell>
          <cell r="S810">
            <v>0</v>
          </cell>
          <cell r="T810">
            <v>0</v>
          </cell>
          <cell r="U810">
            <v>0</v>
          </cell>
          <cell r="V810" t="str">
            <v>CENTRO</v>
          </cell>
          <cell r="W810">
            <v>0</v>
          </cell>
          <cell r="X810">
            <v>0</v>
          </cell>
        </row>
        <row r="811">
          <cell r="A811">
            <v>7221</v>
          </cell>
          <cell r="B811" t="str">
            <v>MARIA ELENA MARTINEZ (TEOLOYUCAN)</v>
          </cell>
          <cell r="C811" t="str">
            <v>REGALOS ARY</v>
          </cell>
          <cell r="D811" t="str">
            <v>AV. 5 DE MAYO  #5</v>
          </cell>
          <cell r="E811" t="str">
            <v>TEOLOYUCAN, EDO. DE MEXICO</v>
          </cell>
          <cell r="F811">
            <v>0</v>
          </cell>
          <cell r="G811" t="str">
            <v>(55) 1731-4912</v>
          </cell>
          <cell r="H811">
            <v>0</v>
          </cell>
          <cell r="I811">
            <v>0</v>
          </cell>
          <cell r="J811" t="str">
            <v>F02A</v>
          </cell>
          <cell r="K811">
            <v>0</v>
          </cell>
          <cell r="L811">
            <v>0</v>
          </cell>
          <cell r="M811">
            <v>0</v>
          </cell>
          <cell r="N811">
            <v>0</v>
          </cell>
          <cell r="O811">
            <v>0</v>
          </cell>
          <cell r="P811">
            <v>0</v>
          </cell>
          <cell r="Q811">
            <v>0</v>
          </cell>
          <cell r="R811">
            <v>0</v>
          </cell>
          <cell r="S811">
            <v>0</v>
          </cell>
          <cell r="T811">
            <v>0</v>
          </cell>
          <cell r="U811">
            <v>0</v>
          </cell>
          <cell r="V811">
            <v>0</v>
          </cell>
          <cell r="W811">
            <v>0</v>
          </cell>
          <cell r="X811">
            <v>0</v>
          </cell>
        </row>
        <row r="812">
          <cell r="A812">
            <v>7222</v>
          </cell>
          <cell r="B812" t="str">
            <v>MARIA LUISA SANTIAGO / MARCO (TEZONTEPEC)</v>
          </cell>
          <cell r="C812">
            <v>0</v>
          </cell>
          <cell r="D812" t="str">
            <v>REGALOS ZOE</v>
          </cell>
          <cell r="E812" t="str">
            <v>TEZONTEPEC, HGO.</v>
          </cell>
          <cell r="F812">
            <v>0</v>
          </cell>
          <cell r="G812" t="str">
            <v>(773) 130-2321</v>
          </cell>
          <cell r="H812">
            <v>0</v>
          </cell>
          <cell r="I812">
            <v>0</v>
          </cell>
          <cell r="J812" t="str">
            <v>F02</v>
          </cell>
          <cell r="K812">
            <v>0</v>
          </cell>
          <cell r="L812">
            <v>0</v>
          </cell>
          <cell r="M812">
            <v>0</v>
          </cell>
          <cell r="N812">
            <v>0</v>
          </cell>
          <cell r="O812">
            <v>0</v>
          </cell>
          <cell r="P812">
            <v>0</v>
          </cell>
          <cell r="Q812">
            <v>0</v>
          </cell>
          <cell r="R812">
            <v>0</v>
          </cell>
          <cell r="S812">
            <v>0</v>
          </cell>
          <cell r="T812">
            <v>0</v>
          </cell>
          <cell r="U812">
            <v>0</v>
          </cell>
          <cell r="V812">
            <v>0</v>
          </cell>
          <cell r="W812">
            <v>0</v>
          </cell>
          <cell r="X812">
            <v>0</v>
          </cell>
        </row>
        <row r="813">
          <cell r="A813">
            <v>7223</v>
          </cell>
          <cell r="B813" t="str">
            <v>LAURA LUGO PEREZ (TEZONTEPEC)</v>
          </cell>
          <cell r="C813">
            <v>0</v>
          </cell>
          <cell r="D813" t="str">
            <v>PANUAGUA S/N</v>
          </cell>
          <cell r="E813" t="str">
            <v>TEZONTEPEC, HGO.</v>
          </cell>
          <cell r="F813">
            <v>0</v>
          </cell>
          <cell r="G813" t="str">
            <v>(773) 114-2296</v>
          </cell>
          <cell r="H813">
            <v>0</v>
          </cell>
          <cell r="I813">
            <v>0</v>
          </cell>
          <cell r="J813" t="str">
            <v>F02</v>
          </cell>
          <cell r="K813">
            <v>0</v>
          </cell>
          <cell r="L813">
            <v>0</v>
          </cell>
          <cell r="M813">
            <v>0</v>
          </cell>
          <cell r="N813">
            <v>0</v>
          </cell>
          <cell r="O813">
            <v>0</v>
          </cell>
          <cell r="P813">
            <v>0</v>
          </cell>
          <cell r="Q813">
            <v>0</v>
          </cell>
          <cell r="R813">
            <v>0</v>
          </cell>
          <cell r="S813">
            <v>0</v>
          </cell>
          <cell r="T813">
            <v>0</v>
          </cell>
          <cell r="U813">
            <v>0</v>
          </cell>
          <cell r="V813">
            <v>0</v>
          </cell>
          <cell r="W813">
            <v>0</v>
          </cell>
          <cell r="X813">
            <v>0</v>
          </cell>
        </row>
        <row r="814">
          <cell r="A814">
            <v>7224</v>
          </cell>
          <cell r="B814" t="str">
            <v>MARGARITA CONEJO (JUVENTINO)</v>
          </cell>
          <cell r="C814">
            <v>0</v>
          </cell>
          <cell r="D814" t="str">
            <v>ALDAMA #622</v>
          </cell>
          <cell r="E814" t="str">
            <v>JUVENTINO ROSAS, GTO.</v>
          </cell>
          <cell r="F814">
            <v>0</v>
          </cell>
          <cell r="G814" t="str">
            <v>(412) 120-7052</v>
          </cell>
          <cell r="H814">
            <v>0</v>
          </cell>
          <cell r="I814">
            <v>0</v>
          </cell>
          <cell r="J814" t="str">
            <v>F04</v>
          </cell>
          <cell r="K814">
            <v>0</v>
          </cell>
          <cell r="L814">
            <v>0</v>
          </cell>
          <cell r="M814">
            <v>0</v>
          </cell>
          <cell r="N814">
            <v>0</v>
          </cell>
          <cell r="O814">
            <v>0</v>
          </cell>
          <cell r="P814">
            <v>0</v>
          </cell>
          <cell r="Q814">
            <v>0</v>
          </cell>
          <cell r="R814">
            <v>0</v>
          </cell>
          <cell r="S814">
            <v>0</v>
          </cell>
          <cell r="T814">
            <v>0</v>
          </cell>
          <cell r="U814">
            <v>0</v>
          </cell>
          <cell r="V814" t="str">
            <v>CENTRO</v>
          </cell>
          <cell r="W814">
            <v>0</v>
          </cell>
          <cell r="X814">
            <v>0</v>
          </cell>
        </row>
        <row r="815">
          <cell r="A815">
            <v>7225</v>
          </cell>
          <cell r="B815" t="str">
            <v>LILIANA SERNA OSORNIO "CAPERUCITA"</v>
          </cell>
          <cell r="C815">
            <v>0</v>
          </cell>
          <cell r="D815" t="str">
            <v>EJE 8 LT. 17 MZ. 5</v>
          </cell>
          <cell r="E815" t="str">
            <v>COACALCO, EDO. DE MEXICO</v>
          </cell>
          <cell r="F815">
            <v>0</v>
          </cell>
          <cell r="G815">
            <v>0</v>
          </cell>
          <cell r="H815">
            <v>0</v>
          </cell>
          <cell r="I815">
            <v>0</v>
          </cell>
          <cell r="J815" t="str">
            <v>F02</v>
          </cell>
          <cell r="K815">
            <v>0</v>
          </cell>
          <cell r="L815">
            <v>0</v>
          </cell>
          <cell r="M815">
            <v>0</v>
          </cell>
          <cell r="N815">
            <v>0</v>
          </cell>
          <cell r="O815">
            <v>0</v>
          </cell>
          <cell r="P815">
            <v>0</v>
          </cell>
          <cell r="Q815">
            <v>0</v>
          </cell>
          <cell r="R815">
            <v>0</v>
          </cell>
          <cell r="S815">
            <v>0</v>
          </cell>
          <cell r="T815">
            <v>0</v>
          </cell>
          <cell r="U815">
            <v>0</v>
          </cell>
          <cell r="V815">
            <v>0</v>
          </cell>
          <cell r="W815">
            <v>0</v>
          </cell>
          <cell r="X815">
            <v>0</v>
          </cell>
        </row>
        <row r="816">
          <cell r="A816">
            <v>7226</v>
          </cell>
          <cell r="B816" t="str">
            <v>JUAN MANUEL JUAREZ (ATOTONILCO)</v>
          </cell>
          <cell r="C816">
            <v>0</v>
          </cell>
          <cell r="D816" t="str">
            <v>REPUBLICA DEL SALVADOR #38</v>
          </cell>
          <cell r="E816" t="str">
            <v>ATOTONILCO, HGO.</v>
          </cell>
          <cell r="F816">
            <v>0</v>
          </cell>
          <cell r="G816">
            <v>0</v>
          </cell>
          <cell r="H816">
            <v>0</v>
          </cell>
          <cell r="I816">
            <v>0</v>
          </cell>
          <cell r="J816" t="str">
            <v>F02</v>
          </cell>
          <cell r="K816">
            <v>0</v>
          </cell>
          <cell r="L816">
            <v>0</v>
          </cell>
          <cell r="M816">
            <v>0</v>
          </cell>
          <cell r="N816">
            <v>0</v>
          </cell>
          <cell r="O816">
            <v>0</v>
          </cell>
          <cell r="P816">
            <v>0</v>
          </cell>
          <cell r="Q816">
            <v>0</v>
          </cell>
          <cell r="R816">
            <v>0</v>
          </cell>
          <cell r="S816">
            <v>0</v>
          </cell>
          <cell r="T816">
            <v>0</v>
          </cell>
          <cell r="U816">
            <v>0</v>
          </cell>
          <cell r="V816" t="str">
            <v>CENTRO</v>
          </cell>
          <cell r="W816">
            <v>0</v>
          </cell>
          <cell r="X816">
            <v>0</v>
          </cell>
        </row>
        <row r="817">
          <cell r="A817">
            <v>7227</v>
          </cell>
          <cell r="B817" t="str">
            <v>MARISOL SEGURA ROJAS (TEPEJI)</v>
          </cell>
          <cell r="C817">
            <v>0</v>
          </cell>
          <cell r="D817" t="str">
            <v>AV. MELCHOR ACAMPO #32</v>
          </cell>
          <cell r="E817" t="str">
            <v>TEPEJI DEL RIO, HGO.</v>
          </cell>
          <cell r="F817">
            <v>0</v>
          </cell>
          <cell r="G817" t="str">
            <v>(773) 731-2231</v>
          </cell>
          <cell r="H817">
            <v>0</v>
          </cell>
          <cell r="I817">
            <v>0</v>
          </cell>
          <cell r="J817" t="str">
            <v>F02</v>
          </cell>
          <cell r="K817">
            <v>0</v>
          </cell>
          <cell r="L817">
            <v>0</v>
          </cell>
          <cell r="M817">
            <v>0</v>
          </cell>
          <cell r="N817">
            <v>0</v>
          </cell>
          <cell r="O817">
            <v>0</v>
          </cell>
          <cell r="P817">
            <v>0</v>
          </cell>
          <cell r="Q817">
            <v>0</v>
          </cell>
          <cell r="R817">
            <v>0</v>
          </cell>
          <cell r="S817">
            <v>0</v>
          </cell>
          <cell r="T817">
            <v>0</v>
          </cell>
          <cell r="U817">
            <v>0</v>
          </cell>
          <cell r="V817" t="str">
            <v>SAN FRANCISCO 1RA SECC.</v>
          </cell>
          <cell r="W817">
            <v>0</v>
          </cell>
          <cell r="X817">
            <v>0</v>
          </cell>
        </row>
        <row r="818">
          <cell r="A818">
            <v>7228</v>
          </cell>
          <cell r="B818" t="str">
            <v>MARIANA IBARRA (A. EL ALTO)</v>
          </cell>
          <cell r="C818">
            <v>0</v>
          </cell>
          <cell r="D818" t="str">
            <v>ITURBIDE #120</v>
          </cell>
          <cell r="E818" t="str">
            <v>APASEO EL ALTO, GTO.</v>
          </cell>
          <cell r="F818">
            <v>0</v>
          </cell>
          <cell r="G818" t="str">
            <v>(442) 109 2571</v>
          </cell>
          <cell r="H818">
            <v>0</v>
          </cell>
          <cell r="I818">
            <v>0</v>
          </cell>
          <cell r="J818" t="str">
            <v>F04</v>
          </cell>
          <cell r="K818">
            <v>0</v>
          </cell>
          <cell r="L818">
            <v>0</v>
          </cell>
          <cell r="M818">
            <v>0</v>
          </cell>
          <cell r="N818">
            <v>0</v>
          </cell>
          <cell r="O818">
            <v>0</v>
          </cell>
          <cell r="P818">
            <v>0</v>
          </cell>
          <cell r="Q818">
            <v>0</v>
          </cell>
          <cell r="R818">
            <v>0</v>
          </cell>
          <cell r="S818">
            <v>0</v>
          </cell>
          <cell r="T818">
            <v>0</v>
          </cell>
          <cell r="U818">
            <v>0</v>
          </cell>
          <cell r="V818" t="str">
            <v>CENTRO</v>
          </cell>
          <cell r="W818">
            <v>0</v>
          </cell>
          <cell r="X818">
            <v>0</v>
          </cell>
        </row>
        <row r="819">
          <cell r="A819">
            <v>7229</v>
          </cell>
          <cell r="B819" t="str">
            <v>OLGA MIRANDA (JILOTEPEC)</v>
          </cell>
          <cell r="C819">
            <v>0</v>
          </cell>
          <cell r="D819" t="str">
            <v>REFORMA ESQ. LAZARO CARDENAS</v>
          </cell>
          <cell r="E819" t="str">
            <v>JILOTEPEC, EDO. DE MEXICO</v>
          </cell>
          <cell r="F819">
            <v>0</v>
          </cell>
          <cell r="G819" t="str">
            <v>(55) 7104-7789</v>
          </cell>
          <cell r="H819">
            <v>0</v>
          </cell>
          <cell r="I819">
            <v>0</v>
          </cell>
          <cell r="J819" t="str">
            <v>L08</v>
          </cell>
          <cell r="K819">
            <v>0</v>
          </cell>
          <cell r="L819">
            <v>0</v>
          </cell>
          <cell r="M819">
            <v>0</v>
          </cell>
          <cell r="N819">
            <v>0</v>
          </cell>
          <cell r="O819">
            <v>0</v>
          </cell>
          <cell r="P819">
            <v>0</v>
          </cell>
          <cell r="Q819">
            <v>0</v>
          </cell>
          <cell r="R819">
            <v>0</v>
          </cell>
          <cell r="S819">
            <v>0</v>
          </cell>
          <cell r="T819">
            <v>0</v>
          </cell>
          <cell r="U819">
            <v>0</v>
          </cell>
          <cell r="V819">
            <v>0</v>
          </cell>
          <cell r="W819">
            <v>0</v>
          </cell>
          <cell r="X819">
            <v>0</v>
          </cell>
        </row>
        <row r="820">
          <cell r="A820">
            <v>7230</v>
          </cell>
          <cell r="B820" t="str">
            <v>KIMBERLY PALACIOS (MARAVATIO)</v>
          </cell>
          <cell r="C820">
            <v>0</v>
          </cell>
          <cell r="D820" t="str">
            <v>AQUILES SERDAN #156</v>
          </cell>
          <cell r="E820" t="str">
            <v>MARAVATIO, MICH.</v>
          </cell>
          <cell r="F820">
            <v>0</v>
          </cell>
          <cell r="G820">
            <v>0</v>
          </cell>
          <cell r="H820">
            <v>0</v>
          </cell>
          <cell r="I820">
            <v>0</v>
          </cell>
          <cell r="J820" t="str">
            <v>J06</v>
          </cell>
          <cell r="K820">
            <v>0</v>
          </cell>
          <cell r="L820">
            <v>0</v>
          </cell>
          <cell r="M820">
            <v>0</v>
          </cell>
          <cell r="N820">
            <v>0</v>
          </cell>
          <cell r="O820">
            <v>0</v>
          </cell>
          <cell r="P820">
            <v>0</v>
          </cell>
          <cell r="Q820">
            <v>0</v>
          </cell>
          <cell r="R820">
            <v>0</v>
          </cell>
          <cell r="S820">
            <v>0</v>
          </cell>
          <cell r="T820">
            <v>0</v>
          </cell>
          <cell r="U820">
            <v>0</v>
          </cell>
          <cell r="V820" t="str">
            <v>CENTRO</v>
          </cell>
          <cell r="W820">
            <v>0</v>
          </cell>
          <cell r="X820">
            <v>0</v>
          </cell>
        </row>
        <row r="821">
          <cell r="A821">
            <v>7231</v>
          </cell>
          <cell r="B821" t="str">
            <v>PAPELERIA "LA ESCOLAR" (MARAVATIO)</v>
          </cell>
          <cell r="C821">
            <v>0</v>
          </cell>
          <cell r="D821" t="str">
            <v>HIDALGO #63</v>
          </cell>
          <cell r="E821" t="str">
            <v>MARAVATIO, MICH.</v>
          </cell>
          <cell r="F821">
            <v>0</v>
          </cell>
          <cell r="G821" t="str">
            <v>(443) 106-0360</v>
          </cell>
          <cell r="H821">
            <v>0</v>
          </cell>
          <cell r="I821">
            <v>0</v>
          </cell>
          <cell r="J821" t="str">
            <v>J06</v>
          </cell>
          <cell r="K821">
            <v>0</v>
          </cell>
          <cell r="L821">
            <v>0</v>
          </cell>
          <cell r="M821">
            <v>0</v>
          </cell>
          <cell r="N821">
            <v>0</v>
          </cell>
          <cell r="O821">
            <v>0</v>
          </cell>
          <cell r="P821">
            <v>0</v>
          </cell>
          <cell r="Q821">
            <v>0</v>
          </cell>
          <cell r="R821">
            <v>0</v>
          </cell>
          <cell r="S821">
            <v>0</v>
          </cell>
          <cell r="T821">
            <v>0</v>
          </cell>
          <cell r="U821">
            <v>0</v>
          </cell>
          <cell r="V821" t="str">
            <v>CENTRO</v>
          </cell>
          <cell r="W821">
            <v>0</v>
          </cell>
          <cell r="X821">
            <v>0</v>
          </cell>
        </row>
        <row r="822">
          <cell r="A822">
            <v>7232</v>
          </cell>
          <cell r="B822" t="str">
            <v>LIBRE</v>
          </cell>
          <cell r="C822">
            <v>0</v>
          </cell>
          <cell r="D822">
            <v>0</v>
          </cell>
          <cell r="E822" t="str">
            <v>-</v>
          </cell>
          <cell r="F822">
            <v>0</v>
          </cell>
          <cell r="G822">
            <v>0</v>
          </cell>
          <cell r="H822">
            <v>0</v>
          </cell>
          <cell r="I822">
            <v>0</v>
          </cell>
          <cell r="J822">
            <v>0</v>
          </cell>
          <cell r="K822">
            <v>0</v>
          </cell>
          <cell r="L822">
            <v>0</v>
          </cell>
          <cell r="M822">
            <v>0</v>
          </cell>
          <cell r="N822">
            <v>0</v>
          </cell>
          <cell r="O822">
            <v>0</v>
          </cell>
          <cell r="P822">
            <v>0</v>
          </cell>
          <cell r="Q822">
            <v>0</v>
          </cell>
          <cell r="R822">
            <v>0</v>
          </cell>
          <cell r="S822">
            <v>0</v>
          </cell>
          <cell r="T822">
            <v>0</v>
          </cell>
          <cell r="U822">
            <v>0</v>
          </cell>
          <cell r="V822">
            <v>0</v>
          </cell>
          <cell r="W822">
            <v>0</v>
          </cell>
          <cell r="X822">
            <v>0</v>
          </cell>
        </row>
        <row r="823">
          <cell r="A823">
            <v>7233</v>
          </cell>
          <cell r="B823" t="str">
            <v>ALEJANDRA GONZALEZ HERNANDEZ (SJR)</v>
          </cell>
          <cell r="C823">
            <v>0</v>
          </cell>
          <cell r="D823" t="str">
            <v>MERCEDES CAMACHO NTE. #204</v>
          </cell>
          <cell r="E823" t="str">
            <v>SAN JUAN DEL RIO, QRO.</v>
          </cell>
          <cell r="F823">
            <v>0</v>
          </cell>
          <cell r="G823">
            <v>0</v>
          </cell>
          <cell r="H823">
            <v>0</v>
          </cell>
          <cell r="I823">
            <v>0</v>
          </cell>
          <cell r="J823" t="str">
            <v>J01</v>
          </cell>
          <cell r="K823">
            <v>0</v>
          </cell>
          <cell r="L823">
            <v>0</v>
          </cell>
          <cell r="M823">
            <v>0</v>
          </cell>
          <cell r="N823">
            <v>0</v>
          </cell>
          <cell r="O823">
            <v>0</v>
          </cell>
          <cell r="P823">
            <v>0</v>
          </cell>
          <cell r="Q823">
            <v>0</v>
          </cell>
          <cell r="R823">
            <v>0</v>
          </cell>
          <cell r="S823">
            <v>0</v>
          </cell>
          <cell r="T823">
            <v>0</v>
          </cell>
          <cell r="U823">
            <v>0</v>
          </cell>
          <cell r="V823" t="str">
            <v>PRADERAS DEL SOL</v>
          </cell>
          <cell r="W823">
            <v>0</v>
          </cell>
          <cell r="X823">
            <v>0</v>
          </cell>
        </row>
        <row r="824">
          <cell r="A824">
            <v>7234</v>
          </cell>
          <cell r="B824" t="str">
            <v>GUADALUPE CASTRO (ZINAPECUARO)</v>
          </cell>
          <cell r="C824">
            <v>0</v>
          </cell>
          <cell r="D824" t="str">
            <v>HIDALGO #63</v>
          </cell>
          <cell r="E824" t="str">
            <v>ZINAPECUARO, MICH.</v>
          </cell>
          <cell r="F824">
            <v>0</v>
          </cell>
          <cell r="G824">
            <v>0</v>
          </cell>
          <cell r="H824">
            <v>0</v>
          </cell>
          <cell r="I824">
            <v>0</v>
          </cell>
          <cell r="J824" t="str">
            <v>J06</v>
          </cell>
          <cell r="K824">
            <v>0</v>
          </cell>
          <cell r="L824">
            <v>0</v>
          </cell>
          <cell r="M824">
            <v>0</v>
          </cell>
          <cell r="N824">
            <v>0</v>
          </cell>
          <cell r="O824">
            <v>0</v>
          </cell>
          <cell r="P824">
            <v>0</v>
          </cell>
          <cell r="Q824">
            <v>0</v>
          </cell>
          <cell r="R824">
            <v>0</v>
          </cell>
          <cell r="S824">
            <v>0</v>
          </cell>
          <cell r="T824">
            <v>0</v>
          </cell>
          <cell r="U824">
            <v>0</v>
          </cell>
          <cell r="V824" t="str">
            <v>CENTRO</v>
          </cell>
          <cell r="W824">
            <v>0</v>
          </cell>
          <cell r="X824">
            <v>0</v>
          </cell>
        </row>
        <row r="825">
          <cell r="A825">
            <v>7235</v>
          </cell>
          <cell r="B825" t="str">
            <v>PATRICIA GRANADOS (TEPEJI)</v>
          </cell>
          <cell r="C825">
            <v>0</v>
          </cell>
          <cell r="D825">
            <v>0</v>
          </cell>
          <cell r="E825" t="str">
            <v>TEPEJI DEL RIO, HGO.</v>
          </cell>
          <cell r="F825">
            <v>0</v>
          </cell>
          <cell r="G825" t="str">
            <v>(773) 138-7830</v>
          </cell>
          <cell r="H825">
            <v>0</v>
          </cell>
          <cell r="I825">
            <v>0</v>
          </cell>
          <cell r="J825" t="str">
            <v>F02</v>
          </cell>
          <cell r="K825">
            <v>0</v>
          </cell>
          <cell r="L825">
            <v>0</v>
          </cell>
          <cell r="M825">
            <v>0</v>
          </cell>
          <cell r="N825">
            <v>0</v>
          </cell>
          <cell r="O825">
            <v>0</v>
          </cell>
          <cell r="P825">
            <v>0</v>
          </cell>
          <cell r="Q825">
            <v>0</v>
          </cell>
          <cell r="R825">
            <v>0</v>
          </cell>
          <cell r="S825">
            <v>0</v>
          </cell>
          <cell r="T825">
            <v>0</v>
          </cell>
          <cell r="U825">
            <v>0</v>
          </cell>
          <cell r="V825">
            <v>0</v>
          </cell>
          <cell r="W825">
            <v>0</v>
          </cell>
          <cell r="X825">
            <v>0</v>
          </cell>
        </row>
        <row r="826">
          <cell r="A826">
            <v>7236</v>
          </cell>
          <cell r="B826" t="str">
            <v>NORMA JUDITH PEREZ FUNEZ (COMITAN)</v>
          </cell>
          <cell r="C826">
            <v>0</v>
          </cell>
          <cell r="D826" t="str">
            <v>PRIMERA CALLE NTE. PTE. S/N</v>
          </cell>
          <cell r="E826" t="str">
            <v>COMITAN DE DOMINGUEZ, CHIS.</v>
          </cell>
          <cell r="F826" t="str">
            <v>30020</v>
          </cell>
          <cell r="G826" t="str">
            <v>(963) 105-6655</v>
          </cell>
          <cell r="H826">
            <v>0</v>
          </cell>
          <cell r="I826">
            <v>0</v>
          </cell>
          <cell r="J826" t="str">
            <v>FB</v>
          </cell>
          <cell r="K826">
            <v>0</v>
          </cell>
          <cell r="L826">
            <v>0</v>
          </cell>
          <cell r="M826">
            <v>0</v>
          </cell>
          <cell r="N826">
            <v>0</v>
          </cell>
          <cell r="O826">
            <v>0</v>
          </cell>
          <cell r="P826">
            <v>0</v>
          </cell>
          <cell r="Q826">
            <v>0</v>
          </cell>
          <cell r="R826">
            <v>0</v>
          </cell>
          <cell r="S826">
            <v>0</v>
          </cell>
          <cell r="T826">
            <v>0</v>
          </cell>
          <cell r="U826">
            <v>0</v>
          </cell>
          <cell r="V826" t="str">
            <v>GUADALUPE</v>
          </cell>
          <cell r="W826">
            <v>0</v>
          </cell>
          <cell r="X826">
            <v>0</v>
          </cell>
        </row>
        <row r="827">
          <cell r="A827">
            <v>7237</v>
          </cell>
          <cell r="B827" t="str">
            <v>LILIANA PACHECO RAMIREZ (SAN JUAN)</v>
          </cell>
          <cell r="C827">
            <v>0</v>
          </cell>
          <cell r="D827">
            <v>0</v>
          </cell>
          <cell r="E827" t="str">
            <v>SAN JUAN DEL RIO, QRO.</v>
          </cell>
          <cell r="F827">
            <v>0</v>
          </cell>
          <cell r="G827" t="str">
            <v>(427) 191-9292</v>
          </cell>
          <cell r="H827">
            <v>0</v>
          </cell>
          <cell r="I827">
            <v>0</v>
          </cell>
          <cell r="J827" t="str">
            <v>J01</v>
          </cell>
          <cell r="K827">
            <v>0</v>
          </cell>
          <cell r="L827">
            <v>0</v>
          </cell>
          <cell r="M827">
            <v>0</v>
          </cell>
          <cell r="N827">
            <v>0</v>
          </cell>
          <cell r="O827">
            <v>0</v>
          </cell>
          <cell r="P827">
            <v>0</v>
          </cell>
          <cell r="Q827">
            <v>0</v>
          </cell>
          <cell r="R827">
            <v>0</v>
          </cell>
          <cell r="S827">
            <v>0</v>
          </cell>
          <cell r="T827">
            <v>0</v>
          </cell>
          <cell r="U827">
            <v>0</v>
          </cell>
          <cell r="V827">
            <v>0</v>
          </cell>
          <cell r="W827">
            <v>0</v>
          </cell>
          <cell r="X827">
            <v>0</v>
          </cell>
        </row>
        <row r="828">
          <cell r="A828">
            <v>7238</v>
          </cell>
          <cell r="B828" t="str">
            <v>MARICELA GUEMEZ (TULANCINGO)</v>
          </cell>
          <cell r="C828">
            <v>0</v>
          </cell>
          <cell r="D828" t="str">
            <v>MORELOS #302</v>
          </cell>
          <cell r="E828" t="str">
            <v>TULANCINGO, HGO.</v>
          </cell>
          <cell r="F828">
            <v>0</v>
          </cell>
          <cell r="G828" t="str">
            <v>(775) 118-9701</v>
          </cell>
          <cell r="H828">
            <v>0</v>
          </cell>
          <cell r="I828">
            <v>0</v>
          </cell>
          <cell r="J828" t="str">
            <v>F02</v>
          </cell>
          <cell r="K828">
            <v>0</v>
          </cell>
          <cell r="L828">
            <v>0</v>
          </cell>
          <cell r="M828">
            <v>0</v>
          </cell>
          <cell r="N828">
            <v>0</v>
          </cell>
          <cell r="O828">
            <v>0</v>
          </cell>
          <cell r="P828">
            <v>0</v>
          </cell>
          <cell r="Q828">
            <v>0</v>
          </cell>
          <cell r="R828">
            <v>0</v>
          </cell>
          <cell r="S828">
            <v>0</v>
          </cell>
          <cell r="T828">
            <v>0</v>
          </cell>
          <cell r="U828">
            <v>0</v>
          </cell>
          <cell r="V828" t="str">
            <v>CENTRO</v>
          </cell>
          <cell r="W828">
            <v>0</v>
          </cell>
          <cell r="X828">
            <v>0</v>
          </cell>
        </row>
        <row r="829">
          <cell r="A829">
            <v>7239</v>
          </cell>
          <cell r="B829" t="str">
            <v>CECILIA ORTEGA (TULANCINGO)</v>
          </cell>
          <cell r="C829">
            <v>0</v>
          </cell>
          <cell r="D829" t="str">
            <v>FERNANDO SOTO #307</v>
          </cell>
          <cell r="E829" t="str">
            <v>TULANCINGO, HGO.</v>
          </cell>
          <cell r="F829">
            <v>0</v>
          </cell>
          <cell r="G829">
            <v>0</v>
          </cell>
          <cell r="H829">
            <v>0</v>
          </cell>
          <cell r="I829">
            <v>0</v>
          </cell>
          <cell r="J829" t="str">
            <v>F02</v>
          </cell>
          <cell r="K829">
            <v>0</v>
          </cell>
          <cell r="L829">
            <v>0</v>
          </cell>
          <cell r="M829">
            <v>0</v>
          </cell>
          <cell r="N829">
            <v>0</v>
          </cell>
          <cell r="O829">
            <v>0</v>
          </cell>
          <cell r="P829">
            <v>0</v>
          </cell>
          <cell r="Q829">
            <v>0</v>
          </cell>
          <cell r="R829">
            <v>0</v>
          </cell>
          <cell r="S829">
            <v>0</v>
          </cell>
          <cell r="T829">
            <v>0</v>
          </cell>
          <cell r="U829">
            <v>0</v>
          </cell>
          <cell r="V829" t="str">
            <v>CENTRO</v>
          </cell>
          <cell r="W829">
            <v>0</v>
          </cell>
          <cell r="X829">
            <v>0</v>
          </cell>
        </row>
        <row r="830">
          <cell r="A830">
            <v>7240</v>
          </cell>
          <cell r="B830" t="str">
            <v>NATALY JUAREZ (TULANCINGO)</v>
          </cell>
          <cell r="C830">
            <v>0</v>
          </cell>
          <cell r="D830" t="str">
            <v>NAYARIT #604</v>
          </cell>
          <cell r="E830" t="str">
            <v>TULANCINGO, HGO.</v>
          </cell>
          <cell r="F830">
            <v>0</v>
          </cell>
          <cell r="G830">
            <v>0</v>
          </cell>
          <cell r="H830">
            <v>0</v>
          </cell>
          <cell r="I830">
            <v>0</v>
          </cell>
          <cell r="J830" t="str">
            <v>F02</v>
          </cell>
          <cell r="K830">
            <v>0</v>
          </cell>
          <cell r="L830">
            <v>0</v>
          </cell>
          <cell r="M830">
            <v>0</v>
          </cell>
          <cell r="N830">
            <v>0</v>
          </cell>
          <cell r="O830">
            <v>0</v>
          </cell>
          <cell r="P830">
            <v>0</v>
          </cell>
          <cell r="Q830">
            <v>0</v>
          </cell>
          <cell r="R830">
            <v>0</v>
          </cell>
          <cell r="S830">
            <v>0</v>
          </cell>
          <cell r="T830">
            <v>0</v>
          </cell>
          <cell r="U830">
            <v>0</v>
          </cell>
          <cell r="V830" t="str">
            <v>VICENTE GUERRERO</v>
          </cell>
          <cell r="W830">
            <v>0</v>
          </cell>
          <cell r="X830">
            <v>0</v>
          </cell>
        </row>
        <row r="831">
          <cell r="A831">
            <v>7241</v>
          </cell>
          <cell r="B831" t="str">
            <v>MARISOL CORTES (TULANCINGO)</v>
          </cell>
          <cell r="C831">
            <v>0</v>
          </cell>
          <cell r="D831" t="str">
            <v>LUIS PONCE Y DORIA</v>
          </cell>
          <cell r="E831" t="str">
            <v>TULANCINGO, HGO.</v>
          </cell>
          <cell r="F831">
            <v>0</v>
          </cell>
          <cell r="G831">
            <v>0</v>
          </cell>
          <cell r="H831">
            <v>0</v>
          </cell>
          <cell r="I831">
            <v>0</v>
          </cell>
          <cell r="J831" t="str">
            <v>F02</v>
          </cell>
          <cell r="K831">
            <v>0</v>
          </cell>
          <cell r="L831">
            <v>0</v>
          </cell>
          <cell r="M831">
            <v>0</v>
          </cell>
          <cell r="N831">
            <v>0</v>
          </cell>
          <cell r="O831">
            <v>0</v>
          </cell>
          <cell r="P831">
            <v>0</v>
          </cell>
          <cell r="Q831">
            <v>0</v>
          </cell>
          <cell r="R831">
            <v>0</v>
          </cell>
          <cell r="S831">
            <v>0</v>
          </cell>
          <cell r="T831">
            <v>0</v>
          </cell>
          <cell r="U831">
            <v>0</v>
          </cell>
          <cell r="V831" t="str">
            <v>CENTRO</v>
          </cell>
          <cell r="W831">
            <v>0</v>
          </cell>
          <cell r="X831">
            <v>0</v>
          </cell>
        </row>
        <row r="832">
          <cell r="A832">
            <v>7242</v>
          </cell>
          <cell r="B832" t="str">
            <v>SILVIA GARCIA (CADEREYTA)</v>
          </cell>
          <cell r="C832">
            <v>0</v>
          </cell>
          <cell r="D832" t="str">
            <v>MADERO #19-A</v>
          </cell>
          <cell r="E832" t="str">
            <v>CADEREYTA, QRO.</v>
          </cell>
          <cell r="F832">
            <v>0</v>
          </cell>
          <cell r="G832" t="str">
            <v>(441) 103-7499</v>
          </cell>
          <cell r="H832">
            <v>0</v>
          </cell>
          <cell r="I832">
            <v>0</v>
          </cell>
          <cell r="J832" t="str">
            <v>J02</v>
          </cell>
          <cell r="K832">
            <v>0</v>
          </cell>
          <cell r="L832">
            <v>0</v>
          </cell>
          <cell r="M832">
            <v>0</v>
          </cell>
          <cell r="N832">
            <v>0</v>
          </cell>
          <cell r="O832">
            <v>0</v>
          </cell>
          <cell r="P832">
            <v>0</v>
          </cell>
          <cell r="Q832">
            <v>0</v>
          </cell>
          <cell r="R832">
            <v>0</v>
          </cell>
          <cell r="S832">
            <v>0</v>
          </cell>
          <cell r="T832">
            <v>0</v>
          </cell>
          <cell r="U832">
            <v>0</v>
          </cell>
          <cell r="V832" t="str">
            <v>CENTRO</v>
          </cell>
          <cell r="W832">
            <v>0</v>
          </cell>
          <cell r="X832">
            <v>0</v>
          </cell>
        </row>
        <row r="833">
          <cell r="A833">
            <v>7243</v>
          </cell>
          <cell r="B833" t="str">
            <v>SANTA VALERIO ALMARAZ (ESCOBEDO)</v>
          </cell>
          <cell r="C833">
            <v>0</v>
          </cell>
          <cell r="D833" t="str">
            <v>MARIANO JIMENEZ #4</v>
          </cell>
          <cell r="E833" t="str">
            <v>PEDRO ESCOBEDO, QRO.</v>
          </cell>
          <cell r="F833">
            <v>0</v>
          </cell>
          <cell r="G833" t="str">
            <v>(442) 490-1715</v>
          </cell>
          <cell r="H833">
            <v>0</v>
          </cell>
          <cell r="I833">
            <v>0</v>
          </cell>
          <cell r="J833" t="str">
            <v>L04</v>
          </cell>
          <cell r="K833">
            <v>0</v>
          </cell>
          <cell r="L833">
            <v>0</v>
          </cell>
          <cell r="M833">
            <v>0</v>
          </cell>
          <cell r="N833">
            <v>0</v>
          </cell>
          <cell r="O833">
            <v>0</v>
          </cell>
          <cell r="P833">
            <v>0</v>
          </cell>
          <cell r="Q833">
            <v>0</v>
          </cell>
          <cell r="R833">
            <v>0</v>
          </cell>
          <cell r="S833">
            <v>0</v>
          </cell>
          <cell r="T833">
            <v>0</v>
          </cell>
          <cell r="U833">
            <v>0</v>
          </cell>
          <cell r="V833" t="str">
            <v>SAN CLEMENTE</v>
          </cell>
          <cell r="W833">
            <v>0</v>
          </cell>
          <cell r="X833">
            <v>0</v>
          </cell>
        </row>
        <row r="834">
          <cell r="A834">
            <v>7244</v>
          </cell>
          <cell r="B834" t="str">
            <v>IRMA ESLAVA (PROGRESO)</v>
          </cell>
          <cell r="C834">
            <v>0</v>
          </cell>
          <cell r="D834" t="str">
            <v>AV. TITO ESTRADA #4</v>
          </cell>
          <cell r="E834" t="str">
            <v>PROGRESO, HGO.</v>
          </cell>
          <cell r="F834">
            <v>0</v>
          </cell>
          <cell r="G834">
            <v>0</v>
          </cell>
          <cell r="H834">
            <v>0</v>
          </cell>
          <cell r="I834">
            <v>0</v>
          </cell>
          <cell r="J834" t="str">
            <v>F02</v>
          </cell>
          <cell r="K834">
            <v>0</v>
          </cell>
          <cell r="L834">
            <v>0</v>
          </cell>
          <cell r="M834">
            <v>0</v>
          </cell>
          <cell r="N834">
            <v>0</v>
          </cell>
          <cell r="O834">
            <v>0</v>
          </cell>
          <cell r="P834">
            <v>0</v>
          </cell>
          <cell r="Q834">
            <v>0</v>
          </cell>
          <cell r="R834">
            <v>0</v>
          </cell>
          <cell r="S834">
            <v>0</v>
          </cell>
          <cell r="T834">
            <v>0</v>
          </cell>
          <cell r="U834">
            <v>0</v>
          </cell>
          <cell r="V834">
            <v>0</v>
          </cell>
          <cell r="W834">
            <v>0</v>
          </cell>
          <cell r="X834">
            <v>0</v>
          </cell>
        </row>
        <row r="835">
          <cell r="A835">
            <v>7245</v>
          </cell>
          <cell r="B835" t="str">
            <v>VICTORIA MORALES (QUERETARO)</v>
          </cell>
          <cell r="C835" t="str">
            <v>REGALOS Y NOVEDADES ESTRELLA</v>
          </cell>
          <cell r="D835" t="str">
            <v>AV. DE LA LUZ #1325</v>
          </cell>
          <cell r="E835" t="str">
            <v>QUERETARO, QRO.</v>
          </cell>
          <cell r="F835">
            <v>0</v>
          </cell>
          <cell r="G835">
            <v>0</v>
          </cell>
          <cell r="H835">
            <v>0</v>
          </cell>
          <cell r="I835">
            <v>0</v>
          </cell>
          <cell r="J835" t="str">
            <v>L04</v>
          </cell>
          <cell r="K835">
            <v>0</v>
          </cell>
          <cell r="L835">
            <v>0</v>
          </cell>
          <cell r="M835">
            <v>0</v>
          </cell>
          <cell r="N835">
            <v>0</v>
          </cell>
          <cell r="O835">
            <v>0</v>
          </cell>
          <cell r="P835">
            <v>0</v>
          </cell>
          <cell r="Q835">
            <v>0</v>
          </cell>
          <cell r="R835">
            <v>0</v>
          </cell>
          <cell r="S835">
            <v>0</v>
          </cell>
          <cell r="T835">
            <v>0</v>
          </cell>
          <cell r="U835">
            <v>0</v>
          </cell>
          <cell r="V835" t="str">
            <v>CERRITO COLORADO</v>
          </cell>
          <cell r="W835">
            <v>0</v>
          </cell>
          <cell r="X835">
            <v>0</v>
          </cell>
        </row>
        <row r="836">
          <cell r="A836">
            <v>7246</v>
          </cell>
          <cell r="B836" t="str">
            <v>LIDIA ELIZONDO GARCIA (ESCOBEDO)</v>
          </cell>
          <cell r="C836">
            <v>0</v>
          </cell>
          <cell r="D836" t="str">
            <v>MERCURIO #26</v>
          </cell>
          <cell r="E836" t="str">
            <v>PEDRO ESCOBEDO, QRO.</v>
          </cell>
          <cell r="F836">
            <v>0</v>
          </cell>
          <cell r="G836">
            <v>0</v>
          </cell>
          <cell r="H836">
            <v>0</v>
          </cell>
          <cell r="I836">
            <v>0</v>
          </cell>
          <cell r="J836" t="str">
            <v>L04</v>
          </cell>
          <cell r="K836">
            <v>0</v>
          </cell>
          <cell r="L836">
            <v>0</v>
          </cell>
          <cell r="M836">
            <v>0</v>
          </cell>
          <cell r="N836">
            <v>0</v>
          </cell>
          <cell r="O836">
            <v>0</v>
          </cell>
          <cell r="P836">
            <v>0</v>
          </cell>
          <cell r="Q836">
            <v>0</v>
          </cell>
          <cell r="R836">
            <v>0</v>
          </cell>
          <cell r="S836">
            <v>0</v>
          </cell>
          <cell r="T836">
            <v>0</v>
          </cell>
          <cell r="U836">
            <v>0</v>
          </cell>
          <cell r="V836" t="str">
            <v>ESTRELLA</v>
          </cell>
          <cell r="W836">
            <v>0</v>
          </cell>
          <cell r="X836">
            <v>0</v>
          </cell>
        </row>
        <row r="837">
          <cell r="A837">
            <v>7247</v>
          </cell>
          <cell r="B837" t="str">
            <v xml:space="preserve">LUCY ROA (QUERETARO) </v>
          </cell>
          <cell r="C837">
            <v>0</v>
          </cell>
          <cell r="D837" t="str">
            <v>FRANCISCO CARBAJAL ESQ. FCO. I. MADERO #21</v>
          </cell>
          <cell r="E837" t="str">
            <v>CORREGIDORA, QRO.</v>
          </cell>
          <cell r="F837">
            <v>0</v>
          </cell>
          <cell r="G837">
            <v>0</v>
          </cell>
          <cell r="H837">
            <v>0</v>
          </cell>
          <cell r="I837">
            <v>0</v>
          </cell>
          <cell r="J837" t="str">
            <v>L04</v>
          </cell>
          <cell r="K837">
            <v>0</v>
          </cell>
          <cell r="L837">
            <v>0</v>
          </cell>
          <cell r="M837">
            <v>0</v>
          </cell>
          <cell r="N837">
            <v>0</v>
          </cell>
          <cell r="O837">
            <v>0</v>
          </cell>
          <cell r="P837">
            <v>0</v>
          </cell>
          <cell r="Q837">
            <v>0</v>
          </cell>
          <cell r="R837">
            <v>0</v>
          </cell>
          <cell r="S837">
            <v>0</v>
          </cell>
          <cell r="T837">
            <v>0</v>
          </cell>
          <cell r="U837">
            <v>0</v>
          </cell>
          <cell r="V837" t="str">
            <v>STA. BARBARA</v>
          </cell>
          <cell r="W837">
            <v>0</v>
          </cell>
          <cell r="X837">
            <v>0</v>
          </cell>
        </row>
        <row r="838">
          <cell r="A838">
            <v>7248</v>
          </cell>
          <cell r="B838" t="str">
            <v>MARCOS (ATLACOMULCO)</v>
          </cell>
          <cell r="C838">
            <v>0</v>
          </cell>
          <cell r="D838">
            <v>0</v>
          </cell>
          <cell r="E838" t="str">
            <v>ATLACOMULCO, EDO. DE MEXICO</v>
          </cell>
          <cell r="F838">
            <v>0</v>
          </cell>
          <cell r="G838">
            <v>0</v>
          </cell>
          <cell r="H838">
            <v>0</v>
          </cell>
          <cell r="I838">
            <v>0</v>
          </cell>
          <cell r="J838" t="str">
            <v>L08</v>
          </cell>
          <cell r="K838">
            <v>0</v>
          </cell>
          <cell r="L838">
            <v>0</v>
          </cell>
          <cell r="M838">
            <v>0</v>
          </cell>
          <cell r="N838">
            <v>0</v>
          </cell>
          <cell r="O838">
            <v>0</v>
          </cell>
          <cell r="P838">
            <v>0</v>
          </cell>
          <cell r="Q838">
            <v>0</v>
          </cell>
          <cell r="R838">
            <v>0</v>
          </cell>
          <cell r="S838">
            <v>0</v>
          </cell>
          <cell r="T838">
            <v>0</v>
          </cell>
          <cell r="U838">
            <v>0</v>
          </cell>
          <cell r="V838">
            <v>0</v>
          </cell>
          <cell r="W838">
            <v>0</v>
          </cell>
          <cell r="X838">
            <v>0</v>
          </cell>
        </row>
        <row r="839">
          <cell r="A839">
            <v>7249</v>
          </cell>
          <cell r="B839" t="str">
            <v>ANA GABRIELA RAMIREZ VALENCIA (QUERETARO)</v>
          </cell>
          <cell r="C839">
            <v>0</v>
          </cell>
          <cell r="D839" t="str">
            <v>TROJE DE PEÑUELOS #214 "B"</v>
          </cell>
          <cell r="E839" t="str">
            <v>QUERETARO, QRO.</v>
          </cell>
          <cell r="F839">
            <v>0</v>
          </cell>
          <cell r="G839">
            <v>0</v>
          </cell>
          <cell r="H839">
            <v>0</v>
          </cell>
          <cell r="I839">
            <v>0</v>
          </cell>
          <cell r="J839" t="str">
            <v>L04</v>
          </cell>
          <cell r="K839">
            <v>0</v>
          </cell>
          <cell r="L839">
            <v>0</v>
          </cell>
          <cell r="M839">
            <v>0</v>
          </cell>
          <cell r="N839">
            <v>0</v>
          </cell>
          <cell r="O839">
            <v>0</v>
          </cell>
          <cell r="P839">
            <v>0</v>
          </cell>
          <cell r="Q839">
            <v>0</v>
          </cell>
          <cell r="R839">
            <v>0</v>
          </cell>
          <cell r="S839">
            <v>0</v>
          </cell>
          <cell r="T839">
            <v>0</v>
          </cell>
          <cell r="U839">
            <v>0</v>
          </cell>
          <cell r="V839" t="str">
            <v>LAS TROJES</v>
          </cell>
          <cell r="W839">
            <v>0</v>
          </cell>
          <cell r="X839">
            <v>0</v>
          </cell>
        </row>
        <row r="840">
          <cell r="A840">
            <v>7250</v>
          </cell>
          <cell r="B840" t="str">
            <v>ALBERTO HERNANDEZ (MARAVATIO)</v>
          </cell>
          <cell r="C840">
            <v>0</v>
          </cell>
          <cell r="D840">
            <v>0</v>
          </cell>
          <cell r="E840" t="str">
            <v>MARAVATIO, MICH.</v>
          </cell>
          <cell r="F840">
            <v>0</v>
          </cell>
          <cell r="G840">
            <v>0</v>
          </cell>
          <cell r="H840">
            <v>0</v>
          </cell>
          <cell r="I840">
            <v>0</v>
          </cell>
          <cell r="J840" t="str">
            <v>J06</v>
          </cell>
          <cell r="K840">
            <v>0</v>
          </cell>
          <cell r="L840">
            <v>0</v>
          </cell>
          <cell r="M840">
            <v>0</v>
          </cell>
          <cell r="N840">
            <v>0</v>
          </cell>
          <cell r="O840">
            <v>0</v>
          </cell>
          <cell r="P840">
            <v>0</v>
          </cell>
          <cell r="Q840">
            <v>0</v>
          </cell>
          <cell r="R840">
            <v>0</v>
          </cell>
          <cell r="S840">
            <v>0</v>
          </cell>
          <cell r="T840">
            <v>0</v>
          </cell>
          <cell r="U840">
            <v>0</v>
          </cell>
          <cell r="V840">
            <v>0</v>
          </cell>
          <cell r="W840">
            <v>0</v>
          </cell>
          <cell r="X840">
            <v>0</v>
          </cell>
        </row>
        <row r="841">
          <cell r="A841">
            <v>7251</v>
          </cell>
          <cell r="B841" t="str">
            <v>REGALOS ABRIL (MARAVATIO)</v>
          </cell>
          <cell r="C841">
            <v>0</v>
          </cell>
          <cell r="D841" t="str">
            <v>AQUILES SERDAN #156</v>
          </cell>
          <cell r="E841" t="str">
            <v>MARAVATIO, MICH.</v>
          </cell>
          <cell r="F841">
            <v>0</v>
          </cell>
          <cell r="G841">
            <v>0</v>
          </cell>
          <cell r="H841">
            <v>0</v>
          </cell>
          <cell r="I841">
            <v>0</v>
          </cell>
          <cell r="J841" t="str">
            <v>J06</v>
          </cell>
          <cell r="K841">
            <v>0</v>
          </cell>
          <cell r="L841">
            <v>0</v>
          </cell>
          <cell r="M841">
            <v>0</v>
          </cell>
          <cell r="N841">
            <v>0</v>
          </cell>
          <cell r="O841">
            <v>0</v>
          </cell>
          <cell r="P841">
            <v>0</v>
          </cell>
          <cell r="Q841">
            <v>0</v>
          </cell>
          <cell r="R841">
            <v>0</v>
          </cell>
          <cell r="S841">
            <v>0</v>
          </cell>
          <cell r="T841">
            <v>0</v>
          </cell>
          <cell r="U841">
            <v>0</v>
          </cell>
          <cell r="V841" t="str">
            <v>CENTRO</v>
          </cell>
          <cell r="W841">
            <v>0</v>
          </cell>
          <cell r="X841">
            <v>0</v>
          </cell>
        </row>
        <row r="842">
          <cell r="A842">
            <v>7252</v>
          </cell>
          <cell r="B842" t="str">
            <v>ALEJANDRO MUÑOZ (TARANDACUAO)</v>
          </cell>
          <cell r="C842">
            <v>0</v>
          </cell>
          <cell r="D842" t="str">
            <v>JUAREZ ESQ. CON HIDALGO 513</v>
          </cell>
          <cell r="E842" t="str">
            <v>TARANDACUAO, GTO.</v>
          </cell>
          <cell r="F842">
            <v>0</v>
          </cell>
          <cell r="G842">
            <v>0</v>
          </cell>
          <cell r="H842">
            <v>0</v>
          </cell>
          <cell r="I842">
            <v>0</v>
          </cell>
          <cell r="J842" t="str">
            <v>J06</v>
          </cell>
          <cell r="K842">
            <v>0</v>
          </cell>
          <cell r="L842">
            <v>0</v>
          </cell>
          <cell r="M842">
            <v>0</v>
          </cell>
          <cell r="N842">
            <v>0</v>
          </cell>
          <cell r="O842">
            <v>0</v>
          </cell>
          <cell r="P842">
            <v>0</v>
          </cell>
          <cell r="Q842">
            <v>0</v>
          </cell>
          <cell r="R842">
            <v>0</v>
          </cell>
          <cell r="S842">
            <v>0</v>
          </cell>
          <cell r="T842">
            <v>0</v>
          </cell>
          <cell r="U842">
            <v>0</v>
          </cell>
          <cell r="V842">
            <v>0</v>
          </cell>
          <cell r="W842">
            <v>0</v>
          </cell>
          <cell r="X842">
            <v>0</v>
          </cell>
        </row>
        <row r="843">
          <cell r="A843">
            <v>7253</v>
          </cell>
          <cell r="B843" t="str">
            <v>MARCO ANTONIO CONTRERAS (JERECUARO)</v>
          </cell>
          <cell r="C843">
            <v>0</v>
          </cell>
          <cell r="D843">
            <v>0</v>
          </cell>
          <cell r="E843" t="str">
            <v>JERECUARO, GTO.</v>
          </cell>
          <cell r="F843">
            <v>0</v>
          </cell>
          <cell r="G843" t="str">
            <v>(421) 110-7069</v>
          </cell>
          <cell r="H843">
            <v>0</v>
          </cell>
          <cell r="I843">
            <v>0</v>
          </cell>
          <cell r="J843" t="str">
            <v>J06</v>
          </cell>
          <cell r="K843">
            <v>0</v>
          </cell>
          <cell r="L843">
            <v>0</v>
          </cell>
          <cell r="M843">
            <v>0</v>
          </cell>
          <cell r="N843">
            <v>0</v>
          </cell>
          <cell r="O843">
            <v>0</v>
          </cell>
          <cell r="P843">
            <v>0</v>
          </cell>
          <cell r="Q843">
            <v>0</v>
          </cell>
          <cell r="R843">
            <v>0</v>
          </cell>
          <cell r="S843">
            <v>0</v>
          </cell>
          <cell r="T843">
            <v>0</v>
          </cell>
          <cell r="U843">
            <v>0</v>
          </cell>
          <cell r="V843">
            <v>0</v>
          </cell>
          <cell r="W843">
            <v>0</v>
          </cell>
          <cell r="X843">
            <v>0</v>
          </cell>
        </row>
        <row r="844">
          <cell r="A844">
            <v>7254</v>
          </cell>
          <cell r="B844" t="str">
            <v>GUADALUPE SUAREZ (QUERETARO)</v>
          </cell>
          <cell r="C844">
            <v>0</v>
          </cell>
          <cell r="D844">
            <v>0</v>
          </cell>
          <cell r="E844" t="str">
            <v>QUERETARO, QRO.</v>
          </cell>
          <cell r="F844">
            <v>0</v>
          </cell>
          <cell r="G844">
            <v>0</v>
          </cell>
          <cell r="H844" t="str">
            <v>L04</v>
          </cell>
          <cell r="I844">
            <v>0</v>
          </cell>
          <cell r="J844" t="str">
            <v>L04</v>
          </cell>
          <cell r="K844">
            <v>0</v>
          </cell>
          <cell r="L844">
            <v>0</v>
          </cell>
          <cell r="M844">
            <v>0</v>
          </cell>
          <cell r="N844">
            <v>0</v>
          </cell>
          <cell r="O844">
            <v>0</v>
          </cell>
          <cell r="P844">
            <v>0</v>
          </cell>
          <cell r="Q844">
            <v>0</v>
          </cell>
          <cell r="R844">
            <v>0</v>
          </cell>
          <cell r="S844">
            <v>0</v>
          </cell>
          <cell r="T844">
            <v>0</v>
          </cell>
          <cell r="U844">
            <v>0</v>
          </cell>
          <cell r="V844">
            <v>0</v>
          </cell>
          <cell r="W844">
            <v>0</v>
          </cell>
          <cell r="X844">
            <v>0</v>
          </cell>
        </row>
        <row r="845">
          <cell r="A845">
            <v>7255</v>
          </cell>
          <cell r="B845" t="str">
            <v>YADIRA SEBASTIAN CRUZ (MIXQUIAHUALA)</v>
          </cell>
          <cell r="C845" t="str">
            <v/>
          </cell>
          <cell r="D845" t="str">
            <v>PLAZA DE LA CONSTITUCION #5</v>
          </cell>
          <cell r="E845" t="str">
            <v>MIXQUIAHUALA, HGO.</v>
          </cell>
          <cell r="F845" t="str">
            <v/>
          </cell>
          <cell r="G845" t="str">
            <v>(772) 136-2231</v>
          </cell>
          <cell r="H845" t="str">
            <v>YADIRA SEBASTIAN C.</v>
          </cell>
          <cell r="I845" t="str">
            <v>YADIRA SEBASTIAN C.</v>
          </cell>
          <cell r="J845" t="str">
            <v>F02</v>
          </cell>
          <cell r="K845" t="str">
            <v/>
          </cell>
          <cell r="L845">
            <v>0</v>
          </cell>
          <cell r="M845">
            <v>477</v>
          </cell>
          <cell r="N845" t="str">
            <v>A</v>
          </cell>
          <cell r="O845">
            <v>42411</v>
          </cell>
          <cell r="P845" t="str">
            <v xml:space="preserve">    1</v>
          </cell>
          <cell r="Q845">
            <v>0</v>
          </cell>
          <cell r="R845">
            <v>0</v>
          </cell>
          <cell r="S845">
            <v>0</v>
          </cell>
          <cell r="T845">
            <v>51015</v>
          </cell>
          <cell r="U845">
            <v>0</v>
          </cell>
          <cell r="V845" t="str">
            <v>CENTRO</v>
          </cell>
          <cell r="W845" t="str">
            <v>(772) 101-9562 CEL</v>
          </cell>
          <cell r="X845">
            <v>0</v>
          </cell>
          <cell r="Y845" t="str">
            <v/>
          </cell>
          <cell r="Z845" t="str">
            <v/>
          </cell>
          <cell r="AA845" t="str">
            <v>(772) 136-2231</v>
          </cell>
          <cell r="AB845" t="str">
            <v xml:space="preserve">     DESC</v>
          </cell>
          <cell r="AC845" t="str">
            <v>F507</v>
          </cell>
          <cell r="AD845" t="str">
            <v/>
          </cell>
          <cell r="AE845" t="str">
            <v/>
          </cell>
          <cell r="AF845" t="str">
            <v/>
          </cell>
          <cell r="AG845">
            <v>42429</v>
          </cell>
          <cell r="AH845" t="str">
            <v>N</v>
          </cell>
          <cell r="AI845">
            <v>0</v>
          </cell>
          <cell r="AJ845">
            <v>0</v>
          </cell>
          <cell r="AK845">
            <v>0</v>
          </cell>
          <cell r="AL845">
            <v>410</v>
          </cell>
          <cell r="AM845">
            <v>3127</v>
          </cell>
          <cell r="AN845">
            <v>0</v>
          </cell>
        </row>
        <row r="846">
          <cell r="A846">
            <v>7256</v>
          </cell>
          <cell r="B846" t="str">
            <v>ROCIO HERNANDEZ (MARAVATIO)</v>
          </cell>
          <cell r="C846">
            <v>0</v>
          </cell>
          <cell r="D846">
            <v>0</v>
          </cell>
          <cell r="E846" t="str">
            <v>MARAVATIO, MICH.</v>
          </cell>
          <cell r="F846">
            <v>0</v>
          </cell>
          <cell r="G846" t="str">
            <v>(447) 103-0113</v>
          </cell>
          <cell r="H846">
            <v>0</v>
          </cell>
          <cell r="I846">
            <v>0</v>
          </cell>
          <cell r="J846" t="str">
            <v>J06</v>
          </cell>
          <cell r="K846">
            <v>0</v>
          </cell>
          <cell r="L846">
            <v>0</v>
          </cell>
          <cell r="M846">
            <v>0</v>
          </cell>
          <cell r="N846">
            <v>0</v>
          </cell>
          <cell r="O846">
            <v>0</v>
          </cell>
          <cell r="P846">
            <v>0</v>
          </cell>
          <cell r="Q846">
            <v>0</v>
          </cell>
          <cell r="R846">
            <v>0</v>
          </cell>
          <cell r="S846">
            <v>0</v>
          </cell>
          <cell r="T846">
            <v>0</v>
          </cell>
          <cell r="U846">
            <v>0</v>
          </cell>
          <cell r="V846">
            <v>0</v>
          </cell>
          <cell r="W846">
            <v>0</v>
          </cell>
          <cell r="X846">
            <v>0</v>
          </cell>
        </row>
        <row r="847">
          <cell r="A847">
            <v>7257</v>
          </cell>
          <cell r="B847" t="str">
            <v>ARMANDO ALBA (CELAYA)</v>
          </cell>
          <cell r="C847">
            <v>0</v>
          </cell>
          <cell r="D847" t="str">
            <v>PASAJE GUADALUPE #108 LOC. 8</v>
          </cell>
          <cell r="E847" t="str">
            <v>CELAYA, GTO.</v>
          </cell>
          <cell r="F847">
            <v>0</v>
          </cell>
          <cell r="G847" t="str">
            <v>(461) 101-0258</v>
          </cell>
          <cell r="H847">
            <v>0</v>
          </cell>
          <cell r="I847">
            <v>0</v>
          </cell>
          <cell r="J847" t="str">
            <v>F04</v>
          </cell>
          <cell r="K847">
            <v>0</v>
          </cell>
          <cell r="L847">
            <v>0</v>
          </cell>
          <cell r="M847">
            <v>0</v>
          </cell>
          <cell r="N847">
            <v>0</v>
          </cell>
          <cell r="O847">
            <v>0</v>
          </cell>
          <cell r="P847">
            <v>0</v>
          </cell>
          <cell r="Q847">
            <v>0</v>
          </cell>
          <cell r="R847">
            <v>0</v>
          </cell>
          <cell r="S847">
            <v>0</v>
          </cell>
          <cell r="T847">
            <v>0</v>
          </cell>
          <cell r="U847">
            <v>0</v>
          </cell>
          <cell r="V847">
            <v>0</v>
          </cell>
          <cell r="W847">
            <v>0</v>
          </cell>
          <cell r="X847">
            <v>0</v>
          </cell>
        </row>
        <row r="848">
          <cell r="A848">
            <v>7258</v>
          </cell>
          <cell r="B848" t="str">
            <v>M´ENCANTA (CELAYA)</v>
          </cell>
          <cell r="C848">
            <v>0</v>
          </cell>
          <cell r="D848" t="str">
            <v>VENUSTIANO CARRANZA #215</v>
          </cell>
          <cell r="E848" t="str">
            <v>CELAYA, GTO.</v>
          </cell>
          <cell r="F848">
            <v>0</v>
          </cell>
          <cell r="G848" t="str">
            <v>(461) 230-7862</v>
          </cell>
          <cell r="H848">
            <v>0</v>
          </cell>
          <cell r="I848">
            <v>0</v>
          </cell>
          <cell r="J848" t="str">
            <v>F04</v>
          </cell>
          <cell r="K848">
            <v>0</v>
          </cell>
          <cell r="L848">
            <v>0</v>
          </cell>
          <cell r="M848">
            <v>0</v>
          </cell>
          <cell r="N848">
            <v>0</v>
          </cell>
          <cell r="O848">
            <v>0</v>
          </cell>
          <cell r="P848">
            <v>0</v>
          </cell>
          <cell r="Q848">
            <v>0</v>
          </cell>
          <cell r="R848">
            <v>0</v>
          </cell>
          <cell r="S848">
            <v>0</v>
          </cell>
          <cell r="T848">
            <v>0</v>
          </cell>
          <cell r="U848">
            <v>0</v>
          </cell>
          <cell r="V848">
            <v>0</v>
          </cell>
          <cell r="W848">
            <v>0</v>
          </cell>
          <cell r="X848">
            <v>0</v>
          </cell>
        </row>
        <row r="849">
          <cell r="A849">
            <v>7259</v>
          </cell>
          <cell r="B849" t="str">
            <v>MIRIAM TORRES (TULA)</v>
          </cell>
          <cell r="C849">
            <v>0</v>
          </cell>
          <cell r="D849">
            <v>0</v>
          </cell>
          <cell r="E849" t="str">
            <v>TULA, HGO.</v>
          </cell>
          <cell r="F849">
            <v>0</v>
          </cell>
          <cell r="G849">
            <v>0</v>
          </cell>
          <cell r="H849">
            <v>0</v>
          </cell>
          <cell r="I849">
            <v>0</v>
          </cell>
          <cell r="J849" t="str">
            <v>F01</v>
          </cell>
          <cell r="K849">
            <v>0</v>
          </cell>
          <cell r="L849">
            <v>0</v>
          </cell>
          <cell r="M849">
            <v>0</v>
          </cell>
          <cell r="N849">
            <v>0</v>
          </cell>
          <cell r="O849">
            <v>0</v>
          </cell>
          <cell r="P849">
            <v>0</v>
          </cell>
          <cell r="Q849">
            <v>0</v>
          </cell>
          <cell r="R849">
            <v>0</v>
          </cell>
          <cell r="S849">
            <v>0</v>
          </cell>
          <cell r="T849">
            <v>0</v>
          </cell>
          <cell r="U849">
            <v>0</v>
          </cell>
          <cell r="V849">
            <v>0</v>
          </cell>
          <cell r="W849">
            <v>0</v>
          </cell>
          <cell r="X849">
            <v>0</v>
          </cell>
        </row>
        <row r="850">
          <cell r="A850">
            <v>7260</v>
          </cell>
          <cell r="B850" t="str">
            <v>LORENA HERNANDEZ (SJR)</v>
          </cell>
          <cell r="C850">
            <v>0</v>
          </cell>
          <cell r="D850" t="str">
            <v>20 DE NOVIEMBRE #10</v>
          </cell>
          <cell r="E850" t="str">
            <v>SAN JUAN DEL RIO, QRO.</v>
          </cell>
          <cell r="F850">
            <v>0</v>
          </cell>
          <cell r="G850" t="str">
            <v>(427) 100-7000</v>
          </cell>
          <cell r="H850">
            <v>0</v>
          </cell>
          <cell r="I850">
            <v>0</v>
          </cell>
          <cell r="J850" t="str">
            <v>L01</v>
          </cell>
          <cell r="K850">
            <v>0</v>
          </cell>
          <cell r="L850">
            <v>0</v>
          </cell>
          <cell r="M850">
            <v>0</v>
          </cell>
          <cell r="N850">
            <v>0</v>
          </cell>
          <cell r="O850">
            <v>0</v>
          </cell>
          <cell r="P850">
            <v>0</v>
          </cell>
          <cell r="Q850">
            <v>0</v>
          </cell>
          <cell r="R850">
            <v>0</v>
          </cell>
          <cell r="S850">
            <v>0</v>
          </cell>
          <cell r="T850">
            <v>0</v>
          </cell>
          <cell r="U850">
            <v>0</v>
          </cell>
          <cell r="V850" t="str">
            <v>LA VALLA</v>
          </cell>
          <cell r="W850">
            <v>0</v>
          </cell>
          <cell r="X850">
            <v>0</v>
          </cell>
        </row>
        <row r="851">
          <cell r="A851">
            <v>7261</v>
          </cell>
          <cell r="B851" t="str">
            <v>SARAI MEJIA (MARAVATIO)</v>
          </cell>
          <cell r="C851">
            <v>0</v>
          </cell>
          <cell r="D851" t="str">
            <v>NICOLAS BRAVO #22</v>
          </cell>
          <cell r="E851" t="str">
            <v>MARAVATIO, MICH.</v>
          </cell>
          <cell r="F851">
            <v>0</v>
          </cell>
          <cell r="G851">
            <v>0</v>
          </cell>
          <cell r="H851">
            <v>0</v>
          </cell>
          <cell r="I851">
            <v>0</v>
          </cell>
          <cell r="J851" t="str">
            <v>J06</v>
          </cell>
          <cell r="K851">
            <v>0</v>
          </cell>
          <cell r="L851">
            <v>0</v>
          </cell>
          <cell r="M851">
            <v>0</v>
          </cell>
          <cell r="N851">
            <v>0</v>
          </cell>
          <cell r="O851">
            <v>0</v>
          </cell>
          <cell r="P851">
            <v>0</v>
          </cell>
          <cell r="Q851">
            <v>0</v>
          </cell>
          <cell r="R851">
            <v>0</v>
          </cell>
          <cell r="S851">
            <v>0</v>
          </cell>
          <cell r="T851">
            <v>0</v>
          </cell>
          <cell r="U851">
            <v>0</v>
          </cell>
          <cell r="V851" t="str">
            <v>CENTRO</v>
          </cell>
          <cell r="W851">
            <v>0</v>
          </cell>
          <cell r="X851">
            <v>0</v>
          </cell>
        </row>
        <row r="852">
          <cell r="A852">
            <v>7262</v>
          </cell>
          <cell r="B852" t="str">
            <v>PAPELERIA Y MERCERIA RAMIREZ (TARANDA)</v>
          </cell>
          <cell r="C852">
            <v>0</v>
          </cell>
          <cell r="D852">
            <v>0</v>
          </cell>
          <cell r="E852" t="str">
            <v>TARANDACUAO, GTO.</v>
          </cell>
          <cell r="F852">
            <v>0</v>
          </cell>
          <cell r="G852">
            <v>0</v>
          </cell>
          <cell r="H852">
            <v>0</v>
          </cell>
          <cell r="I852">
            <v>0</v>
          </cell>
          <cell r="J852" t="str">
            <v>F06</v>
          </cell>
          <cell r="K852">
            <v>0</v>
          </cell>
          <cell r="L852">
            <v>0</v>
          </cell>
          <cell r="M852">
            <v>0</v>
          </cell>
          <cell r="N852">
            <v>0</v>
          </cell>
          <cell r="O852">
            <v>0</v>
          </cell>
          <cell r="P852">
            <v>0</v>
          </cell>
          <cell r="Q852">
            <v>0</v>
          </cell>
          <cell r="R852">
            <v>0</v>
          </cell>
          <cell r="S852">
            <v>0</v>
          </cell>
          <cell r="T852">
            <v>0</v>
          </cell>
          <cell r="U852">
            <v>0</v>
          </cell>
          <cell r="V852">
            <v>0</v>
          </cell>
          <cell r="W852">
            <v>0</v>
          </cell>
          <cell r="X852">
            <v>0</v>
          </cell>
        </row>
        <row r="853">
          <cell r="A853">
            <v>7263</v>
          </cell>
          <cell r="B853" t="str">
            <v>REGALOS ARIS (AMEALCO)</v>
          </cell>
          <cell r="C853">
            <v>0</v>
          </cell>
          <cell r="D853">
            <v>0</v>
          </cell>
          <cell r="E853" t="str">
            <v>AMEALCO, QRO.</v>
          </cell>
          <cell r="F853">
            <v>0</v>
          </cell>
          <cell r="G853">
            <v>0</v>
          </cell>
          <cell r="H853">
            <v>0</v>
          </cell>
          <cell r="I853">
            <v>0</v>
          </cell>
          <cell r="J853" t="str">
            <v>L06</v>
          </cell>
          <cell r="K853">
            <v>0</v>
          </cell>
          <cell r="L853">
            <v>0</v>
          </cell>
          <cell r="M853">
            <v>0</v>
          </cell>
          <cell r="N853">
            <v>0</v>
          </cell>
          <cell r="O853">
            <v>0</v>
          </cell>
          <cell r="P853">
            <v>0</v>
          </cell>
          <cell r="Q853">
            <v>0</v>
          </cell>
          <cell r="R853">
            <v>0</v>
          </cell>
          <cell r="S853">
            <v>0</v>
          </cell>
          <cell r="T853">
            <v>0</v>
          </cell>
          <cell r="U853">
            <v>0</v>
          </cell>
          <cell r="V853">
            <v>0</v>
          </cell>
          <cell r="W853">
            <v>0</v>
          </cell>
          <cell r="X853">
            <v>0</v>
          </cell>
        </row>
        <row r="854">
          <cell r="A854">
            <v>7264</v>
          </cell>
          <cell r="B854" t="str">
            <v>DANIEL CASTRO SOTO (SAN JUAN)</v>
          </cell>
          <cell r="C854" t="str">
            <v>CASD801024J71</v>
          </cell>
          <cell r="D854" t="str">
            <v>PAPELERIA AMERICA *USO CFDI*</v>
          </cell>
          <cell r="E854" t="str">
            <v>SAN JUAN DEL RIO, QRO.</v>
          </cell>
          <cell r="F854" t="str">
            <v>76800</v>
          </cell>
          <cell r="G854">
            <v>0</v>
          </cell>
          <cell r="H854">
            <v>0</v>
          </cell>
          <cell r="I854">
            <v>0</v>
          </cell>
          <cell r="J854">
            <v>0</v>
          </cell>
          <cell r="K854">
            <v>0</v>
          </cell>
          <cell r="L854">
            <v>0</v>
          </cell>
          <cell r="M854">
            <v>0</v>
          </cell>
          <cell r="N854">
            <v>0</v>
          </cell>
          <cell r="O854">
            <v>0</v>
          </cell>
          <cell r="P854">
            <v>0</v>
          </cell>
          <cell r="Q854">
            <v>0</v>
          </cell>
          <cell r="R854">
            <v>0</v>
          </cell>
          <cell r="S854">
            <v>0</v>
          </cell>
          <cell r="T854">
            <v>0</v>
          </cell>
          <cell r="U854">
            <v>0</v>
          </cell>
          <cell r="V854" t="str">
            <v>CENTRO</v>
          </cell>
          <cell r="W854">
            <v>0</v>
          </cell>
          <cell r="X854">
            <v>0</v>
          </cell>
        </row>
        <row r="855">
          <cell r="A855">
            <v>7265</v>
          </cell>
          <cell r="B855" t="str">
            <v>JAEL DAMIAN (TLAXCOAPAN)</v>
          </cell>
          <cell r="C855">
            <v>0</v>
          </cell>
          <cell r="D855">
            <v>0</v>
          </cell>
          <cell r="E855" t="str">
            <v>TLAXCOAPAN, HGO.</v>
          </cell>
          <cell r="F855">
            <v>0</v>
          </cell>
          <cell r="G855">
            <v>0</v>
          </cell>
          <cell r="H855">
            <v>0</v>
          </cell>
          <cell r="I855">
            <v>0</v>
          </cell>
          <cell r="J855" t="str">
            <v>F02</v>
          </cell>
          <cell r="K855">
            <v>0</v>
          </cell>
          <cell r="L855">
            <v>0</v>
          </cell>
          <cell r="M855">
            <v>0</v>
          </cell>
          <cell r="N855">
            <v>0</v>
          </cell>
          <cell r="O855">
            <v>0</v>
          </cell>
          <cell r="P855">
            <v>0</v>
          </cell>
          <cell r="Q855">
            <v>0</v>
          </cell>
          <cell r="R855">
            <v>0</v>
          </cell>
          <cell r="S855">
            <v>0</v>
          </cell>
          <cell r="T855">
            <v>0</v>
          </cell>
          <cell r="U855">
            <v>0</v>
          </cell>
          <cell r="V855">
            <v>0</v>
          </cell>
          <cell r="W855">
            <v>0</v>
          </cell>
          <cell r="X855">
            <v>0</v>
          </cell>
        </row>
        <row r="856">
          <cell r="A856">
            <v>7266</v>
          </cell>
          <cell r="B856" t="str">
            <v>LENIN (E. MONTES)</v>
          </cell>
          <cell r="C856">
            <v>0</v>
          </cell>
          <cell r="D856">
            <v>0</v>
          </cell>
          <cell r="E856" t="str">
            <v>EZEQUIEL MONTES, QRO.</v>
          </cell>
          <cell r="F856">
            <v>0</v>
          </cell>
          <cell r="G856">
            <v>0</v>
          </cell>
          <cell r="H856">
            <v>0</v>
          </cell>
          <cell r="I856">
            <v>0</v>
          </cell>
          <cell r="J856" t="str">
            <v>J04</v>
          </cell>
          <cell r="K856">
            <v>0</v>
          </cell>
          <cell r="L856">
            <v>0</v>
          </cell>
          <cell r="M856">
            <v>0</v>
          </cell>
          <cell r="N856">
            <v>0</v>
          </cell>
          <cell r="O856">
            <v>0</v>
          </cell>
          <cell r="P856">
            <v>0</v>
          </cell>
          <cell r="Q856">
            <v>0</v>
          </cell>
          <cell r="R856">
            <v>0</v>
          </cell>
          <cell r="S856">
            <v>0</v>
          </cell>
          <cell r="T856">
            <v>0</v>
          </cell>
          <cell r="U856">
            <v>0</v>
          </cell>
          <cell r="V856">
            <v>0</v>
          </cell>
          <cell r="W856">
            <v>0</v>
          </cell>
          <cell r="X856">
            <v>0</v>
          </cell>
        </row>
        <row r="857">
          <cell r="A857">
            <v>7267</v>
          </cell>
          <cell r="B857" t="str">
            <v>GRACIELA LOPEZ M. (CORONEO)</v>
          </cell>
          <cell r="C857">
            <v>0</v>
          </cell>
          <cell r="D857" t="str">
            <v>ZARAGOZA #43</v>
          </cell>
          <cell r="E857" t="str">
            <v>CORONEO, GTO.</v>
          </cell>
          <cell r="F857">
            <v>0</v>
          </cell>
          <cell r="G857" t="str">
            <v>(421) 102-2770</v>
          </cell>
          <cell r="H857">
            <v>0</v>
          </cell>
          <cell r="I857">
            <v>0</v>
          </cell>
          <cell r="J857" t="str">
            <v>J06</v>
          </cell>
          <cell r="K857">
            <v>0</v>
          </cell>
          <cell r="L857">
            <v>0</v>
          </cell>
          <cell r="M857">
            <v>0</v>
          </cell>
          <cell r="N857">
            <v>0</v>
          </cell>
          <cell r="O857">
            <v>0</v>
          </cell>
          <cell r="P857">
            <v>0</v>
          </cell>
          <cell r="Q857">
            <v>0</v>
          </cell>
          <cell r="R857">
            <v>0</v>
          </cell>
          <cell r="S857">
            <v>0</v>
          </cell>
          <cell r="T857">
            <v>0</v>
          </cell>
          <cell r="U857">
            <v>0</v>
          </cell>
          <cell r="V857" t="str">
            <v>CENTRO</v>
          </cell>
          <cell r="W857">
            <v>0</v>
          </cell>
          <cell r="X857">
            <v>0</v>
          </cell>
        </row>
        <row r="858">
          <cell r="A858">
            <v>7268</v>
          </cell>
          <cell r="B858" t="str">
            <v>ANDREA BECERRA RODRIGUEZ (AMEALCO)</v>
          </cell>
          <cell r="C858">
            <v>0</v>
          </cell>
          <cell r="D858" t="str">
            <v>PINO SUAREZ #31</v>
          </cell>
          <cell r="E858" t="str">
            <v>AMEALCO, QRO.</v>
          </cell>
          <cell r="F858">
            <v>0</v>
          </cell>
          <cell r="G858" t="str">
            <v>(448) 121-8065</v>
          </cell>
          <cell r="H858">
            <v>0</v>
          </cell>
          <cell r="I858">
            <v>0</v>
          </cell>
          <cell r="J858" t="str">
            <v>L06</v>
          </cell>
          <cell r="K858">
            <v>0</v>
          </cell>
          <cell r="L858">
            <v>0</v>
          </cell>
          <cell r="M858">
            <v>0</v>
          </cell>
          <cell r="N858">
            <v>0</v>
          </cell>
          <cell r="O858">
            <v>0</v>
          </cell>
          <cell r="P858">
            <v>0</v>
          </cell>
          <cell r="Q858">
            <v>0</v>
          </cell>
          <cell r="R858">
            <v>0</v>
          </cell>
          <cell r="S858">
            <v>0</v>
          </cell>
          <cell r="T858">
            <v>0</v>
          </cell>
          <cell r="U858">
            <v>0</v>
          </cell>
          <cell r="V858" t="str">
            <v>CENTRO</v>
          </cell>
          <cell r="W858">
            <v>0</v>
          </cell>
          <cell r="X858">
            <v>0</v>
          </cell>
        </row>
        <row r="859">
          <cell r="A859">
            <v>7269</v>
          </cell>
          <cell r="B859" t="str">
            <v>GUADALUPE RAMIREZ VALDEZ (QUERETARO)</v>
          </cell>
          <cell r="C859" t="str">
            <v>PAPELERIA DIAMANTE</v>
          </cell>
          <cell r="D859" t="str">
            <v>VALLA DEL SOL #15</v>
          </cell>
          <cell r="E859" t="str">
            <v>QUERETARO, QRO.</v>
          </cell>
          <cell r="F859">
            <v>0</v>
          </cell>
          <cell r="G859">
            <v>0</v>
          </cell>
          <cell r="H859">
            <v>0</v>
          </cell>
          <cell r="I859">
            <v>0</v>
          </cell>
          <cell r="J859" t="str">
            <v>L04</v>
          </cell>
          <cell r="K859">
            <v>0</v>
          </cell>
          <cell r="L859">
            <v>0</v>
          </cell>
          <cell r="M859">
            <v>0</v>
          </cell>
          <cell r="N859">
            <v>0</v>
          </cell>
          <cell r="O859">
            <v>0</v>
          </cell>
          <cell r="P859">
            <v>0</v>
          </cell>
          <cell r="Q859">
            <v>0</v>
          </cell>
          <cell r="R859">
            <v>0</v>
          </cell>
          <cell r="S859">
            <v>0</v>
          </cell>
          <cell r="T859">
            <v>0</v>
          </cell>
          <cell r="U859">
            <v>0</v>
          </cell>
          <cell r="V859" t="str">
            <v>LOMAS DEL VALLE</v>
          </cell>
          <cell r="W859">
            <v>0</v>
          </cell>
          <cell r="X859">
            <v>0</v>
          </cell>
        </row>
        <row r="860">
          <cell r="A860">
            <v>7270</v>
          </cell>
          <cell r="B860" t="str">
            <v>MIRIAM ZUÑIGA FERNANDEZ (QUERETARO)</v>
          </cell>
          <cell r="C860">
            <v>0</v>
          </cell>
          <cell r="D860" t="str">
            <v>AV. CERRO DEL SOMBRERETE #1301 INT. 2</v>
          </cell>
          <cell r="E860" t="str">
            <v>QUERETARO, QRO.</v>
          </cell>
          <cell r="F860">
            <v>0</v>
          </cell>
          <cell r="G860" t="str">
            <v>(442) 170 4651</v>
          </cell>
          <cell r="H860">
            <v>0</v>
          </cell>
          <cell r="I860">
            <v>0</v>
          </cell>
          <cell r="J860" t="str">
            <v>L04</v>
          </cell>
          <cell r="K860">
            <v>0</v>
          </cell>
          <cell r="L860">
            <v>0</v>
          </cell>
          <cell r="M860">
            <v>0</v>
          </cell>
          <cell r="N860">
            <v>0</v>
          </cell>
          <cell r="O860">
            <v>0</v>
          </cell>
          <cell r="P860">
            <v>0</v>
          </cell>
          <cell r="Q860">
            <v>0</v>
          </cell>
          <cell r="R860">
            <v>0</v>
          </cell>
          <cell r="S860">
            <v>0</v>
          </cell>
          <cell r="T860">
            <v>0</v>
          </cell>
          <cell r="U860">
            <v>0</v>
          </cell>
          <cell r="V860" t="str">
            <v>EL VERGEL</v>
          </cell>
          <cell r="W860">
            <v>0</v>
          </cell>
          <cell r="X860">
            <v>0</v>
          </cell>
        </row>
        <row r="861">
          <cell r="A861">
            <v>7271</v>
          </cell>
          <cell r="B861" t="str">
            <v>ANA KAREN IRINEO MARTINEZ (ESCOBEDO)</v>
          </cell>
          <cell r="C861">
            <v>0</v>
          </cell>
          <cell r="D861" t="str">
            <v>FRANCISCO MARQUEZ</v>
          </cell>
          <cell r="E861" t="str">
            <v>PEDRO ESCOBEDO, QRO.</v>
          </cell>
          <cell r="F861">
            <v>0</v>
          </cell>
          <cell r="G861" t="str">
            <v>(448) 111-0915</v>
          </cell>
          <cell r="H861">
            <v>0</v>
          </cell>
          <cell r="I861">
            <v>0</v>
          </cell>
          <cell r="J861" t="str">
            <v>L04</v>
          </cell>
          <cell r="K861">
            <v>0</v>
          </cell>
          <cell r="L861">
            <v>0</v>
          </cell>
          <cell r="M861">
            <v>0</v>
          </cell>
          <cell r="N861">
            <v>0</v>
          </cell>
          <cell r="O861">
            <v>0</v>
          </cell>
          <cell r="P861">
            <v>0</v>
          </cell>
          <cell r="Q861">
            <v>0</v>
          </cell>
          <cell r="R861">
            <v>0</v>
          </cell>
          <cell r="S861">
            <v>0</v>
          </cell>
          <cell r="T861">
            <v>0</v>
          </cell>
          <cell r="U861">
            <v>0</v>
          </cell>
          <cell r="V861">
            <v>0</v>
          </cell>
          <cell r="W861">
            <v>0</v>
          </cell>
          <cell r="X861">
            <v>0</v>
          </cell>
        </row>
        <row r="862">
          <cell r="A862">
            <v>7272</v>
          </cell>
          <cell r="B862" t="str">
            <v>FELIPE DE JESUS VAZQUEZ (IRAPUATO)</v>
          </cell>
          <cell r="C862">
            <v>0</v>
          </cell>
          <cell r="D862">
            <v>0</v>
          </cell>
          <cell r="E862" t="str">
            <v>IRAPUATO, GTO.</v>
          </cell>
          <cell r="F862">
            <v>0</v>
          </cell>
          <cell r="G862">
            <v>0</v>
          </cell>
          <cell r="H862">
            <v>0</v>
          </cell>
          <cell r="I862">
            <v>0</v>
          </cell>
          <cell r="J862" t="str">
            <v>F04</v>
          </cell>
          <cell r="K862">
            <v>0</v>
          </cell>
          <cell r="L862">
            <v>0</v>
          </cell>
          <cell r="M862">
            <v>0</v>
          </cell>
          <cell r="N862">
            <v>0</v>
          </cell>
          <cell r="O862">
            <v>0</v>
          </cell>
          <cell r="P862">
            <v>0</v>
          </cell>
          <cell r="Q862">
            <v>0</v>
          </cell>
          <cell r="R862">
            <v>0</v>
          </cell>
          <cell r="S862">
            <v>0</v>
          </cell>
          <cell r="T862">
            <v>0</v>
          </cell>
          <cell r="U862">
            <v>0</v>
          </cell>
          <cell r="V862">
            <v>0</v>
          </cell>
          <cell r="W862">
            <v>0</v>
          </cell>
          <cell r="X862">
            <v>0</v>
          </cell>
        </row>
        <row r="863">
          <cell r="A863">
            <v>7273</v>
          </cell>
          <cell r="B863" t="str">
            <v>CINTHIA VEGA GARCIA (TECOZAHUTLA)</v>
          </cell>
          <cell r="C863">
            <v>0</v>
          </cell>
          <cell r="D863">
            <v>0</v>
          </cell>
          <cell r="E863" t="str">
            <v>TECOZAHUTLA, HGO.</v>
          </cell>
          <cell r="F863">
            <v>0</v>
          </cell>
          <cell r="G863" t="str">
            <v>(771) 295-3255</v>
          </cell>
          <cell r="H863">
            <v>0</v>
          </cell>
          <cell r="I863">
            <v>0</v>
          </cell>
          <cell r="J863" t="str">
            <v>J02</v>
          </cell>
          <cell r="K863">
            <v>0</v>
          </cell>
          <cell r="L863">
            <v>0</v>
          </cell>
          <cell r="M863">
            <v>0</v>
          </cell>
          <cell r="N863">
            <v>0</v>
          </cell>
          <cell r="O863">
            <v>0</v>
          </cell>
          <cell r="P863">
            <v>0</v>
          </cell>
          <cell r="Q863">
            <v>0</v>
          </cell>
          <cell r="R863">
            <v>0</v>
          </cell>
          <cell r="S863">
            <v>0</v>
          </cell>
          <cell r="T863">
            <v>0</v>
          </cell>
          <cell r="U863">
            <v>0</v>
          </cell>
          <cell r="V863">
            <v>0</v>
          </cell>
          <cell r="W863">
            <v>0</v>
          </cell>
          <cell r="X863">
            <v>0</v>
          </cell>
        </row>
        <row r="864">
          <cell r="A864">
            <v>7274</v>
          </cell>
          <cell r="B864" t="str">
            <v>PERLA (ATLACOMULCO)</v>
          </cell>
          <cell r="C864">
            <v>0</v>
          </cell>
          <cell r="D864">
            <v>0</v>
          </cell>
          <cell r="E864" t="str">
            <v>ATLACOMULCO, EDO. DE MEXICO</v>
          </cell>
          <cell r="F864">
            <v>0</v>
          </cell>
          <cell r="G864">
            <v>0</v>
          </cell>
          <cell r="H864">
            <v>0</v>
          </cell>
          <cell r="I864">
            <v>0</v>
          </cell>
          <cell r="J864" t="str">
            <v>L08</v>
          </cell>
          <cell r="K864">
            <v>0</v>
          </cell>
          <cell r="L864">
            <v>0</v>
          </cell>
          <cell r="M864">
            <v>0</v>
          </cell>
          <cell r="N864">
            <v>0</v>
          </cell>
          <cell r="O864">
            <v>0</v>
          </cell>
          <cell r="P864">
            <v>0</v>
          </cell>
          <cell r="Q864">
            <v>0</v>
          </cell>
          <cell r="R864">
            <v>0</v>
          </cell>
          <cell r="S864">
            <v>0</v>
          </cell>
          <cell r="T864">
            <v>0</v>
          </cell>
          <cell r="U864">
            <v>0</v>
          </cell>
          <cell r="V864">
            <v>0</v>
          </cell>
          <cell r="W864">
            <v>0</v>
          </cell>
          <cell r="X864">
            <v>0</v>
          </cell>
        </row>
        <row r="865">
          <cell r="A865">
            <v>7275</v>
          </cell>
          <cell r="B865" t="str">
            <v>NORMA ANGELICA ROMERO (HUICHAPAN)</v>
          </cell>
          <cell r="C865">
            <v>0</v>
          </cell>
          <cell r="D865" t="str">
            <v>CENTRAL</v>
          </cell>
          <cell r="E865" t="str">
            <v>HUICHAPAN, HGO.</v>
          </cell>
          <cell r="F865">
            <v>0</v>
          </cell>
          <cell r="G865">
            <v>0</v>
          </cell>
          <cell r="H865">
            <v>0</v>
          </cell>
          <cell r="I865">
            <v>0</v>
          </cell>
          <cell r="J865" t="str">
            <v>J01</v>
          </cell>
          <cell r="K865">
            <v>0</v>
          </cell>
          <cell r="L865">
            <v>0</v>
          </cell>
          <cell r="M865">
            <v>0</v>
          </cell>
          <cell r="N865">
            <v>0</v>
          </cell>
          <cell r="O865">
            <v>0</v>
          </cell>
          <cell r="P865">
            <v>0</v>
          </cell>
          <cell r="Q865">
            <v>0</v>
          </cell>
          <cell r="R865">
            <v>0</v>
          </cell>
          <cell r="S865">
            <v>0</v>
          </cell>
          <cell r="T865">
            <v>0</v>
          </cell>
          <cell r="U865">
            <v>0</v>
          </cell>
          <cell r="V865">
            <v>0</v>
          </cell>
          <cell r="W865">
            <v>0</v>
          </cell>
          <cell r="X865">
            <v>0</v>
          </cell>
        </row>
        <row r="866">
          <cell r="A866">
            <v>7276</v>
          </cell>
          <cell r="B866" t="str">
            <v>MARIA GUADALUPE AVILA (MARAVATIO)</v>
          </cell>
          <cell r="C866">
            <v>0</v>
          </cell>
          <cell r="D866" t="str">
            <v>COMONFORT #10</v>
          </cell>
          <cell r="E866" t="str">
            <v>MARAVATIO, MICH.</v>
          </cell>
          <cell r="F866">
            <v>0</v>
          </cell>
          <cell r="G866">
            <v>0</v>
          </cell>
          <cell r="H866">
            <v>0</v>
          </cell>
          <cell r="I866">
            <v>0</v>
          </cell>
          <cell r="J866" t="str">
            <v>F06</v>
          </cell>
          <cell r="K866">
            <v>0</v>
          </cell>
          <cell r="L866">
            <v>0</v>
          </cell>
          <cell r="M866">
            <v>0</v>
          </cell>
          <cell r="N866">
            <v>0</v>
          </cell>
          <cell r="O866">
            <v>0</v>
          </cell>
          <cell r="P866">
            <v>0</v>
          </cell>
          <cell r="Q866">
            <v>0</v>
          </cell>
          <cell r="R866">
            <v>0</v>
          </cell>
          <cell r="S866">
            <v>0</v>
          </cell>
          <cell r="T866">
            <v>0</v>
          </cell>
          <cell r="U866">
            <v>0</v>
          </cell>
          <cell r="V866" t="str">
            <v>CENTRO</v>
          </cell>
          <cell r="W866">
            <v>0</v>
          </cell>
          <cell r="X866">
            <v>0</v>
          </cell>
        </row>
        <row r="867">
          <cell r="A867">
            <v>7277</v>
          </cell>
          <cell r="B867" t="str">
            <v>TANIA GABRIELA GARCIA (MARAVATIO)</v>
          </cell>
          <cell r="C867">
            <v>0</v>
          </cell>
          <cell r="D867">
            <v>0</v>
          </cell>
          <cell r="E867" t="str">
            <v>MARAVATIO, MICH.</v>
          </cell>
          <cell r="F867">
            <v>0</v>
          </cell>
          <cell r="G867">
            <v>0</v>
          </cell>
          <cell r="H867">
            <v>0</v>
          </cell>
          <cell r="I867">
            <v>0</v>
          </cell>
          <cell r="J867" t="str">
            <v>F06</v>
          </cell>
          <cell r="K867">
            <v>0</v>
          </cell>
          <cell r="L867">
            <v>0</v>
          </cell>
          <cell r="M867">
            <v>0</v>
          </cell>
          <cell r="N867">
            <v>0</v>
          </cell>
          <cell r="O867">
            <v>0</v>
          </cell>
          <cell r="P867">
            <v>0</v>
          </cell>
          <cell r="Q867">
            <v>0</v>
          </cell>
          <cell r="R867">
            <v>0</v>
          </cell>
          <cell r="S867">
            <v>0</v>
          </cell>
          <cell r="T867">
            <v>0</v>
          </cell>
          <cell r="U867">
            <v>0</v>
          </cell>
          <cell r="V867">
            <v>0</v>
          </cell>
          <cell r="W867">
            <v>0</v>
          </cell>
          <cell r="X867">
            <v>0</v>
          </cell>
        </row>
        <row r="868">
          <cell r="A868">
            <v>7278</v>
          </cell>
          <cell r="B868" t="str">
            <v>IMELDA MEDRANO OLVERA (QUERETARO)</v>
          </cell>
          <cell r="C868" t="str">
            <v>CHURPS</v>
          </cell>
          <cell r="D868" t="str">
            <v>AV. DE LA PIEDRA #1009</v>
          </cell>
          <cell r="E868" t="str">
            <v>QUERETARO, QRO.</v>
          </cell>
          <cell r="F868">
            <v>0</v>
          </cell>
          <cell r="G868" t="str">
            <v>(442) 359-8581</v>
          </cell>
          <cell r="H868">
            <v>0</v>
          </cell>
          <cell r="I868">
            <v>0</v>
          </cell>
          <cell r="J868" t="str">
            <v>L04</v>
          </cell>
          <cell r="K868">
            <v>0</v>
          </cell>
          <cell r="L868">
            <v>0</v>
          </cell>
          <cell r="M868">
            <v>0</v>
          </cell>
          <cell r="N868">
            <v>0</v>
          </cell>
          <cell r="O868">
            <v>0</v>
          </cell>
          <cell r="P868">
            <v>0</v>
          </cell>
          <cell r="Q868">
            <v>0</v>
          </cell>
          <cell r="R868">
            <v>0</v>
          </cell>
          <cell r="S868">
            <v>0</v>
          </cell>
          <cell r="T868">
            <v>0</v>
          </cell>
          <cell r="U868">
            <v>0</v>
          </cell>
          <cell r="V868" t="str">
            <v>SATELITE</v>
          </cell>
          <cell r="W868">
            <v>0</v>
          </cell>
          <cell r="X868">
            <v>0</v>
          </cell>
        </row>
        <row r="869">
          <cell r="A869">
            <v>7279</v>
          </cell>
          <cell r="B869" t="str">
            <v>JAQUELINE MEJIA MORA (MARAVATIO)</v>
          </cell>
          <cell r="C869" t="str">
            <v>NOHEMI</v>
          </cell>
          <cell r="D869" t="str">
            <v>AQUILES SERDAN #413 B</v>
          </cell>
          <cell r="E869" t="str">
            <v>MARAVATIO, MICH.</v>
          </cell>
          <cell r="F869">
            <v>0</v>
          </cell>
          <cell r="G869">
            <v>0</v>
          </cell>
          <cell r="H869">
            <v>0</v>
          </cell>
          <cell r="I869">
            <v>0</v>
          </cell>
          <cell r="J869" t="str">
            <v>F06</v>
          </cell>
          <cell r="K869">
            <v>0</v>
          </cell>
          <cell r="L869">
            <v>0</v>
          </cell>
          <cell r="M869">
            <v>0</v>
          </cell>
          <cell r="N869">
            <v>0</v>
          </cell>
          <cell r="O869">
            <v>0</v>
          </cell>
          <cell r="P869">
            <v>0</v>
          </cell>
          <cell r="Q869">
            <v>0</v>
          </cell>
          <cell r="R869">
            <v>0</v>
          </cell>
          <cell r="S869">
            <v>0</v>
          </cell>
          <cell r="T869">
            <v>0</v>
          </cell>
          <cell r="U869">
            <v>0</v>
          </cell>
          <cell r="V869" t="str">
            <v>CENTRO</v>
          </cell>
          <cell r="W869">
            <v>0</v>
          </cell>
          <cell r="X869">
            <v>0</v>
          </cell>
        </row>
        <row r="870">
          <cell r="A870">
            <v>7280</v>
          </cell>
          <cell r="B870" t="str">
            <v>ISABEL RUIZ "DETALLES"(QUERETARO)</v>
          </cell>
          <cell r="C870">
            <v>0</v>
          </cell>
          <cell r="D870" t="str">
            <v>BENITO JUAREZ #15</v>
          </cell>
          <cell r="E870" t="str">
            <v>QUERETARO, QRO.</v>
          </cell>
          <cell r="F870">
            <v>0</v>
          </cell>
          <cell r="G870">
            <v>0</v>
          </cell>
          <cell r="H870">
            <v>0</v>
          </cell>
          <cell r="I870">
            <v>0</v>
          </cell>
          <cell r="J870" t="str">
            <v>L04</v>
          </cell>
          <cell r="K870">
            <v>0</v>
          </cell>
          <cell r="L870">
            <v>0</v>
          </cell>
          <cell r="M870">
            <v>0</v>
          </cell>
          <cell r="N870">
            <v>0</v>
          </cell>
          <cell r="O870">
            <v>0</v>
          </cell>
          <cell r="P870">
            <v>0</v>
          </cell>
          <cell r="Q870">
            <v>0</v>
          </cell>
          <cell r="R870">
            <v>0</v>
          </cell>
          <cell r="S870">
            <v>0</v>
          </cell>
          <cell r="T870">
            <v>0</v>
          </cell>
          <cell r="U870">
            <v>0</v>
          </cell>
          <cell r="V870" t="str">
            <v>STA. BARBARA</v>
          </cell>
          <cell r="W870">
            <v>0</v>
          </cell>
          <cell r="X870">
            <v>0</v>
          </cell>
        </row>
        <row r="871">
          <cell r="A871">
            <v>7281</v>
          </cell>
          <cell r="B871" t="str">
            <v>JESSICA FABIOLA ESPITIA (CORTAZAR)</v>
          </cell>
          <cell r="C871">
            <v>0</v>
          </cell>
          <cell r="D871" t="str">
            <v>AV. CHAPINGO #412-A</v>
          </cell>
          <cell r="E871" t="str">
            <v>CORTAZAR, GTO.</v>
          </cell>
          <cell r="F871">
            <v>0</v>
          </cell>
          <cell r="G871">
            <v>0</v>
          </cell>
          <cell r="H871">
            <v>0</v>
          </cell>
          <cell r="I871">
            <v>0</v>
          </cell>
          <cell r="J871" t="str">
            <v>F06</v>
          </cell>
          <cell r="K871">
            <v>0</v>
          </cell>
          <cell r="L871">
            <v>0</v>
          </cell>
          <cell r="M871">
            <v>0</v>
          </cell>
          <cell r="N871">
            <v>0</v>
          </cell>
          <cell r="O871">
            <v>0</v>
          </cell>
          <cell r="P871">
            <v>0</v>
          </cell>
          <cell r="Q871">
            <v>0</v>
          </cell>
          <cell r="R871">
            <v>0</v>
          </cell>
          <cell r="S871">
            <v>0</v>
          </cell>
          <cell r="T871">
            <v>0</v>
          </cell>
          <cell r="U871">
            <v>0</v>
          </cell>
          <cell r="V871" t="str">
            <v>PRIMERO ES CORTAZAR</v>
          </cell>
          <cell r="W871">
            <v>0</v>
          </cell>
          <cell r="X871">
            <v>0</v>
          </cell>
        </row>
        <row r="872">
          <cell r="A872">
            <v>7282</v>
          </cell>
          <cell r="B872" t="str">
            <v>RODRIGO ACEVEDO (TEZONTEPEC)</v>
          </cell>
          <cell r="C872">
            <v>0</v>
          </cell>
          <cell r="D872" t="str">
            <v>PAPELERIA FC</v>
          </cell>
          <cell r="E872" t="str">
            <v>TEZONTEPEC, HGO.</v>
          </cell>
          <cell r="F872">
            <v>0</v>
          </cell>
          <cell r="G872" t="str">
            <v>(773) 144-8936</v>
          </cell>
          <cell r="H872">
            <v>0</v>
          </cell>
          <cell r="I872">
            <v>0</v>
          </cell>
          <cell r="J872" t="str">
            <v>F02</v>
          </cell>
          <cell r="K872">
            <v>0</v>
          </cell>
          <cell r="L872">
            <v>0</v>
          </cell>
          <cell r="M872">
            <v>0</v>
          </cell>
          <cell r="N872">
            <v>0</v>
          </cell>
          <cell r="O872">
            <v>0</v>
          </cell>
          <cell r="P872">
            <v>0</v>
          </cell>
          <cell r="Q872">
            <v>0</v>
          </cell>
          <cell r="R872">
            <v>0</v>
          </cell>
          <cell r="S872">
            <v>0</v>
          </cell>
          <cell r="T872">
            <v>0</v>
          </cell>
          <cell r="U872">
            <v>0</v>
          </cell>
          <cell r="V872">
            <v>0</v>
          </cell>
          <cell r="W872">
            <v>0</v>
          </cell>
          <cell r="X872">
            <v>0</v>
          </cell>
        </row>
        <row r="873">
          <cell r="A873">
            <v>7283</v>
          </cell>
          <cell r="B873" t="str">
            <v>KADYABED RANGEL (MARAVATIO)</v>
          </cell>
          <cell r="C873">
            <v>0</v>
          </cell>
          <cell r="D873">
            <v>0</v>
          </cell>
          <cell r="E873" t="str">
            <v>MARAVATIO, MICH.</v>
          </cell>
          <cell r="F873">
            <v>0</v>
          </cell>
          <cell r="G873">
            <v>0</v>
          </cell>
          <cell r="H873">
            <v>0</v>
          </cell>
          <cell r="I873">
            <v>0</v>
          </cell>
          <cell r="J873" t="str">
            <v>F06</v>
          </cell>
          <cell r="K873">
            <v>0</v>
          </cell>
          <cell r="L873">
            <v>0</v>
          </cell>
          <cell r="M873">
            <v>0</v>
          </cell>
          <cell r="N873">
            <v>0</v>
          </cell>
          <cell r="O873">
            <v>0</v>
          </cell>
          <cell r="P873">
            <v>0</v>
          </cell>
          <cell r="Q873">
            <v>0</v>
          </cell>
          <cell r="R873">
            <v>0</v>
          </cell>
          <cell r="S873">
            <v>0</v>
          </cell>
          <cell r="T873">
            <v>0</v>
          </cell>
          <cell r="U873">
            <v>0</v>
          </cell>
          <cell r="V873">
            <v>0</v>
          </cell>
          <cell r="W873">
            <v>0</v>
          </cell>
          <cell r="X873">
            <v>0</v>
          </cell>
        </row>
        <row r="874">
          <cell r="A874">
            <v>7284</v>
          </cell>
          <cell r="B874" t="str">
            <v>EDUARDO VALLEJO (COACALCO)</v>
          </cell>
          <cell r="C874">
            <v>0</v>
          </cell>
          <cell r="D874">
            <v>0</v>
          </cell>
          <cell r="E874" t="str">
            <v>-</v>
          </cell>
          <cell r="F874">
            <v>0</v>
          </cell>
          <cell r="G874">
            <v>0</v>
          </cell>
          <cell r="H874">
            <v>0</v>
          </cell>
          <cell r="I874">
            <v>0</v>
          </cell>
          <cell r="J874">
            <v>0</v>
          </cell>
          <cell r="K874">
            <v>0</v>
          </cell>
          <cell r="L874">
            <v>0</v>
          </cell>
          <cell r="M874">
            <v>0</v>
          </cell>
          <cell r="N874">
            <v>0</v>
          </cell>
          <cell r="O874">
            <v>0</v>
          </cell>
          <cell r="P874">
            <v>0</v>
          </cell>
          <cell r="Q874">
            <v>0</v>
          </cell>
          <cell r="R874">
            <v>0</v>
          </cell>
          <cell r="S874">
            <v>0</v>
          </cell>
          <cell r="T874">
            <v>0</v>
          </cell>
          <cell r="U874">
            <v>0</v>
          </cell>
          <cell r="V874">
            <v>0</v>
          </cell>
          <cell r="W874">
            <v>0</v>
          </cell>
          <cell r="X874">
            <v>0</v>
          </cell>
        </row>
        <row r="875">
          <cell r="A875">
            <v>7285</v>
          </cell>
          <cell r="B875" t="str">
            <v>ADAN RODRIGUEZ (ZUMPANGO)</v>
          </cell>
          <cell r="C875">
            <v>0</v>
          </cell>
          <cell r="D875">
            <v>0</v>
          </cell>
          <cell r="E875" t="str">
            <v>ZUMPANGO, EDO. DE MEXICO</v>
          </cell>
          <cell r="F875">
            <v>0</v>
          </cell>
          <cell r="G875">
            <v>0</v>
          </cell>
          <cell r="H875">
            <v>0</v>
          </cell>
          <cell r="I875">
            <v>0</v>
          </cell>
          <cell r="J875">
            <v>0</v>
          </cell>
          <cell r="K875">
            <v>0</v>
          </cell>
          <cell r="L875">
            <v>0</v>
          </cell>
          <cell r="M875">
            <v>0</v>
          </cell>
          <cell r="N875">
            <v>0</v>
          </cell>
          <cell r="O875">
            <v>0</v>
          </cell>
          <cell r="P875">
            <v>0</v>
          </cell>
          <cell r="Q875">
            <v>0</v>
          </cell>
          <cell r="R875">
            <v>0</v>
          </cell>
          <cell r="S875">
            <v>0</v>
          </cell>
          <cell r="T875">
            <v>0</v>
          </cell>
          <cell r="U875">
            <v>0</v>
          </cell>
          <cell r="V875">
            <v>0</v>
          </cell>
          <cell r="W875">
            <v>0</v>
          </cell>
          <cell r="X875">
            <v>0</v>
          </cell>
        </row>
        <row r="876">
          <cell r="A876">
            <v>7286</v>
          </cell>
          <cell r="B876" t="str">
            <v>EL REGALO (IRAPUATO)</v>
          </cell>
          <cell r="C876">
            <v>0</v>
          </cell>
          <cell r="D876" t="str">
            <v>MANUEL DOBLADO #46 NTE.</v>
          </cell>
          <cell r="E876" t="str">
            <v>IRAPUATO, GTO.</v>
          </cell>
          <cell r="F876">
            <v>0</v>
          </cell>
          <cell r="G876" t="str">
            <v>(462) 626-3366</v>
          </cell>
          <cell r="H876">
            <v>0</v>
          </cell>
          <cell r="I876">
            <v>0</v>
          </cell>
          <cell r="J876">
            <v>0</v>
          </cell>
          <cell r="K876">
            <v>0</v>
          </cell>
          <cell r="L876">
            <v>0</v>
          </cell>
          <cell r="M876">
            <v>0</v>
          </cell>
          <cell r="N876">
            <v>0</v>
          </cell>
          <cell r="O876">
            <v>0</v>
          </cell>
          <cell r="P876">
            <v>0</v>
          </cell>
          <cell r="Q876">
            <v>0</v>
          </cell>
          <cell r="R876">
            <v>0</v>
          </cell>
          <cell r="S876">
            <v>0</v>
          </cell>
          <cell r="T876">
            <v>0</v>
          </cell>
          <cell r="U876">
            <v>0</v>
          </cell>
          <cell r="V876" t="str">
            <v>CENTRO</v>
          </cell>
          <cell r="W876">
            <v>0</v>
          </cell>
          <cell r="X876">
            <v>0</v>
          </cell>
        </row>
        <row r="877">
          <cell r="A877">
            <v>7287</v>
          </cell>
          <cell r="B877" t="str">
            <v>YOSELIN RODRIGUEZ RUIZ (P. ESCOBEDO)</v>
          </cell>
          <cell r="C877">
            <v>0</v>
          </cell>
          <cell r="D877" t="str">
            <v>HACIENDA CHICHIMEQUILLAS #39</v>
          </cell>
          <cell r="E877" t="str">
            <v>PEDRO ESCOBEDO, QRO.</v>
          </cell>
          <cell r="F877">
            <v>0</v>
          </cell>
          <cell r="G877" t="str">
            <v>(448) 116-5937</v>
          </cell>
          <cell r="H877">
            <v>0</v>
          </cell>
          <cell r="I877">
            <v>0</v>
          </cell>
          <cell r="J877">
            <v>0</v>
          </cell>
          <cell r="K877">
            <v>0</v>
          </cell>
          <cell r="L877">
            <v>0</v>
          </cell>
          <cell r="M877">
            <v>0</v>
          </cell>
          <cell r="N877">
            <v>0</v>
          </cell>
          <cell r="O877">
            <v>0</v>
          </cell>
          <cell r="P877">
            <v>0</v>
          </cell>
          <cell r="Q877">
            <v>0</v>
          </cell>
          <cell r="R877">
            <v>0</v>
          </cell>
          <cell r="S877">
            <v>0</v>
          </cell>
          <cell r="T877">
            <v>0</v>
          </cell>
          <cell r="U877">
            <v>0</v>
          </cell>
          <cell r="V877" t="str">
            <v>ROMA LA LIRA</v>
          </cell>
          <cell r="W877">
            <v>0</v>
          </cell>
          <cell r="X877">
            <v>0</v>
          </cell>
        </row>
        <row r="878">
          <cell r="A878">
            <v>7288</v>
          </cell>
          <cell r="B878" t="str">
            <v>GUADALUPE CANTERA RAMIREZ (SJR)</v>
          </cell>
          <cell r="C878">
            <v>0</v>
          </cell>
          <cell r="D878" t="str">
            <v>LABRADORITO #29</v>
          </cell>
          <cell r="E878" t="str">
            <v>SAN JUAN DEL RIO, QRO.</v>
          </cell>
          <cell r="F878">
            <v>0</v>
          </cell>
          <cell r="G878">
            <v>0</v>
          </cell>
          <cell r="H878">
            <v>0</v>
          </cell>
          <cell r="I878">
            <v>0</v>
          </cell>
          <cell r="J878">
            <v>0</v>
          </cell>
          <cell r="K878">
            <v>0</v>
          </cell>
          <cell r="L878">
            <v>0</v>
          </cell>
          <cell r="M878">
            <v>0</v>
          </cell>
          <cell r="N878">
            <v>0</v>
          </cell>
          <cell r="O878">
            <v>0</v>
          </cell>
          <cell r="P878">
            <v>0</v>
          </cell>
          <cell r="Q878">
            <v>0</v>
          </cell>
          <cell r="R878">
            <v>0</v>
          </cell>
          <cell r="S878">
            <v>0</v>
          </cell>
          <cell r="T878">
            <v>0</v>
          </cell>
          <cell r="U878">
            <v>0</v>
          </cell>
          <cell r="V878" t="str">
            <v>EL PEDREGOSO</v>
          </cell>
          <cell r="W878">
            <v>0</v>
          </cell>
          <cell r="X878">
            <v>0</v>
          </cell>
        </row>
        <row r="879">
          <cell r="A879">
            <v>7289</v>
          </cell>
          <cell r="B879" t="str">
            <v>ROSARIO LICEA (A. EL GRANDE)</v>
          </cell>
          <cell r="C879">
            <v>0</v>
          </cell>
          <cell r="D879" t="str">
            <v>GUADALUPE VICTORIA #209</v>
          </cell>
          <cell r="E879" t="str">
            <v>APASEO EL GRANDE, GTO.</v>
          </cell>
          <cell r="F879">
            <v>0</v>
          </cell>
          <cell r="G879" t="str">
            <v>(413) 129-4214</v>
          </cell>
          <cell r="H879">
            <v>0</v>
          </cell>
          <cell r="I879">
            <v>0</v>
          </cell>
          <cell r="J879" t="str">
            <v>F04</v>
          </cell>
          <cell r="K879">
            <v>0</v>
          </cell>
          <cell r="L879">
            <v>0</v>
          </cell>
          <cell r="M879">
            <v>0</v>
          </cell>
          <cell r="N879">
            <v>0</v>
          </cell>
          <cell r="O879">
            <v>0</v>
          </cell>
          <cell r="P879">
            <v>0</v>
          </cell>
          <cell r="Q879">
            <v>0</v>
          </cell>
          <cell r="R879">
            <v>0</v>
          </cell>
          <cell r="S879">
            <v>0</v>
          </cell>
          <cell r="T879">
            <v>0</v>
          </cell>
          <cell r="U879">
            <v>0</v>
          </cell>
          <cell r="V879" t="str">
            <v>CENTRO</v>
          </cell>
          <cell r="W879">
            <v>0</v>
          </cell>
          <cell r="X879">
            <v>0</v>
          </cell>
        </row>
        <row r="880">
          <cell r="A880">
            <v>7290</v>
          </cell>
          <cell r="B880" t="str">
            <v>EDNA ANGELICA PEREZ NICOLAS (SJR)</v>
          </cell>
          <cell r="C880">
            <v>0</v>
          </cell>
          <cell r="D880" t="str">
            <v>NUECES #72 "PAPELERIA ACUARELA"</v>
          </cell>
          <cell r="E880" t="str">
            <v>SAN JUAN DEL RIO, QRO.</v>
          </cell>
          <cell r="F880">
            <v>0</v>
          </cell>
          <cell r="G880" t="str">
            <v>(427) 231-7631</v>
          </cell>
          <cell r="H880">
            <v>0</v>
          </cell>
          <cell r="I880">
            <v>0</v>
          </cell>
          <cell r="J880">
            <v>0</v>
          </cell>
          <cell r="K880">
            <v>0</v>
          </cell>
          <cell r="L880">
            <v>0</v>
          </cell>
          <cell r="M880">
            <v>0</v>
          </cell>
          <cell r="N880">
            <v>0</v>
          </cell>
          <cell r="O880">
            <v>0</v>
          </cell>
          <cell r="P880">
            <v>0</v>
          </cell>
          <cell r="Q880">
            <v>0</v>
          </cell>
          <cell r="R880">
            <v>0</v>
          </cell>
          <cell r="S880">
            <v>0</v>
          </cell>
          <cell r="T880">
            <v>0</v>
          </cell>
          <cell r="U880">
            <v>0</v>
          </cell>
          <cell r="V880" t="str">
            <v>FRACC. LOS NOGALES</v>
          </cell>
          <cell r="W880">
            <v>0</v>
          </cell>
          <cell r="X880">
            <v>0</v>
          </cell>
        </row>
        <row r="881">
          <cell r="A881">
            <v>7291</v>
          </cell>
          <cell r="B881" t="str">
            <v>DULCE VIDA (TARANDA)</v>
          </cell>
          <cell r="C881">
            <v>0</v>
          </cell>
          <cell r="D881">
            <v>0</v>
          </cell>
          <cell r="E881" t="str">
            <v>TARANDACUAO, GTO.</v>
          </cell>
          <cell r="F881">
            <v>0</v>
          </cell>
          <cell r="G881">
            <v>0</v>
          </cell>
          <cell r="H881">
            <v>0</v>
          </cell>
          <cell r="I881">
            <v>0</v>
          </cell>
          <cell r="J881">
            <v>0</v>
          </cell>
          <cell r="K881">
            <v>0</v>
          </cell>
          <cell r="L881">
            <v>0</v>
          </cell>
          <cell r="M881">
            <v>0</v>
          </cell>
          <cell r="N881">
            <v>0</v>
          </cell>
          <cell r="O881">
            <v>0</v>
          </cell>
          <cell r="P881">
            <v>0</v>
          </cell>
          <cell r="Q881">
            <v>0</v>
          </cell>
          <cell r="R881">
            <v>0</v>
          </cell>
          <cell r="S881">
            <v>0</v>
          </cell>
          <cell r="T881">
            <v>0</v>
          </cell>
          <cell r="U881">
            <v>0</v>
          </cell>
          <cell r="V881">
            <v>0</v>
          </cell>
          <cell r="W881">
            <v>0</v>
          </cell>
          <cell r="X881">
            <v>0</v>
          </cell>
        </row>
        <row r="882">
          <cell r="A882">
            <v>7292</v>
          </cell>
          <cell r="B882" t="str">
            <v>LA SIRENITA (JERECUARO)</v>
          </cell>
          <cell r="C882">
            <v>0</v>
          </cell>
          <cell r="D882">
            <v>0</v>
          </cell>
          <cell r="E882" t="str">
            <v>JERECUARO, GTO.</v>
          </cell>
          <cell r="F882">
            <v>0</v>
          </cell>
          <cell r="G882">
            <v>0</v>
          </cell>
          <cell r="H882">
            <v>0</v>
          </cell>
          <cell r="I882">
            <v>0</v>
          </cell>
          <cell r="J882">
            <v>0</v>
          </cell>
          <cell r="K882">
            <v>0</v>
          </cell>
          <cell r="L882">
            <v>0</v>
          </cell>
          <cell r="M882">
            <v>0</v>
          </cell>
          <cell r="N882">
            <v>0</v>
          </cell>
          <cell r="O882">
            <v>0</v>
          </cell>
          <cell r="P882">
            <v>0</v>
          </cell>
          <cell r="Q882">
            <v>0</v>
          </cell>
          <cell r="R882">
            <v>0</v>
          </cell>
          <cell r="S882">
            <v>0</v>
          </cell>
          <cell r="T882">
            <v>0</v>
          </cell>
          <cell r="U882">
            <v>0</v>
          </cell>
          <cell r="V882">
            <v>0</v>
          </cell>
          <cell r="W882">
            <v>0</v>
          </cell>
          <cell r="X882">
            <v>0</v>
          </cell>
        </row>
        <row r="883">
          <cell r="A883">
            <v>7293</v>
          </cell>
          <cell r="B883" t="str">
            <v>ANA MARIA BAÑUELOS (QUERETARO)</v>
          </cell>
          <cell r="C883" t="str">
            <v>REGALOS ANITA</v>
          </cell>
          <cell r="D883" t="str">
            <v>ALFONSO REYES #521</v>
          </cell>
          <cell r="E883" t="str">
            <v>QUERETARO, QRO.</v>
          </cell>
          <cell r="F883">
            <v>0</v>
          </cell>
          <cell r="G883" t="str">
            <v>(442) 282-0362</v>
          </cell>
          <cell r="H883">
            <v>0</v>
          </cell>
          <cell r="I883">
            <v>0</v>
          </cell>
          <cell r="J883">
            <v>0</v>
          </cell>
          <cell r="K883">
            <v>0</v>
          </cell>
          <cell r="L883">
            <v>0</v>
          </cell>
          <cell r="M883">
            <v>0</v>
          </cell>
          <cell r="N883">
            <v>0</v>
          </cell>
          <cell r="O883">
            <v>0</v>
          </cell>
          <cell r="P883">
            <v>0</v>
          </cell>
          <cell r="Q883">
            <v>0</v>
          </cell>
          <cell r="R883">
            <v>0</v>
          </cell>
          <cell r="S883">
            <v>0</v>
          </cell>
          <cell r="T883">
            <v>0</v>
          </cell>
          <cell r="U883">
            <v>0</v>
          </cell>
          <cell r="V883" t="str">
            <v>EL TINTERO</v>
          </cell>
          <cell r="W883">
            <v>0</v>
          </cell>
          <cell r="X883">
            <v>0</v>
          </cell>
        </row>
        <row r="884">
          <cell r="A884">
            <v>7294</v>
          </cell>
          <cell r="B884" t="str">
            <v>VIRGINIA SANDOVAL (EPITACIO HUERTA)</v>
          </cell>
          <cell r="C884">
            <v>0</v>
          </cell>
          <cell r="D884">
            <v>0</v>
          </cell>
          <cell r="E884" t="str">
            <v>EPITACIO HUERTA, MICH.</v>
          </cell>
          <cell r="F884">
            <v>0</v>
          </cell>
          <cell r="G884">
            <v>0</v>
          </cell>
          <cell r="H884">
            <v>0</v>
          </cell>
          <cell r="I884">
            <v>0</v>
          </cell>
          <cell r="J884">
            <v>0</v>
          </cell>
          <cell r="K884">
            <v>0</v>
          </cell>
          <cell r="L884">
            <v>0</v>
          </cell>
          <cell r="M884">
            <v>0</v>
          </cell>
          <cell r="N884">
            <v>0</v>
          </cell>
          <cell r="O884">
            <v>0</v>
          </cell>
          <cell r="P884">
            <v>0</v>
          </cell>
          <cell r="Q884">
            <v>0</v>
          </cell>
          <cell r="R884">
            <v>0</v>
          </cell>
          <cell r="S884">
            <v>0</v>
          </cell>
          <cell r="T884">
            <v>0</v>
          </cell>
          <cell r="U884">
            <v>0</v>
          </cell>
          <cell r="V884">
            <v>0</v>
          </cell>
          <cell r="W884">
            <v>0</v>
          </cell>
          <cell r="X884">
            <v>0</v>
          </cell>
        </row>
        <row r="885">
          <cell r="A885">
            <v>7295</v>
          </cell>
          <cell r="B885" t="str">
            <v>LUIS MARTINEZ ROMERO (ATLACOMULCO)</v>
          </cell>
          <cell r="C885">
            <v>0</v>
          </cell>
          <cell r="D885" t="str">
            <v>ALFREDO DEL MAZO S/N</v>
          </cell>
          <cell r="E885" t="str">
            <v>ATLACOMULCO, EDO. DE MEXICO</v>
          </cell>
          <cell r="F885">
            <v>0</v>
          </cell>
          <cell r="G885">
            <v>0</v>
          </cell>
          <cell r="H885">
            <v>0</v>
          </cell>
          <cell r="I885">
            <v>0</v>
          </cell>
          <cell r="J885">
            <v>0</v>
          </cell>
          <cell r="K885">
            <v>0</v>
          </cell>
          <cell r="L885">
            <v>0</v>
          </cell>
          <cell r="M885">
            <v>0</v>
          </cell>
          <cell r="N885">
            <v>0</v>
          </cell>
          <cell r="O885">
            <v>0</v>
          </cell>
          <cell r="P885">
            <v>0</v>
          </cell>
          <cell r="Q885">
            <v>0</v>
          </cell>
          <cell r="R885">
            <v>0</v>
          </cell>
          <cell r="S885">
            <v>0</v>
          </cell>
          <cell r="T885">
            <v>0</v>
          </cell>
          <cell r="U885">
            <v>0</v>
          </cell>
          <cell r="V885">
            <v>0</v>
          </cell>
          <cell r="W885">
            <v>0</v>
          </cell>
          <cell r="X885">
            <v>0</v>
          </cell>
        </row>
        <row r="886">
          <cell r="A886">
            <v>7296</v>
          </cell>
          <cell r="B886" t="str">
            <v>FLORERIA ETERNITY (SAN JUAN DEL RIO)</v>
          </cell>
          <cell r="C886">
            <v>0</v>
          </cell>
          <cell r="D886" t="str">
            <v>20 DE NOVIEMBRE</v>
          </cell>
          <cell r="E886" t="str">
            <v>SAN JUAN DEL RIO, QRO.</v>
          </cell>
          <cell r="F886">
            <v>0</v>
          </cell>
          <cell r="G886">
            <v>0</v>
          </cell>
          <cell r="H886">
            <v>0</v>
          </cell>
          <cell r="I886">
            <v>0</v>
          </cell>
          <cell r="J886">
            <v>0</v>
          </cell>
          <cell r="K886">
            <v>0</v>
          </cell>
          <cell r="L886">
            <v>0</v>
          </cell>
          <cell r="M886">
            <v>0</v>
          </cell>
          <cell r="N886">
            <v>0</v>
          </cell>
          <cell r="O886">
            <v>0</v>
          </cell>
          <cell r="P886">
            <v>0</v>
          </cell>
          <cell r="Q886">
            <v>0</v>
          </cell>
          <cell r="R886">
            <v>0</v>
          </cell>
          <cell r="S886">
            <v>0</v>
          </cell>
          <cell r="T886">
            <v>0</v>
          </cell>
          <cell r="U886">
            <v>0</v>
          </cell>
          <cell r="V886" t="str">
            <v>CENTRO</v>
          </cell>
          <cell r="W886">
            <v>0</v>
          </cell>
          <cell r="X886">
            <v>0</v>
          </cell>
        </row>
        <row r="887">
          <cell r="A887">
            <v>7297</v>
          </cell>
          <cell r="B887" t="str">
            <v>MARIA ELENA TORREJON (SAN JOSE ITURBIDE)</v>
          </cell>
          <cell r="C887">
            <v>0</v>
          </cell>
          <cell r="D887">
            <v>0</v>
          </cell>
          <cell r="E887" t="str">
            <v>SAN JOSE ITURBIDE, GTO.</v>
          </cell>
          <cell r="F887">
            <v>0</v>
          </cell>
          <cell r="G887" t="str">
            <v>(419) 118-0340</v>
          </cell>
          <cell r="H887">
            <v>0</v>
          </cell>
          <cell r="I887">
            <v>0</v>
          </cell>
          <cell r="J887">
            <v>0</v>
          </cell>
          <cell r="K887">
            <v>0</v>
          </cell>
          <cell r="L887">
            <v>0</v>
          </cell>
          <cell r="M887">
            <v>0</v>
          </cell>
          <cell r="N887">
            <v>0</v>
          </cell>
          <cell r="O887">
            <v>0</v>
          </cell>
          <cell r="P887">
            <v>0</v>
          </cell>
          <cell r="Q887">
            <v>0</v>
          </cell>
          <cell r="R887">
            <v>0</v>
          </cell>
          <cell r="S887">
            <v>0</v>
          </cell>
          <cell r="T887">
            <v>0</v>
          </cell>
          <cell r="U887">
            <v>0</v>
          </cell>
          <cell r="V887">
            <v>0</v>
          </cell>
          <cell r="W887">
            <v>0</v>
          </cell>
          <cell r="X887">
            <v>0</v>
          </cell>
        </row>
        <row r="888">
          <cell r="A888">
            <v>7298</v>
          </cell>
          <cell r="B888" t="str">
            <v>ARACELI OLVERA CHAVEZ (SAN JOSE ITURBIDE)</v>
          </cell>
          <cell r="C888">
            <v>0</v>
          </cell>
          <cell r="D888" t="str">
            <v>ALLENDE #57</v>
          </cell>
          <cell r="E888" t="str">
            <v>SAN JOSE ITURBIDE, GTO.</v>
          </cell>
          <cell r="F888">
            <v>0</v>
          </cell>
          <cell r="G888" t="str">
            <v>(419) 105-2936</v>
          </cell>
          <cell r="H888">
            <v>0</v>
          </cell>
          <cell r="I888">
            <v>0</v>
          </cell>
          <cell r="J888">
            <v>0</v>
          </cell>
          <cell r="K888">
            <v>0</v>
          </cell>
          <cell r="L888">
            <v>0</v>
          </cell>
          <cell r="M888">
            <v>0</v>
          </cell>
          <cell r="N888">
            <v>0</v>
          </cell>
          <cell r="O888">
            <v>0</v>
          </cell>
          <cell r="P888">
            <v>0</v>
          </cell>
          <cell r="Q888">
            <v>0</v>
          </cell>
          <cell r="R888">
            <v>0</v>
          </cell>
          <cell r="S888">
            <v>0</v>
          </cell>
          <cell r="T888">
            <v>0</v>
          </cell>
          <cell r="U888">
            <v>0</v>
          </cell>
          <cell r="V888" t="str">
            <v>CENTRO</v>
          </cell>
          <cell r="W888">
            <v>0</v>
          </cell>
          <cell r="X888">
            <v>0</v>
          </cell>
        </row>
        <row r="889">
          <cell r="A889">
            <v>7299</v>
          </cell>
          <cell r="B889" t="str">
            <v>MARIBEL PEREZ (AMEALCO)</v>
          </cell>
          <cell r="C889">
            <v>0</v>
          </cell>
          <cell r="D889" t="str">
            <v>HIDALGO #386</v>
          </cell>
          <cell r="E889" t="str">
            <v>AMEALCO, QRO.</v>
          </cell>
          <cell r="F889">
            <v>0</v>
          </cell>
          <cell r="G889">
            <v>0</v>
          </cell>
          <cell r="H889">
            <v>0</v>
          </cell>
          <cell r="I889">
            <v>0</v>
          </cell>
          <cell r="J889">
            <v>0</v>
          </cell>
          <cell r="K889">
            <v>0</v>
          </cell>
          <cell r="L889">
            <v>0</v>
          </cell>
          <cell r="M889">
            <v>0</v>
          </cell>
          <cell r="N889">
            <v>0</v>
          </cell>
          <cell r="O889">
            <v>0</v>
          </cell>
          <cell r="P889">
            <v>0</v>
          </cell>
          <cell r="Q889">
            <v>0</v>
          </cell>
          <cell r="R889">
            <v>0</v>
          </cell>
          <cell r="S889">
            <v>0</v>
          </cell>
          <cell r="T889">
            <v>0</v>
          </cell>
          <cell r="U889">
            <v>0</v>
          </cell>
          <cell r="V889" t="str">
            <v>CENTRO</v>
          </cell>
          <cell r="W889">
            <v>0</v>
          </cell>
          <cell r="X889">
            <v>0</v>
          </cell>
        </row>
        <row r="890">
          <cell r="A890">
            <v>7300</v>
          </cell>
          <cell r="B890" t="str">
            <v>OLIVIA FRIAS (CORONEO)</v>
          </cell>
          <cell r="C890">
            <v>0</v>
          </cell>
          <cell r="D890" t="str">
            <v>ALDAMA #258</v>
          </cell>
          <cell r="E890" t="str">
            <v>CORONEO, GTO.</v>
          </cell>
          <cell r="F890">
            <v>0</v>
          </cell>
          <cell r="G890">
            <v>0</v>
          </cell>
          <cell r="H890">
            <v>0</v>
          </cell>
          <cell r="I890">
            <v>0</v>
          </cell>
          <cell r="J890">
            <v>0</v>
          </cell>
          <cell r="K890">
            <v>0</v>
          </cell>
          <cell r="L890">
            <v>0</v>
          </cell>
          <cell r="M890">
            <v>0</v>
          </cell>
          <cell r="N890">
            <v>0</v>
          </cell>
          <cell r="O890">
            <v>0</v>
          </cell>
          <cell r="P890">
            <v>0</v>
          </cell>
          <cell r="Q890">
            <v>0</v>
          </cell>
          <cell r="R890">
            <v>0</v>
          </cell>
          <cell r="S890">
            <v>0</v>
          </cell>
          <cell r="T890">
            <v>0</v>
          </cell>
          <cell r="U890">
            <v>0</v>
          </cell>
          <cell r="V890" t="str">
            <v>CENTRO</v>
          </cell>
          <cell r="W890">
            <v>0</v>
          </cell>
          <cell r="X890">
            <v>0</v>
          </cell>
        </row>
        <row r="891">
          <cell r="A891">
            <v>7301</v>
          </cell>
          <cell r="B891" t="str">
            <v>DULCERIA JOVANI (ACAMBARO)</v>
          </cell>
          <cell r="C891">
            <v>0</v>
          </cell>
          <cell r="D891" t="str">
            <v>ALLENDE / HIDALGO</v>
          </cell>
          <cell r="E891" t="str">
            <v>ACAMBARO, GTO.</v>
          </cell>
          <cell r="F891">
            <v>0</v>
          </cell>
          <cell r="G891">
            <v>0</v>
          </cell>
          <cell r="H891">
            <v>0</v>
          </cell>
          <cell r="I891">
            <v>0</v>
          </cell>
          <cell r="J891">
            <v>0</v>
          </cell>
          <cell r="K891">
            <v>0</v>
          </cell>
          <cell r="L891">
            <v>0</v>
          </cell>
          <cell r="M891">
            <v>0</v>
          </cell>
          <cell r="N891">
            <v>0</v>
          </cell>
          <cell r="O891">
            <v>0</v>
          </cell>
          <cell r="P891">
            <v>0</v>
          </cell>
          <cell r="Q891">
            <v>0</v>
          </cell>
          <cell r="R891">
            <v>0</v>
          </cell>
          <cell r="S891">
            <v>0</v>
          </cell>
          <cell r="T891">
            <v>0</v>
          </cell>
          <cell r="U891">
            <v>0</v>
          </cell>
          <cell r="V891" t="str">
            <v>CENTRO</v>
          </cell>
          <cell r="W891">
            <v>0</v>
          </cell>
          <cell r="X891">
            <v>0</v>
          </cell>
        </row>
        <row r="892">
          <cell r="A892">
            <v>7302</v>
          </cell>
          <cell r="B892" t="str">
            <v>YURI - ABISAHI CORTEZ (PLAYA DEL CARMEN)</v>
          </cell>
          <cell r="C892">
            <v>0</v>
          </cell>
          <cell r="D892" t="str">
            <v>PLAZA CHEDRAUI LT. 3 MZ. 13 LA CASA DE LOS REGALOS</v>
          </cell>
          <cell r="E892" t="str">
            <v>PLAYA DEL CARMEN, QUINTANA ROO</v>
          </cell>
          <cell r="F892" t="str">
            <v>77723</v>
          </cell>
          <cell r="G892" t="str">
            <v>(998) 844-5987</v>
          </cell>
          <cell r="H892">
            <v>0</v>
          </cell>
          <cell r="I892">
            <v>0</v>
          </cell>
          <cell r="J892">
            <v>0</v>
          </cell>
          <cell r="K892">
            <v>0</v>
          </cell>
          <cell r="L892">
            <v>0</v>
          </cell>
          <cell r="M892">
            <v>0</v>
          </cell>
          <cell r="N892">
            <v>0</v>
          </cell>
          <cell r="O892">
            <v>0</v>
          </cell>
          <cell r="P892">
            <v>0</v>
          </cell>
          <cell r="Q892">
            <v>0</v>
          </cell>
          <cell r="R892">
            <v>0</v>
          </cell>
          <cell r="S892">
            <v>0</v>
          </cell>
          <cell r="T892">
            <v>0</v>
          </cell>
          <cell r="U892">
            <v>0</v>
          </cell>
          <cell r="V892" t="str">
            <v>VILLAS DEL SOL</v>
          </cell>
          <cell r="W892" t="str">
            <v>LOCAL "LA CASA DE LOS REGALOS"</v>
          </cell>
          <cell r="X892">
            <v>0</v>
          </cell>
        </row>
        <row r="893">
          <cell r="A893">
            <v>7303</v>
          </cell>
          <cell r="B893" t="str">
            <v>LORENZO MARTINEZ (CORTAZAR)</v>
          </cell>
          <cell r="C893">
            <v>0</v>
          </cell>
          <cell r="D893" t="str">
            <v>ZARAGOZA #205-A</v>
          </cell>
          <cell r="E893" t="str">
            <v>CORTAZAR, GTO.</v>
          </cell>
          <cell r="F893">
            <v>0</v>
          </cell>
          <cell r="G893" t="str">
            <v>(442) 654-3635</v>
          </cell>
          <cell r="H893">
            <v>0</v>
          </cell>
          <cell r="I893">
            <v>0</v>
          </cell>
          <cell r="J893">
            <v>0</v>
          </cell>
          <cell r="K893">
            <v>0</v>
          </cell>
          <cell r="L893">
            <v>0</v>
          </cell>
          <cell r="M893">
            <v>0</v>
          </cell>
          <cell r="N893">
            <v>0</v>
          </cell>
          <cell r="O893">
            <v>0</v>
          </cell>
          <cell r="P893">
            <v>0</v>
          </cell>
          <cell r="Q893">
            <v>0</v>
          </cell>
          <cell r="R893">
            <v>0</v>
          </cell>
          <cell r="S893">
            <v>0</v>
          </cell>
          <cell r="T893">
            <v>0</v>
          </cell>
          <cell r="U893">
            <v>0</v>
          </cell>
          <cell r="V893" t="str">
            <v>CENTRO</v>
          </cell>
          <cell r="W893">
            <v>0</v>
          </cell>
          <cell r="X893">
            <v>0</v>
          </cell>
        </row>
        <row r="894">
          <cell r="A894">
            <v>7304</v>
          </cell>
          <cell r="B894" t="str">
            <v>REINA GUZMAN NORIEGA (QUERETARO)</v>
          </cell>
          <cell r="C894" t="str">
            <v>GUNR570502SW3</v>
          </cell>
          <cell r="D894" t="str">
            <v>AV. CAMINO REAL DE CARRETAS #321 LOCAL 9</v>
          </cell>
          <cell r="E894" t="str">
            <v>QUERETARO, QRO.</v>
          </cell>
          <cell r="F894" t="str">
            <v>76060</v>
          </cell>
          <cell r="G894">
            <v>0</v>
          </cell>
          <cell r="H894">
            <v>0</v>
          </cell>
          <cell r="I894">
            <v>0</v>
          </cell>
          <cell r="J894">
            <v>0</v>
          </cell>
          <cell r="K894">
            <v>0</v>
          </cell>
          <cell r="L894">
            <v>0</v>
          </cell>
          <cell r="M894">
            <v>0</v>
          </cell>
          <cell r="N894">
            <v>0</v>
          </cell>
          <cell r="O894">
            <v>0</v>
          </cell>
          <cell r="P894">
            <v>0</v>
          </cell>
          <cell r="Q894">
            <v>0</v>
          </cell>
          <cell r="R894">
            <v>0</v>
          </cell>
          <cell r="S894">
            <v>0</v>
          </cell>
          <cell r="T894">
            <v>0</v>
          </cell>
          <cell r="U894">
            <v>0</v>
          </cell>
          <cell r="V894" t="str">
            <v>MILENIO III</v>
          </cell>
          <cell r="W894">
            <v>0</v>
          </cell>
          <cell r="X894" t="str">
            <v>reina_42@hotmail.com</v>
          </cell>
        </row>
        <row r="895">
          <cell r="A895">
            <v>7305</v>
          </cell>
          <cell r="B895" t="str">
            <v>MAYRA SANCHEZ (TEQUISQUIAC)</v>
          </cell>
          <cell r="C895">
            <v>0</v>
          </cell>
          <cell r="D895">
            <v>0</v>
          </cell>
          <cell r="E895" t="str">
            <v>TEQUISQUIAC, EDO. DE MEXICO</v>
          </cell>
          <cell r="F895">
            <v>0</v>
          </cell>
          <cell r="G895" t="str">
            <v>(55) 8182-5866</v>
          </cell>
          <cell r="H895">
            <v>0</v>
          </cell>
          <cell r="I895">
            <v>0</v>
          </cell>
          <cell r="J895">
            <v>0</v>
          </cell>
          <cell r="K895">
            <v>0</v>
          </cell>
          <cell r="L895">
            <v>0</v>
          </cell>
          <cell r="M895">
            <v>0</v>
          </cell>
          <cell r="N895">
            <v>0</v>
          </cell>
          <cell r="O895">
            <v>0</v>
          </cell>
          <cell r="P895">
            <v>0</v>
          </cell>
          <cell r="Q895">
            <v>0</v>
          </cell>
          <cell r="R895">
            <v>0</v>
          </cell>
          <cell r="S895">
            <v>0</v>
          </cell>
          <cell r="T895">
            <v>0</v>
          </cell>
          <cell r="U895">
            <v>0</v>
          </cell>
          <cell r="V895">
            <v>0</v>
          </cell>
          <cell r="W895">
            <v>0</v>
          </cell>
          <cell r="X895">
            <v>0</v>
          </cell>
        </row>
        <row r="896">
          <cell r="A896">
            <v>7306</v>
          </cell>
          <cell r="B896" t="str">
            <v>MARIA GUADALUPE OLVERA (ACTOPAN)</v>
          </cell>
          <cell r="C896">
            <v>0</v>
          </cell>
          <cell r="D896">
            <v>0</v>
          </cell>
          <cell r="E896" t="str">
            <v>ACTOPAN, HGO.</v>
          </cell>
          <cell r="F896">
            <v>0</v>
          </cell>
          <cell r="G896" t="str">
            <v>(712) 120-1624</v>
          </cell>
          <cell r="H896">
            <v>0</v>
          </cell>
          <cell r="I896">
            <v>0</v>
          </cell>
          <cell r="J896">
            <v>0</v>
          </cell>
          <cell r="K896">
            <v>0</v>
          </cell>
          <cell r="L896">
            <v>0</v>
          </cell>
          <cell r="M896">
            <v>0</v>
          </cell>
          <cell r="N896">
            <v>0</v>
          </cell>
          <cell r="O896">
            <v>0</v>
          </cell>
          <cell r="P896">
            <v>0</v>
          </cell>
          <cell r="Q896">
            <v>0</v>
          </cell>
          <cell r="R896">
            <v>0</v>
          </cell>
          <cell r="S896">
            <v>0</v>
          </cell>
          <cell r="T896">
            <v>0</v>
          </cell>
          <cell r="U896">
            <v>0</v>
          </cell>
          <cell r="V896">
            <v>0</v>
          </cell>
          <cell r="W896">
            <v>0</v>
          </cell>
          <cell r="X896">
            <v>0</v>
          </cell>
        </row>
        <row r="897">
          <cell r="A897">
            <v>7307</v>
          </cell>
          <cell r="B897" t="str">
            <v>GLORIA CALIXTO FELIX</v>
          </cell>
          <cell r="C897">
            <v>0</v>
          </cell>
          <cell r="D897">
            <v>0</v>
          </cell>
          <cell r="E897" t="str">
            <v>-</v>
          </cell>
          <cell r="F897">
            <v>0</v>
          </cell>
          <cell r="G897">
            <v>0</v>
          </cell>
          <cell r="H897">
            <v>0</v>
          </cell>
          <cell r="I897">
            <v>0</v>
          </cell>
          <cell r="J897">
            <v>0</v>
          </cell>
          <cell r="K897">
            <v>0</v>
          </cell>
          <cell r="L897">
            <v>0</v>
          </cell>
          <cell r="M897">
            <v>0</v>
          </cell>
          <cell r="N897">
            <v>0</v>
          </cell>
          <cell r="O897">
            <v>0</v>
          </cell>
          <cell r="P897">
            <v>0</v>
          </cell>
          <cell r="Q897">
            <v>0</v>
          </cell>
          <cell r="R897">
            <v>0</v>
          </cell>
          <cell r="S897">
            <v>0</v>
          </cell>
          <cell r="T897">
            <v>0</v>
          </cell>
          <cell r="U897">
            <v>0</v>
          </cell>
          <cell r="V897">
            <v>0</v>
          </cell>
          <cell r="W897">
            <v>0</v>
          </cell>
          <cell r="X897">
            <v>0</v>
          </cell>
        </row>
        <row r="898">
          <cell r="A898">
            <v>7308</v>
          </cell>
          <cell r="B898" t="str">
            <v>CARMEN NIETO (QUERETARO)</v>
          </cell>
          <cell r="C898" t="str">
            <v>INDUSTRIAL PAPELERIA</v>
          </cell>
          <cell r="D898" t="str">
            <v>CORREGIDORA NTE. #457-B</v>
          </cell>
          <cell r="E898" t="str">
            <v>QUERETARO, QRO.</v>
          </cell>
          <cell r="F898" t="str">
            <v>76160</v>
          </cell>
          <cell r="G898" t="str">
            <v>(442) 460-8959</v>
          </cell>
          <cell r="H898">
            <v>0</v>
          </cell>
          <cell r="I898">
            <v>0</v>
          </cell>
          <cell r="J898">
            <v>0</v>
          </cell>
          <cell r="K898">
            <v>0</v>
          </cell>
          <cell r="L898">
            <v>0</v>
          </cell>
          <cell r="M898">
            <v>0</v>
          </cell>
          <cell r="N898">
            <v>0</v>
          </cell>
          <cell r="O898">
            <v>0</v>
          </cell>
          <cell r="P898">
            <v>0</v>
          </cell>
          <cell r="Q898">
            <v>0</v>
          </cell>
          <cell r="R898">
            <v>0</v>
          </cell>
          <cell r="S898">
            <v>0</v>
          </cell>
          <cell r="T898">
            <v>0</v>
          </cell>
          <cell r="U898">
            <v>0</v>
          </cell>
          <cell r="V898" t="str">
            <v>LINDAVISTA</v>
          </cell>
          <cell r="W898">
            <v>0</v>
          </cell>
          <cell r="X898">
            <v>0</v>
          </cell>
        </row>
        <row r="899">
          <cell r="A899">
            <v>7309</v>
          </cell>
          <cell r="B899" t="str">
            <v>MARIA NIEVES (QUERETARO)</v>
          </cell>
          <cell r="C899" t="str">
            <v>LA PAPE</v>
          </cell>
          <cell r="D899" t="str">
            <v>MONTE SINAI #101-B</v>
          </cell>
          <cell r="E899" t="str">
            <v>QUERETARO, QRO.</v>
          </cell>
          <cell r="F899" t="str">
            <v>76063</v>
          </cell>
          <cell r="G899" t="str">
            <v>(442) 361-5806</v>
          </cell>
          <cell r="H899">
            <v>0</v>
          </cell>
          <cell r="I899">
            <v>0</v>
          </cell>
          <cell r="J899">
            <v>0</v>
          </cell>
          <cell r="K899">
            <v>0</v>
          </cell>
          <cell r="L899">
            <v>0</v>
          </cell>
          <cell r="M899">
            <v>0</v>
          </cell>
          <cell r="N899">
            <v>0</v>
          </cell>
          <cell r="O899">
            <v>0</v>
          </cell>
          <cell r="P899">
            <v>0</v>
          </cell>
          <cell r="Q899">
            <v>0</v>
          </cell>
          <cell r="R899">
            <v>0</v>
          </cell>
          <cell r="S899">
            <v>0</v>
          </cell>
          <cell r="T899">
            <v>0</v>
          </cell>
          <cell r="U899">
            <v>0</v>
          </cell>
          <cell r="V899" t="str">
            <v>VISTA HERMOSA</v>
          </cell>
          <cell r="W899">
            <v>0</v>
          </cell>
          <cell r="X899">
            <v>0</v>
          </cell>
        </row>
        <row r="900">
          <cell r="A900">
            <v>7310</v>
          </cell>
          <cell r="B900" t="str">
            <v>MARIA BASALDUA (SAN JOSE ITURBIDE)</v>
          </cell>
          <cell r="C900">
            <v>0</v>
          </cell>
          <cell r="D900" t="str">
            <v>ALDAMA #35</v>
          </cell>
          <cell r="E900" t="str">
            <v>SAN JOSE ITURBIDE, GTO.</v>
          </cell>
          <cell r="F900">
            <v>0</v>
          </cell>
          <cell r="G900" t="str">
            <v>(419) 115-2144</v>
          </cell>
          <cell r="H900">
            <v>0</v>
          </cell>
          <cell r="I900">
            <v>0</v>
          </cell>
          <cell r="J900">
            <v>0</v>
          </cell>
          <cell r="K900">
            <v>0</v>
          </cell>
          <cell r="L900">
            <v>0</v>
          </cell>
          <cell r="M900">
            <v>0</v>
          </cell>
          <cell r="N900">
            <v>0</v>
          </cell>
          <cell r="O900">
            <v>0</v>
          </cell>
          <cell r="P900">
            <v>0</v>
          </cell>
          <cell r="Q900">
            <v>0</v>
          </cell>
          <cell r="R900">
            <v>0</v>
          </cell>
          <cell r="S900">
            <v>0</v>
          </cell>
          <cell r="T900">
            <v>0</v>
          </cell>
          <cell r="U900">
            <v>0</v>
          </cell>
          <cell r="V900" t="str">
            <v>CENTRO</v>
          </cell>
          <cell r="W900">
            <v>0</v>
          </cell>
          <cell r="X900">
            <v>0</v>
          </cell>
        </row>
        <row r="901">
          <cell r="A901">
            <v>7311</v>
          </cell>
          <cell r="B901" t="str">
            <v>EVANGELINA GONZALEZ (SAN JOSE ITURBIDE)</v>
          </cell>
          <cell r="C901">
            <v>0</v>
          </cell>
          <cell r="D901" t="str">
            <v>ZARAGOZA #8B, ESQUINA MINA</v>
          </cell>
          <cell r="E901" t="str">
            <v>SAN JOSE ITURBIDE, GTO.</v>
          </cell>
          <cell r="F901">
            <v>0</v>
          </cell>
          <cell r="G901" t="str">
            <v>(419) 107-8507</v>
          </cell>
          <cell r="H901">
            <v>0</v>
          </cell>
          <cell r="I901">
            <v>0</v>
          </cell>
          <cell r="J901">
            <v>0</v>
          </cell>
          <cell r="K901">
            <v>0</v>
          </cell>
          <cell r="L901">
            <v>0</v>
          </cell>
          <cell r="M901">
            <v>0</v>
          </cell>
          <cell r="N901">
            <v>0</v>
          </cell>
          <cell r="O901">
            <v>0</v>
          </cell>
          <cell r="P901">
            <v>0</v>
          </cell>
          <cell r="Q901">
            <v>0</v>
          </cell>
          <cell r="R901">
            <v>0</v>
          </cell>
          <cell r="S901">
            <v>0</v>
          </cell>
          <cell r="T901">
            <v>0</v>
          </cell>
          <cell r="U901">
            <v>0</v>
          </cell>
          <cell r="V901" t="str">
            <v>CENTRO</v>
          </cell>
          <cell r="W901">
            <v>0</v>
          </cell>
          <cell r="X901">
            <v>0</v>
          </cell>
        </row>
        <row r="902">
          <cell r="A902">
            <v>7312</v>
          </cell>
          <cell r="B902" t="str">
            <v>RICARDO MADRID (ACAMBARO)</v>
          </cell>
          <cell r="C902">
            <v>0</v>
          </cell>
          <cell r="D902" t="str">
            <v>REGALOS PARIS</v>
          </cell>
          <cell r="E902" t="str">
            <v>ACAMBARO, GTO.</v>
          </cell>
          <cell r="F902">
            <v>0</v>
          </cell>
          <cell r="G902" t="str">
            <v>(417)103-0074</v>
          </cell>
          <cell r="H902">
            <v>0</v>
          </cell>
          <cell r="I902">
            <v>0</v>
          </cell>
          <cell r="J902">
            <v>0</v>
          </cell>
          <cell r="K902">
            <v>0</v>
          </cell>
          <cell r="L902">
            <v>0</v>
          </cell>
          <cell r="M902">
            <v>0</v>
          </cell>
          <cell r="N902">
            <v>0</v>
          </cell>
          <cell r="O902">
            <v>0</v>
          </cell>
          <cell r="P902">
            <v>0</v>
          </cell>
          <cell r="Q902">
            <v>0</v>
          </cell>
          <cell r="R902">
            <v>0</v>
          </cell>
          <cell r="S902">
            <v>0</v>
          </cell>
          <cell r="T902">
            <v>0</v>
          </cell>
          <cell r="U902">
            <v>0</v>
          </cell>
          <cell r="V902">
            <v>0</v>
          </cell>
          <cell r="W902">
            <v>0</v>
          </cell>
          <cell r="X902">
            <v>0</v>
          </cell>
        </row>
        <row r="903">
          <cell r="A903">
            <v>7313</v>
          </cell>
          <cell r="B903" t="str">
            <v>MARIANA MENDOZA (SANTA ROSA)</v>
          </cell>
          <cell r="C903" t="str">
            <v>PA´LA FIESTA</v>
          </cell>
          <cell r="D903" t="str">
            <v>INDEPENDENCIA #30</v>
          </cell>
          <cell r="E903" t="str">
            <v>SANTA ROSA JAUREGUI, QRO.</v>
          </cell>
          <cell r="F903">
            <v>0</v>
          </cell>
          <cell r="G903" t="str">
            <v>(442) 395-2482</v>
          </cell>
          <cell r="H903">
            <v>0</v>
          </cell>
          <cell r="I903">
            <v>0</v>
          </cell>
          <cell r="J903">
            <v>0</v>
          </cell>
          <cell r="K903">
            <v>0</v>
          </cell>
          <cell r="L903">
            <v>0</v>
          </cell>
          <cell r="M903">
            <v>0</v>
          </cell>
          <cell r="N903">
            <v>0</v>
          </cell>
          <cell r="O903">
            <v>0</v>
          </cell>
          <cell r="P903">
            <v>0</v>
          </cell>
          <cell r="Q903">
            <v>0</v>
          </cell>
          <cell r="R903">
            <v>0</v>
          </cell>
          <cell r="S903">
            <v>0</v>
          </cell>
          <cell r="T903">
            <v>0</v>
          </cell>
          <cell r="U903">
            <v>0</v>
          </cell>
          <cell r="V903" t="str">
            <v>CENTRO</v>
          </cell>
          <cell r="W903">
            <v>0</v>
          </cell>
          <cell r="X903">
            <v>0</v>
          </cell>
        </row>
        <row r="904">
          <cell r="A904">
            <v>7314</v>
          </cell>
          <cell r="B904" t="str">
            <v>MISAEL MONTES/LILIANA ESPIOZA SANCHEZ (SANTA ROSA)</v>
          </cell>
          <cell r="C904" t="str">
            <v>PAPELERIA Y REGALOS FANTASIA</v>
          </cell>
          <cell r="D904" t="str">
            <v>INDEPENDENCIA #63 NTE.</v>
          </cell>
          <cell r="E904" t="str">
            <v>SANTA ROSA JAUREGUI, QRO.</v>
          </cell>
          <cell r="F904" t="str">
            <v>76220</v>
          </cell>
          <cell r="G904" t="str">
            <v>(442) 185-9764</v>
          </cell>
          <cell r="H904">
            <v>0</v>
          </cell>
          <cell r="I904">
            <v>0</v>
          </cell>
          <cell r="J904">
            <v>0</v>
          </cell>
          <cell r="K904">
            <v>0</v>
          </cell>
          <cell r="L904">
            <v>0</v>
          </cell>
          <cell r="M904">
            <v>0</v>
          </cell>
          <cell r="N904">
            <v>0</v>
          </cell>
          <cell r="O904">
            <v>0</v>
          </cell>
          <cell r="P904">
            <v>0</v>
          </cell>
          <cell r="Q904">
            <v>0</v>
          </cell>
          <cell r="R904">
            <v>0</v>
          </cell>
          <cell r="S904">
            <v>0</v>
          </cell>
          <cell r="T904">
            <v>0</v>
          </cell>
          <cell r="U904">
            <v>0</v>
          </cell>
          <cell r="V904" t="str">
            <v>CENTRO</v>
          </cell>
          <cell r="W904">
            <v>0</v>
          </cell>
          <cell r="X904">
            <v>0</v>
          </cell>
        </row>
        <row r="905">
          <cell r="A905">
            <v>7315</v>
          </cell>
          <cell r="B905" t="str">
            <v>SHIOMARA GUTIERREZ (SANTA ROSA)</v>
          </cell>
          <cell r="C905">
            <v>0</v>
          </cell>
          <cell r="D905" t="str">
            <v>PASEO JUAREZ S/N</v>
          </cell>
          <cell r="E905" t="str">
            <v>SANTA ROSA JAUREGUI, QRO.</v>
          </cell>
          <cell r="F905">
            <v>0</v>
          </cell>
          <cell r="G905" t="str">
            <v>(442) 317-5898</v>
          </cell>
          <cell r="H905">
            <v>0</v>
          </cell>
          <cell r="I905">
            <v>0</v>
          </cell>
          <cell r="J905">
            <v>0</v>
          </cell>
          <cell r="K905">
            <v>0</v>
          </cell>
          <cell r="L905">
            <v>0</v>
          </cell>
          <cell r="M905">
            <v>0</v>
          </cell>
          <cell r="N905">
            <v>0</v>
          </cell>
          <cell r="O905">
            <v>0</v>
          </cell>
          <cell r="P905">
            <v>0</v>
          </cell>
          <cell r="Q905">
            <v>0</v>
          </cell>
          <cell r="R905">
            <v>0</v>
          </cell>
          <cell r="S905">
            <v>0</v>
          </cell>
          <cell r="T905">
            <v>0</v>
          </cell>
          <cell r="U905">
            <v>0</v>
          </cell>
          <cell r="V905" t="str">
            <v>CENTRO</v>
          </cell>
          <cell r="W905">
            <v>0</v>
          </cell>
          <cell r="X905">
            <v>0</v>
          </cell>
        </row>
        <row r="906">
          <cell r="A906">
            <v>7316</v>
          </cell>
          <cell r="B906" t="str">
            <v>TERESA AGUILA LOPEZ (SANTA ROSA)</v>
          </cell>
          <cell r="C906">
            <v>0</v>
          </cell>
          <cell r="D906" t="str">
            <v>INDEPENDENCIA #42 NTE.</v>
          </cell>
          <cell r="E906" t="str">
            <v>SANTA ROSA JAUREGUI, QRO.</v>
          </cell>
          <cell r="F906">
            <v>0</v>
          </cell>
          <cell r="G906" t="str">
            <v>(442) 344-3959</v>
          </cell>
          <cell r="H906">
            <v>0</v>
          </cell>
          <cell r="I906">
            <v>0</v>
          </cell>
          <cell r="J906">
            <v>0</v>
          </cell>
          <cell r="K906">
            <v>0</v>
          </cell>
          <cell r="L906">
            <v>0</v>
          </cell>
          <cell r="M906">
            <v>0</v>
          </cell>
          <cell r="N906">
            <v>0</v>
          </cell>
          <cell r="O906">
            <v>0</v>
          </cell>
          <cell r="P906">
            <v>0</v>
          </cell>
          <cell r="Q906">
            <v>0</v>
          </cell>
          <cell r="R906">
            <v>0</v>
          </cell>
          <cell r="S906">
            <v>0</v>
          </cell>
          <cell r="T906">
            <v>0</v>
          </cell>
          <cell r="U906">
            <v>0</v>
          </cell>
          <cell r="V906" t="str">
            <v>CENTRO</v>
          </cell>
          <cell r="W906">
            <v>0</v>
          </cell>
          <cell r="X906">
            <v>0</v>
          </cell>
        </row>
        <row r="907">
          <cell r="A907">
            <v>7317</v>
          </cell>
          <cell r="B907" t="str">
            <v>IRMA PEREZ (SAN LUIS DE LA PAZ)</v>
          </cell>
          <cell r="C907">
            <v>0</v>
          </cell>
          <cell r="D907" t="str">
            <v>PLAZA EL ANGEL LOCAL 16</v>
          </cell>
          <cell r="E907" t="str">
            <v>SAN LUIS DE LA PAZ, GTO.</v>
          </cell>
          <cell r="F907">
            <v>0</v>
          </cell>
          <cell r="G907" t="str">
            <v>(468)117-4978</v>
          </cell>
          <cell r="H907">
            <v>0</v>
          </cell>
          <cell r="I907">
            <v>0</v>
          </cell>
          <cell r="J907">
            <v>0</v>
          </cell>
          <cell r="K907">
            <v>0</v>
          </cell>
          <cell r="L907">
            <v>0</v>
          </cell>
          <cell r="M907">
            <v>0</v>
          </cell>
          <cell r="N907">
            <v>0</v>
          </cell>
          <cell r="O907">
            <v>0</v>
          </cell>
          <cell r="P907">
            <v>0</v>
          </cell>
          <cell r="Q907">
            <v>0</v>
          </cell>
          <cell r="R907">
            <v>0</v>
          </cell>
          <cell r="S907">
            <v>0</v>
          </cell>
          <cell r="T907">
            <v>0</v>
          </cell>
          <cell r="U907">
            <v>0</v>
          </cell>
          <cell r="V907" t="str">
            <v>CENTRO</v>
          </cell>
          <cell r="W907">
            <v>0</v>
          </cell>
          <cell r="X907">
            <v>0</v>
          </cell>
        </row>
        <row r="908">
          <cell r="A908">
            <v>7318</v>
          </cell>
          <cell r="B908" t="str">
            <v>HILDA CARRANZA MONTES (SAN LUIS DE LA PAZ)</v>
          </cell>
          <cell r="C908">
            <v>0</v>
          </cell>
          <cell r="D908" t="str">
            <v>PLAZA EL ANGEL LOCAL 12</v>
          </cell>
          <cell r="E908" t="str">
            <v>SAN LUIS DE LA PAZ, GTO.</v>
          </cell>
          <cell r="F908">
            <v>0</v>
          </cell>
          <cell r="G908" t="str">
            <v>(468) 129-7425</v>
          </cell>
          <cell r="H908">
            <v>0</v>
          </cell>
          <cell r="I908">
            <v>0</v>
          </cell>
          <cell r="J908">
            <v>0</v>
          </cell>
          <cell r="K908">
            <v>0</v>
          </cell>
          <cell r="L908">
            <v>0</v>
          </cell>
          <cell r="M908">
            <v>0</v>
          </cell>
          <cell r="N908">
            <v>0</v>
          </cell>
          <cell r="O908">
            <v>0</v>
          </cell>
          <cell r="P908">
            <v>0</v>
          </cell>
          <cell r="Q908">
            <v>0</v>
          </cell>
          <cell r="R908">
            <v>0</v>
          </cell>
          <cell r="S908">
            <v>0</v>
          </cell>
          <cell r="T908">
            <v>0</v>
          </cell>
          <cell r="U908">
            <v>0</v>
          </cell>
          <cell r="V908" t="str">
            <v>CENTRO</v>
          </cell>
          <cell r="W908">
            <v>0</v>
          </cell>
          <cell r="X908">
            <v>0</v>
          </cell>
        </row>
        <row r="909">
          <cell r="A909">
            <v>7319</v>
          </cell>
          <cell r="B909" t="str">
            <v>SERGIO ZALDIVAR (QUERETARO)</v>
          </cell>
          <cell r="C909">
            <v>0</v>
          </cell>
          <cell r="D909">
            <v>0</v>
          </cell>
          <cell r="E909" t="str">
            <v>QUERETARO, QRO.</v>
          </cell>
          <cell r="F909">
            <v>0</v>
          </cell>
          <cell r="G909">
            <v>0</v>
          </cell>
          <cell r="H909">
            <v>0</v>
          </cell>
          <cell r="I909">
            <v>0</v>
          </cell>
          <cell r="J909">
            <v>0</v>
          </cell>
          <cell r="K909">
            <v>0</v>
          </cell>
          <cell r="L909">
            <v>0</v>
          </cell>
          <cell r="M909">
            <v>0</v>
          </cell>
          <cell r="N909">
            <v>0</v>
          </cell>
          <cell r="O909">
            <v>0</v>
          </cell>
          <cell r="P909">
            <v>0</v>
          </cell>
          <cell r="Q909">
            <v>0</v>
          </cell>
          <cell r="R909">
            <v>0</v>
          </cell>
          <cell r="S909">
            <v>0</v>
          </cell>
          <cell r="T909">
            <v>0</v>
          </cell>
          <cell r="U909">
            <v>0</v>
          </cell>
          <cell r="V909">
            <v>0</v>
          </cell>
          <cell r="W909">
            <v>0</v>
          </cell>
          <cell r="X909">
            <v>0</v>
          </cell>
        </row>
        <row r="910">
          <cell r="A910">
            <v>7320</v>
          </cell>
          <cell r="B910" t="str">
            <v>GINA ZARAZUA (E. MONTES)</v>
          </cell>
          <cell r="C910">
            <v>0</v>
          </cell>
          <cell r="D910">
            <v>0</v>
          </cell>
          <cell r="E910" t="str">
            <v>EZEQUIEL MONTES, QRO.</v>
          </cell>
          <cell r="F910">
            <v>0</v>
          </cell>
          <cell r="G910">
            <v>0</v>
          </cell>
          <cell r="H910">
            <v>0</v>
          </cell>
          <cell r="I910">
            <v>0</v>
          </cell>
          <cell r="J910">
            <v>0</v>
          </cell>
          <cell r="K910">
            <v>0</v>
          </cell>
          <cell r="L910">
            <v>0</v>
          </cell>
          <cell r="M910">
            <v>0</v>
          </cell>
          <cell r="N910">
            <v>0</v>
          </cell>
          <cell r="O910">
            <v>0</v>
          </cell>
          <cell r="P910">
            <v>0</v>
          </cell>
          <cell r="Q910">
            <v>0</v>
          </cell>
          <cell r="R910">
            <v>0</v>
          </cell>
          <cell r="S910">
            <v>0</v>
          </cell>
          <cell r="T910">
            <v>0</v>
          </cell>
          <cell r="U910">
            <v>0</v>
          </cell>
          <cell r="V910">
            <v>0</v>
          </cell>
          <cell r="W910">
            <v>0</v>
          </cell>
          <cell r="X910">
            <v>0</v>
          </cell>
        </row>
        <row r="911">
          <cell r="A911">
            <v>7321</v>
          </cell>
          <cell r="B911" t="str">
            <v>ROCIO SANDOVAL (SAN LUIS DE LA PAZ)</v>
          </cell>
          <cell r="C911">
            <v>0</v>
          </cell>
          <cell r="D911" t="str">
            <v>RAYON #108</v>
          </cell>
          <cell r="E911" t="str">
            <v>SAN LUIS DE LA PAZ, GTO.</v>
          </cell>
          <cell r="F911">
            <v>0</v>
          </cell>
          <cell r="G911">
            <v>0</v>
          </cell>
          <cell r="H911">
            <v>0</v>
          </cell>
          <cell r="I911">
            <v>0</v>
          </cell>
          <cell r="J911">
            <v>0</v>
          </cell>
          <cell r="K911">
            <v>0</v>
          </cell>
          <cell r="L911">
            <v>0</v>
          </cell>
          <cell r="M911">
            <v>0</v>
          </cell>
          <cell r="N911">
            <v>0</v>
          </cell>
          <cell r="O911">
            <v>0</v>
          </cell>
          <cell r="P911">
            <v>0</v>
          </cell>
          <cell r="Q911">
            <v>0</v>
          </cell>
          <cell r="R911">
            <v>0</v>
          </cell>
          <cell r="S911">
            <v>0</v>
          </cell>
          <cell r="T911">
            <v>0</v>
          </cell>
          <cell r="U911">
            <v>0</v>
          </cell>
          <cell r="V911" t="str">
            <v>CENTRO</v>
          </cell>
          <cell r="W911">
            <v>0</v>
          </cell>
          <cell r="X911">
            <v>0</v>
          </cell>
        </row>
        <row r="912">
          <cell r="A912">
            <v>7322</v>
          </cell>
          <cell r="B912" t="str">
            <v>SIIJ (SAN JOSE ITURBIDE)</v>
          </cell>
          <cell r="C912">
            <v>0</v>
          </cell>
          <cell r="D912" t="str">
            <v>ALLENDE #57</v>
          </cell>
          <cell r="E912" t="str">
            <v>SAN JOSE ITURBIDE, GTO.</v>
          </cell>
          <cell r="F912">
            <v>0</v>
          </cell>
          <cell r="G912">
            <v>0</v>
          </cell>
          <cell r="H912">
            <v>0</v>
          </cell>
          <cell r="I912">
            <v>0</v>
          </cell>
          <cell r="J912">
            <v>0</v>
          </cell>
          <cell r="K912">
            <v>0</v>
          </cell>
          <cell r="L912">
            <v>0</v>
          </cell>
          <cell r="M912">
            <v>0</v>
          </cell>
          <cell r="N912">
            <v>0</v>
          </cell>
          <cell r="O912">
            <v>0</v>
          </cell>
          <cell r="P912">
            <v>0</v>
          </cell>
          <cell r="Q912">
            <v>0</v>
          </cell>
          <cell r="R912">
            <v>0</v>
          </cell>
          <cell r="S912">
            <v>0</v>
          </cell>
          <cell r="T912">
            <v>0</v>
          </cell>
          <cell r="U912">
            <v>0</v>
          </cell>
          <cell r="V912" t="str">
            <v>CENTRO</v>
          </cell>
          <cell r="W912">
            <v>0</v>
          </cell>
          <cell r="X912">
            <v>0</v>
          </cell>
        </row>
        <row r="913">
          <cell r="A913">
            <v>7323</v>
          </cell>
          <cell r="B913" t="str">
            <v>ROSA MARIA ORTIZ RAMIREZ (QUERETARO)</v>
          </cell>
          <cell r="C913" t="str">
            <v>PAPELERIA CAMPANITA</v>
          </cell>
          <cell r="D913" t="str">
            <v>AV. DE LA LUZ #1317</v>
          </cell>
          <cell r="E913" t="str">
            <v>QUERETARO, QRO.</v>
          </cell>
          <cell r="F913" t="str">
            <v>76116</v>
          </cell>
          <cell r="G913" t="str">
            <v>(442) 460-3066</v>
          </cell>
          <cell r="H913">
            <v>0</v>
          </cell>
          <cell r="I913">
            <v>0</v>
          </cell>
          <cell r="J913">
            <v>0</v>
          </cell>
          <cell r="K913">
            <v>0</v>
          </cell>
          <cell r="L913">
            <v>0</v>
          </cell>
          <cell r="M913">
            <v>0</v>
          </cell>
          <cell r="N913">
            <v>0</v>
          </cell>
          <cell r="O913">
            <v>0</v>
          </cell>
          <cell r="P913">
            <v>0</v>
          </cell>
          <cell r="Q913">
            <v>0</v>
          </cell>
          <cell r="R913">
            <v>0</v>
          </cell>
          <cell r="S913">
            <v>0</v>
          </cell>
          <cell r="T913">
            <v>0</v>
          </cell>
          <cell r="U913">
            <v>0</v>
          </cell>
          <cell r="V913" t="str">
            <v>CERRITO COLORADO</v>
          </cell>
          <cell r="W913">
            <v>0</v>
          </cell>
          <cell r="X913">
            <v>0</v>
          </cell>
        </row>
        <row r="914">
          <cell r="A914">
            <v>7324</v>
          </cell>
          <cell r="B914" t="str">
            <v>RAQUEL GARCIA (QUERETARO)</v>
          </cell>
          <cell r="C914" t="str">
            <v>PAPELERIA BICOLOR</v>
          </cell>
          <cell r="D914" t="str">
            <v>CEDRO #34</v>
          </cell>
          <cell r="E914" t="str">
            <v>CORREGIDORA, QRO.</v>
          </cell>
          <cell r="F914">
            <v>0</v>
          </cell>
          <cell r="G914" t="str">
            <v>(442) 338-1344</v>
          </cell>
          <cell r="H914">
            <v>0</v>
          </cell>
          <cell r="I914">
            <v>0</v>
          </cell>
          <cell r="J914">
            <v>0</v>
          </cell>
          <cell r="K914">
            <v>0</v>
          </cell>
          <cell r="L914">
            <v>0</v>
          </cell>
          <cell r="M914">
            <v>0</v>
          </cell>
          <cell r="N914">
            <v>0</v>
          </cell>
          <cell r="O914">
            <v>0</v>
          </cell>
          <cell r="P914">
            <v>0</v>
          </cell>
          <cell r="Q914">
            <v>0</v>
          </cell>
          <cell r="R914">
            <v>0</v>
          </cell>
          <cell r="S914">
            <v>0</v>
          </cell>
          <cell r="T914">
            <v>0</v>
          </cell>
          <cell r="U914">
            <v>0</v>
          </cell>
          <cell r="V914" t="str">
            <v>LOS OLVERA</v>
          </cell>
          <cell r="W914">
            <v>0</v>
          </cell>
          <cell r="X914">
            <v>0</v>
          </cell>
        </row>
        <row r="915">
          <cell r="A915">
            <v>7325</v>
          </cell>
          <cell r="B915" t="str">
            <v>GABRIELA SANCHEZ (ACAMBAY)</v>
          </cell>
          <cell r="C915">
            <v>0</v>
          </cell>
          <cell r="D915" t="str">
            <v>AV. CONSTITUCION S/N</v>
          </cell>
          <cell r="E915" t="str">
            <v>ACAMBAY, EDO. DE MEXICO</v>
          </cell>
          <cell r="F915">
            <v>0</v>
          </cell>
          <cell r="G915">
            <v>0</v>
          </cell>
          <cell r="H915">
            <v>0</v>
          </cell>
          <cell r="I915">
            <v>0</v>
          </cell>
          <cell r="J915">
            <v>0</v>
          </cell>
          <cell r="K915">
            <v>0</v>
          </cell>
          <cell r="L915">
            <v>0</v>
          </cell>
          <cell r="M915">
            <v>0</v>
          </cell>
          <cell r="N915">
            <v>0</v>
          </cell>
          <cell r="O915">
            <v>0</v>
          </cell>
          <cell r="P915">
            <v>0</v>
          </cell>
          <cell r="Q915">
            <v>0</v>
          </cell>
          <cell r="R915">
            <v>0</v>
          </cell>
          <cell r="S915">
            <v>0</v>
          </cell>
          <cell r="T915">
            <v>0</v>
          </cell>
          <cell r="U915">
            <v>0</v>
          </cell>
          <cell r="V915" t="str">
            <v>CENTRO</v>
          </cell>
          <cell r="W915">
            <v>0</v>
          </cell>
          <cell r="X915">
            <v>0</v>
          </cell>
        </row>
        <row r="916">
          <cell r="A916">
            <v>7326</v>
          </cell>
          <cell r="B916" t="str">
            <v>MARIA GOMEZ (ESCOBEDO)</v>
          </cell>
          <cell r="C916">
            <v>0</v>
          </cell>
          <cell r="D916" t="str">
            <v>CUAUHTEMOC #1</v>
          </cell>
          <cell r="E916" t="str">
            <v>PEDRO ESCOBEDO, QRO.</v>
          </cell>
          <cell r="F916">
            <v>0</v>
          </cell>
          <cell r="G916" t="str">
            <v>(427) 116-3265</v>
          </cell>
          <cell r="H916">
            <v>0</v>
          </cell>
          <cell r="I916">
            <v>0</v>
          </cell>
          <cell r="J916">
            <v>0</v>
          </cell>
          <cell r="K916">
            <v>0</v>
          </cell>
          <cell r="L916">
            <v>0</v>
          </cell>
          <cell r="M916">
            <v>0</v>
          </cell>
          <cell r="N916">
            <v>0</v>
          </cell>
          <cell r="O916">
            <v>0</v>
          </cell>
          <cell r="P916">
            <v>0</v>
          </cell>
          <cell r="Q916">
            <v>0</v>
          </cell>
          <cell r="R916">
            <v>0</v>
          </cell>
          <cell r="S916">
            <v>0</v>
          </cell>
          <cell r="T916">
            <v>0</v>
          </cell>
          <cell r="U916">
            <v>0</v>
          </cell>
          <cell r="V916" t="str">
            <v>CENTRO</v>
          </cell>
          <cell r="W916">
            <v>0</v>
          </cell>
          <cell r="X916">
            <v>0</v>
          </cell>
        </row>
        <row r="917">
          <cell r="A917">
            <v>7327</v>
          </cell>
          <cell r="B917" t="str">
            <v>GUADALUPE DORADO (ESCOBEDO)</v>
          </cell>
          <cell r="C917">
            <v>0</v>
          </cell>
          <cell r="D917" t="str">
            <v>HERLINDA GALICIA #9</v>
          </cell>
          <cell r="E917" t="str">
            <v>PEDRO ESCOBEDO, QRO.</v>
          </cell>
          <cell r="F917">
            <v>0</v>
          </cell>
          <cell r="G917" t="str">
            <v>(448) 106-8874</v>
          </cell>
          <cell r="H917">
            <v>0</v>
          </cell>
          <cell r="I917">
            <v>0</v>
          </cell>
          <cell r="J917">
            <v>0</v>
          </cell>
          <cell r="K917">
            <v>0</v>
          </cell>
          <cell r="L917">
            <v>0</v>
          </cell>
          <cell r="M917">
            <v>0</v>
          </cell>
          <cell r="N917">
            <v>0</v>
          </cell>
          <cell r="O917">
            <v>0</v>
          </cell>
          <cell r="P917">
            <v>0</v>
          </cell>
          <cell r="Q917">
            <v>0</v>
          </cell>
          <cell r="R917">
            <v>0</v>
          </cell>
          <cell r="S917">
            <v>0</v>
          </cell>
          <cell r="T917">
            <v>0</v>
          </cell>
          <cell r="U917">
            <v>0</v>
          </cell>
          <cell r="V917">
            <v>0</v>
          </cell>
          <cell r="W917">
            <v>0</v>
          </cell>
          <cell r="X917">
            <v>0</v>
          </cell>
        </row>
        <row r="918">
          <cell r="A918">
            <v>7328</v>
          </cell>
          <cell r="B918" t="str">
            <v>YOLANDA PAREDES (APASEO EL ALTO)</v>
          </cell>
          <cell r="C918">
            <v>0</v>
          </cell>
          <cell r="D918" t="str">
            <v>16 DE SEPTIEMBRE #306</v>
          </cell>
          <cell r="E918" t="str">
            <v>APASEO EL ALTO, GTO.</v>
          </cell>
          <cell r="F918">
            <v>0</v>
          </cell>
          <cell r="G918" t="str">
            <v>(413) 118-5194</v>
          </cell>
          <cell r="H918">
            <v>0</v>
          </cell>
          <cell r="I918">
            <v>0</v>
          </cell>
          <cell r="J918">
            <v>0</v>
          </cell>
          <cell r="K918">
            <v>0</v>
          </cell>
          <cell r="L918">
            <v>0</v>
          </cell>
          <cell r="M918">
            <v>0</v>
          </cell>
          <cell r="N918">
            <v>0</v>
          </cell>
          <cell r="O918">
            <v>0</v>
          </cell>
          <cell r="P918">
            <v>0</v>
          </cell>
          <cell r="Q918">
            <v>0</v>
          </cell>
          <cell r="R918">
            <v>0</v>
          </cell>
          <cell r="S918">
            <v>0</v>
          </cell>
          <cell r="T918">
            <v>0</v>
          </cell>
          <cell r="U918">
            <v>0</v>
          </cell>
          <cell r="V918" t="str">
            <v>CENTRO</v>
          </cell>
          <cell r="W918">
            <v>0</v>
          </cell>
          <cell r="X918">
            <v>0</v>
          </cell>
        </row>
        <row r="919">
          <cell r="A919">
            <v>7329</v>
          </cell>
          <cell r="B919" t="str">
            <v>LETICIA HERNANDEZ (APASEO EL ALTO)</v>
          </cell>
          <cell r="C919">
            <v>0</v>
          </cell>
          <cell r="D919" t="str">
            <v>JUAREZ #104</v>
          </cell>
          <cell r="E919" t="str">
            <v>APASEO EL ALTO, GTO.</v>
          </cell>
          <cell r="F919">
            <v>0</v>
          </cell>
          <cell r="G919" t="str">
            <v>(413) 113-6834</v>
          </cell>
          <cell r="H919">
            <v>0</v>
          </cell>
          <cell r="I919">
            <v>0</v>
          </cell>
          <cell r="J919">
            <v>0</v>
          </cell>
          <cell r="K919">
            <v>0</v>
          </cell>
          <cell r="L919">
            <v>0</v>
          </cell>
          <cell r="M919">
            <v>0</v>
          </cell>
          <cell r="N919">
            <v>0</v>
          </cell>
          <cell r="O919">
            <v>0</v>
          </cell>
          <cell r="P919">
            <v>0</v>
          </cell>
          <cell r="Q919">
            <v>0</v>
          </cell>
          <cell r="R919">
            <v>0</v>
          </cell>
          <cell r="S919">
            <v>0</v>
          </cell>
          <cell r="T919">
            <v>0</v>
          </cell>
          <cell r="U919">
            <v>0</v>
          </cell>
          <cell r="V919" t="str">
            <v>CENTRO</v>
          </cell>
          <cell r="W919">
            <v>0</v>
          </cell>
          <cell r="X919">
            <v>0</v>
          </cell>
        </row>
        <row r="920">
          <cell r="A920">
            <v>7330</v>
          </cell>
          <cell r="B920" t="str">
            <v>CECILIA ALVARADO / RICARDO AGUADO (SALAMANCA)</v>
          </cell>
          <cell r="C920">
            <v>0</v>
          </cell>
          <cell r="D920" t="str">
            <v>EZEQUIEL ORDOÑEZ #122</v>
          </cell>
          <cell r="E920" t="str">
            <v>SALAMANCA, GTO.</v>
          </cell>
          <cell r="F920">
            <v>0</v>
          </cell>
          <cell r="G920" t="str">
            <v>(464) 108-6093</v>
          </cell>
          <cell r="H920">
            <v>0</v>
          </cell>
          <cell r="I920">
            <v>0</v>
          </cell>
          <cell r="J920">
            <v>0</v>
          </cell>
          <cell r="K920">
            <v>0</v>
          </cell>
          <cell r="L920">
            <v>0</v>
          </cell>
          <cell r="M920">
            <v>0</v>
          </cell>
          <cell r="N920">
            <v>0</v>
          </cell>
          <cell r="O920">
            <v>0</v>
          </cell>
          <cell r="P920">
            <v>0</v>
          </cell>
          <cell r="Q920">
            <v>0</v>
          </cell>
          <cell r="R920">
            <v>0</v>
          </cell>
          <cell r="S920">
            <v>0</v>
          </cell>
          <cell r="T920">
            <v>0</v>
          </cell>
          <cell r="U920">
            <v>0</v>
          </cell>
          <cell r="V920" t="str">
            <v>BELLA VISTA</v>
          </cell>
          <cell r="W920">
            <v>0</v>
          </cell>
          <cell r="X920">
            <v>0</v>
          </cell>
        </row>
        <row r="921">
          <cell r="A921">
            <v>7331</v>
          </cell>
          <cell r="B921" t="str">
            <v>PAPELERIA ARCOIRIS (SANTA ROSA)</v>
          </cell>
          <cell r="C921">
            <v>0</v>
          </cell>
          <cell r="D921" t="str">
            <v>5 DE MAYO #911</v>
          </cell>
          <cell r="E921" t="str">
            <v>SANTA ROSA JAUREGUI, QRO.</v>
          </cell>
          <cell r="F921">
            <v>0</v>
          </cell>
          <cell r="G921" t="str">
            <v>(442) 352-1376</v>
          </cell>
          <cell r="H921">
            <v>0</v>
          </cell>
          <cell r="I921">
            <v>0</v>
          </cell>
          <cell r="J921">
            <v>0</v>
          </cell>
          <cell r="K921">
            <v>0</v>
          </cell>
          <cell r="L921">
            <v>0</v>
          </cell>
          <cell r="M921">
            <v>0</v>
          </cell>
          <cell r="N921">
            <v>0</v>
          </cell>
          <cell r="O921">
            <v>0</v>
          </cell>
          <cell r="P921">
            <v>0</v>
          </cell>
          <cell r="Q921">
            <v>0</v>
          </cell>
          <cell r="R921">
            <v>0</v>
          </cell>
          <cell r="S921">
            <v>0</v>
          </cell>
          <cell r="T921">
            <v>0</v>
          </cell>
          <cell r="U921">
            <v>0</v>
          </cell>
          <cell r="V921" t="str">
            <v>CENTRO</v>
          </cell>
          <cell r="W921">
            <v>0</v>
          </cell>
          <cell r="X921">
            <v>0</v>
          </cell>
        </row>
        <row r="922">
          <cell r="A922">
            <v>7332</v>
          </cell>
          <cell r="B922" t="str">
            <v>GRISELDA MUÑOZ (SANTA ROSA)</v>
          </cell>
          <cell r="C922">
            <v>0</v>
          </cell>
          <cell r="D922" t="str">
            <v>INDEPUDIA NTE. #57</v>
          </cell>
          <cell r="E922" t="str">
            <v>SANTA ROSA JAUREGUI, QRO.</v>
          </cell>
          <cell r="F922">
            <v>0</v>
          </cell>
          <cell r="G922" t="str">
            <v>(442) 704-4591</v>
          </cell>
          <cell r="H922">
            <v>0</v>
          </cell>
          <cell r="I922">
            <v>0</v>
          </cell>
          <cell r="J922">
            <v>0</v>
          </cell>
          <cell r="K922">
            <v>0</v>
          </cell>
          <cell r="L922">
            <v>0</v>
          </cell>
          <cell r="M922">
            <v>0</v>
          </cell>
          <cell r="N922">
            <v>0</v>
          </cell>
          <cell r="O922">
            <v>0</v>
          </cell>
          <cell r="P922">
            <v>0</v>
          </cell>
          <cell r="Q922">
            <v>0</v>
          </cell>
          <cell r="R922">
            <v>0</v>
          </cell>
          <cell r="S922">
            <v>0</v>
          </cell>
          <cell r="T922">
            <v>0</v>
          </cell>
          <cell r="U922">
            <v>0</v>
          </cell>
          <cell r="V922">
            <v>0</v>
          </cell>
          <cell r="W922">
            <v>0</v>
          </cell>
          <cell r="X922">
            <v>0</v>
          </cell>
        </row>
        <row r="923">
          <cell r="A923">
            <v>7333</v>
          </cell>
          <cell r="B923" t="str">
            <v>GABRIELA CALLEJAS (POLOTITLAN)</v>
          </cell>
          <cell r="C923">
            <v>0</v>
          </cell>
          <cell r="D923" t="str">
            <v>ABASOLO #98</v>
          </cell>
          <cell r="E923" t="str">
            <v>POLOTITLAN, EDO. DE MEXICO</v>
          </cell>
          <cell r="F923">
            <v>0</v>
          </cell>
          <cell r="G923" t="str">
            <v>(427) 122-4498</v>
          </cell>
          <cell r="H923">
            <v>0</v>
          </cell>
          <cell r="I923">
            <v>0</v>
          </cell>
          <cell r="J923">
            <v>0</v>
          </cell>
          <cell r="K923">
            <v>0</v>
          </cell>
          <cell r="L923">
            <v>0</v>
          </cell>
          <cell r="M923">
            <v>0</v>
          </cell>
          <cell r="N923">
            <v>0</v>
          </cell>
          <cell r="O923">
            <v>0</v>
          </cell>
          <cell r="P923">
            <v>0</v>
          </cell>
          <cell r="Q923">
            <v>0</v>
          </cell>
          <cell r="R923">
            <v>0</v>
          </cell>
          <cell r="S923">
            <v>0</v>
          </cell>
          <cell r="T923">
            <v>0</v>
          </cell>
          <cell r="U923">
            <v>0</v>
          </cell>
          <cell r="V923" t="str">
            <v>CENTRO</v>
          </cell>
          <cell r="W923">
            <v>0</v>
          </cell>
          <cell r="X923">
            <v>0</v>
          </cell>
        </row>
        <row r="924">
          <cell r="A924">
            <v>7334</v>
          </cell>
          <cell r="B924" t="str">
            <v>IRMA GARCIA (POLOTITLAN)</v>
          </cell>
          <cell r="C924">
            <v>0</v>
          </cell>
          <cell r="D924" t="str">
            <v xml:space="preserve">PLAZA DE LA CONSTITUCION </v>
          </cell>
          <cell r="E924" t="str">
            <v>POLOTITLAN, EDO. DE MEXICO</v>
          </cell>
          <cell r="F924">
            <v>0</v>
          </cell>
          <cell r="G924" t="str">
            <v>(427) 126-0841</v>
          </cell>
          <cell r="H924">
            <v>0</v>
          </cell>
          <cell r="I924">
            <v>0</v>
          </cell>
          <cell r="J924">
            <v>0</v>
          </cell>
          <cell r="K924">
            <v>0</v>
          </cell>
          <cell r="L924">
            <v>0</v>
          </cell>
          <cell r="M924">
            <v>0</v>
          </cell>
          <cell r="N924">
            <v>0</v>
          </cell>
          <cell r="O924">
            <v>0</v>
          </cell>
          <cell r="P924">
            <v>0</v>
          </cell>
          <cell r="Q924">
            <v>0</v>
          </cell>
          <cell r="R924">
            <v>0</v>
          </cell>
          <cell r="S924">
            <v>0</v>
          </cell>
          <cell r="T924">
            <v>0</v>
          </cell>
          <cell r="U924">
            <v>0</v>
          </cell>
          <cell r="V924" t="str">
            <v>CENTRO</v>
          </cell>
          <cell r="W924">
            <v>0</v>
          </cell>
          <cell r="X924">
            <v>0</v>
          </cell>
        </row>
        <row r="925">
          <cell r="A925">
            <v>7335</v>
          </cell>
          <cell r="B925" t="str">
            <v>IVONE MAYA (POLOTITLAN)</v>
          </cell>
          <cell r="C925">
            <v>0</v>
          </cell>
          <cell r="D925" t="str">
            <v>PLAZA DE LA CONSTITUCION #7</v>
          </cell>
          <cell r="E925" t="str">
            <v>POLOTITLAN, EDO. DE MEXICO</v>
          </cell>
          <cell r="F925">
            <v>0</v>
          </cell>
          <cell r="G925" t="str">
            <v>(55) 4442-9530</v>
          </cell>
          <cell r="H925">
            <v>0</v>
          </cell>
          <cell r="I925">
            <v>0</v>
          </cell>
          <cell r="J925">
            <v>0</v>
          </cell>
          <cell r="K925">
            <v>0</v>
          </cell>
          <cell r="L925">
            <v>0</v>
          </cell>
          <cell r="M925">
            <v>0</v>
          </cell>
          <cell r="N925">
            <v>0</v>
          </cell>
          <cell r="O925">
            <v>0</v>
          </cell>
          <cell r="P925">
            <v>0</v>
          </cell>
          <cell r="Q925">
            <v>0</v>
          </cell>
          <cell r="R925">
            <v>0</v>
          </cell>
          <cell r="S925">
            <v>0</v>
          </cell>
          <cell r="T925">
            <v>0</v>
          </cell>
          <cell r="U925">
            <v>0</v>
          </cell>
          <cell r="V925" t="str">
            <v>CENTRO</v>
          </cell>
          <cell r="W925">
            <v>0</v>
          </cell>
          <cell r="X925">
            <v>0</v>
          </cell>
        </row>
        <row r="926">
          <cell r="A926">
            <v>7336</v>
          </cell>
          <cell r="B926" t="str">
            <v>ENRIQUE RESENDIS (POLOTITLAN)</v>
          </cell>
          <cell r="C926">
            <v>0</v>
          </cell>
          <cell r="D926" t="str">
            <v>ABASOLO #8</v>
          </cell>
          <cell r="E926" t="str">
            <v>POLOTITLAN, EDO. DE MEXICO</v>
          </cell>
          <cell r="F926">
            <v>0</v>
          </cell>
          <cell r="G926" t="str">
            <v>(55) 2740-2628</v>
          </cell>
          <cell r="H926">
            <v>0</v>
          </cell>
          <cell r="I926">
            <v>0</v>
          </cell>
          <cell r="J926">
            <v>0</v>
          </cell>
          <cell r="K926">
            <v>0</v>
          </cell>
          <cell r="L926">
            <v>0</v>
          </cell>
          <cell r="M926">
            <v>0</v>
          </cell>
          <cell r="N926">
            <v>0</v>
          </cell>
          <cell r="O926">
            <v>0</v>
          </cell>
          <cell r="P926">
            <v>0</v>
          </cell>
          <cell r="Q926">
            <v>0</v>
          </cell>
          <cell r="R926">
            <v>0</v>
          </cell>
          <cell r="S926">
            <v>0</v>
          </cell>
          <cell r="T926">
            <v>0</v>
          </cell>
          <cell r="U926">
            <v>0</v>
          </cell>
          <cell r="V926" t="str">
            <v>CENTRO</v>
          </cell>
          <cell r="W926">
            <v>0</v>
          </cell>
          <cell r="X926">
            <v>0</v>
          </cell>
        </row>
        <row r="927">
          <cell r="A927">
            <v>7337</v>
          </cell>
          <cell r="B927" t="str">
            <v>BELINDA</v>
          </cell>
          <cell r="C927">
            <v>0</v>
          </cell>
          <cell r="D927">
            <v>0</v>
          </cell>
          <cell r="E927" t="str">
            <v>SALAMANCA, GTO.</v>
          </cell>
          <cell r="F927">
            <v>0</v>
          </cell>
          <cell r="G927">
            <v>0</v>
          </cell>
          <cell r="H927">
            <v>0</v>
          </cell>
          <cell r="I927">
            <v>0</v>
          </cell>
          <cell r="J927">
            <v>0</v>
          </cell>
          <cell r="K927">
            <v>0</v>
          </cell>
          <cell r="L927">
            <v>0</v>
          </cell>
          <cell r="M927">
            <v>0</v>
          </cell>
          <cell r="N927">
            <v>0</v>
          </cell>
          <cell r="O927">
            <v>0</v>
          </cell>
          <cell r="P927">
            <v>0</v>
          </cell>
          <cell r="Q927">
            <v>0</v>
          </cell>
          <cell r="R927">
            <v>0</v>
          </cell>
          <cell r="S927">
            <v>0</v>
          </cell>
          <cell r="T927">
            <v>0</v>
          </cell>
          <cell r="U927">
            <v>0</v>
          </cell>
          <cell r="V927">
            <v>0</v>
          </cell>
          <cell r="W927">
            <v>0</v>
          </cell>
          <cell r="X927">
            <v>0</v>
          </cell>
        </row>
        <row r="928">
          <cell r="A928">
            <v>7338</v>
          </cell>
          <cell r="B928" t="str">
            <v>ANTONIO ANDRADE REYES "TONY" (JALISCO)</v>
          </cell>
          <cell r="C928">
            <v>0</v>
          </cell>
          <cell r="D928" t="str">
            <v>FLORENCIA #70 ENTRE VENECIA Y MILAN</v>
          </cell>
          <cell r="E928" t="str">
            <v>LAGOS DE MORENO, JAL.</v>
          </cell>
          <cell r="F928" t="str">
            <v>47450</v>
          </cell>
          <cell r="G928" t="str">
            <v>(395) 106-8275</v>
          </cell>
          <cell r="H928">
            <v>0</v>
          </cell>
          <cell r="I928">
            <v>0</v>
          </cell>
          <cell r="J928">
            <v>0</v>
          </cell>
          <cell r="K928">
            <v>0</v>
          </cell>
          <cell r="L928">
            <v>0</v>
          </cell>
          <cell r="M928">
            <v>0</v>
          </cell>
          <cell r="N928">
            <v>0</v>
          </cell>
          <cell r="O928">
            <v>0</v>
          </cell>
          <cell r="P928">
            <v>0</v>
          </cell>
          <cell r="Q928">
            <v>0</v>
          </cell>
          <cell r="R928">
            <v>0</v>
          </cell>
          <cell r="S928">
            <v>0</v>
          </cell>
          <cell r="T928">
            <v>0</v>
          </cell>
          <cell r="U928">
            <v>0</v>
          </cell>
          <cell r="V928" t="str">
            <v>FRACC. STA. CATALINA, CAÑADA DE RICOS</v>
          </cell>
          <cell r="W928">
            <v>0</v>
          </cell>
          <cell r="X928">
            <v>0</v>
          </cell>
        </row>
        <row r="929">
          <cell r="A929">
            <v>7339</v>
          </cell>
          <cell r="B929" t="str">
            <v>ELIZABETH GOPAR (QUERETARO)</v>
          </cell>
          <cell r="C929">
            <v>0</v>
          </cell>
          <cell r="D929">
            <v>0</v>
          </cell>
          <cell r="E929" t="str">
            <v>QUERETARO, QRO.</v>
          </cell>
          <cell r="F929">
            <v>0</v>
          </cell>
          <cell r="G929">
            <v>0</v>
          </cell>
          <cell r="H929">
            <v>0</v>
          </cell>
          <cell r="I929">
            <v>0</v>
          </cell>
          <cell r="J929">
            <v>0</v>
          </cell>
          <cell r="K929">
            <v>0</v>
          </cell>
          <cell r="L929">
            <v>0</v>
          </cell>
          <cell r="M929">
            <v>0</v>
          </cell>
          <cell r="N929">
            <v>0</v>
          </cell>
          <cell r="O929">
            <v>0</v>
          </cell>
          <cell r="P929">
            <v>0</v>
          </cell>
          <cell r="Q929">
            <v>0</v>
          </cell>
          <cell r="R929">
            <v>0</v>
          </cell>
          <cell r="S929">
            <v>0</v>
          </cell>
          <cell r="T929">
            <v>0</v>
          </cell>
          <cell r="U929">
            <v>0</v>
          </cell>
          <cell r="V929">
            <v>0</v>
          </cell>
          <cell r="W929">
            <v>0</v>
          </cell>
          <cell r="X929">
            <v>0</v>
          </cell>
        </row>
        <row r="930">
          <cell r="A930">
            <v>7340</v>
          </cell>
          <cell r="B930" t="str">
            <v>ARACELI MAYORGA (QUERETARO)</v>
          </cell>
          <cell r="C930" t="str">
            <v>PAPELERIA ANTONY</v>
          </cell>
          <cell r="D930">
            <v>0</v>
          </cell>
          <cell r="E930" t="str">
            <v>QUERETARO, QRO.</v>
          </cell>
          <cell r="F930">
            <v>0</v>
          </cell>
          <cell r="G930">
            <v>0</v>
          </cell>
          <cell r="H930">
            <v>0</v>
          </cell>
          <cell r="I930">
            <v>0</v>
          </cell>
          <cell r="J930">
            <v>0</v>
          </cell>
          <cell r="K930">
            <v>0</v>
          </cell>
          <cell r="L930">
            <v>0</v>
          </cell>
          <cell r="M930">
            <v>0</v>
          </cell>
          <cell r="N930">
            <v>0</v>
          </cell>
          <cell r="O930">
            <v>0</v>
          </cell>
          <cell r="P930">
            <v>0</v>
          </cell>
          <cell r="Q930">
            <v>0</v>
          </cell>
          <cell r="R930">
            <v>0</v>
          </cell>
          <cell r="S930">
            <v>0</v>
          </cell>
          <cell r="T930">
            <v>0</v>
          </cell>
          <cell r="U930">
            <v>0</v>
          </cell>
          <cell r="V930">
            <v>0</v>
          </cell>
          <cell r="W930">
            <v>0</v>
          </cell>
          <cell r="X930">
            <v>0</v>
          </cell>
        </row>
        <row r="931">
          <cell r="A931">
            <v>7341</v>
          </cell>
          <cell r="B931" t="str">
            <v>FRANCELIA CADENA (QUERETARO)</v>
          </cell>
          <cell r="C931">
            <v>0</v>
          </cell>
          <cell r="D931">
            <v>0</v>
          </cell>
          <cell r="E931" t="str">
            <v>QUERETARO, QRO.</v>
          </cell>
          <cell r="F931">
            <v>0</v>
          </cell>
          <cell r="G931">
            <v>0</v>
          </cell>
          <cell r="H931">
            <v>0</v>
          </cell>
          <cell r="I931">
            <v>0</v>
          </cell>
          <cell r="J931">
            <v>0</v>
          </cell>
          <cell r="K931">
            <v>0</v>
          </cell>
          <cell r="L931">
            <v>0</v>
          </cell>
          <cell r="M931">
            <v>0</v>
          </cell>
          <cell r="N931">
            <v>0</v>
          </cell>
          <cell r="O931">
            <v>0</v>
          </cell>
          <cell r="P931">
            <v>0</v>
          </cell>
          <cell r="Q931">
            <v>0</v>
          </cell>
          <cell r="R931">
            <v>0</v>
          </cell>
          <cell r="S931">
            <v>0</v>
          </cell>
          <cell r="T931">
            <v>0</v>
          </cell>
          <cell r="U931">
            <v>0</v>
          </cell>
          <cell r="V931">
            <v>0</v>
          </cell>
          <cell r="W931">
            <v>0</v>
          </cell>
          <cell r="X931">
            <v>0</v>
          </cell>
        </row>
        <row r="932">
          <cell r="A932">
            <v>7342</v>
          </cell>
          <cell r="B932" t="str">
            <v>ARTURO GARAY (QUERETARO)</v>
          </cell>
          <cell r="C932">
            <v>0</v>
          </cell>
          <cell r="D932" t="str">
            <v>CEDRO #60</v>
          </cell>
          <cell r="E932" t="str">
            <v>CORREGIDORA, QRO.</v>
          </cell>
          <cell r="F932">
            <v>0</v>
          </cell>
          <cell r="G932" t="str">
            <v>(442) 516-1653</v>
          </cell>
          <cell r="H932">
            <v>0</v>
          </cell>
          <cell r="I932">
            <v>0</v>
          </cell>
          <cell r="J932">
            <v>0</v>
          </cell>
          <cell r="K932">
            <v>0</v>
          </cell>
          <cell r="L932">
            <v>0</v>
          </cell>
          <cell r="M932">
            <v>0</v>
          </cell>
          <cell r="N932">
            <v>0</v>
          </cell>
          <cell r="O932">
            <v>0</v>
          </cell>
          <cell r="P932">
            <v>0</v>
          </cell>
          <cell r="Q932">
            <v>0</v>
          </cell>
          <cell r="R932">
            <v>0</v>
          </cell>
          <cell r="S932">
            <v>0</v>
          </cell>
          <cell r="T932">
            <v>0</v>
          </cell>
          <cell r="U932">
            <v>0</v>
          </cell>
          <cell r="V932" t="str">
            <v>LOS OLVERA</v>
          </cell>
          <cell r="W932">
            <v>0</v>
          </cell>
          <cell r="X932">
            <v>0</v>
          </cell>
        </row>
        <row r="933">
          <cell r="A933">
            <v>7343</v>
          </cell>
          <cell r="B933" t="str">
            <v>BEATRIZ RAMIREZ (QUERETARO)</v>
          </cell>
          <cell r="C933" t="str">
            <v>PAPELERIA RAMIREZ</v>
          </cell>
          <cell r="D933" t="str">
            <v>CAMINO A LOIS OLVERA #77 LOCAL 3</v>
          </cell>
          <cell r="E933" t="str">
            <v>CORREGIDORA, QRO.</v>
          </cell>
          <cell r="F933">
            <v>0</v>
          </cell>
          <cell r="G933">
            <v>0</v>
          </cell>
          <cell r="H933">
            <v>0</v>
          </cell>
          <cell r="I933">
            <v>0</v>
          </cell>
          <cell r="J933">
            <v>0</v>
          </cell>
          <cell r="K933">
            <v>0</v>
          </cell>
          <cell r="L933">
            <v>0</v>
          </cell>
          <cell r="M933">
            <v>0</v>
          </cell>
          <cell r="N933">
            <v>0</v>
          </cell>
          <cell r="O933">
            <v>0</v>
          </cell>
          <cell r="P933">
            <v>0</v>
          </cell>
          <cell r="Q933">
            <v>0</v>
          </cell>
          <cell r="R933">
            <v>0</v>
          </cell>
          <cell r="S933">
            <v>0</v>
          </cell>
          <cell r="T933">
            <v>0</v>
          </cell>
          <cell r="U933">
            <v>0</v>
          </cell>
          <cell r="V933" t="str">
            <v>LOS OLVERA</v>
          </cell>
          <cell r="W933">
            <v>0</v>
          </cell>
          <cell r="X933">
            <v>0</v>
          </cell>
        </row>
        <row r="934">
          <cell r="A934">
            <v>7344</v>
          </cell>
          <cell r="B934" t="str">
            <v>LINDA BRETADO (QUERETARO)</v>
          </cell>
          <cell r="C934">
            <v>0</v>
          </cell>
          <cell r="D934">
            <v>0</v>
          </cell>
          <cell r="E934" t="str">
            <v>QUERETARO, QRO.</v>
          </cell>
          <cell r="F934">
            <v>0</v>
          </cell>
          <cell r="G934">
            <v>0</v>
          </cell>
          <cell r="H934">
            <v>0</v>
          </cell>
          <cell r="I934">
            <v>0</v>
          </cell>
          <cell r="J934">
            <v>0</v>
          </cell>
          <cell r="K934">
            <v>0</v>
          </cell>
          <cell r="L934">
            <v>0</v>
          </cell>
          <cell r="M934">
            <v>0</v>
          </cell>
          <cell r="N934">
            <v>0</v>
          </cell>
          <cell r="O934">
            <v>0</v>
          </cell>
          <cell r="P934">
            <v>0</v>
          </cell>
          <cell r="Q934">
            <v>0</v>
          </cell>
          <cell r="R934">
            <v>0</v>
          </cell>
          <cell r="S934">
            <v>0</v>
          </cell>
          <cell r="T934">
            <v>0</v>
          </cell>
          <cell r="U934">
            <v>0</v>
          </cell>
          <cell r="V934">
            <v>0</v>
          </cell>
          <cell r="W934">
            <v>0</v>
          </cell>
          <cell r="X934">
            <v>0</v>
          </cell>
        </row>
        <row r="935">
          <cell r="A935">
            <v>7345</v>
          </cell>
          <cell r="B935" t="str">
            <v>FRANCIS "PAPELERIA LA GOMITA" (QUERETARO)</v>
          </cell>
          <cell r="C935">
            <v>0</v>
          </cell>
          <cell r="D935">
            <v>0</v>
          </cell>
          <cell r="E935" t="str">
            <v>QUERETARO, QRO.</v>
          </cell>
          <cell r="F935">
            <v>0</v>
          </cell>
          <cell r="G935">
            <v>0</v>
          </cell>
          <cell r="H935">
            <v>0</v>
          </cell>
          <cell r="I935">
            <v>0</v>
          </cell>
          <cell r="J935">
            <v>0</v>
          </cell>
          <cell r="K935">
            <v>0</v>
          </cell>
          <cell r="L935">
            <v>0</v>
          </cell>
          <cell r="M935">
            <v>0</v>
          </cell>
          <cell r="N935">
            <v>0</v>
          </cell>
          <cell r="O935">
            <v>0</v>
          </cell>
          <cell r="P935">
            <v>0</v>
          </cell>
          <cell r="Q935">
            <v>0</v>
          </cell>
          <cell r="R935">
            <v>0</v>
          </cell>
          <cell r="S935">
            <v>0</v>
          </cell>
          <cell r="T935">
            <v>0</v>
          </cell>
          <cell r="U935">
            <v>0</v>
          </cell>
          <cell r="V935">
            <v>0</v>
          </cell>
          <cell r="W935">
            <v>0</v>
          </cell>
          <cell r="X935">
            <v>0</v>
          </cell>
        </row>
        <row r="936">
          <cell r="A936">
            <v>7346</v>
          </cell>
          <cell r="B936" t="str">
            <v>ADAN ALCANTAR (AMEALCO)</v>
          </cell>
          <cell r="C936">
            <v>0</v>
          </cell>
          <cell r="D936">
            <v>0</v>
          </cell>
          <cell r="E936" t="str">
            <v>AMEALCO, QRO.</v>
          </cell>
          <cell r="F936">
            <v>0</v>
          </cell>
          <cell r="G936">
            <v>0</v>
          </cell>
          <cell r="H936">
            <v>0</v>
          </cell>
          <cell r="I936">
            <v>0</v>
          </cell>
          <cell r="J936">
            <v>0</v>
          </cell>
          <cell r="K936">
            <v>0</v>
          </cell>
          <cell r="L936">
            <v>0</v>
          </cell>
          <cell r="M936">
            <v>0</v>
          </cell>
          <cell r="N936">
            <v>0</v>
          </cell>
          <cell r="O936">
            <v>0</v>
          </cell>
          <cell r="P936">
            <v>0</v>
          </cell>
          <cell r="Q936">
            <v>0</v>
          </cell>
          <cell r="R936">
            <v>0</v>
          </cell>
          <cell r="S936">
            <v>0</v>
          </cell>
          <cell r="T936">
            <v>0</v>
          </cell>
          <cell r="U936">
            <v>0</v>
          </cell>
          <cell r="V936">
            <v>0</v>
          </cell>
          <cell r="W936">
            <v>0</v>
          </cell>
          <cell r="X936">
            <v>0</v>
          </cell>
        </row>
        <row r="937">
          <cell r="A937">
            <v>7347</v>
          </cell>
          <cell r="B937" t="str">
            <v>JANET CRUZ CRUZ (SAN JUAN DEL RIO)</v>
          </cell>
          <cell r="C937" t="str">
            <v>RECUERDAME BONITO</v>
          </cell>
          <cell r="D937" t="str">
            <v>AV. REFORMA S/N</v>
          </cell>
          <cell r="E937" t="str">
            <v>SAN JUAN DEL RIO, QRO.</v>
          </cell>
          <cell r="F937" t="str">
            <v>46847</v>
          </cell>
          <cell r="G937">
            <v>0</v>
          </cell>
          <cell r="H937">
            <v>0</v>
          </cell>
          <cell r="I937">
            <v>0</v>
          </cell>
          <cell r="J937">
            <v>0</v>
          </cell>
          <cell r="K937">
            <v>0</v>
          </cell>
          <cell r="L937">
            <v>0</v>
          </cell>
          <cell r="M937">
            <v>0</v>
          </cell>
          <cell r="N937">
            <v>0</v>
          </cell>
          <cell r="O937">
            <v>0</v>
          </cell>
          <cell r="P937">
            <v>0</v>
          </cell>
          <cell r="Q937">
            <v>0</v>
          </cell>
          <cell r="R937">
            <v>0</v>
          </cell>
          <cell r="S937">
            <v>0</v>
          </cell>
          <cell r="T937">
            <v>0</v>
          </cell>
          <cell r="U937">
            <v>0</v>
          </cell>
          <cell r="V937" t="str">
            <v>SAN SEBASTIAN DE LAS BARRANCAS NTE.</v>
          </cell>
          <cell r="W937">
            <v>0</v>
          </cell>
          <cell r="X937">
            <v>0</v>
          </cell>
        </row>
        <row r="938">
          <cell r="A938">
            <v>7348</v>
          </cell>
          <cell r="B938" t="str">
            <v>MARIA DE LOURDES TREJO MORA - LULU (ACAMBARO)</v>
          </cell>
          <cell r="C938">
            <v>0</v>
          </cell>
          <cell r="D938">
            <v>0</v>
          </cell>
          <cell r="E938" t="str">
            <v>ACAMBARO, GTO.</v>
          </cell>
          <cell r="F938">
            <v>0</v>
          </cell>
          <cell r="G938">
            <v>0</v>
          </cell>
          <cell r="H938">
            <v>0</v>
          </cell>
          <cell r="I938">
            <v>0</v>
          </cell>
          <cell r="J938">
            <v>0</v>
          </cell>
          <cell r="K938">
            <v>0</v>
          </cell>
          <cell r="L938">
            <v>0</v>
          </cell>
          <cell r="M938">
            <v>0</v>
          </cell>
          <cell r="N938">
            <v>0</v>
          </cell>
          <cell r="O938">
            <v>0</v>
          </cell>
          <cell r="P938">
            <v>0</v>
          </cell>
          <cell r="Q938">
            <v>0</v>
          </cell>
          <cell r="R938">
            <v>0</v>
          </cell>
          <cell r="S938">
            <v>0</v>
          </cell>
          <cell r="T938">
            <v>0</v>
          </cell>
          <cell r="U938">
            <v>0</v>
          </cell>
          <cell r="V938">
            <v>0</v>
          </cell>
          <cell r="W938">
            <v>0</v>
          </cell>
          <cell r="X938">
            <v>0</v>
          </cell>
        </row>
        <row r="939">
          <cell r="A939">
            <v>7349</v>
          </cell>
          <cell r="B939" t="str">
            <v>ELBA ESCUTIA RAMOS (MICHOACAN)</v>
          </cell>
          <cell r="C939">
            <v>0</v>
          </cell>
          <cell r="D939" t="str">
            <v>ANTONIO DE MENDOZA #23</v>
          </cell>
          <cell r="E939" t="str">
            <v>CUITZEO, MICHOACAN</v>
          </cell>
          <cell r="F939" t="str">
            <v>58840</v>
          </cell>
          <cell r="G939" t="str">
            <v>(443) 199-7458</v>
          </cell>
          <cell r="H939">
            <v>0</v>
          </cell>
          <cell r="I939">
            <v>0</v>
          </cell>
          <cell r="J939">
            <v>0</v>
          </cell>
          <cell r="K939">
            <v>0</v>
          </cell>
          <cell r="L939">
            <v>0</v>
          </cell>
          <cell r="M939">
            <v>0</v>
          </cell>
          <cell r="N939">
            <v>0</v>
          </cell>
          <cell r="O939">
            <v>0</v>
          </cell>
          <cell r="P939">
            <v>0</v>
          </cell>
          <cell r="Q939">
            <v>0</v>
          </cell>
          <cell r="R939">
            <v>0</v>
          </cell>
          <cell r="S939">
            <v>0</v>
          </cell>
          <cell r="T939">
            <v>0</v>
          </cell>
          <cell r="U939">
            <v>0</v>
          </cell>
          <cell r="V939">
            <v>0</v>
          </cell>
          <cell r="W939">
            <v>0</v>
          </cell>
          <cell r="X939" t="str">
            <v>LEOVINO ZAVALA #84, INDEPENDENCIA, URIANGATO, GTO. CP 38980</v>
          </cell>
        </row>
        <row r="940">
          <cell r="A940">
            <v>7350</v>
          </cell>
          <cell r="B940" t="str">
            <v>SILVERIO RAMIREZ (TARANDA)</v>
          </cell>
          <cell r="C940">
            <v>0</v>
          </cell>
          <cell r="D940">
            <v>0</v>
          </cell>
          <cell r="E940" t="str">
            <v>TARANDACUAO, GTO.</v>
          </cell>
          <cell r="F940">
            <v>0</v>
          </cell>
          <cell r="G940">
            <v>0</v>
          </cell>
          <cell r="H940">
            <v>0</v>
          </cell>
          <cell r="I940">
            <v>0</v>
          </cell>
          <cell r="J940">
            <v>0</v>
          </cell>
          <cell r="K940">
            <v>0</v>
          </cell>
          <cell r="L940">
            <v>0</v>
          </cell>
          <cell r="M940">
            <v>0</v>
          </cell>
          <cell r="N940">
            <v>0</v>
          </cell>
          <cell r="O940">
            <v>0</v>
          </cell>
          <cell r="P940">
            <v>0</v>
          </cell>
          <cell r="Q940">
            <v>0</v>
          </cell>
          <cell r="R940">
            <v>0</v>
          </cell>
          <cell r="S940">
            <v>0</v>
          </cell>
          <cell r="T940">
            <v>0</v>
          </cell>
          <cell r="U940">
            <v>0</v>
          </cell>
          <cell r="V940">
            <v>0</v>
          </cell>
          <cell r="W940">
            <v>0</v>
          </cell>
          <cell r="X940">
            <v>0</v>
          </cell>
        </row>
        <row r="941">
          <cell r="A941">
            <v>7351</v>
          </cell>
          <cell r="B941" t="str">
            <v>FARMACIA VILLA (ZINAPECUARO)</v>
          </cell>
          <cell r="C941">
            <v>0</v>
          </cell>
          <cell r="D941">
            <v>0</v>
          </cell>
          <cell r="E941" t="str">
            <v>ZINAPECUARO, MICH.</v>
          </cell>
          <cell r="F941">
            <v>0</v>
          </cell>
          <cell r="G941">
            <v>0</v>
          </cell>
          <cell r="H941">
            <v>0</v>
          </cell>
          <cell r="I941">
            <v>0</v>
          </cell>
          <cell r="J941">
            <v>0</v>
          </cell>
          <cell r="K941">
            <v>0</v>
          </cell>
          <cell r="L941">
            <v>0</v>
          </cell>
          <cell r="M941">
            <v>0</v>
          </cell>
          <cell r="N941">
            <v>0</v>
          </cell>
          <cell r="O941">
            <v>0</v>
          </cell>
          <cell r="P941">
            <v>0</v>
          </cell>
          <cell r="Q941">
            <v>0</v>
          </cell>
          <cell r="R941">
            <v>0</v>
          </cell>
          <cell r="S941">
            <v>0</v>
          </cell>
          <cell r="T941">
            <v>0</v>
          </cell>
          <cell r="U941">
            <v>0</v>
          </cell>
          <cell r="V941">
            <v>0</v>
          </cell>
          <cell r="W941">
            <v>0</v>
          </cell>
          <cell r="X941">
            <v>0</v>
          </cell>
        </row>
        <row r="942">
          <cell r="A942">
            <v>7352</v>
          </cell>
          <cell r="B942" t="str">
            <v>GUADALUPE DE LA TORRE (QUERETARO)</v>
          </cell>
          <cell r="C942" t="str">
            <v>COPY FER</v>
          </cell>
          <cell r="D942" t="str">
            <v>HIDALGO #144</v>
          </cell>
          <cell r="E942" t="str">
            <v>QUERETARO, QRO.</v>
          </cell>
          <cell r="F942" t="str">
            <v>76000</v>
          </cell>
          <cell r="G942" t="str">
            <v>(442) 321-6251</v>
          </cell>
          <cell r="H942">
            <v>0</v>
          </cell>
          <cell r="I942">
            <v>0</v>
          </cell>
          <cell r="J942">
            <v>0</v>
          </cell>
          <cell r="K942">
            <v>0</v>
          </cell>
          <cell r="L942">
            <v>0</v>
          </cell>
          <cell r="M942">
            <v>0</v>
          </cell>
          <cell r="N942">
            <v>0</v>
          </cell>
          <cell r="O942">
            <v>0</v>
          </cell>
          <cell r="P942">
            <v>0</v>
          </cell>
          <cell r="Q942">
            <v>0</v>
          </cell>
          <cell r="R942">
            <v>0</v>
          </cell>
          <cell r="S942">
            <v>0</v>
          </cell>
          <cell r="T942">
            <v>0</v>
          </cell>
          <cell r="U942">
            <v>0</v>
          </cell>
          <cell r="V942" t="str">
            <v>CENTRO</v>
          </cell>
          <cell r="W942">
            <v>0</v>
          </cell>
          <cell r="X942">
            <v>0</v>
          </cell>
        </row>
        <row r="943">
          <cell r="A943">
            <v>7353</v>
          </cell>
          <cell r="B943" t="str">
            <v>PAPELERIA GORRITA (QUERETARO)</v>
          </cell>
          <cell r="C943">
            <v>0</v>
          </cell>
          <cell r="D943" t="str">
            <v>AV. PEÑA DE BERNAL REFUGIO MALL #113</v>
          </cell>
          <cell r="E943" t="str">
            <v>QUERETARO, QRO.</v>
          </cell>
          <cell r="F943">
            <v>0</v>
          </cell>
          <cell r="G943">
            <v>0</v>
          </cell>
          <cell r="H943">
            <v>0</v>
          </cell>
          <cell r="I943">
            <v>0</v>
          </cell>
          <cell r="J943">
            <v>0</v>
          </cell>
          <cell r="K943">
            <v>0</v>
          </cell>
          <cell r="L943">
            <v>0</v>
          </cell>
          <cell r="M943">
            <v>0</v>
          </cell>
          <cell r="N943">
            <v>0</v>
          </cell>
          <cell r="O943">
            <v>0</v>
          </cell>
          <cell r="P943">
            <v>0</v>
          </cell>
          <cell r="Q943">
            <v>0</v>
          </cell>
          <cell r="R943">
            <v>0</v>
          </cell>
          <cell r="S943">
            <v>0</v>
          </cell>
          <cell r="T943">
            <v>0</v>
          </cell>
          <cell r="U943">
            <v>0</v>
          </cell>
          <cell r="V943" t="str">
            <v>FRACC. EL REFUGIO</v>
          </cell>
          <cell r="W943">
            <v>0</v>
          </cell>
          <cell r="X943">
            <v>0</v>
          </cell>
        </row>
        <row r="944">
          <cell r="A944">
            <v>7354</v>
          </cell>
          <cell r="B944" t="str">
            <v>MARISOL VILLANUEVA (QUERETARO)</v>
          </cell>
          <cell r="C944">
            <v>0</v>
          </cell>
          <cell r="D944" t="str">
            <v>CANDILES #176 LOCAL B</v>
          </cell>
          <cell r="E944" t="str">
            <v>CORREGIDORA, QRO.</v>
          </cell>
          <cell r="F944" t="str">
            <v>76903</v>
          </cell>
          <cell r="G944">
            <v>0</v>
          </cell>
          <cell r="H944">
            <v>0</v>
          </cell>
          <cell r="I944">
            <v>0</v>
          </cell>
          <cell r="J944">
            <v>0</v>
          </cell>
          <cell r="K944">
            <v>0</v>
          </cell>
          <cell r="L944">
            <v>0</v>
          </cell>
          <cell r="M944">
            <v>0</v>
          </cell>
          <cell r="N944">
            <v>0</v>
          </cell>
          <cell r="O944">
            <v>0</v>
          </cell>
          <cell r="P944">
            <v>0</v>
          </cell>
          <cell r="Q944">
            <v>0</v>
          </cell>
          <cell r="R944">
            <v>0</v>
          </cell>
          <cell r="S944">
            <v>0</v>
          </cell>
          <cell r="T944">
            <v>0</v>
          </cell>
          <cell r="U944">
            <v>0</v>
          </cell>
          <cell r="V944" t="str">
            <v>CAMINO REAL</v>
          </cell>
          <cell r="W944">
            <v>0</v>
          </cell>
          <cell r="X944">
            <v>0</v>
          </cell>
        </row>
        <row r="945">
          <cell r="A945">
            <v>7355</v>
          </cell>
          <cell r="B945" t="str">
            <v>ENRIQUE TREJO (QUERETARO)</v>
          </cell>
          <cell r="C945" t="str">
            <v>FOREVER PARTY</v>
          </cell>
          <cell r="D945" t="str">
            <v>AV. PIE DE LA CUESTA #104-137</v>
          </cell>
          <cell r="E945" t="str">
            <v>QUERETARO, QRO.</v>
          </cell>
          <cell r="F945" t="str">
            <v>76125</v>
          </cell>
          <cell r="G945">
            <v>0</v>
          </cell>
          <cell r="H945">
            <v>0</v>
          </cell>
          <cell r="I945">
            <v>0</v>
          </cell>
          <cell r="J945">
            <v>0</v>
          </cell>
          <cell r="K945">
            <v>0</v>
          </cell>
          <cell r="L945">
            <v>0</v>
          </cell>
          <cell r="M945">
            <v>0</v>
          </cell>
          <cell r="N945">
            <v>0</v>
          </cell>
          <cell r="O945">
            <v>0</v>
          </cell>
          <cell r="P945">
            <v>0</v>
          </cell>
          <cell r="Q945">
            <v>0</v>
          </cell>
          <cell r="R945">
            <v>0</v>
          </cell>
          <cell r="S945">
            <v>0</v>
          </cell>
          <cell r="T945">
            <v>0</v>
          </cell>
          <cell r="U945">
            <v>0</v>
          </cell>
          <cell r="V945" t="str">
            <v>DESARRILLO SAN PABLO</v>
          </cell>
          <cell r="W945">
            <v>0</v>
          </cell>
          <cell r="X945">
            <v>0</v>
          </cell>
        </row>
        <row r="946">
          <cell r="A946">
            <v>7356</v>
          </cell>
          <cell r="B946" t="str">
            <v>MARISOL PEREZ (QUERETARO)</v>
          </cell>
          <cell r="C946" t="str">
            <v>PAPELERIA YO-YO</v>
          </cell>
          <cell r="D946">
            <v>0</v>
          </cell>
          <cell r="E946" t="str">
            <v>QUERETARO, QRO.</v>
          </cell>
          <cell r="F946">
            <v>0</v>
          </cell>
          <cell r="G946">
            <v>0</v>
          </cell>
          <cell r="H946">
            <v>0</v>
          </cell>
          <cell r="I946">
            <v>0</v>
          </cell>
          <cell r="J946">
            <v>0</v>
          </cell>
          <cell r="K946">
            <v>0</v>
          </cell>
          <cell r="L946">
            <v>0</v>
          </cell>
          <cell r="M946">
            <v>0</v>
          </cell>
          <cell r="N946">
            <v>0</v>
          </cell>
          <cell r="O946">
            <v>0</v>
          </cell>
          <cell r="P946">
            <v>0</v>
          </cell>
          <cell r="Q946">
            <v>0</v>
          </cell>
          <cell r="R946">
            <v>0</v>
          </cell>
          <cell r="S946">
            <v>0</v>
          </cell>
          <cell r="T946">
            <v>0</v>
          </cell>
          <cell r="U946">
            <v>0</v>
          </cell>
          <cell r="V946">
            <v>0</v>
          </cell>
          <cell r="W946">
            <v>0</v>
          </cell>
          <cell r="X946">
            <v>0</v>
          </cell>
        </row>
        <row r="947">
          <cell r="A947">
            <v>7357</v>
          </cell>
          <cell r="B947" t="str">
            <v>GUADALUPE JUAREZ (SANTA ROSA)</v>
          </cell>
          <cell r="C947" t="str">
            <v>CIBER PAPELERIA ARCOIRIS</v>
          </cell>
          <cell r="D947" t="str">
            <v>5 DE MAYO #11</v>
          </cell>
          <cell r="E947" t="str">
            <v>SANTA ROSA JAUREGUI, QRO.</v>
          </cell>
          <cell r="F947">
            <v>0</v>
          </cell>
          <cell r="G947">
            <v>0</v>
          </cell>
          <cell r="H947">
            <v>0</v>
          </cell>
          <cell r="I947">
            <v>0</v>
          </cell>
          <cell r="J947">
            <v>0</v>
          </cell>
          <cell r="K947">
            <v>0</v>
          </cell>
          <cell r="L947">
            <v>0</v>
          </cell>
          <cell r="M947">
            <v>0</v>
          </cell>
          <cell r="N947">
            <v>0</v>
          </cell>
          <cell r="O947">
            <v>0</v>
          </cell>
          <cell r="P947">
            <v>0</v>
          </cell>
          <cell r="Q947">
            <v>0</v>
          </cell>
          <cell r="R947">
            <v>0</v>
          </cell>
          <cell r="S947">
            <v>0</v>
          </cell>
          <cell r="T947">
            <v>0</v>
          </cell>
          <cell r="U947">
            <v>0</v>
          </cell>
          <cell r="V947" t="str">
            <v>CENTRO</v>
          </cell>
          <cell r="W947">
            <v>0</v>
          </cell>
          <cell r="X947">
            <v>0</v>
          </cell>
        </row>
        <row r="948">
          <cell r="A948">
            <v>7358</v>
          </cell>
          <cell r="B948" t="str">
            <v>ELIZABETH CARDENAS (SAN LUIS DE LA PAZ)</v>
          </cell>
          <cell r="C948" t="str">
            <v>ANDY REGALOS</v>
          </cell>
          <cell r="D948" t="str">
            <v>ZARAGOZA #416</v>
          </cell>
          <cell r="E948" t="str">
            <v>SAN LUIS DE LA PAZ, GTO.</v>
          </cell>
          <cell r="F948" t="str">
            <v>37900</v>
          </cell>
          <cell r="G948">
            <v>0</v>
          </cell>
          <cell r="H948">
            <v>0</v>
          </cell>
          <cell r="I948">
            <v>0</v>
          </cell>
          <cell r="J948">
            <v>0</v>
          </cell>
          <cell r="K948">
            <v>0</v>
          </cell>
          <cell r="L948">
            <v>0</v>
          </cell>
          <cell r="M948">
            <v>0</v>
          </cell>
          <cell r="N948">
            <v>0</v>
          </cell>
          <cell r="O948">
            <v>0</v>
          </cell>
          <cell r="P948">
            <v>0</v>
          </cell>
          <cell r="Q948">
            <v>0</v>
          </cell>
          <cell r="R948">
            <v>0</v>
          </cell>
          <cell r="S948">
            <v>0</v>
          </cell>
          <cell r="T948">
            <v>0</v>
          </cell>
          <cell r="U948">
            <v>0</v>
          </cell>
          <cell r="V948" t="str">
            <v>LA CENTRAL</v>
          </cell>
          <cell r="W948">
            <v>0</v>
          </cell>
          <cell r="X948">
            <v>0</v>
          </cell>
        </row>
        <row r="949">
          <cell r="A949">
            <v>7359</v>
          </cell>
          <cell r="B949" t="str">
            <v>JORGE RUBEN ROBLEDO VAZQUEZ (SALAMANCA)</v>
          </cell>
          <cell r="C949">
            <v>0</v>
          </cell>
          <cell r="D949" t="str">
            <v>BLVD. LAS REYNAS #604-B</v>
          </cell>
          <cell r="E949" t="str">
            <v>SALAMANCA, GTO.</v>
          </cell>
          <cell r="F949" t="str">
            <v>76720</v>
          </cell>
          <cell r="G949">
            <v>0</v>
          </cell>
          <cell r="H949">
            <v>0</v>
          </cell>
          <cell r="I949">
            <v>0</v>
          </cell>
          <cell r="J949">
            <v>0</v>
          </cell>
          <cell r="K949">
            <v>0</v>
          </cell>
          <cell r="L949">
            <v>0</v>
          </cell>
          <cell r="M949">
            <v>0</v>
          </cell>
          <cell r="N949">
            <v>0</v>
          </cell>
          <cell r="O949">
            <v>0</v>
          </cell>
          <cell r="P949">
            <v>0</v>
          </cell>
          <cell r="Q949">
            <v>0</v>
          </cell>
          <cell r="R949">
            <v>0</v>
          </cell>
          <cell r="S949">
            <v>0</v>
          </cell>
          <cell r="T949">
            <v>0</v>
          </cell>
          <cell r="U949">
            <v>0</v>
          </cell>
          <cell r="V949" t="str">
            <v>LAS REYNAS</v>
          </cell>
          <cell r="W949">
            <v>0</v>
          </cell>
          <cell r="X949">
            <v>0</v>
          </cell>
        </row>
        <row r="950">
          <cell r="A950">
            <v>7360</v>
          </cell>
          <cell r="B950" t="str">
            <v>MARY GARCIA (A. EL GRANDE)</v>
          </cell>
          <cell r="C950">
            <v>0</v>
          </cell>
          <cell r="D950" t="str">
            <v>ANTONIO PLAZA #101 D</v>
          </cell>
          <cell r="E950" t="str">
            <v>APASEO EL GRANDE, GTO.</v>
          </cell>
          <cell r="F950">
            <v>0</v>
          </cell>
          <cell r="G950" t="str">
            <v>(413) 108-1690</v>
          </cell>
          <cell r="H950">
            <v>0</v>
          </cell>
          <cell r="I950">
            <v>0</v>
          </cell>
          <cell r="J950">
            <v>0</v>
          </cell>
          <cell r="K950">
            <v>0</v>
          </cell>
          <cell r="L950">
            <v>0</v>
          </cell>
          <cell r="M950">
            <v>0</v>
          </cell>
          <cell r="N950">
            <v>0</v>
          </cell>
          <cell r="O950">
            <v>0</v>
          </cell>
          <cell r="P950">
            <v>0</v>
          </cell>
          <cell r="Q950">
            <v>0</v>
          </cell>
          <cell r="R950">
            <v>0</v>
          </cell>
          <cell r="S950">
            <v>0</v>
          </cell>
          <cell r="T950">
            <v>0</v>
          </cell>
          <cell r="U950">
            <v>0</v>
          </cell>
          <cell r="V950" t="str">
            <v>CENTRO</v>
          </cell>
          <cell r="W950">
            <v>0</v>
          </cell>
          <cell r="X950">
            <v>0</v>
          </cell>
        </row>
        <row r="951">
          <cell r="A951">
            <v>7361</v>
          </cell>
          <cell r="B951" t="str">
            <v>ADRIANA "NOVEDADES IKA" (POLOTITLAN)</v>
          </cell>
          <cell r="C951">
            <v>0</v>
          </cell>
          <cell r="D951" t="str">
            <v>CUAUHTEMOC #21</v>
          </cell>
          <cell r="E951" t="str">
            <v>POLOTITLAN, EDO. DE MEXICO</v>
          </cell>
          <cell r="F951">
            <v>0</v>
          </cell>
          <cell r="G951">
            <v>0</v>
          </cell>
          <cell r="H951">
            <v>0</v>
          </cell>
          <cell r="I951">
            <v>0</v>
          </cell>
          <cell r="J951">
            <v>0</v>
          </cell>
          <cell r="K951">
            <v>0</v>
          </cell>
          <cell r="L951">
            <v>0</v>
          </cell>
          <cell r="M951">
            <v>0</v>
          </cell>
          <cell r="N951">
            <v>0</v>
          </cell>
          <cell r="O951">
            <v>0</v>
          </cell>
          <cell r="P951">
            <v>0</v>
          </cell>
          <cell r="Q951">
            <v>0</v>
          </cell>
          <cell r="R951">
            <v>0</v>
          </cell>
          <cell r="S951">
            <v>0</v>
          </cell>
          <cell r="T951">
            <v>0</v>
          </cell>
          <cell r="U951">
            <v>0</v>
          </cell>
          <cell r="V951">
            <v>0</v>
          </cell>
          <cell r="W951">
            <v>0</v>
          </cell>
          <cell r="X951">
            <v>0</v>
          </cell>
        </row>
        <row r="952">
          <cell r="A952">
            <v>7362</v>
          </cell>
          <cell r="B952" t="str">
            <v>ROSA ISABEL DOMINGUEZ MONDRAGON (TARANDA)</v>
          </cell>
          <cell r="C952" t="str">
            <v>KOOL PARTY</v>
          </cell>
          <cell r="D952" t="str">
            <v>JUAREZ #250 LOCAL B</v>
          </cell>
          <cell r="E952" t="str">
            <v>TARANDACUAO, GTO.</v>
          </cell>
          <cell r="F952" t="str">
            <v>38790</v>
          </cell>
          <cell r="G952" t="str">
            <v>(417) 116-1167</v>
          </cell>
          <cell r="H952">
            <v>0</v>
          </cell>
          <cell r="I952">
            <v>0</v>
          </cell>
          <cell r="J952">
            <v>0</v>
          </cell>
          <cell r="K952">
            <v>0</v>
          </cell>
          <cell r="L952">
            <v>0</v>
          </cell>
          <cell r="M952">
            <v>0</v>
          </cell>
          <cell r="N952">
            <v>0</v>
          </cell>
          <cell r="O952">
            <v>0</v>
          </cell>
          <cell r="P952">
            <v>0</v>
          </cell>
          <cell r="Q952">
            <v>0</v>
          </cell>
          <cell r="R952">
            <v>0</v>
          </cell>
          <cell r="S952">
            <v>0</v>
          </cell>
          <cell r="T952">
            <v>0</v>
          </cell>
          <cell r="U952">
            <v>0</v>
          </cell>
          <cell r="V952" t="str">
            <v>CENTRO</v>
          </cell>
          <cell r="W952">
            <v>0</v>
          </cell>
          <cell r="X952">
            <v>0</v>
          </cell>
        </row>
        <row r="953">
          <cell r="A953">
            <v>7363</v>
          </cell>
          <cell r="B953" t="str">
            <v>JUAN FAUSTO HERNANDEZ (A. EL GRANDE)</v>
          </cell>
          <cell r="C953">
            <v>0</v>
          </cell>
          <cell r="D953" t="str">
            <v>VENUSTIANO CARRANZA #215</v>
          </cell>
          <cell r="E953" t="str">
            <v>APASEO EL GRANDE, GTO.</v>
          </cell>
          <cell r="F953">
            <v>0</v>
          </cell>
          <cell r="G953" t="str">
            <v>(461) 230-7862</v>
          </cell>
          <cell r="H953">
            <v>0</v>
          </cell>
          <cell r="I953">
            <v>0</v>
          </cell>
          <cell r="J953">
            <v>0</v>
          </cell>
          <cell r="K953">
            <v>0</v>
          </cell>
          <cell r="L953">
            <v>0</v>
          </cell>
          <cell r="M953">
            <v>0</v>
          </cell>
          <cell r="N953">
            <v>0</v>
          </cell>
          <cell r="O953">
            <v>0</v>
          </cell>
          <cell r="P953">
            <v>0</v>
          </cell>
          <cell r="Q953">
            <v>0</v>
          </cell>
          <cell r="R953">
            <v>0</v>
          </cell>
          <cell r="S953">
            <v>0</v>
          </cell>
          <cell r="T953">
            <v>0</v>
          </cell>
          <cell r="U953">
            <v>0</v>
          </cell>
          <cell r="V953" t="str">
            <v>CENTRO</v>
          </cell>
          <cell r="W953">
            <v>0</v>
          </cell>
          <cell r="X953">
            <v>0</v>
          </cell>
        </row>
        <row r="954">
          <cell r="A954">
            <v>7364</v>
          </cell>
          <cell r="B954" t="str">
            <v>PATY GOMEZ (QUERETARO)</v>
          </cell>
          <cell r="C954">
            <v>0</v>
          </cell>
          <cell r="D954" t="str">
            <v>AV. SONTERRA 3026 CASA 36</v>
          </cell>
          <cell r="E954" t="str">
            <v>QUERETARO, QRO.</v>
          </cell>
          <cell r="F954" t="str">
            <v>76235</v>
          </cell>
          <cell r="G954">
            <v>0</v>
          </cell>
          <cell r="H954">
            <v>0</v>
          </cell>
          <cell r="I954">
            <v>0</v>
          </cell>
          <cell r="J954">
            <v>0</v>
          </cell>
          <cell r="K954">
            <v>0</v>
          </cell>
          <cell r="L954">
            <v>0</v>
          </cell>
          <cell r="M954">
            <v>0</v>
          </cell>
          <cell r="N954">
            <v>0</v>
          </cell>
          <cell r="O954">
            <v>0</v>
          </cell>
          <cell r="P954">
            <v>0</v>
          </cell>
          <cell r="Q954">
            <v>0</v>
          </cell>
          <cell r="R954">
            <v>0</v>
          </cell>
          <cell r="S954">
            <v>0</v>
          </cell>
          <cell r="T954">
            <v>0</v>
          </cell>
          <cell r="U954">
            <v>0</v>
          </cell>
          <cell r="V954" t="str">
            <v>SONTERRA</v>
          </cell>
          <cell r="W954">
            <v>0</v>
          </cell>
          <cell r="X954">
            <v>0</v>
          </cell>
        </row>
        <row r="955">
          <cell r="A955">
            <v>7365</v>
          </cell>
          <cell r="B955" t="str">
            <v>MARIA DE LA PAZ MEJIA CHAPARRO (AMEALCO)</v>
          </cell>
          <cell r="C955">
            <v>0</v>
          </cell>
          <cell r="D955" t="str">
            <v>PLAZA DE LA CONSTITUCION #18</v>
          </cell>
          <cell r="E955" t="str">
            <v>AMEALCO, QRO.</v>
          </cell>
          <cell r="F955">
            <v>0</v>
          </cell>
          <cell r="G955">
            <v>0</v>
          </cell>
          <cell r="H955">
            <v>0</v>
          </cell>
          <cell r="I955">
            <v>0</v>
          </cell>
          <cell r="J955">
            <v>0</v>
          </cell>
          <cell r="K955">
            <v>0</v>
          </cell>
          <cell r="L955">
            <v>0</v>
          </cell>
          <cell r="M955">
            <v>0</v>
          </cell>
          <cell r="N955">
            <v>0</v>
          </cell>
          <cell r="O955">
            <v>0</v>
          </cell>
          <cell r="P955">
            <v>0</v>
          </cell>
          <cell r="Q955">
            <v>0</v>
          </cell>
          <cell r="R955">
            <v>0</v>
          </cell>
          <cell r="S955">
            <v>0</v>
          </cell>
          <cell r="T955">
            <v>0</v>
          </cell>
          <cell r="U955">
            <v>0</v>
          </cell>
          <cell r="V955" t="str">
            <v>CENTRO</v>
          </cell>
          <cell r="W955">
            <v>0</v>
          </cell>
          <cell r="X955">
            <v>0</v>
          </cell>
        </row>
        <row r="956">
          <cell r="A956">
            <v>7366</v>
          </cell>
          <cell r="B956" t="str">
            <v>JANETH RAMOS MATA (SJR)</v>
          </cell>
          <cell r="C956">
            <v>0</v>
          </cell>
          <cell r="D956">
            <v>0</v>
          </cell>
          <cell r="E956" t="str">
            <v>SAN JUAN DEL RIO, QRO.</v>
          </cell>
          <cell r="F956">
            <v>0</v>
          </cell>
          <cell r="G956">
            <v>0</v>
          </cell>
          <cell r="H956">
            <v>0</v>
          </cell>
          <cell r="I956">
            <v>0</v>
          </cell>
          <cell r="J956">
            <v>0</v>
          </cell>
          <cell r="K956">
            <v>0</v>
          </cell>
          <cell r="L956">
            <v>0</v>
          </cell>
          <cell r="M956">
            <v>0</v>
          </cell>
          <cell r="N956">
            <v>0</v>
          </cell>
          <cell r="O956">
            <v>0</v>
          </cell>
          <cell r="P956">
            <v>0</v>
          </cell>
          <cell r="Q956">
            <v>0</v>
          </cell>
          <cell r="R956">
            <v>0</v>
          </cell>
          <cell r="S956">
            <v>0</v>
          </cell>
          <cell r="T956">
            <v>0</v>
          </cell>
          <cell r="U956">
            <v>0</v>
          </cell>
          <cell r="V956">
            <v>0</v>
          </cell>
          <cell r="W956">
            <v>0</v>
          </cell>
          <cell r="X956">
            <v>0</v>
          </cell>
        </row>
        <row r="957">
          <cell r="A957">
            <v>7367</v>
          </cell>
          <cell r="B957" t="str">
            <v>JESSICA ZUÑIGA (TEPEJI)</v>
          </cell>
          <cell r="C957">
            <v>0</v>
          </cell>
          <cell r="D957">
            <v>0</v>
          </cell>
          <cell r="E957" t="str">
            <v>TEPEJI DEL RIO, HGO.</v>
          </cell>
          <cell r="F957">
            <v>0</v>
          </cell>
          <cell r="G957">
            <v>0</v>
          </cell>
          <cell r="H957">
            <v>0</v>
          </cell>
          <cell r="I957">
            <v>0</v>
          </cell>
          <cell r="J957">
            <v>0</v>
          </cell>
          <cell r="K957">
            <v>0</v>
          </cell>
          <cell r="L957">
            <v>0</v>
          </cell>
          <cell r="M957">
            <v>0</v>
          </cell>
          <cell r="N957">
            <v>0</v>
          </cell>
          <cell r="O957">
            <v>0</v>
          </cell>
          <cell r="P957">
            <v>0</v>
          </cell>
          <cell r="Q957">
            <v>0</v>
          </cell>
          <cell r="R957">
            <v>0</v>
          </cell>
          <cell r="S957">
            <v>0</v>
          </cell>
          <cell r="T957">
            <v>0</v>
          </cell>
          <cell r="U957">
            <v>0</v>
          </cell>
          <cell r="V957">
            <v>0</v>
          </cell>
          <cell r="W957">
            <v>0</v>
          </cell>
          <cell r="X957">
            <v>0</v>
          </cell>
        </row>
        <row r="958">
          <cell r="A958">
            <v>7368</v>
          </cell>
          <cell r="B958" t="str">
            <v>LUIS BARRERA (TEPEJI)</v>
          </cell>
          <cell r="C958">
            <v>0</v>
          </cell>
          <cell r="D958">
            <v>0</v>
          </cell>
          <cell r="E958" t="str">
            <v>TEPEJI DEL RIO, HGO.</v>
          </cell>
          <cell r="F958">
            <v>0</v>
          </cell>
          <cell r="G958" t="str">
            <v>(777) 328-3087</v>
          </cell>
          <cell r="H958">
            <v>0</v>
          </cell>
          <cell r="I958">
            <v>0</v>
          </cell>
          <cell r="J958">
            <v>0</v>
          </cell>
          <cell r="K958">
            <v>0</v>
          </cell>
          <cell r="L958">
            <v>0</v>
          </cell>
          <cell r="M958">
            <v>0</v>
          </cell>
          <cell r="N958">
            <v>0</v>
          </cell>
          <cell r="O958">
            <v>0</v>
          </cell>
          <cell r="P958">
            <v>0</v>
          </cell>
          <cell r="Q958">
            <v>0</v>
          </cell>
          <cell r="R958">
            <v>0</v>
          </cell>
          <cell r="S958">
            <v>0</v>
          </cell>
          <cell r="T958">
            <v>0</v>
          </cell>
          <cell r="U958">
            <v>0</v>
          </cell>
          <cell r="V958">
            <v>0</v>
          </cell>
          <cell r="W958">
            <v>0</v>
          </cell>
          <cell r="X958">
            <v>0</v>
          </cell>
        </row>
        <row r="959">
          <cell r="A959">
            <v>7369</v>
          </cell>
          <cell r="B959" t="str">
            <v>BETTY BARRON (CADEREYTA)</v>
          </cell>
          <cell r="C959">
            <v>0</v>
          </cell>
          <cell r="D959">
            <v>0</v>
          </cell>
          <cell r="E959" t="str">
            <v>CADEREYTA, QRO.</v>
          </cell>
          <cell r="F959">
            <v>0</v>
          </cell>
          <cell r="G959">
            <v>0</v>
          </cell>
          <cell r="H959">
            <v>0</v>
          </cell>
          <cell r="I959">
            <v>0</v>
          </cell>
          <cell r="J959">
            <v>0</v>
          </cell>
          <cell r="K959">
            <v>0</v>
          </cell>
          <cell r="L959">
            <v>0</v>
          </cell>
          <cell r="M959">
            <v>0</v>
          </cell>
          <cell r="N959">
            <v>0</v>
          </cell>
          <cell r="O959">
            <v>0</v>
          </cell>
          <cell r="P959">
            <v>0</v>
          </cell>
          <cell r="Q959">
            <v>0</v>
          </cell>
          <cell r="R959">
            <v>0</v>
          </cell>
          <cell r="S959">
            <v>0</v>
          </cell>
          <cell r="T959">
            <v>0</v>
          </cell>
          <cell r="U959">
            <v>0</v>
          </cell>
          <cell r="V959">
            <v>0</v>
          </cell>
          <cell r="W959">
            <v>0</v>
          </cell>
          <cell r="X959">
            <v>0</v>
          </cell>
        </row>
        <row r="960">
          <cell r="A960">
            <v>7370</v>
          </cell>
          <cell r="B960" t="str">
            <v>YANELIS THELMA DE JESUS ZAMBRANO (OAXACA)</v>
          </cell>
          <cell r="C960">
            <v>0</v>
          </cell>
          <cell r="D960" t="str">
            <v>ALLENDE #204</v>
          </cell>
          <cell r="E960" t="str">
            <v>SANTIAGO JUXTLAHUACA, OAXACA</v>
          </cell>
          <cell r="F960" t="str">
            <v>69700</v>
          </cell>
          <cell r="G960" t="str">
            <v>(953) 240-8000</v>
          </cell>
          <cell r="H960">
            <v>0</v>
          </cell>
          <cell r="I960">
            <v>0</v>
          </cell>
          <cell r="J960">
            <v>0</v>
          </cell>
          <cell r="K960">
            <v>0</v>
          </cell>
          <cell r="L960">
            <v>0</v>
          </cell>
          <cell r="M960">
            <v>0</v>
          </cell>
          <cell r="N960">
            <v>0</v>
          </cell>
          <cell r="O960">
            <v>0</v>
          </cell>
          <cell r="P960">
            <v>0</v>
          </cell>
          <cell r="Q960">
            <v>0</v>
          </cell>
          <cell r="R960">
            <v>0</v>
          </cell>
          <cell r="S960">
            <v>0</v>
          </cell>
          <cell r="T960">
            <v>0</v>
          </cell>
          <cell r="U960">
            <v>0</v>
          </cell>
          <cell r="V960" t="str">
            <v>CENTRO</v>
          </cell>
          <cell r="W960" t="str">
            <v>MARIANO MATAMOROS Y MELCHOR OCAMPO</v>
          </cell>
          <cell r="X960">
            <v>0</v>
          </cell>
        </row>
        <row r="961">
          <cell r="A961">
            <v>7371</v>
          </cell>
          <cell r="B961" t="str">
            <v>ANA "PAPELERIA LA MOCHILA" (QUERETARO)</v>
          </cell>
          <cell r="C961">
            <v>0</v>
          </cell>
          <cell r="D961">
            <v>0</v>
          </cell>
          <cell r="E961" t="str">
            <v>QUERETARO, QRO.</v>
          </cell>
          <cell r="F961">
            <v>0</v>
          </cell>
          <cell r="G961">
            <v>0</v>
          </cell>
          <cell r="H961">
            <v>0</v>
          </cell>
          <cell r="I961">
            <v>0</v>
          </cell>
          <cell r="J961">
            <v>0</v>
          </cell>
          <cell r="K961">
            <v>0</v>
          </cell>
          <cell r="L961">
            <v>0</v>
          </cell>
          <cell r="M961">
            <v>0</v>
          </cell>
          <cell r="N961">
            <v>0</v>
          </cell>
          <cell r="O961">
            <v>0</v>
          </cell>
          <cell r="P961">
            <v>0</v>
          </cell>
          <cell r="Q961">
            <v>0</v>
          </cell>
          <cell r="R961">
            <v>0</v>
          </cell>
          <cell r="S961">
            <v>0</v>
          </cell>
          <cell r="T961">
            <v>0</v>
          </cell>
          <cell r="U961">
            <v>0</v>
          </cell>
          <cell r="V961">
            <v>0</v>
          </cell>
          <cell r="W961">
            <v>0</v>
          </cell>
          <cell r="X961">
            <v>0</v>
          </cell>
        </row>
        <row r="962">
          <cell r="A962">
            <v>7372</v>
          </cell>
          <cell r="B962" t="str">
            <v>ALE (QUERETARO)</v>
          </cell>
          <cell r="C962">
            <v>0</v>
          </cell>
          <cell r="D962">
            <v>0</v>
          </cell>
          <cell r="E962" t="str">
            <v>QUERETARO, QRO.</v>
          </cell>
          <cell r="F962">
            <v>0</v>
          </cell>
          <cell r="G962">
            <v>0</v>
          </cell>
          <cell r="H962">
            <v>0</v>
          </cell>
          <cell r="I962">
            <v>0</v>
          </cell>
          <cell r="J962">
            <v>0</v>
          </cell>
          <cell r="K962">
            <v>0</v>
          </cell>
          <cell r="L962">
            <v>0</v>
          </cell>
          <cell r="M962">
            <v>0</v>
          </cell>
          <cell r="N962">
            <v>0</v>
          </cell>
          <cell r="O962">
            <v>0</v>
          </cell>
          <cell r="P962">
            <v>0</v>
          </cell>
          <cell r="Q962">
            <v>0</v>
          </cell>
          <cell r="R962">
            <v>0</v>
          </cell>
          <cell r="S962">
            <v>0</v>
          </cell>
          <cell r="T962">
            <v>0</v>
          </cell>
          <cell r="U962">
            <v>0</v>
          </cell>
          <cell r="V962" t="str">
            <v>LOS OLVERA</v>
          </cell>
          <cell r="W962">
            <v>0</v>
          </cell>
          <cell r="X962">
            <v>0</v>
          </cell>
        </row>
        <row r="963">
          <cell r="A963">
            <v>7373</v>
          </cell>
          <cell r="B963" t="str">
            <v>PETRA GUZMAN (QRO.)</v>
          </cell>
          <cell r="C963">
            <v>0</v>
          </cell>
          <cell r="D963">
            <v>0</v>
          </cell>
          <cell r="E963" t="str">
            <v>QUERETARO, QRO.</v>
          </cell>
          <cell r="F963">
            <v>0</v>
          </cell>
          <cell r="G963">
            <v>0</v>
          </cell>
          <cell r="H963">
            <v>0</v>
          </cell>
          <cell r="I963">
            <v>0</v>
          </cell>
          <cell r="J963">
            <v>0</v>
          </cell>
          <cell r="K963">
            <v>0</v>
          </cell>
          <cell r="L963">
            <v>0</v>
          </cell>
          <cell r="M963">
            <v>0</v>
          </cell>
          <cell r="N963">
            <v>0</v>
          </cell>
          <cell r="O963">
            <v>0</v>
          </cell>
          <cell r="P963">
            <v>0</v>
          </cell>
          <cell r="Q963">
            <v>0</v>
          </cell>
          <cell r="R963">
            <v>0</v>
          </cell>
          <cell r="S963">
            <v>0</v>
          </cell>
          <cell r="T963">
            <v>0</v>
          </cell>
          <cell r="U963">
            <v>0</v>
          </cell>
          <cell r="V963">
            <v>0</v>
          </cell>
          <cell r="W963">
            <v>0</v>
          </cell>
          <cell r="X963">
            <v>0</v>
          </cell>
        </row>
        <row r="964">
          <cell r="A964">
            <v>7374</v>
          </cell>
          <cell r="B964" t="str">
            <v>MARIA DEL CARMEN ROSALES (URUAPAN)</v>
          </cell>
          <cell r="C964">
            <v>0</v>
          </cell>
          <cell r="D964" t="str">
            <v>MARQUESA #155A</v>
          </cell>
          <cell r="E964" t="str">
            <v>URUAPAN, MICHOACAN</v>
          </cell>
          <cell r="F964" t="str">
            <v>60190</v>
          </cell>
          <cell r="G964" t="str">
            <v>(452) 180-9920</v>
          </cell>
          <cell r="H964">
            <v>0</v>
          </cell>
          <cell r="I964">
            <v>0</v>
          </cell>
          <cell r="J964">
            <v>0</v>
          </cell>
          <cell r="K964">
            <v>0</v>
          </cell>
          <cell r="L964">
            <v>0</v>
          </cell>
          <cell r="M964">
            <v>0</v>
          </cell>
          <cell r="N964">
            <v>0</v>
          </cell>
          <cell r="O964">
            <v>0</v>
          </cell>
          <cell r="P964">
            <v>0</v>
          </cell>
          <cell r="Q964">
            <v>0</v>
          </cell>
          <cell r="R964">
            <v>0</v>
          </cell>
          <cell r="S964">
            <v>0</v>
          </cell>
          <cell r="T964">
            <v>0</v>
          </cell>
          <cell r="U964">
            <v>0</v>
          </cell>
          <cell r="V964" t="str">
            <v>REAL DE SANTA ROSA</v>
          </cell>
          <cell r="W964">
            <v>0</v>
          </cell>
          <cell r="X964">
            <v>0</v>
          </cell>
        </row>
        <row r="965">
          <cell r="A965">
            <v>7375</v>
          </cell>
          <cell r="B965" t="str">
            <v>MARIA DEL CONSUELO RIVAS CALDERA (ZACATECAS)</v>
          </cell>
          <cell r="C965">
            <v>0</v>
          </cell>
          <cell r="D965" t="str">
            <v>BLVD. GENARO BORREGO #6</v>
          </cell>
          <cell r="E965" t="str">
            <v>CD. CUAUHTEMOC, ZACATECAS</v>
          </cell>
          <cell r="F965" t="str">
            <v>98692</v>
          </cell>
          <cell r="G965" t="str">
            <v>(449) 548-6646</v>
          </cell>
          <cell r="H965">
            <v>0</v>
          </cell>
          <cell r="I965">
            <v>0</v>
          </cell>
          <cell r="J965">
            <v>0</v>
          </cell>
          <cell r="K965">
            <v>0</v>
          </cell>
          <cell r="L965">
            <v>0</v>
          </cell>
          <cell r="M965">
            <v>0</v>
          </cell>
          <cell r="N965">
            <v>0</v>
          </cell>
          <cell r="O965">
            <v>0</v>
          </cell>
          <cell r="P965">
            <v>0</v>
          </cell>
          <cell r="Q965">
            <v>0</v>
          </cell>
          <cell r="R965">
            <v>0</v>
          </cell>
          <cell r="S965">
            <v>0</v>
          </cell>
          <cell r="T965">
            <v>0</v>
          </cell>
          <cell r="U965">
            <v>0</v>
          </cell>
          <cell r="V965" t="str">
            <v>LAZARO CARDENAS</v>
          </cell>
          <cell r="W965">
            <v>0</v>
          </cell>
          <cell r="X965">
            <v>0</v>
          </cell>
        </row>
        <row r="966">
          <cell r="A966">
            <v>7376</v>
          </cell>
          <cell r="B966" t="str">
            <v>JUAN MANUEL AVALOS BAÑUELOS (TEPIC)</v>
          </cell>
          <cell r="C966">
            <v>0</v>
          </cell>
          <cell r="D966">
            <v>0</v>
          </cell>
          <cell r="E966" t="str">
            <v>TEPIC, NAYARIT</v>
          </cell>
          <cell r="F966" t="str">
            <v>63030</v>
          </cell>
          <cell r="G966" t="str">
            <v>(311) 120-8371</v>
          </cell>
          <cell r="H966">
            <v>0</v>
          </cell>
          <cell r="I966">
            <v>0</v>
          </cell>
          <cell r="J966">
            <v>0</v>
          </cell>
          <cell r="K966">
            <v>0</v>
          </cell>
          <cell r="L966">
            <v>0</v>
          </cell>
          <cell r="M966">
            <v>0</v>
          </cell>
          <cell r="N966">
            <v>0</v>
          </cell>
          <cell r="O966">
            <v>0</v>
          </cell>
          <cell r="P966">
            <v>0</v>
          </cell>
          <cell r="Q966">
            <v>0</v>
          </cell>
          <cell r="R966">
            <v>0</v>
          </cell>
          <cell r="S966">
            <v>0</v>
          </cell>
          <cell r="T966">
            <v>0</v>
          </cell>
          <cell r="U966">
            <v>0</v>
          </cell>
          <cell r="V966">
            <v>0</v>
          </cell>
          <cell r="W966">
            <v>0</v>
          </cell>
          <cell r="X966">
            <v>0</v>
          </cell>
        </row>
        <row r="967">
          <cell r="A967">
            <v>7377</v>
          </cell>
          <cell r="B967" t="str">
            <v>PAPELERIA LA GOMA (AMEALCO)</v>
          </cell>
          <cell r="C967">
            <v>0</v>
          </cell>
          <cell r="D967">
            <v>0</v>
          </cell>
          <cell r="E967" t="str">
            <v>AMEALCO, QRO.</v>
          </cell>
          <cell r="F967">
            <v>0</v>
          </cell>
          <cell r="G967">
            <v>0</v>
          </cell>
          <cell r="H967">
            <v>0</v>
          </cell>
          <cell r="I967">
            <v>0</v>
          </cell>
          <cell r="J967">
            <v>0</v>
          </cell>
          <cell r="K967">
            <v>0</v>
          </cell>
          <cell r="L967">
            <v>0</v>
          </cell>
          <cell r="M967">
            <v>0</v>
          </cell>
          <cell r="N967">
            <v>0</v>
          </cell>
          <cell r="O967">
            <v>0</v>
          </cell>
          <cell r="P967">
            <v>0</v>
          </cell>
          <cell r="Q967">
            <v>0</v>
          </cell>
          <cell r="R967">
            <v>0</v>
          </cell>
          <cell r="S967">
            <v>0</v>
          </cell>
          <cell r="T967">
            <v>0</v>
          </cell>
          <cell r="U967">
            <v>0</v>
          </cell>
          <cell r="V967">
            <v>0</v>
          </cell>
          <cell r="W967">
            <v>0</v>
          </cell>
          <cell r="X967">
            <v>0</v>
          </cell>
        </row>
        <row r="968">
          <cell r="A968">
            <v>7378</v>
          </cell>
          <cell r="B968" t="str">
            <v>CONCEPCION GUERRERO VILLA (CHIHUAHUA)</v>
          </cell>
          <cell r="C968">
            <v>0</v>
          </cell>
          <cell r="D968" t="str">
            <v>LIBERTAD #1209</v>
          </cell>
          <cell r="E968" t="str">
            <v>OJINAGA, CHIHUAHUA</v>
          </cell>
          <cell r="F968" t="str">
            <v>32884</v>
          </cell>
          <cell r="G968" t="str">
            <v>(626) 100-7690</v>
          </cell>
          <cell r="H968">
            <v>0</v>
          </cell>
          <cell r="I968">
            <v>0</v>
          </cell>
          <cell r="J968">
            <v>0</v>
          </cell>
          <cell r="K968">
            <v>0</v>
          </cell>
          <cell r="L968">
            <v>0</v>
          </cell>
          <cell r="M968">
            <v>0</v>
          </cell>
          <cell r="N968">
            <v>0</v>
          </cell>
          <cell r="O968">
            <v>0</v>
          </cell>
          <cell r="P968">
            <v>0</v>
          </cell>
          <cell r="Q968">
            <v>0</v>
          </cell>
          <cell r="R968">
            <v>0</v>
          </cell>
          <cell r="S968">
            <v>0</v>
          </cell>
          <cell r="T968">
            <v>0</v>
          </cell>
          <cell r="U968">
            <v>0</v>
          </cell>
          <cell r="V968" t="str">
            <v>PORFIRIO ORNELAS</v>
          </cell>
          <cell r="W968">
            <v>0</v>
          </cell>
          <cell r="X968">
            <v>0</v>
          </cell>
        </row>
        <row r="969">
          <cell r="A969">
            <v>7379</v>
          </cell>
          <cell r="B969" t="str">
            <v>AQUINOS (SAN JUAN)</v>
          </cell>
          <cell r="C969">
            <v>0</v>
          </cell>
          <cell r="D969">
            <v>0</v>
          </cell>
          <cell r="E969" t="str">
            <v>SAN JUAN DEL RIO, QRO.</v>
          </cell>
          <cell r="F969">
            <v>0</v>
          </cell>
          <cell r="G969">
            <v>0</v>
          </cell>
          <cell r="H969">
            <v>0</v>
          </cell>
          <cell r="I969">
            <v>0</v>
          </cell>
          <cell r="J969">
            <v>0</v>
          </cell>
          <cell r="K969">
            <v>0</v>
          </cell>
          <cell r="L969">
            <v>0</v>
          </cell>
          <cell r="M969">
            <v>0</v>
          </cell>
          <cell r="N969">
            <v>0</v>
          </cell>
          <cell r="O969">
            <v>0</v>
          </cell>
          <cell r="P969">
            <v>0</v>
          </cell>
          <cell r="Q969">
            <v>0</v>
          </cell>
          <cell r="R969">
            <v>0</v>
          </cell>
          <cell r="S969">
            <v>0</v>
          </cell>
          <cell r="T969">
            <v>0</v>
          </cell>
          <cell r="U969">
            <v>0</v>
          </cell>
          <cell r="V969">
            <v>0</v>
          </cell>
          <cell r="W969">
            <v>0</v>
          </cell>
          <cell r="X969">
            <v>0</v>
          </cell>
        </row>
        <row r="970">
          <cell r="A970">
            <v>7380</v>
          </cell>
          <cell r="B970" t="str">
            <v>CECILIA ALONSO REYES (PUEBLA)</v>
          </cell>
          <cell r="C970">
            <v>0</v>
          </cell>
          <cell r="D970" t="str">
            <v>3 SUR S/N</v>
          </cell>
          <cell r="E970" t="str">
            <v>HUAQUECHULA, PUEBLA</v>
          </cell>
          <cell r="F970" t="str">
            <v>74375</v>
          </cell>
          <cell r="G970" t="str">
            <v>(244) 106-6212</v>
          </cell>
          <cell r="H970">
            <v>0</v>
          </cell>
          <cell r="I970">
            <v>0</v>
          </cell>
          <cell r="J970">
            <v>0</v>
          </cell>
          <cell r="K970">
            <v>0</v>
          </cell>
          <cell r="L970">
            <v>0</v>
          </cell>
          <cell r="M970">
            <v>0</v>
          </cell>
          <cell r="N970">
            <v>0</v>
          </cell>
          <cell r="O970">
            <v>0</v>
          </cell>
          <cell r="P970">
            <v>0</v>
          </cell>
          <cell r="Q970">
            <v>0</v>
          </cell>
          <cell r="R970">
            <v>0</v>
          </cell>
          <cell r="S970">
            <v>0</v>
          </cell>
          <cell r="T970">
            <v>0</v>
          </cell>
          <cell r="U970">
            <v>0</v>
          </cell>
          <cell r="V970" t="str">
            <v>CACALOXUCHITL</v>
          </cell>
          <cell r="W970" t="str">
            <v>LOACAL COLOR NARANJA</v>
          </cell>
          <cell r="X970">
            <v>0</v>
          </cell>
        </row>
        <row r="971">
          <cell r="A971">
            <v>7381</v>
          </cell>
          <cell r="B971" t="str">
            <v>VANE (MICHOACAN)</v>
          </cell>
          <cell r="C971">
            <v>0</v>
          </cell>
          <cell r="D971">
            <v>0</v>
          </cell>
          <cell r="E971" t="str">
            <v>MICHOACAN</v>
          </cell>
          <cell r="F971">
            <v>0</v>
          </cell>
          <cell r="G971">
            <v>0</v>
          </cell>
          <cell r="H971">
            <v>0</v>
          </cell>
          <cell r="I971">
            <v>0</v>
          </cell>
          <cell r="J971">
            <v>0</v>
          </cell>
          <cell r="K971">
            <v>0</v>
          </cell>
          <cell r="L971">
            <v>0</v>
          </cell>
          <cell r="M971">
            <v>0</v>
          </cell>
          <cell r="N971">
            <v>0</v>
          </cell>
          <cell r="O971">
            <v>0</v>
          </cell>
          <cell r="P971">
            <v>0</v>
          </cell>
          <cell r="Q971">
            <v>0</v>
          </cell>
          <cell r="R971">
            <v>0</v>
          </cell>
          <cell r="S971">
            <v>0</v>
          </cell>
          <cell r="T971">
            <v>0</v>
          </cell>
          <cell r="U971">
            <v>0</v>
          </cell>
          <cell r="V971">
            <v>0</v>
          </cell>
          <cell r="W971">
            <v>0</v>
          </cell>
          <cell r="X971">
            <v>0</v>
          </cell>
        </row>
        <row r="972">
          <cell r="A972">
            <v>7382</v>
          </cell>
          <cell r="B972" t="str">
            <v>MA. INES ZARAZUA (E. MONTES)</v>
          </cell>
          <cell r="C972">
            <v>0</v>
          </cell>
          <cell r="D972">
            <v>0</v>
          </cell>
          <cell r="E972" t="str">
            <v>EZEQUIEL MONTES, QRO.</v>
          </cell>
          <cell r="F972">
            <v>0</v>
          </cell>
          <cell r="G972" t="str">
            <v xml:space="preserve">(441) 127-8303 </v>
          </cell>
          <cell r="H972">
            <v>0</v>
          </cell>
          <cell r="I972">
            <v>0</v>
          </cell>
          <cell r="J972">
            <v>0</v>
          </cell>
          <cell r="K972">
            <v>0</v>
          </cell>
          <cell r="L972">
            <v>0</v>
          </cell>
          <cell r="M972">
            <v>0</v>
          </cell>
          <cell r="N972">
            <v>0</v>
          </cell>
          <cell r="O972">
            <v>0</v>
          </cell>
          <cell r="P972">
            <v>0</v>
          </cell>
          <cell r="Q972">
            <v>0</v>
          </cell>
          <cell r="R972">
            <v>0</v>
          </cell>
          <cell r="S972">
            <v>0</v>
          </cell>
          <cell r="T972">
            <v>0</v>
          </cell>
          <cell r="U972">
            <v>0</v>
          </cell>
          <cell r="V972">
            <v>0</v>
          </cell>
          <cell r="W972">
            <v>0</v>
          </cell>
          <cell r="X972">
            <v>0</v>
          </cell>
        </row>
        <row r="973">
          <cell r="A973">
            <v>7383</v>
          </cell>
          <cell r="B973" t="str">
            <v>ANA LAURA VELAZQUEZ (QUERETARO)</v>
          </cell>
          <cell r="C973">
            <v>0</v>
          </cell>
          <cell r="D973">
            <v>0</v>
          </cell>
          <cell r="E973" t="str">
            <v>QUERETARO, QRO.</v>
          </cell>
          <cell r="F973">
            <v>0</v>
          </cell>
          <cell r="G973">
            <v>0</v>
          </cell>
          <cell r="H973">
            <v>0</v>
          </cell>
          <cell r="I973">
            <v>0</v>
          </cell>
          <cell r="J973">
            <v>0</v>
          </cell>
          <cell r="K973">
            <v>0</v>
          </cell>
          <cell r="L973">
            <v>0</v>
          </cell>
          <cell r="M973">
            <v>0</v>
          </cell>
          <cell r="N973">
            <v>0</v>
          </cell>
          <cell r="O973">
            <v>0</v>
          </cell>
          <cell r="P973">
            <v>0</v>
          </cell>
          <cell r="Q973">
            <v>0</v>
          </cell>
          <cell r="R973">
            <v>0</v>
          </cell>
          <cell r="S973">
            <v>0</v>
          </cell>
          <cell r="T973">
            <v>0</v>
          </cell>
          <cell r="U973">
            <v>0</v>
          </cell>
          <cell r="V973">
            <v>0</v>
          </cell>
          <cell r="W973">
            <v>0</v>
          </cell>
          <cell r="X973">
            <v>0</v>
          </cell>
        </row>
        <row r="974">
          <cell r="A974">
            <v>7384</v>
          </cell>
          <cell r="B974" t="str">
            <v>MONICA VILLEGAS (IZCALLI)</v>
          </cell>
          <cell r="C974">
            <v>0</v>
          </cell>
          <cell r="D974" t="str">
            <v>CALLE DEL HAMBRE</v>
          </cell>
          <cell r="E974" t="str">
            <v>IZCALLI. EDO, MEXICO</v>
          </cell>
          <cell r="F974">
            <v>0</v>
          </cell>
          <cell r="G974">
            <v>0</v>
          </cell>
          <cell r="H974">
            <v>0</v>
          </cell>
          <cell r="I974">
            <v>0</v>
          </cell>
          <cell r="J974">
            <v>0</v>
          </cell>
          <cell r="K974">
            <v>0</v>
          </cell>
          <cell r="L974">
            <v>0</v>
          </cell>
          <cell r="M974">
            <v>0</v>
          </cell>
          <cell r="N974">
            <v>0</v>
          </cell>
          <cell r="O974">
            <v>0</v>
          </cell>
          <cell r="P974">
            <v>0</v>
          </cell>
          <cell r="Q974">
            <v>0</v>
          </cell>
          <cell r="R974">
            <v>0</v>
          </cell>
          <cell r="S974">
            <v>0</v>
          </cell>
          <cell r="T974">
            <v>0</v>
          </cell>
          <cell r="U974">
            <v>0</v>
          </cell>
          <cell r="V974">
            <v>0</v>
          </cell>
          <cell r="W974">
            <v>0</v>
          </cell>
          <cell r="X974">
            <v>0</v>
          </cell>
        </row>
        <row r="975">
          <cell r="A975">
            <v>7385</v>
          </cell>
          <cell r="B975" t="str">
            <v>AURORA ESPARZA (PARACUARO)</v>
          </cell>
          <cell r="C975">
            <v>0</v>
          </cell>
          <cell r="D975" t="str">
            <v>ALLENDE #125</v>
          </cell>
          <cell r="E975" t="str">
            <v>PARACUARO, MICH.</v>
          </cell>
          <cell r="F975">
            <v>0</v>
          </cell>
          <cell r="G975">
            <v>0</v>
          </cell>
          <cell r="H975">
            <v>0</v>
          </cell>
          <cell r="I975">
            <v>0</v>
          </cell>
          <cell r="J975">
            <v>0</v>
          </cell>
          <cell r="K975">
            <v>0</v>
          </cell>
          <cell r="L975">
            <v>0</v>
          </cell>
          <cell r="M975">
            <v>0</v>
          </cell>
          <cell r="N975">
            <v>0</v>
          </cell>
          <cell r="O975">
            <v>0</v>
          </cell>
          <cell r="P975">
            <v>0</v>
          </cell>
          <cell r="Q975">
            <v>0</v>
          </cell>
          <cell r="R975">
            <v>0</v>
          </cell>
          <cell r="S975">
            <v>0</v>
          </cell>
          <cell r="T975">
            <v>0</v>
          </cell>
          <cell r="U975">
            <v>0</v>
          </cell>
          <cell r="V975" t="str">
            <v>CENTRO</v>
          </cell>
          <cell r="W975">
            <v>0</v>
          </cell>
          <cell r="X975">
            <v>0</v>
          </cell>
        </row>
        <row r="976">
          <cell r="A976">
            <v>7386</v>
          </cell>
          <cell r="B976" t="str">
            <v>MIGUEL VALENCIA (CORTAZAR)</v>
          </cell>
          <cell r="C976">
            <v>0</v>
          </cell>
          <cell r="D976" t="str">
            <v>IGNACIO RAMIREZ #121</v>
          </cell>
          <cell r="E976" t="str">
            <v>CORTAZAR, GTO.</v>
          </cell>
          <cell r="F976">
            <v>0</v>
          </cell>
          <cell r="G976">
            <v>0</v>
          </cell>
          <cell r="H976">
            <v>0</v>
          </cell>
          <cell r="I976">
            <v>0</v>
          </cell>
          <cell r="J976">
            <v>0</v>
          </cell>
          <cell r="K976">
            <v>0</v>
          </cell>
          <cell r="L976">
            <v>0</v>
          </cell>
          <cell r="M976">
            <v>0</v>
          </cell>
          <cell r="N976">
            <v>0</v>
          </cell>
          <cell r="O976">
            <v>0</v>
          </cell>
          <cell r="P976">
            <v>0</v>
          </cell>
          <cell r="Q976">
            <v>0</v>
          </cell>
          <cell r="R976">
            <v>0</v>
          </cell>
          <cell r="S976">
            <v>0</v>
          </cell>
          <cell r="T976">
            <v>0</v>
          </cell>
          <cell r="U976">
            <v>0</v>
          </cell>
          <cell r="V976" t="str">
            <v>CENTRO</v>
          </cell>
          <cell r="W976">
            <v>0</v>
          </cell>
          <cell r="X976">
            <v>0</v>
          </cell>
          <cell r="Z976" t="str">
            <v xml:space="preserve">                                                                                                                                                                                                                                                                                                                                                                                                                                                                                                                                                                                                                                                                                                                                                                                                                                                                                                                                                                                                                                                                                                                                                                                                                                                                                                                                                                                                                                                                                                                                                                                                                                                                                                                                                                                                                                                                                                                                                                                                                                                                                                                                                                                                                                                                                                                                                                                                                                                                                                                                                                                                                                                                                                                                                                                                                                                                                                                                                                                                                                                                                                                                                                                                                                                                                                                                                                                                                                                                                                                                                                                                                                                                                                                                                                                                                                                                                                                                                                                                                                                                                                                                                                                                                                                                                                                                                                                                                                                                                                                                                                                                                                                                                                                                                                                                                                                                                                                                                                                                                                                                                                                                                                                                                                                                                                                                                                                                                                                                                                                                                                                                                                                                                                                                                                                                                                                                                                                                                                                                                                                                                                                                                                                                                                                                                                                                                                                                                                                                                                                                                                                                                                                                                                                                                                                                                                                                                                                                                                                                                                                                                                                                                                                                                                                                                                                                                                                                                                                                                                                                                                                                                                                                                                                                                                                                                                                                                                                                                                                                                                                                                                                                                                                                                                                                                                                                                                                                                                                                                                                                                                                                                                                                                                                                                                                                                                                                                                                                                                                                                                                                                                                                                                                                                                                                                                                                                                                                                                                                                                                                                                                                                                                                                                                                                                                                                                                                                                                                                                                                                                                                                                                                                                                                                                                                                                                                                                                                                                                                                                                                                                                                                                                                                                                                                                                                                                                                                                                                                                                                                                                                                                                                                                                                                                                                                                                                                                                                                                                                                                                                                                                                                                                                                                                                                                                                                                                                                                                                                                                                                                                                                                                                                                                                                                                                                                                                                                                                                                                                                                                                                                                                                                                                                                                                                                                                                                                                                                                                                                                                                                                                                                                                                                                                                                                                                                                                                                                                                                                                                                                                                                                                                                                                                                                                                                                                                                                                                                                                                                                                                                                                                                                                                                                                                                                                                                                                                                                                                                                                                                                                                                                                                                                                                                                                                                                                                                                                                                                                                                                                                                                                                                                                                                                                                                                                                                                                                                                                                                                                                                                                                                                                                                                                                                                                                                                                                                                                                                                                                                                                                                                                                                                                                                                                                                                                                                                                                                                                                                                                                                                                                                                                                                                                                                                                                                                                                                                                                                                                                                                                                                                                                                                                                                                                                                                                                                                                                                                                                                                                                                                                                                                                                                                                                                                                                                                                                                                                                                                                                                                                                                                                                                                                                                                                                                                                                                                                                                                                                                                                                                                                                                                                                                                                                                                                                                                                                                                                                                                                                                                                                                                                                                                                                                                                                                                                                                                                                                                                                                                                                                                                                                                                                                                                                                                                                                                                                                                                                                                                                                                                                                                                                                                                                                                                                                                                                                                                                                                                                                                                                                                                                                                                                                                                                                                                                                                                                                                                                                                                                                                                                                                                                                                                                                                                                                                                                                                                                                                                                                                                                                                                                                                                                                                                                                                                                                                                                                                                                                                                                                                                                                                                                                                                                                                                                                                                                                                                                                                                                                                                                                                                                                                                                                                                                                                                                                                                                                                                                                                                                                                                                                                                                                                                                                                                                                                                                                                                                                                                                                                                                                                                                                                                                                                                                                                                                                                                                                                                                                                                                                                                                                                                                                                                                                                                                                                                                                                                                                                                                                                                                                                                                                                                                                                                                                                                                                                                                                                                                                                                                                                                                                                                                                                                                                                                                                                                                                                                                                                                                                                                                                                                                                                                                                                                                                                                                                                                                                                                                                                                                                                                                                                                                                                                                                                                                                                                                                                                                                                                                                                                                                                                                                                                                                                                                                                                                                                                                                                                                                                                                                                                                                                                                                                                                                                                                                                                                                                                                                                                                                                                                                                                                                                                                                                                                                                                                                                                                                                                                                                                                                                                                                                                                                                                                                                                                                                                                                                                                                                                                                                                                                                                                                                                                                                                                                                                                                                                                                                                                                                                                                                                                                                                                                                                                                                                                                                                                                                                                                                                                                                                                                                                                                                                                                                                                                                                                                                                                                                                                                                                                                                                                                                                                                                                                                                                                                                                                                                                                                                                                                                                                                                                                                                                                                                                                                                                                                                                                                                                                                                                                                                                                                                                                                                                                                                                                                                                                                                                                                                                                                                                                                                                                                                                                                                                                                                                                                                                                                                                                                                                                                                                                                                                                                                                                                                                                                                                                                                                                                                                                                                                                                                                                                                                                                                                                                                                                                                                                                                                                                                                                                                                                                                                                                                                                                                                                                                                                                                                                                                                                                                                                                                                                                                                                                                                                                                                                                                                                                                                                                                                                                                                                                                                                                                               </v>
          </cell>
        </row>
        <row r="977">
          <cell r="A977">
            <v>7387</v>
          </cell>
          <cell r="B977" t="str">
            <v>YOLANDA VILLEGAS (GTO.)</v>
          </cell>
          <cell r="C977">
            <v>0</v>
          </cell>
          <cell r="D977">
            <v>0</v>
          </cell>
          <cell r="E977" t="str">
            <v>SAN DIEGO DE LA UNION, GTO.</v>
          </cell>
          <cell r="F977">
            <v>0</v>
          </cell>
          <cell r="G977">
            <v>0</v>
          </cell>
          <cell r="H977">
            <v>0</v>
          </cell>
          <cell r="I977">
            <v>0</v>
          </cell>
          <cell r="J977">
            <v>0</v>
          </cell>
          <cell r="K977">
            <v>0</v>
          </cell>
          <cell r="L977">
            <v>0</v>
          </cell>
          <cell r="M977">
            <v>0</v>
          </cell>
          <cell r="N977">
            <v>0</v>
          </cell>
          <cell r="O977">
            <v>0</v>
          </cell>
          <cell r="P977">
            <v>0</v>
          </cell>
          <cell r="Q977">
            <v>0</v>
          </cell>
          <cell r="R977">
            <v>0</v>
          </cell>
          <cell r="S977">
            <v>0</v>
          </cell>
          <cell r="T977">
            <v>0</v>
          </cell>
          <cell r="U977">
            <v>0</v>
          </cell>
          <cell r="V977">
            <v>0</v>
          </cell>
          <cell r="W977">
            <v>0</v>
          </cell>
          <cell r="X977">
            <v>0</v>
          </cell>
        </row>
        <row r="978">
          <cell r="A978">
            <v>7388</v>
          </cell>
          <cell r="B978" t="str">
            <v>NOHEMI ZUÑIGA (TEPEJI)</v>
          </cell>
          <cell r="C978">
            <v>0</v>
          </cell>
          <cell r="D978">
            <v>0</v>
          </cell>
          <cell r="E978" t="str">
            <v>TEPEJI DEL RIO, HGO.</v>
          </cell>
          <cell r="F978">
            <v>0</v>
          </cell>
          <cell r="G978">
            <v>0</v>
          </cell>
          <cell r="H978">
            <v>0</v>
          </cell>
          <cell r="I978">
            <v>0</v>
          </cell>
          <cell r="J978">
            <v>0</v>
          </cell>
          <cell r="K978">
            <v>0</v>
          </cell>
          <cell r="L978">
            <v>0</v>
          </cell>
          <cell r="M978">
            <v>0</v>
          </cell>
          <cell r="N978">
            <v>0</v>
          </cell>
          <cell r="O978">
            <v>0</v>
          </cell>
          <cell r="P978">
            <v>0</v>
          </cell>
          <cell r="Q978">
            <v>0</v>
          </cell>
          <cell r="R978">
            <v>0</v>
          </cell>
          <cell r="S978">
            <v>0</v>
          </cell>
          <cell r="T978">
            <v>0</v>
          </cell>
          <cell r="U978">
            <v>0</v>
          </cell>
          <cell r="V978">
            <v>0</v>
          </cell>
          <cell r="W978">
            <v>0</v>
          </cell>
          <cell r="X978">
            <v>0</v>
          </cell>
        </row>
        <row r="979">
          <cell r="A979">
            <v>7389</v>
          </cell>
          <cell r="B979" t="str">
            <v>MARILUZ MONTIEL (APAXCO)</v>
          </cell>
          <cell r="C979">
            <v>0</v>
          </cell>
          <cell r="D979" t="str">
            <v>VICTORIA ESQ, CON ALLENDE</v>
          </cell>
          <cell r="E979" t="str">
            <v>APAXCO, EDO. DE MEXICO</v>
          </cell>
          <cell r="F979">
            <v>0</v>
          </cell>
          <cell r="G979">
            <v>0</v>
          </cell>
          <cell r="H979">
            <v>0</v>
          </cell>
          <cell r="I979">
            <v>0</v>
          </cell>
          <cell r="J979">
            <v>0</v>
          </cell>
          <cell r="K979">
            <v>0</v>
          </cell>
          <cell r="L979">
            <v>0</v>
          </cell>
          <cell r="M979">
            <v>0</v>
          </cell>
          <cell r="N979">
            <v>0</v>
          </cell>
          <cell r="O979">
            <v>0</v>
          </cell>
          <cell r="P979">
            <v>0</v>
          </cell>
          <cell r="Q979">
            <v>0</v>
          </cell>
          <cell r="R979">
            <v>0</v>
          </cell>
          <cell r="S979">
            <v>0</v>
          </cell>
          <cell r="T979">
            <v>0</v>
          </cell>
          <cell r="U979">
            <v>0</v>
          </cell>
          <cell r="V979">
            <v>0</v>
          </cell>
          <cell r="W979">
            <v>0</v>
          </cell>
          <cell r="X979">
            <v>0</v>
          </cell>
        </row>
        <row r="980">
          <cell r="A980">
            <v>7390</v>
          </cell>
          <cell r="B980" t="str">
            <v>ARTURO NAVA (COAOCALCO)</v>
          </cell>
          <cell r="C980">
            <v>0</v>
          </cell>
          <cell r="D980" t="str">
            <v>LOPEZ PORTILLO #201</v>
          </cell>
          <cell r="E980" t="str">
            <v>COACALCO, EDO. DE MEXICO</v>
          </cell>
          <cell r="F980">
            <v>0</v>
          </cell>
          <cell r="G980">
            <v>0</v>
          </cell>
          <cell r="H980">
            <v>0</v>
          </cell>
          <cell r="I980">
            <v>0</v>
          </cell>
          <cell r="J980">
            <v>0</v>
          </cell>
          <cell r="K980">
            <v>0</v>
          </cell>
          <cell r="L980">
            <v>0</v>
          </cell>
          <cell r="M980">
            <v>0</v>
          </cell>
          <cell r="N980">
            <v>0</v>
          </cell>
          <cell r="O980">
            <v>0</v>
          </cell>
          <cell r="P980">
            <v>0</v>
          </cell>
          <cell r="Q980">
            <v>0</v>
          </cell>
          <cell r="R980">
            <v>0</v>
          </cell>
          <cell r="S980">
            <v>0</v>
          </cell>
          <cell r="T980">
            <v>0</v>
          </cell>
          <cell r="U980">
            <v>0</v>
          </cell>
          <cell r="V980">
            <v>0</v>
          </cell>
          <cell r="W980">
            <v>0</v>
          </cell>
          <cell r="X980">
            <v>0</v>
          </cell>
        </row>
        <row r="981">
          <cell r="A981">
            <v>7391</v>
          </cell>
          <cell r="B981" t="str">
            <v>ROSAURA OLIVERA (MICHOACAN)</v>
          </cell>
          <cell r="C981">
            <v>0</v>
          </cell>
          <cell r="D981" t="str">
            <v>ABASOLO #34</v>
          </cell>
          <cell r="E981" t="str">
            <v>TANCITARO, MICH.</v>
          </cell>
          <cell r="F981" t="str">
            <v>60460</v>
          </cell>
          <cell r="G981" t="str">
            <v>(351) 150-8727</v>
          </cell>
          <cell r="H981">
            <v>0</v>
          </cell>
          <cell r="I981">
            <v>0</v>
          </cell>
          <cell r="J981">
            <v>0</v>
          </cell>
          <cell r="K981">
            <v>0</v>
          </cell>
          <cell r="L981">
            <v>0</v>
          </cell>
          <cell r="M981">
            <v>0</v>
          </cell>
          <cell r="N981">
            <v>0</v>
          </cell>
          <cell r="O981">
            <v>0</v>
          </cell>
          <cell r="P981">
            <v>0</v>
          </cell>
          <cell r="Q981">
            <v>0</v>
          </cell>
          <cell r="R981">
            <v>0</v>
          </cell>
          <cell r="S981">
            <v>0</v>
          </cell>
          <cell r="T981">
            <v>0</v>
          </cell>
          <cell r="U981">
            <v>0</v>
          </cell>
          <cell r="V981" t="str">
            <v>CENTRO</v>
          </cell>
          <cell r="W981">
            <v>0</v>
          </cell>
          <cell r="X981">
            <v>0</v>
          </cell>
        </row>
        <row r="982">
          <cell r="A982">
            <v>7392</v>
          </cell>
          <cell r="B982" t="str">
            <v>LIBRE</v>
          </cell>
          <cell r="C982">
            <v>0</v>
          </cell>
          <cell r="D982">
            <v>0</v>
          </cell>
          <cell r="E982" t="str">
            <v>-</v>
          </cell>
          <cell r="F982">
            <v>0</v>
          </cell>
          <cell r="G982">
            <v>0</v>
          </cell>
          <cell r="H982">
            <v>0</v>
          </cell>
          <cell r="I982">
            <v>0</v>
          </cell>
          <cell r="J982">
            <v>0</v>
          </cell>
          <cell r="K982">
            <v>0</v>
          </cell>
          <cell r="L982">
            <v>0</v>
          </cell>
          <cell r="M982">
            <v>0</v>
          </cell>
          <cell r="N982">
            <v>0</v>
          </cell>
          <cell r="O982">
            <v>0</v>
          </cell>
          <cell r="P982">
            <v>0</v>
          </cell>
          <cell r="Q982">
            <v>0</v>
          </cell>
          <cell r="R982">
            <v>0</v>
          </cell>
          <cell r="S982">
            <v>0</v>
          </cell>
          <cell r="T982">
            <v>0</v>
          </cell>
          <cell r="U982">
            <v>0</v>
          </cell>
          <cell r="V982">
            <v>0</v>
          </cell>
          <cell r="W982">
            <v>0</v>
          </cell>
          <cell r="X982">
            <v>0</v>
          </cell>
        </row>
        <row r="983">
          <cell r="A983">
            <v>7393</v>
          </cell>
          <cell r="B983" t="str">
            <v>ALICIA RODRIGUEZ (ATOTONILCO)</v>
          </cell>
          <cell r="C983">
            <v>0</v>
          </cell>
          <cell r="D983">
            <v>0</v>
          </cell>
          <cell r="E983" t="str">
            <v>ATOTONILCO, HGO.</v>
          </cell>
          <cell r="F983">
            <v>0</v>
          </cell>
          <cell r="G983">
            <v>0</v>
          </cell>
          <cell r="H983">
            <v>0</v>
          </cell>
          <cell r="I983">
            <v>0</v>
          </cell>
          <cell r="J983">
            <v>0</v>
          </cell>
          <cell r="K983">
            <v>0</v>
          </cell>
          <cell r="L983">
            <v>0</v>
          </cell>
          <cell r="M983">
            <v>0</v>
          </cell>
          <cell r="N983">
            <v>0</v>
          </cell>
          <cell r="O983">
            <v>0</v>
          </cell>
          <cell r="P983">
            <v>0</v>
          </cell>
          <cell r="Q983">
            <v>0</v>
          </cell>
          <cell r="R983">
            <v>0</v>
          </cell>
          <cell r="S983">
            <v>0</v>
          </cell>
          <cell r="T983">
            <v>0</v>
          </cell>
          <cell r="U983">
            <v>0</v>
          </cell>
          <cell r="V983">
            <v>0</v>
          </cell>
          <cell r="W983">
            <v>0</v>
          </cell>
          <cell r="X983">
            <v>0</v>
          </cell>
        </row>
        <row r="984">
          <cell r="A984">
            <v>7394</v>
          </cell>
          <cell r="B984" t="str">
            <v>AMANDA (VILLA)</v>
          </cell>
          <cell r="C984">
            <v>0</v>
          </cell>
          <cell r="D984">
            <v>0</v>
          </cell>
          <cell r="E984" t="str">
            <v>COACALCO, EDO. DE MEXICO</v>
          </cell>
          <cell r="F984">
            <v>0</v>
          </cell>
          <cell r="G984">
            <v>0</v>
          </cell>
          <cell r="H984">
            <v>0</v>
          </cell>
          <cell r="I984">
            <v>0</v>
          </cell>
          <cell r="J984">
            <v>0</v>
          </cell>
          <cell r="K984">
            <v>0</v>
          </cell>
          <cell r="L984">
            <v>0</v>
          </cell>
          <cell r="M984">
            <v>0</v>
          </cell>
          <cell r="N984">
            <v>0</v>
          </cell>
          <cell r="O984">
            <v>0</v>
          </cell>
          <cell r="P984">
            <v>0</v>
          </cell>
          <cell r="Q984">
            <v>0</v>
          </cell>
          <cell r="R984">
            <v>0</v>
          </cell>
          <cell r="S984">
            <v>0</v>
          </cell>
          <cell r="T984">
            <v>0</v>
          </cell>
          <cell r="U984">
            <v>0</v>
          </cell>
          <cell r="V984">
            <v>0</v>
          </cell>
          <cell r="W984">
            <v>0</v>
          </cell>
          <cell r="X984">
            <v>0</v>
          </cell>
        </row>
        <row r="985">
          <cell r="A985">
            <v>7395</v>
          </cell>
          <cell r="B985" t="str">
            <v>XOCHITL (ATITALAQUIA)</v>
          </cell>
          <cell r="C985">
            <v>0</v>
          </cell>
          <cell r="D985">
            <v>0</v>
          </cell>
          <cell r="E985" t="str">
            <v>ATITALAQUIA, HGO.</v>
          </cell>
          <cell r="F985">
            <v>0</v>
          </cell>
          <cell r="G985">
            <v>0</v>
          </cell>
          <cell r="H985">
            <v>0</v>
          </cell>
          <cell r="I985">
            <v>0</v>
          </cell>
          <cell r="J985">
            <v>0</v>
          </cell>
          <cell r="K985">
            <v>0</v>
          </cell>
          <cell r="L985">
            <v>0</v>
          </cell>
          <cell r="M985">
            <v>0</v>
          </cell>
          <cell r="N985">
            <v>0</v>
          </cell>
          <cell r="O985">
            <v>0</v>
          </cell>
          <cell r="P985">
            <v>0</v>
          </cell>
          <cell r="Q985">
            <v>0</v>
          </cell>
          <cell r="R985">
            <v>0</v>
          </cell>
          <cell r="S985">
            <v>0</v>
          </cell>
          <cell r="T985">
            <v>0</v>
          </cell>
          <cell r="U985">
            <v>0</v>
          </cell>
          <cell r="V985">
            <v>0</v>
          </cell>
          <cell r="W985">
            <v>0</v>
          </cell>
          <cell r="X985">
            <v>0</v>
          </cell>
        </row>
        <row r="986">
          <cell r="A986">
            <v>7396</v>
          </cell>
          <cell r="B986" t="str">
            <v>SELENA TENIENTE (VILLAGRAN)</v>
          </cell>
          <cell r="C986">
            <v>0</v>
          </cell>
          <cell r="D986" t="str">
            <v>VICENTE GUERRERO #505</v>
          </cell>
          <cell r="E986" t="str">
            <v>VILLAGRAN, GTO.</v>
          </cell>
          <cell r="F986">
            <v>0</v>
          </cell>
          <cell r="G986" t="str">
            <v>(411) 126-5293</v>
          </cell>
          <cell r="H986">
            <v>0</v>
          </cell>
          <cell r="I986">
            <v>0</v>
          </cell>
          <cell r="J986">
            <v>0</v>
          </cell>
          <cell r="K986">
            <v>0</v>
          </cell>
          <cell r="L986">
            <v>0</v>
          </cell>
          <cell r="M986">
            <v>0</v>
          </cell>
          <cell r="N986">
            <v>0</v>
          </cell>
          <cell r="O986">
            <v>0</v>
          </cell>
          <cell r="P986">
            <v>0</v>
          </cell>
          <cell r="Q986">
            <v>0</v>
          </cell>
          <cell r="R986">
            <v>0</v>
          </cell>
          <cell r="S986">
            <v>0</v>
          </cell>
          <cell r="T986">
            <v>0</v>
          </cell>
          <cell r="U986">
            <v>0</v>
          </cell>
          <cell r="V986" t="str">
            <v>CENTRO</v>
          </cell>
          <cell r="W986">
            <v>0</v>
          </cell>
          <cell r="X986">
            <v>0</v>
          </cell>
        </row>
        <row r="987">
          <cell r="A987">
            <v>7397</v>
          </cell>
          <cell r="B987" t="str">
            <v>GUADALUPE OBREGON (AMELACO)</v>
          </cell>
          <cell r="C987">
            <v>0</v>
          </cell>
          <cell r="D987">
            <v>0</v>
          </cell>
          <cell r="E987" t="str">
            <v>AMEALCO, QRO.</v>
          </cell>
          <cell r="F987">
            <v>0</v>
          </cell>
          <cell r="G987" t="str">
            <v>(442) 320-2866</v>
          </cell>
          <cell r="H987">
            <v>0</v>
          </cell>
          <cell r="I987">
            <v>0</v>
          </cell>
          <cell r="J987">
            <v>0</v>
          </cell>
          <cell r="K987">
            <v>0</v>
          </cell>
          <cell r="L987">
            <v>0</v>
          </cell>
          <cell r="M987">
            <v>0</v>
          </cell>
          <cell r="N987">
            <v>0</v>
          </cell>
          <cell r="O987">
            <v>0</v>
          </cell>
          <cell r="P987">
            <v>0</v>
          </cell>
          <cell r="Q987">
            <v>0</v>
          </cell>
          <cell r="R987">
            <v>0</v>
          </cell>
          <cell r="S987">
            <v>0</v>
          </cell>
          <cell r="T987">
            <v>0</v>
          </cell>
          <cell r="U987">
            <v>0</v>
          </cell>
          <cell r="V987">
            <v>0</v>
          </cell>
          <cell r="W987">
            <v>0</v>
          </cell>
          <cell r="X987">
            <v>0</v>
          </cell>
        </row>
        <row r="988">
          <cell r="A988">
            <v>7398</v>
          </cell>
          <cell r="B988" t="str">
            <v>ASHLEY (JUVENTINO)</v>
          </cell>
          <cell r="C988">
            <v>0</v>
          </cell>
          <cell r="D988">
            <v>0</v>
          </cell>
          <cell r="E988" t="str">
            <v>JUVENTINO ROSAS, GTO.</v>
          </cell>
          <cell r="F988">
            <v>0</v>
          </cell>
          <cell r="G988">
            <v>0</v>
          </cell>
          <cell r="H988">
            <v>0</v>
          </cell>
          <cell r="I988">
            <v>0</v>
          </cell>
          <cell r="J988" t="str">
            <v>F04</v>
          </cell>
          <cell r="K988">
            <v>0</v>
          </cell>
          <cell r="L988">
            <v>0</v>
          </cell>
          <cell r="M988">
            <v>0</v>
          </cell>
          <cell r="N988">
            <v>0</v>
          </cell>
          <cell r="O988">
            <v>0</v>
          </cell>
          <cell r="P988">
            <v>0</v>
          </cell>
          <cell r="Q988">
            <v>0</v>
          </cell>
          <cell r="R988">
            <v>0</v>
          </cell>
          <cell r="S988">
            <v>0</v>
          </cell>
          <cell r="T988">
            <v>0</v>
          </cell>
          <cell r="U988">
            <v>0</v>
          </cell>
          <cell r="V988">
            <v>0</v>
          </cell>
          <cell r="W988">
            <v>0</v>
          </cell>
          <cell r="X988">
            <v>0</v>
          </cell>
        </row>
        <row r="989">
          <cell r="A989">
            <v>7399</v>
          </cell>
          <cell r="B989" t="str">
            <v>MIRIAM (TECOZAHUTLA)</v>
          </cell>
          <cell r="C989">
            <v>0</v>
          </cell>
          <cell r="D989">
            <v>0</v>
          </cell>
          <cell r="E989" t="str">
            <v>TECOZAHUTLA, HGO.</v>
          </cell>
          <cell r="F989">
            <v>0</v>
          </cell>
          <cell r="G989">
            <v>0</v>
          </cell>
          <cell r="H989">
            <v>0</v>
          </cell>
          <cell r="I989">
            <v>0</v>
          </cell>
          <cell r="J989">
            <v>0</v>
          </cell>
          <cell r="K989">
            <v>0</v>
          </cell>
          <cell r="L989">
            <v>0</v>
          </cell>
          <cell r="M989">
            <v>0</v>
          </cell>
          <cell r="N989">
            <v>0</v>
          </cell>
          <cell r="O989">
            <v>0</v>
          </cell>
          <cell r="P989">
            <v>0</v>
          </cell>
          <cell r="Q989">
            <v>0</v>
          </cell>
          <cell r="R989">
            <v>0</v>
          </cell>
          <cell r="S989">
            <v>0</v>
          </cell>
          <cell r="T989">
            <v>0</v>
          </cell>
          <cell r="U989">
            <v>0</v>
          </cell>
          <cell r="V989">
            <v>0</v>
          </cell>
          <cell r="W989">
            <v>0</v>
          </cell>
          <cell r="X989">
            <v>0</v>
          </cell>
        </row>
        <row r="990">
          <cell r="A990">
            <v>7400</v>
          </cell>
          <cell r="B990" t="str">
            <v>EVELYN SALDAÑA (TECOZAHUTLA)</v>
          </cell>
          <cell r="C990">
            <v>0</v>
          </cell>
          <cell r="D990">
            <v>0</v>
          </cell>
          <cell r="E990" t="str">
            <v>TECOZAHUTLA, HGO.</v>
          </cell>
          <cell r="F990">
            <v>0</v>
          </cell>
          <cell r="G990">
            <v>0</v>
          </cell>
          <cell r="H990">
            <v>0</v>
          </cell>
          <cell r="I990">
            <v>0</v>
          </cell>
          <cell r="J990">
            <v>0</v>
          </cell>
          <cell r="K990">
            <v>0</v>
          </cell>
          <cell r="L990">
            <v>0</v>
          </cell>
          <cell r="M990">
            <v>0</v>
          </cell>
          <cell r="N990">
            <v>0</v>
          </cell>
          <cell r="O990">
            <v>0</v>
          </cell>
          <cell r="P990">
            <v>0</v>
          </cell>
          <cell r="Q990">
            <v>0</v>
          </cell>
          <cell r="R990">
            <v>0</v>
          </cell>
          <cell r="S990">
            <v>0</v>
          </cell>
          <cell r="T990">
            <v>0</v>
          </cell>
          <cell r="U990">
            <v>0</v>
          </cell>
          <cell r="V990">
            <v>0</v>
          </cell>
          <cell r="W990">
            <v>0</v>
          </cell>
          <cell r="X990">
            <v>0</v>
          </cell>
        </row>
        <row r="991">
          <cell r="A991">
            <v>7401</v>
          </cell>
          <cell r="B991" t="str">
            <v>MARIA LUISA MIRANDA (AMEALCO)</v>
          </cell>
          <cell r="C991">
            <v>0</v>
          </cell>
          <cell r="D991">
            <v>0</v>
          </cell>
          <cell r="E991" t="str">
            <v>AMEALCO, QRO.</v>
          </cell>
          <cell r="F991">
            <v>0</v>
          </cell>
          <cell r="G991">
            <v>0</v>
          </cell>
          <cell r="H991">
            <v>0</v>
          </cell>
          <cell r="I991">
            <v>0</v>
          </cell>
          <cell r="J991">
            <v>0</v>
          </cell>
          <cell r="K991">
            <v>0</v>
          </cell>
          <cell r="L991">
            <v>0</v>
          </cell>
          <cell r="M991">
            <v>0</v>
          </cell>
          <cell r="N991">
            <v>0</v>
          </cell>
          <cell r="O991">
            <v>0</v>
          </cell>
          <cell r="P991">
            <v>0</v>
          </cell>
          <cell r="Q991">
            <v>0</v>
          </cell>
          <cell r="R991">
            <v>0</v>
          </cell>
          <cell r="S991">
            <v>0</v>
          </cell>
          <cell r="T991">
            <v>0</v>
          </cell>
          <cell r="U991">
            <v>0</v>
          </cell>
          <cell r="V991">
            <v>0</v>
          </cell>
          <cell r="W991">
            <v>0</v>
          </cell>
          <cell r="X991">
            <v>0</v>
          </cell>
        </row>
        <row r="992">
          <cell r="A992">
            <v>7402</v>
          </cell>
          <cell r="B992" t="str">
            <v>NUEVO SUPER DON NICO S. DE RL. DE C.V. (JILOTEPEC)</v>
          </cell>
          <cell r="C992" t="str">
            <v>NSD13101E26</v>
          </cell>
          <cell r="D992" t="str">
            <v>VICENTE GUERRERO #147</v>
          </cell>
          <cell r="E992" t="str">
            <v>JILOTEPEC, EDO. DE MEXICO</v>
          </cell>
          <cell r="F992" t="str">
            <v>54240</v>
          </cell>
          <cell r="G992">
            <v>0</v>
          </cell>
          <cell r="H992">
            <v>0</v>
          </cell>
          <cell r="I992">
            <v>0</v>
          </cell>
          <cell r="J992">
            <v>0</v>
          </cell>
          <cell r="K992">
            <v>0</v>
          </cell>
          <cell r="L992">
            <v>0</v>
          </cell>
          <cell r="M992">
            <v>0</v>
          </cell>
          <cell r="N992">
            <v>0</v>
          </cell>
          <cell r="O992">
            <v>0</v>
          </cell>
          <cell r="P992">
            <v>0</v>
          </cell>
          <cell r="Q992">
            <v>0</v>
          </cell>
          <cell r="R992">
            <v>0</v>
          </cell>
          <cell r="S992">
            <v>0</v>
          </cell>
          <cell r="T992">
            <v>0</v>
          </cell>
          <cell r="U992">
            <v>0</v>
          </cell>
          <cell r="V992" t="str">
            <v>CENTRO</v>
          </cell>
          <cell r="W992" t="str">
            <v>USO DE CFDI: G01 ADQUISICION DE MERCANCIA</v>
          </cell>
          <cell r="X992" t="str">
            <v>regalos@don-nico.com</v>
          </cell>
        </row>
        <row r="993">
          <cell r="A993">
            <v>7403</v>
          </cell>
          <cell r="B993" t="str">
            <v>GUADALUPE RUIZ (QUERETARO)</v>
          </cell>
          <cell r="C993">
            <v>0</v>
          </cell>
          <cell r="D993">
            <v>0</v>
          </cell>
          <cell r="E993" t="str">
            <v>QUERETARO, QRO.</v>
          </cell>
          <cell r="F993">
            <v>0</v>
          </cell>
          <cell r="G993">
            <v>0</v>
          </cell>
          <cell r="H993">
            <v>0</v>
          </cell>
          <cell r="I993">
            <v>0</v>
          </cell>
          <cell r="J993">
            <v>0</v>
          </cell>
          <cell r="K993">
            <v>0</v>
          </cell>
          <cell r="L993">
            <v>0</v>
          </cell>
          <cell r="M993">
            <v>0</v>
          </cell>
          <cell r="N993">
            <v>0</v>
          </cell>
          <cell r="O993">
            <v>0</v>
          </cell>
          <cell r="P993">
            <v>0</v>
          </cell>
          <cell r="Q993">
            <v>0</v>
          </cell>
          <cell r="R993">
            <v>0</v>
          </cell>
          <cell r="S993">
            <v>0</v>
          </cell>
          <cell r="T993">
            <v>0</v>
          </cell>
          <cell r="U993">
            <v>0</v>
          </cell>
          <cell r="V993">
            <v>0</v>
          </cell>
          <cell r="W993">
            <v>0</v>
          </cell>
          <cell r="X993">
            <v>0</v>
          </cell>
        </row>
        <row r="994">
          <cell r="A994">
            <v>7404</v>
          </cell>
          <cell r="B994" t="str">
            <v>ALEJANDRA MONTES DE OCA (QUERETARO)</v>
          </cell>
          <cell r="C994">
            <v>0</v>
          </cell>
          <cell r="D994">
            <v>0</v>
          </cell>
          <cell r="E994" t="str">
            <v>QUERETARO, QRO.</v>
          </cell>
          <cell r="F994">
            <v>0</v>
          </cell>
          <cell r="G994">
            <v>0</v>
          </cell>
          <cell r="H994">
            <v>0</v>
          </cell>
          <cell r="I994">
            <v>0</v>
          </cell>
          <cell r="J994">
            <v>0</v>
          </cell>
          <cell r="K994">
            <v>0</v>
          </cell>
          <cell r="L994">
            <v>0</v>
          </cell>
          <cell r="M994">
            <v>0</v>
          </cell>
          <cell r="N994">
            <v>0</v>
          </cell>
          <cell r="O994">
            <v>0</v>
          </cell>
          <cell r="P994">
            <v>0</v>
          </cell>
          <cell r="Q994">
            <v>0</v>
          </cell>
          <cell r="R994">
            <v>0</v>
          </cell>
          <cell r="S994">
            <v>0</v>
          </cell>
          <cell r="T994">
            <v>0</v>
          </cell>
          <cell r="U994">
            <v>0</v>
          </cell>
          <cell r="V994">
            <v>0</v>
          </cell>
          <cell r="W994">
            <v>0</v>
          </cell>
          <cell r="X994">
            <v>0</v>
          </cell>
        </row>
        <row r="995">
          <cell r="A995">
            <v>7405</v>
          </cell>
          <cell r="B995" t="str">
            <v>PAPELERIA SUEÑOS DE COLORES (A. EL ALTO)</v>
          </cell>
          <cell r="C995" t="str">
            <v>MARY</v>
          </cell>
          <cell r="D995" t="str">
            <v>INDEPENCENCIA #219B</v>
          </cell>
          <cell r="E995" t="str">
            <v>APASEO EL ALTO, GTO.</v>
          </cell>
          <cell r="F995" t="str">
            <v>38500</v>
          </cell>
          <cell r="G995" t="str">
            <v>(413) 103-1066</v>
          </cell>
          <cell r="H995">
            <v>0</v>
          </cell>
          <cell r="I995">
            <v>0</v>
          </cell>
          <cell r="J995">
            <v>0</v>
          </cell>
          <cell r="K995">
            <v>0</v>
          </cell>
          <cell r="L995">
            <v>0</v>
          </cell>
          <cell r="M995">
            <v>0</v>
          </cell>
          <cell r="N995">
            <v>0</v>
          </cell>
          <cell r="O995">
            <v>0</v>
          </cell>
          <cell r="P995">
            <v>0</v>
          </cell>
          <cell r="Q995">
            <v>0</v>
          </cell>
          <cell r="R995">
            <v>0</v>
          </cell>
          <cell r="S995">
            <v>0</v>
          </cell>
          <cell r="T995">
            <v>0</v>
          </cell>
          <cell r="U995">
            <v>0</v>
          </cell>
          <cell r="V995" t="str">
            <v>CENTRO</v>
          </cell>
          <cell r="W995">
            <v>0</v>
          </cell>
          <cell r="X995">
            <v>0</v>
          </cell>
        </row>
        <row r="996">
          <cell r="A996">
            <v>7406</v>
          </cell>
          <cell r="B996" t="str">
            <v>JAN (QUERETARO)</v>
          </cell>
          <cell r="C996">
            <v>0</v>
          </cell>
          <cell r="D996">
            <v>0</v>
          </cell>
          <cell r="E996" t="str">
            <v>QUERETARO, QRO.</v>
          </cell>
          <cell r="F996">
            <v>0</v>
          </cell>
          <cell r="G996">
            <v>0</v>
          </cell>
          <cell r="H996">
            <v>0</v>
          </cell>
          <cell r="I996">
            <v>0</v>
          </cell>
          <cell r="J996">
            <v>0</v>
          </cell>
          <cell r="K996">
            <v>0</v>
          </cell>
          <cell r="L996">
            <v>0</v>
          </cell>
          <cell r="M996">
            <v>0</v>
          </cell>
          <cell r="N996">
            <v>0</v>
          </cell>
          <cell r="O996">
            <v>0</v>
          </cell>
          <cell r="P996">
            <v>0</v>
          </cell>
          <cell r="Q996">
            <v>0</v>
          </cell>
          <cell r="R996">
            <v>0</v>
          </cell>
          <cell r="S996">
            <v>0</v>
          </cell>
          <cell r="T996">
            <v>0</v>
          </cell>
          <cell r="U996">
            <v>0</v>
          </cell>
          <cell r="V996">
            <v>0</v>
          </cell>
          <cell r="W996">
            <v>0</v>
          </cell>
          <cell r="X996">
            <v>0</v>
          </cell>
        </row>
        <row r="997">
          <cell r="A997">
            <v>7407</v>
          </cell>
          <cell r="B997" t="str">
            <v>GEMA MALDONADO (JILOTEPEC)</v>
          </cell>
          <cell r="C997">
            <v>0</v>
          </cell>
          <cell r="D997">
            <v>0</v>
          </cell>
          <cell r="E997" t="str">
            <v>JILOTEPEC, EDO. DE MEXICO</v>
          </cell>
          <cell r="F997">
            <v>0</v>
          </cell>
          <cell r="G997">
            <v>0</v>
          </cell>
          <cell r="H997">
            <v>0</v>
          </cell>
          <cell r="I997">
            <v>0</v>
          </cell>
          <cell r="J997">
            <v>0</v>
          </cell>
          <cell r="K997">
            <v>0</v>
          </cell>
          <cell r="L997">
            <v>0</v>
          </cell>
          <cell r="M997">
            <v>0</v>
          </cell>
          <cell r="N997">
            <v>0</v>
          </cell>
          <cell r="O997">
            <v>0</v>
          </cell>
          <cell r="P997">
            <v>0</v>
          </cell>
          <cell r="Q997">
            <v>0</v>
          </cell>
          <cell r="R997">
            <v>0</v>
          </cell>
          <cell r="S997">
            <v>0</v>
          </cell>
          <cell r="T997">
            <v>0</v>
          </cell>
          <cell r="U997">
            <v>0</v>
          </cell>
          <cell r="V997">
            <v>0</v>
          </cell>
          <cell r="W997">
            <v>0</v>
          </cell>
          <cell r="X997">
            <v>0</v>
          </cell>
        </row>
        <row r="998">
          <cell r="A998">
            <v>7408</v>
          </cell>
          <cell r="B998" t="str">
            <v>LUIS OCTAVIO VELAZQUEZ (TULA)</v>
          </cell>
          <cell r="C998">
            <v>0</v>
          </cell>
          <cell r="D998">
            <v>0</v>
          </cell>
          <cell r="E998" t="str">
            <v>TULA, HGO.</v>
          </cell>
          <cell r="F998">
            <v>0</v>
          </cell>
          <cell r="G998">
            <v>0</v>
          </cell>
          <cell r="H998">
            <v>0</v>
          </cell>
          <cell r="I998">
            <v>0</v>
          </cell>
          <cell r="J998">
            <v>0</v>
          </cell>
          <cell r="K998">
            <v>0</v>
          </cell>
          <cell r="L998">
            <v>0</v>
          </cell>
          <cell r="M998">
            <v>0</v>
          </cell>
          <cell r="N998">
            <v>0</v>
          </cell>
          <cell r="O998">
            <v>0</v>
          </cell>
          <cell r="P998">
            <v>0</v>
          </cell>
          <cell r="Q998">
            <v>0</v>
          </cell>
          <cell r="R998">
            <v>0</v>
          </cell>
          <cell r="S998">
            <v>0</v>
          </cell>
          <cell r="T998">
            <v>0</v>
          </cell>
          <cell r="U998">
            <v>0</v>
          </cell>
          <cell r="V998">
            <v>0</v>
          </cell>
          <cell r="W998">
            <v>0</v>
          </cell>
          <cell r="X998">
            <v>0</v>
          </cell>
        </row>
        <row r="999">
          <cell r="A999">
            <v>7409</v>
          </cell>
          <cell r="B999" t="str">
            <v>MARY CRUZ MANDUJANO MARTINEZ (EL COLORADO)</v>
          </cell>
          <cell r="C999">
            <v>0</v>
          </cell>
          <cell r="D999">
            <v>0</v>
          </cell>
          <cell r="E999" t="str">
            <v>EL COLORADO, QRO.</v>
          </cell>
          <cell r="F999">
            <v>0</v>
          </cell>
          <cell r="G999">
            <v>0</v>
          </cell>
          <cell r="H999">
            <v>0</v>
          </cell>
          <cell r="I999">
            <v>0</v>
          </cell>
          <cell r="J999">
            <v>0</v>
          </cell>
          <cell r="K999">
            <v>0</v>
          </cell>
          <cell r="L999">
            <v>0</v>
          </cell>
          <cell r="M999">
            <v>0</v>
          </cell>
          <cell r="N999">
            <v>0</v>
          </cell>
          <cell r="O999">
            <v>0</v>
          </cell>
          <cell r="P999">
            <v>0</v>
          </cell>
          <cell r="Q999">
            <v>0</v>
          </cell>
          <cell r="R999">
            <v>0</v>
          </cell>
          <cell r="S999">
            <v>0</v>
          </cell>
          <cell r="T999">
            <v>0</v>
          </cell>
          <cell r="U999">
            <v>0</v>
          </cell>
          <cell r="V999">
            <v>0</v>
          </cell>
          <cell r="W999">
            <v>0</v>
          </cell>
          <cell r="X999">
            <v>0</v>
          </cell>
        </row>
        <row r="1000">
          <cell r="A1000">
            <v>7410</v>
          </cell>
          <cell r="B1000" t="str">
            <v>MARIA IVONNE OLGUIN JIMENEZ (TULA)</v>
          </cell>
          <cell r="C1000">
            <v>0</v>
          </cell>
          <cell r="D1000">
            <v>0</v>
          </cell>
          <cell r="E1000" t="str">
            <v>TULA DE ALLENDE, HGO.</v>
          </cell>
          <cell r="F1000">
            <v>0</v>
          </cell>
          <cell r="G1000">
            <v>0</v>
          </cell>
          <cell r="H1000">
            <v>0</v>
          </cell>
          <cell r="I1000">
            <v>0</v>
          </cell>
          <cell r="J1000">
            <v>0</v>
          </cell>
          <cell r="K1000">
            <v>0</v>
          </cell>
          <cell r="L1000">
            <v>0</v>
          </cell>
          <cell r="M1000">
            <v>0</v>
          </cell>
          <cell r="N1000">
            <v>0</v>
          </cell>
          <cell r="O1000">
            <v>0</v>
          </cell>
          <cell r="P1000">
            <v>0</v>
          </cell>
          <cell r="Q1000">
            <v>0</v>
          </cell>
          <cell r="R1000">
            <v>0</v>
          </cell>
          <cell r="S1000">
            <v>0</v>
          </cell>
          <cell r="T1000">
            <v>0</v>
          </cell>
          <cell r="U1000">
            <v>0</v>
          </cell>
          <cell r="V1000">
            <v>0</v>
          </cell>
          <cell r="W1000">
            <v>0</v>
          </cell>
          <cell r="X1000">
            <v>0</v>
          </cell>
        </row>
        <row r="1001">
          <cell r="A1001">
            <v>7411</v>
          </cell>
          <cell r="B1001" t="str">
            <v>PAPELERIA IMAGEN (TEPEJI)</v>
          </cell>
          <cell r="C1001">
            <v>0</v>
          </cell>
          <cell r="D1001">
            <v>0</v>
          </cell>
          <cell r="E1001" t="str">
            <v>TEPEJI DEL RIO, HGO.</v>
          </cell>
          <cell r="F1001">
            <v>0</v>
          </cell>
          <cell r="G1001">
            <v>0</v>
          </cell>
          <cell r="H1001">
            <v>0</v>
          </cell>
          <cell r="I1001">
            <v>0</v>
          </cell>
          <cell r="J1001">
            <v>0</v>
          </cell>
          <cell r="K1001">
            <v>0</v>
          </cell>
          <cell r="L1001">
            <v>0</v>
          </cell>
          <cell r="M1001">
            <v>0</v>
          </cell>
          <cell r="N1001">
            <v>0</v>
          </cell>
          <cell r="O1001">
            <v>0</v>
          </cell>
          <cell r="P1001">
            <v>0</v>
          </cell>
          <cell r="Q1001">
            <v>0</v>
          </cell>
          <cell r="R1001">
            <v>0</v>
          </cell>
          <cell r="S1001">
            <v>0</v>
          </cell>
          <cell r="T1001">
            <v>0</v>
          </cell>
          <cell r="U1001">
            <v>0</v>
          </cell>
          <cell r="V1001">
            <v>0</v>
          </cell>
          <cell r="W1001">
            <v>0</v>
          </cell>
          <cell r="X1001">
            <v>0</v>
          </cell>
        </row>
        <row r="1002">
          <cell r="A1002">
            <v>7412</v>
          </cell>
          <cell r="B1002" t="str">
            <v>ADRIANA ROA (QUERETARO)</v>
          </cell>
          <cell r="C1002">
            <v>0</v>
          </cell>
          <cell r="D1002">
            <v>0</v>
          </cell>
          <cell r="E1002" t="str">
            <v>QUERETARO, QRO.</v>
          </cell>
          <cell r="F1002">
            <v>0</v>
          </cell>
          <cell r="G1002">
            <v>0</v>
          </cell>
          <cell r="H1002">
            <v>0</v>
          </cell>
          <cell r="I1002">
            <v>0</v>
          </cell>
          <cell r="J1002">
            <v>0</v>
          </cell>
          <cell r="K1002">
            <v>0</v>
          </cell>
          <cell r="L1002">
            <v>0</v>
          </cell>
          <cell r="M1002">
            <v>0</v>
          </cell>
          <cell r="N1002">
            <v>0</v>
          </cell>
          <cell r="O1002">
            <v>0</v>
          </cell>
          <cell r="P1002">
            <v>0</v>
          </cell>
          <cell r="Q1002">
            <v>0</v>
          </cell>
          <cell r="R1002">
            <v>0</v>
          </cell>
          <cell r="S1002">
            <v>0</v>
          </cell>
          <cell r="T1002">
            <v>0</v>
          </cell>
          <cell r="U1002">
            <v>0</v>
          </cell>
          <cell r="V1002">
            <v>0</v>
          </cell>
          <cell r="W1002">
            <v>0</v>
          </cell>
          <cell r="X1002">
            <v>0</v>
          </cell>
        </row>
        <row r="1003">
          <cell r="A1003">
            <v>7413</v>
          </cell>
          <cell r="B1003" t="str">
            <v>GABRIELA (TARANDA)</v>
          </cell>
          <cell r="C1003">
            <v>0</v>
          </cell>
          <cell r="D1003">
            <v>0</v>
          </cell>
          <cell r="E1003" t="str">
            <v>TARANDACUAO, GTO.</v>
          </cell>
          <cell r="F1003">
            <v>0</v>
          </cell>
          <cell r="G1003">
            <v>0</v>
          </cell>
          <cell r="H1003">
            <v>0</v>
          </cell>
          <cell r="I1003">
            <v>0</v>
          </cell>
          <cell r="J1003">
            <v>0</v>
          </cell>
          <cell r="K1003">
            <v>0</v>
          </cell>
          <cell r="L1003">
            <v>0</v>
          </cell>
          <cell r="M1003">
            <v>0</v>
          </cell>
          <cell r="N1003">
            <v>0</v>
          </cell>
          <cell r="O1003">
            <v>0</v>
          </cell>
          <cell r="P1003">
            <v>0</v>
          </cell>
          <cell r="Q1003">
            <v>0</v>
          </cell>
          <cell r="R1003">
            <v>0</v>
          </cell>
          <cell r="S1003">
            <v>0</v>
          </cell>
          <cell r="T1003">
            <v>0</v>
          </cell>
          <cell r="U1003">
            <v>0</v>
          </cell>
          <cell r="V1003">
            <v>0</v>
          </cell>
          <cell r="W1003">
            <v>0</v>
          </cell>
          <cell r="X1003">
            <v>0</v>
          </cell>
        </row>
        <row r="1004">
          <cell r="A1004">
            <v>7414</v>
          </cell>
          <cell r="B1004" t="str">
            <v>LORENA ZARAZUA (E. MONTES)</v>
          </cell>
          <cell r="C1004">
            <v>0</v>
          </cell>
          <cell r="D1004">
            <v>0</v>
          </cell>
          <cell r="E1004" t="str">
            <v>EZEQUIEL MONTES, QRO.</v>
          </cell>
          <cell r="F1004">
            <v>0</v>
          </cell>
          <cell r="G1004">
            <v>0</v>
          </cell>
          <cell r="H1004">
            <v>0</v>
          </cell>
          <cell r="I1004">
            <v>0</v>
          </cell>
          <cell r="J1004">
            <v>0</v>
          </cell>
          <cell r="K1004">
            <v>0</v>
          </cell>
          <cell r="L1004">
            <v>0</v>
          </cell>
          <cell r="M1004">
            <v>0</v>
          </cell>
          <cell r="N1004">
            <v>0</v>
          </cell>
          <cell r="O1004">
            <v>0</v>
          </cell>
          <cell r="P1004">
            <v>0</v>
          </cell>
          <cell r="Q1004">
            <v>0</v>
          </cell>
          <cell r="R1004">
            <v>0</v>
          </cell>
          <cell r="S1004">
            <v>0</v>
          </cell>
          <cell r="T1004">
            <v>0</v>
          </cell>
          <cell r="U1004">
            <v>0</v>
          </cell>
          <cell r="V1004">
            <v>0</v>
          </cell>
          <cell r="W1004">
            <v>0</v>
          </cell>
          <cell r="X1004">
            <v>0</v>
          </cell>
        </row>
        <row r="1005">
          <cell r="A1005">
            <v>7415</v>
          </cell>
          <cell r="B1005" t="str">
            <v>PAPELERIA Y REGALOS "SANTIAGO APOSTOL" (CORONEO)</v>
          </cell>
          <cell r="C1005">
            <v>0</v>
          </cell>
          <cell r="D1005">
            <v>0</v>
          </cell>
          <cell r="E1005" t="str">
            <v>CORONEO, GTO.</v>
          </cell>
          <cell r="F1005">
            <v>0</v>
          </cell>
          <cell r="G1005">
            <v>0</v>
          </cell>
          <cell r="H1005">
            <v>0</v>
          </cell>
          <cell r="I1005">
            <v>0</v>
          </cell>
          <cell r="J1005">
            <v>0</v>
          </cell>
          <cell r="K1005">
            <v>0</v>
          </cell>
          <cell r="L1005">
            <v>0</v>
          </cell>
          <cell r="M1005">
            <v>0</v>
          </cell>
          <cell r="N1005">
            <v>0</v>
          </cell>
          <cell r="O1005">
            <v>0</v>
          </cell>
          <cell r="P1005">
            <v>0</v>
          </cell>
          <cell r="Q1005">
            <v>0</v>
          </cell>
          <cell r="R1005">
            <v>0</v>
          </cell>
          <cell r="S1005">
            <v>0</v>
          </cell>
          <cell r="T1005">
            <v>0</v>
          </cell>
          <cell r="U1005">
            <v>0</v>
          </cell>
          <cell r="V1005">
            <v>0</v>
          </cell>
          <cell r="W1005">
            <v>0</v>
          </cell>
          <cell r="X1005">
            <v>0</v>
          </cell>
        </row>
        <row r="1006">
          <cell r="A1006">
            <v>7416</v>
          </cell>
          <cell r="B1006" t="str">
            <v>ISRAEL, LOS OLVERA (QUERETARO)</v>
          </cell>
          <cell r="C1006">
            <v>0</v>
          </cell>
          <cell r="D1006">
            <v>0</v>
          </cell>
          <cell r="E1006" t="str">
            <v>QUERETARO, QRO.</v>
          </cell>
          <cell r="F1006">
            <v>0</v>
          </cell>
          <cell r="G1006">
            <v>0</v>
          </cell>
          <cell r="H1006">
            <v>0</v>
          </cell>
          <cell r="I1006">
            <v>0</v>
          </cell>
          <cell r="J1006">
            <v>0</v>
          </cell>
          <cell r="K1006">
            <v>0</v>
          </cell>
          <cell r="L1006">
            <v>0</v>
          </cell>
          <cell r="M1006">
            <v>0</v>
          </cell>
          <cell r="N1006">
            <v>0</v>
          </cell>
          <cell r="O1006">
            <v>0</v>
          </cell>
          <cell r="P1006">
            <v>0</v>
          </cell>
          <cell r="Q1006">
            <v>0</v>
          </cell>
          <cell r="R1006">
            <v>0</v>
          </cell>
          <cell r="S1006">
            <v>0</v>
          </cell>
          <cell r="T1006">
            <v>0</v>
          </cell>
          <cell r="U1006">
            <v>0</v>
          </cell>
          <cell r="V1006">
            <v>0</v>
          </cell>
          <cell r="W1006">
            <v>0</v>
          </cell>
          <cell r="X1006">
            <v>0</v>
          </cell>
        </row>
        <row r="1007">
          <cell r="A1007">
            <v>7417</v>
          </cell>
          <cell r="B1007" t="str">
            <v>ELIZABETH MOLINA (QUERETARO)</v>
          </cell>
          <cell r="C1007">
            <v>0</v>
          </cell>
          <cell r="D1007">
            <v>0</v>
          </cell>
          <cell r="E1007" t="str">
            <v>QUERETARO, QRO.</v>
          </cell>
          <cell r="F1007">
            <v>0</v>
          </cell>
          <cell r="G1007">
            <v>0</v>
          </cell>
          <cell r="H1007">
            <v>0</v>
          </cell>
          <cell r="I1007">
            <v>0</v>
          </cell>
          <cell r="J1007">
            <v>0</v>
          </cell>
          <cell r="K1007">
            <v>0</v>
          </cell>
          <cell r="L1007">
            <v>0</v>
          </cell>
          <cell r="M1007">
            <v>0</v>
          </cell>
          <cell r="N1007">
            <v>0</v>
          </cell>
          <cell r="O1007">
            <v>0</v>
          </cell>
          <cell r="P1007">
            <v>0</v>
          </cell>
          <cell r="Q1007">
            <v>0</v>
          </cell>
          <cell r="R1007">
            <v>0</v>
          </cell>
          <cell r="S1007">
            <v>0</v>
          </cell>
          <cell r="T1007">
            <v>0</v>
          </cell>
          <cell r="U1007">
            <v>0</v>
          </cell>
          <cell r="V1007">
            <v>0</v>
          </cell>
          <cell r="W1007">
            <v>0</v>
          </cell>
          <cell r="X1007">
            <v>0</v>
          </cell>
        </row>
        <row r="1008">
          <cell r="A1008">
            <v>7418</v>
          </cell>
          <cell r="B1008" t="str">
            <v>ANGELICA NAVARRO (SAN LUIS DE LA PAZ)</v>
          </cell>
          <cell r="C1008">
            <v>0</v>
          </cell>
          <cell r="D1008">
            <v>0</v>
          </cell>
          <cell r="E1008" t="str">
            <v>SAN LUIS DE LA PAZ, GTO.</v>
          </cell>
          <cell r="F1008">
            <v>0</v>
          </cell>
          <cell r="G1008">
            <v>0</v>
          </cell>
          <cell r="H1008">
            <v>0</v>
          </cell>
          <cell r="I1008">
            <v>0</v>
          </cell>
          <cell r="J1008">
            <v>0</v>
          </cell>
          <cell r="K1008">
            <v>0</v>
          </cell>
          <cell r="L1008">
            <v>0</v>
          </cell>
          <cell r="M1008">
            <v>0</v>
          </cell>
          <cell r="N1008">
            <v>0</v>
          </cell>
          <cell r="O1008">
            <v>0</v>
          </cell>
          <cell r="P1008">
            <v>0</v>
          </cell>
          <cell r="Q1008">
            <v>0</v>
          </cell>
          <cell r="R1008">
            <v>0</v>
          </cell>
          <cell r="S1008">
            <v>0</v>
          </cell>
          <cell r="T1008">
            <v>0</v>
          </cell>
          <cell r="U1008">
            <v>0</v>
          </cell>
          <cell r="V1008">
            <v>0</v>
          </cell>
          <cell r="W1008">
            <v>0</v>
          </cell>
          <cell r="X1008">
            <v>0</v>
          </cell>
        </row>
        <row r="1009">
          <cell r="A1009">
            <v>7419</v>
          </cell>
          <cell r="B1009" t="str">
            <v>KATY (MIXQUIAHUALA)</v>
          </cell>
          <cell r="C1009">
            <v>0</v>
          </cell>
          <cell r="D1009">
            <v>0</v>
          </cell>
          <cell r="E1009" t="str">
            <v>MIXQUIAHUALA, HGO.</v>
          </cell>
          <cell r="F1009">
            <v>0</v>
          </cell>
          <cell r="G1009">
            <v>0</v>
          </cell>
          <cell r="H1009">
            <v>0</v>
          </cell>
          <cell r="I1009">
            <v>0</v>
          </cell>
          <cell r="J1009">
            <v>0</v>
          </cell>
          <cell r="K1009">
            <v>0</v>
          </cell>
          <cell r="L1009">
            <v>0</v>
          </cell>
          <cell r="M1009">
            <v>0</v>
          </cell>
          <cell r="N1009">
            <v>0</v>
          </cell>
          <cell r="O1009">
            <v>0</v>
          </cell>
          <cell r="P1009">
            <v>0</v>
          </cell>
          <cell r="Q1009">
            <v>0</v>
          </cell>
          <cell r="R1009">
            <v>0</v>
          </cell>
          <cell r="S1009">
            <v>0</v>
          </cell>
          <cell r="T1009">
            <v>0</v>
          </cell>
          <cell r="U1009">
            <v>0</v>
          </cell>
          <cell r="V1009">
            <v>0</v>
          </cell>
          <cell r="W1009">
            <v>0</v>
          </cell>
          <cell r="X1009">
            <v>0</v>
          </cell>
        </row>
        <row r="1010">
          <cell r="A1010">
            <v>7420</v>
          </cell>
          <cell r="B1010" t="str">
            <v>JOSEFINA "PAPELERIA PIOLIN" (HUICHAPAN)</v>
          </cell>
          <cell r="C1010">
            <v>0</v>
          </cell>
          <cell r="D1010">
            <v>0</v>
          </cell>
          <cell r="E1010" t="str">
            <v>HUICHAPAN, HGO.</v>
          </cell>
          <cell r="F1010">
            <v>0</v>
          </cell>
          <cell r="G1010">
            <v>0</v>
          </cell>
          <cell r="H1010">
            <v>0</v>
          </cell>
          <cell r="I1010">
            <v>0</v>
          </cell>
          <cell r="J1010">
            <v>0</v>
          </cell>
          <cell r="K1010">
            <v>0</v>
          </cell>
          <cell r="L1010">
            <v>0</v>
          </cell>
          <cell r="M1010">
            <v>0</v>
          </cell>
          <cell r="N1010">
            <v>0</v>
          </cell>
          <cell r="O1010">
            <v>0</v>
          </cell>
          <cell r="P1010">
            <v>0</v>
          </cell>
          <cell r="Q1010">
            <v>0</v>
          </cell>
          <cell r="R1010">
            <v>0</v>
          </cell>
          <cell r="S1010">
            <v>0</v>
          </cell>
          <cell r="T1010">
            <v>0</v>
          </cell>
          <cell r="U1010">
            <v>0</v>
          </cell>
          <cell r="V1010">
            <v>0</v>
          </cell>
          <cell r="W1010">
            <v>0</v>
          </cell>
          <cell r="X1010">
            <v>0</v>
          </cell>
        </row>
        <row r="1011">
          <cell r="A1011">
            <v>7421</v>
          </cell>
          <cell r="B1011" t="str">
            <v>PAPELERIA DE ANDY (CORTAZAR)</v>
          </cell>
          <cell r="C1011">
            <v>0</v>
          </cell>
          <cell r="D1011" t="str">
            <v>JUSTO SIERRA #500-B</v>
          </cell>
          <cell r="E1011" t="str">
            <v>CORTAZAR, GTO.</v>
          </cell>
          <cell r="F1011">
            <v>0</v>
          </cell>
          <cell r="G1011" t="str">
            <v>(461) 185-6214</v>
          </cell>
          <cell r="H1011">
            <v>0</v>
          </cell>
          <cell r="I1011">
            <v>0</v>
          </cell>
          <cell r="J1011">
            <v>0</v>
          </cell>
          <cell r="K1011">
            <v>0</v>
          </cell>
          <cell r="L1011">
            <v>0</v>
          </cell>
          <cell r="M1011">
            <v>0</v>
          </cell>
          <cell r="N1011">
            <v>0</v>
          </cell>
          <cell r="O1011">
            <v>0</v>
          </cell>
          <cell r="P1011">
            <v>0</v>
          </cell>
          <cell r="Q1011">
            <v>0</v>
          </cell>
          <cell r="R1011">
            <v>0</v>
          </cell>
          <cell r="S1011">
            <v>0</v>
          </cell>
          <cell r="T1011">
            <v>0</v>
          </cell>
          <cell r="U1011">
            <v>0</v>
          </cell>
          <cell r="V1011" t="str">
            <v>CENTRO</v>
          </cell>
          <cell r="W1011">
            <v>0</v>
          </cell>
          <cell r="X1011">
            <v>0</v>
          </cell>
        </row>
        <row r="1012">
          <cell r="A1012">
            <v>7422</v>
          </cell>
          <cell r="B1012" t="str">
            <v>CAROLINA CALDERON (ACAMBARO)</v>
          </cell>
          <cell r="C1012">
            <v>0</v>
          </cell>
          <cell r="D1012">
            <v>0</v>
          </cell>
          <cell r="E1012" t="str">
            <v>ACAMBARO, GTO.</v>
          </cell>
          <cell r="F1012">
            <v>0</v>
          </cell>
          <cell r="G1012">
            <v>0</v>
          </cell>
          <cell r="H1012">
            <v>0</v>
          </cell>
          <cell r="I1012">
            <v>0</v>
          </cell>
          <cell r="J1012">
            <v>0</v>
          </cell>
          <cell r="K1012">
            <v>0</v>
          </cell>
          <cell r="L1012">
            <v>0</v>
          </cell>
          <cell r="M1012">
            <v>0</v>
          </cell>
          <cell r="N1012">
            <v>0</v>
          </cell>
          <cell r="O1012">
            <v>0</v>
          </cell>
          <cell r="P1012">
            <v>0</v>
          </cell>
          <cell r="Q1012">
            <v>0</v>
          </cell>
          <cell r="R1012">
            <v>0</v>
          </cell>
          <cell r="S1012">
            <v>0</v>
          </cell>
          <cell r="T1012">
            <v>0</v>
          </cell>
          <cell r="U1012">
            <v>0</v>
          </cell>
          <cell r="V1012">
            <v>0</v>
          </cell>
          <cell r="W1012">
            <v>0</v>
          </cell>
          <cell r="X1012">
            <v>0</v>
          </cell>
        </row>
        <row r="1013">
          <cell r="A1013">
            <v>7423</v>
          </cell>
          <cell r="B1013" t="str">
            <v>MAGDA "DON NICO" (JILOTEPEC)</v>
          </cell>
          <cell r="C1013">
            <v>0</v>
          </cell>
          <cell r="D1013">
            <v>0</v>
          </cell>
          <cell r="E1013" t="str">
            <v>JILOTEPEC, EDO. DE MEXICO</v>
          </cell>
          <cell r="F1013">
            <v>0</v>
          </cell>
          <cell r="G1013">
            <v>0</v>
          </cell>
          <cell r="H1013">
            <v>0</v>
          </cell>
          <cell r="I1013">
            <v>0</v>
          </cell>
          <cell r="J1013">
            <v>0</v>
          </cell>
          <cell r="K1013">
            <v>0</v>
          </cell>
          <cell r="L1013">
            <v>0</v>
          </cell>
          <cell r="M1013">
            <v>0</v>
          </cell>
          <cell r="N1013">
            <v>0</v>
          </cell>
          <cell r="O1013">
            <v>0</v>
          </cell>
          <cell r="P1013">
            <v>0</v>
          </cell>
          <cell r="Q1013">
            <v>0</v>
          </cell>
          <cell r="R1013">
            <v>0</v>
          </cell>
          <cell r="S1013">
            <v>0</v>
          </cell>
          <cell r="T1013">
            <v>0</v>
          </cell>
          <cell r="U1013">
            <v>0</v>
          </cell>
          <cell r="V1013">
            <v>0</v>
          </cell>
          <cell r="W1013">
            <v>0</v>
          </cell>
          <cell r="X1013">
            <v>0</v>
          </cell>
        </row>
        <row r="1014">
          <cell r="A1014">
            <v>7424</v>
          </cell>
          <cell r="B1014" t="str">
            <v>LAURA CORNEJO (TLAHUELILPAN)</v>
          </cell>
          <cell r="C1014">
            <v>0</v>
          </cell>
          <cell r="D1014">
            <v>0</v>
          </cell>
          <cell r="E1014" t="str">
            <v>TLAHUELILPAN, HGO.</v>
          </cell>
          <cell r="F1014">
            <v>0</v>
          </cell>
          <cell r="G1014">
            <v>0</v>
          </cell>
          <cell r="H1014">
            <v>0</v>
          </cell>
          <cell r="I1014">
            <v>0</v>
          </cell>
          <cell r="J1014">
            <v>0</v>
          </cell>
          <cell r="K1014">
            <v>0</v>
          </cell>
          <cell r="L1014">
            <v>0</v>
          </cell>
          <cell r="M1014">
            <v>0</v>
          </cell>
          <cell r="N1014">
            <v>0</v>
          </cell>
          <cell r="O1014">
            <v>0</v>
          </cell>
          <cell r="P1014">
            <v>0</v>
          </cell>
          <cell r="Q1014">
            <v>0</v>
          </cell>
          <cell r="R1014">
            <v>0</v>
          </cell>
          <cell r="S1014">
            <v>0</v>
          </cell>
          <cell r="T1014">
            <v>0</v>
          </cell>
          <cell r="U1014">
            <v>0</v>
          </cell>
          <cell r="V1014">
            <v>0</v>
          </cell>
          <cell r="W1014">
            <v>0</v>
          </cell>
          <cell r="X1014">
            <v>0</v>
          </cell>
        </row>
        <row r="1015">
          <cell r="A1015">
            <v>7425</v>
          </cell>
          <cell r="B1015" t="str">
            <v>PAPELERIA CRAYOLA (ACAMBARO)</v>
          </cell>
          <cell r="C1015">
            <v>0</v>
          </cell>
          <cell r="D1015">
            <v>0</v>
          </cell>
          <cell r="E1015" t="str">
            <v>ACAMBARO, GTO.</v>
          </cell>
          <cell r="F1015">
            <v>0</v>
          </cell>
          <cell r="G1015">
            <v>0</v>
          </cell>
          <cell r="H1015">
            <v>0</v>
          </cell>
          <cell r="I1015">
            <v>0</v>
          </cell>
          <cell r="J1015">
            <v>0</v>
          </cell>
          <cell r="K1015">
            <v>0</v>
          </cell>
          <cell r="L1015">
            <v>0</v>
          </cell>
          <cell r="M1015">
            <v>0</v>
          </cell>
          <cell r="N1015">
            <v>0</v>
          </cell>
          <cell r="O1015">
            <v>0</v>
          </cell>
          <cell r="P1015">
            <v>0</v>
          </cell>
          <cell r="Q1015">
            <v>0</v>
          </cell>
          <cell r="R1015">
            <v>0</v>
          </cell>
          <cell r="S1015">
            <v>0</v>
          </cell>
          <cell r="T1015">
            <v>0</v>
          </cell>
          <cell r="U1015">
            <v>0</v>
          </cell>
          <cell r="V1015">
            <v>0</v>
          </cell>
          <cell r="W1015">
            <v>0</v>
          </cell>
          <cell r="X1015">
            <v>0</v>
          </cell>
        </row>
        <row r="1016">
          <cell r="A1016">
            <v>7426</v>
          </cell>
          <cell r="B1016" t="str">
            <v>PAPELERIA DORITA (PROGRESO)</v>
          </cell>
          <cell r="C1016">
            <v>0</v>
          </cell>
          <cell r="D1016">
            <v>0</v>
          </cell>
          <cell r="E1016" t="str">
            <v>PROGRESO, HGO.</v>
          </cell>
          <cell r="F1016">
            <v>0</v>
          </cell>
          <cell r="G1016">
            <v>0</v>
          </cell>
          <cell r="H1016">
            <v>0</v>
          </cell>
          <cell r="I1016">
            <v>0</v>
          </cell>
          <cell r="J1016">
            <v>0</v>
          </cell>
          <cell r="K1016">
            <v>0</v>
          </cell>
          <cell r="L1016">
            <v>0</v>
          </cell>
          <cell r="M1016">
            <v>0</v>
          </cell>
          <cell r="N1016">
            <v>0</v>
          </cell>
          <cell r="O1016">
            <v>0</v>
          </cell>
          <cell r="P1016">
            <v>0</v>
          </cell>
          <cell r="Q1016">
            <v>0</v>
          </cell>
          <cell r="R1016">
            <v>0</v>
          </cell>
          <cell r="S1016">
            <v>0</v>
          </cell>
          <cell r="T1016">
            <v>0</v>
          </cell>
          <cell r="U1016">
            <v>0</v>
          </cell>
          <cell r="V1016">
            <v>0</v>
          </cell>
          <cell r="W1016">
            <v>0</v>
          </cell>
          <cell r="X1016">
            <v>0</v>
          </cell>
        </row>
        <row r="1017">
          <cell r="A1017">
            <v>7427</v>
          </cell>
          <cell r="B1017" t="str">
            <v>LETICIA GRANADOS (CORONEO)</v>
          </cell>
          <cell r="C1017">
            <v>0</v>
          </cell>
          <cell r="D1017">
            <v>0</v>
          </cell>
          <cell r="E1017" t="str">
            <v>CORONEO, GTO.</v>
          </cell>
          <cell r="F1017">
            <v>0</v>
          </cell>
          <cell r="G1017">
            <v>0</v>
          </cell>
          <cell r="H1017">
            <v>0</v>
          </cell>
          <cell r="I1017">
            <v>0</v>
          </cell>
          <cell r="J1017">
            <v>0</v>
          </cell>
          <cell r="K1017">
            <v>0</v>
          </cell>
          <cell r="L1017">
            <v>0</v>
          </cell>
          <cell r="M1017">
            <v>0</v>
          </cell>
          <cell r="N1017">
            <v>0</v>
          </cell>
          <cell r="O1017">
            <v>0</v>
          </cell>
          <cell r="P1017">
            <v>0</v>
          </cell>
          <cell r="Q1017">
            <v>0</v>
          </cell>
          <cell r="R1017">
            <v>0</v>
          </cell>
          <cell r="S1017">
            <v>0</v>
          </cell>
          <cell r="T1017">
            <v>0</v>
          </cell>
          <cell r="U1017">
            <v>0</v>
          </cell>
          <cell r="V1017">
            <v>0</v>
          </cell>
          <cell r="W1017">
            <v>0</v>
          </cell>
          <cell r="X1017">
            <v>0</v>
          </cell>
        </row>
        <row r="1018">
          <cell r="A1018">
            <v>7428</v>
          </cell>
          <cell r="B1018" t="str">
            <v>PEDRO AGUILAR (QUERETARO)</v>
          </cell>
          <cell r="C1018">
            <v>0</v>
          </cell>
          <cell r="D1018">
            <v>0</v>
          </cell>
          <cell r="E1018" t="str">
            <v>QUERETARO, QRO.</v>
          </cell>
          <cell r="F1018">
            <v>0</v>
          </cell>
          <cell r="G1018">
            <v>0</v>
          </cell>
          <cell r="H1018">
            <v>0</v>
          </cell>
          <cell r="I1018">
            <v>0</v>
          </cell>
          <cell r="J1018">
            <v>0</v>
          </cell>
          <cell r="K1018">
            <v>0</v>
          </cell>
          <cell r="L1018">
            <v>0</v>
          </cell>
          <cell r="M1018">
            <v>0</v>
          </cell>
          <cell r="N1018">
            <v>0</v>
          </cell>
          <cell r="O1018">
            <v>0</v>
          </cell>
          <cell r="P1018">
            <v>0</v>
          </cell>
          <cell r="Q1018">
            <v>0</v>
          </cell>
          <cell r="R1018">
            <v>0</v>
          </cell>
          <cell r="S1018">
            <v>0</v>
          </cell>
          <cell r="T1018">
            <v>0</v>
          </cell>
          <cell r="U1018">
            <v>0</v>
          </cell>
          <cell r="V1018">
            <v>0</v>
          </cell>
          <cell r="W1018">
            <v>0</v>
          </cell>
          <cell r="X1018">
            <v>0</v>
          </cell>
        </row>
        <row r="1019">
          <cell r="A1019">
            <v>7429</v>
          </cell>
          <cell r="B1019" t="str">
            <v>CARMEN NIETO (TEQUISQUIAPAN)</v>
          </cell>
          <cell r="C1019">
            <v>0</v>
          </cell>
          <cell r="D1019">
            <v>0</v>
          </cell>
          <cell r="E1019" t="str">
            <v>TEQUISQUIAPAN, QRO.</v>
          </cell>
          <cell r="F1019">
            <v>0</v>
          </cell>
          <cell r="G1019">
            <v>0</v>
          </cell>
          <cell r="H1019">
            <v>0</v>
          </cell>
          <cell r="I1019">
            <v>0</v>
          </cell>
          <cell r="J1019">
            <v>0</v>
          </cell>
          <cell r="K1019">
            <v>0</v>
          </cell>
          <cell r="L1019">
            <v>0</v>
          </cell>
          <cell r="M1019">
            <v>0</v>
          </cell>
          <cell r="N1019">
            <v>0</v>
          </cell>
          <cell r="O1019">
            <v>0</v>
          </cell>
          <cell r="P1019">
            <v>0</v>
          </cell>
          <cell r="Q1019">
            <v>0</v>
          </cell>
          <cell r="R1019">
            <v>0</v>
          </cell>
          <cell r="S1019">
            <v>0</v>
          </cell>
          <cell r="T1019">
            <v>0</v>
          </cell>
          <cell r="U1019">
            <v>0</v>
          </cell>
          <cell r="V1019">
            <v>0</v>
          </cell>
          <cell r="W1019">
            <v>0</v>
          </cell>
          <cell r="X1019">
            <v>0</v>
          </cell>
        </row>
        <row r="1020">
          <cell r="A1020">
            <v>7430</v>
          </cell>
          <cell r="B1020" t="str">
            <v>CARLOS SAUL MARES (SAN LUIS DE LA PAZ)</v>
          </cell>
          <cell r="C1020">
            <v>0</v>
          </cell>
          <cell r="D1020">
            <v>0</v>
          </cell>
          <cell r="E1020" t="str">
            <v>SAN LUIS DE LA PAZ, GTO.</v>
          </cell>
          <cell r="F1020">
            <v>0</v>
          </cell>
          <cell r="G1020">
            <v>0</v>
          </cell>
          <cell r="H1020">
            <v>0</v>
          </cell>
          <cell r="I1020">
            <v>0</v>
          </cell>
          <cell r="J1020">
            <v>0</v>
          </cell>
          <cell r="K1020">
            <v>0</v>
          </cell>
          <cell r="L1020">
            <v>0</v>
          </cell>
          <cell r="M1020">
            <v>0</v>
          </cell>
          <cell r="N1020">
            <v>0</v>
          </cell>
          <cell r="O1020">
            <v>0</v>
          </cell>
          <cell r="P1020">
            <v>0</v>
          </cell>
          <cell r="Q1020">
            <v>0</v>
          </cell>
          <cell r="R1020">
            <v>0</v>
          </cell>
          <cell r="S1020">
            <v>0</v>
          </cell>
          <cell r="T1020">
            <v>0</v>
          </cell>
          <cell r="U1020">
            <v>0</v>
          </cell>
          <cell r="V1020">
            <v>0</v>
          </cell>
          <cell r="W1020">
            <v>0</v>
          </cell>
          <cell r="X1020">
            <v>0</v>
          </cell>
        </row>
        <row r="1021">
          <cell r="A1021">
            <v>7431</v>
          </cell>
          <cell r="B1021" t="str">
            <v>MONICA LUCKIE (QUERETARO)</v>
          </cell>
          <cell r="C1021">
            <v>0</v>
          </cell>
          <cell r="D1021">
            <v>0</v>
          </cell>
          <cell r="E1021" t="str">
            <v>QUERETARO, QRO.</v>
          </cell>
          <cell r="F1021">
            <v>0</v>
          </cell>
          <cell r="G1021">
            <v>0</v>
          </cell>
          <cell r="H1021">
            <v>0</v>
          </cell>
          <cell r="I1021">
            <v>0</v>
          </cell>
          <cell r="J1021">
            <v>0</v>
          </cell>
          <cell r="K1021">
            <v>0</v>
          </cell>
          <cell r="L1021">
            <v>0</v>
          </cell>
          <cell r="M1021">
            <v>0</v>
          </cell>
          <cell r="N1021">
            <v>0</v>
          </cell>
          <cell r="O1021">
            <v>0</v>
          </cell>
          <cell r="P1021">
            <v>0</v>
          </cell>
          <cell r="Q1021">
            <v>0</v>
          </cell>
          <cell r="R1021">
            <v>0</v>
          </cell>
          <cell r="S1021">
            <v>0</v>
          </cell>
          <cell r="T1021">
            <v>0</v>
          </cell>
          <cell r="U1021">
            <v>0</v>
          </cell>
          <cell r="V1021">
            <v>0</v>
          </cell>
          <cell r="W1021">
            <v>0</v>
          </cell>
          <cell r="X1021">
            <v>0</v>
          </cell>
        </row>
        <row r="1022">
          <cell r="A1022">
            <v>7432</v>
          </cell>
          <cell r="B1022" t="str">
            <v>VICKY CRUZ (SAN JUAN)</v>
          </cell>
          <cell r="C1022">
            <v>0</v>
          </cell>
          <cell r="D1022">
            <v>0</v>
          </cell>
          <cell r="E1022" t="str">
            <v>SAN JUAN DEL RIO, QRO.</v>
          </cell>
          <cell r="F1022">
            <v>0</v>
          </cell>
          <cell r="G1022">
            <v>0</v>
          </cell>
          <cell r="H1022">
            <v>0</v>
          </cell>
          <cell r="I1022">
            <v>0</v>
          </cell>
          <cell r="J1022">
            <v>0</v>
          </cell>
          <cell r="K1022">
            <v>0</v>
          </cell>
          <cell r="L1022">
            <v>0</v>
          </cell>
          <cell r="M1022">
            <v>0</v>
          </cell>
          <cell r="N1022">
            <v>0</v>
          </cell>
          <cell r="O1022">
            <v>0</v>
          </cell>
          <cell r="P1022">
            <v>0</v>
          </cell>
          <cell r="Q1022">
            <v>0</v>
          </cell>
          <cell r="R1022">
            <v>0</v>
          </cell>
          <cell r="S1022">
            <v>0</v>
          </cell>
          <cell r="T1022">
            <v>0</v>
          </cell>
          <cell r="U1022">
            <v>0</v>
          </cell>
          <cell r="V1022">
            <v>0</v>
          </cell>
          <cell r="W1022">
            <v>0</v>
          </cell>
          <cell r="X1022">
            <v>0</v>
          </cell>
        </row>
        <row r="1023">
          <cell r="A1023">
            <v>7433</v>
          </cell>
          <cell r="B1023" t="str">
            <v>ADRIANA NOLASCO (AMEALCO)</v>
          </cell>
          <cell r="C1023">
            <v>0</v>
          </cell>
          <cell r="D1023">
            <v>0</v>
          </cell>
          <cell r="E1023" t="str">
            <v>AMEALCO, QRO.</v>
          </cell>
          <cell r="F1023">
            <v>0</v>
          </cell>
          <cell r="G1023">
            <v>0</v>
          </cell>
          <cell r="H1023">
            <v>0</v>
          </cell>
          <cell r="I1023">
            <v>0</v>
          </cell>
          <cell r="J1023">
            <v>0</v>
          </cell>
          <cell r="K1023">
            <v>0</v>
          </cell>
          <cell r="L1023">
            <v>0</v>
          </cell>
          <cell r="M1023">
            <v>0</v>
          </cell>
          <cell r="N1023">
            <v>0</v>
          </cell>
          <cell r="O1023">
            <v>0</v>
          </cell>
          <cell r="P1023">
            <v>0</v>
          </cell>
          <cell r="Q1023">
            <v>0</v>
          </cell>
          <cell r="R1023">
            <v>0</v>
          </cell>
          <cell r="S1023">
            <v>0</v>
          </cell>
          <cell r="T1023">
            <v>0</v>
          </cell>
          <cell r="U1023">
            <v>0</v>
          </cell>
          <cell r="V1023">
            <v>0</v>
          </cell>
          <cell r="W1023">
            <v>0</v>
          </cell>
          <cell r="X1023">
            <v>0</v>
          </cell>
        </row>
        <row r="1024">
          <cell r="A1024">
            <v>7434</v>
          </cell>
          <cell r="B1024" t="str">
            <v>ISELA MALDONADO (CADEREYTA)</v>
          </cell>
          <cell r="C1024">
            <v>0</v>
          </cell>
          <cell r="D1024">
            <v>0</v>
          </cell>
          <cell r="E1024" t="str">
            <v>CADEREYTA, QRO.</v>
          </cell>
          <cell r="F1024">
            <v>0</v>
          </cell>
          <cell r="G1024">
            <v>0</v>
          </cell>
          <cell r="H1024">
            <v>0</v>
          </cell>
          <cell r="I1024">
            <v>0</v>
          </cell>
          <cell r="J1024">
            <v>0</v>
          </cell>
          <cell r="K1024">
            <v>0</v>
          </cell>
          <cell r="L1024">
            <v>0</v>
          </cell>
          <cell r="M1024">
            <v>0</v>
          </cell>
          <cell r="N1024">
            <v>0</v>
          </cell>
          <cell r="O1024">
            <v>0</v>
          </cell>
          <cell r="P1024">
            <v>0</v>
          </cell>
          <cell r="Q1024">
            <v>0</v>
          </cell>
          <cell r="R1024">
            <v>0</v>
          </cell>
          <cell r="S1024">
            <v>0</v>
          </cell>
          <cell r="T1024">
            <v>0</v>
          </cell>
          <cell r="U1024">
            <v>0</v>
          </cell>
          <cell r="V1024">
            <v>0</v>
          </cell>
          <cell r="W1024">
            <v>0</v>
          </cell>
          <cell r="X1024">
            <v>0</v>
          </cell>
        </row>
        <row r="1025">
          <cell r="A1025">
            <v>7435</v>
          </cell>
          <cell r="B1025" t="str">
            <v>BALBI (TECOZAHUTLA)</v>
          </cell>
          <cell r="C1025">
            <v>0</v>
          </cell>
          <cell r="D1025" t="str">
            <v>PLAZA DE LA CONSTITUCION S/N</v>
          </cell>
          <cell r="E1025" t="str">
            <v>TECOZAHUTLA, HGO.</v>
          </cell>
          <cell r="F1025" t="str">
            <v/>
          </cell>
          <cell r="G1025" t="str">
            <v>(773) 121-9685 CEL</v>
          </cell>
          <cell r="H1025" t="str">
            <v>IRENE SANCHEZ S.</v>
          </cell>
          <cell r="I1025" t="str">
            <v>IRENE SANCHEZ S.</v>
          </cell>
          <cell r="J1025" t="str">
            <v>F02</v>
          </cell>
          <cell r="K1025" t="str">
            <v/>
          </cell>
          <cell r="L1025">
            <v>0</v>
          </cell>
          <cell r="M1025">
            <v>372</v>
          </cell>
          <cell r="N1025" t="str">
            <v>A</v>
          </cell>
          <cell r="O1025">
            <v>42490</v>
          </cell>
          <cell r="P1025" t="str">
            <v xml:space="preserve">    1</v>
          </cell>
          <cell r="Q1025">
            <v>0</v>
          </cell>
          <cell r="R1025">
            <v>0</v>
          </cell>
          <cell r="S1025">
            <v>0</v>
          </cell>
          <cell r="T1025">
            <v>791801</v>
          </cell>
          <cell r="U1025">
            <v>0</v>
          </cell>
          <cell r="V1025" t="str">
            <v>CENTRO</v>
          </cell>
          <cell r="W1025" t="str">
            <v>(773) 739-8721 CEL</v>
          </cell>
          <cell r="X1025" t="str">
            <v>(773) 122-0156 CEL</v>
          </cell>
          <cell r="Y1025" t="str">
            <v/>
          </cell>
          <cell r="Z1025" t="str">
            <v/>
          </cell>
          <cell r="AA1025" t="str">
            <v>(773) 121-9685 CEL</v>
          </cell>
          <cell r="AB1025" t="str">
            <v xml:space="preserve">     DESC</v>
          </cell>
          <cell r="AC1025" t="str">
            <v>F0341</v>
          </cell>
          <cell r="AD1025" t="str">
            <v/>
          </cell>
          <cell r="AE1025" t="str">
            <v/>
          </cell>
          <cell r="AF1025" t="str">
            <v/>
          </cell>
          <cell r="AG1025">
            <v>42399</v>
          </cell>
          <cell r="AH1025" t="str">
            <v>N</v>
          </cell>
          <cell r="AI1025">
            <v>0</v>
          </cell>
          <cell r="AJ1025">
            <v>0</v>
          </cell>
          <cell r="AK1025">
            <v>0</v>
          </cell>
          <cell r="AL1025">
            <v>656</v>
          </cell>
          <cell r="AM1025">
            <v>7015</v>
          </cell>
          <cell r="AN1025">
            <v>0</v>
          </cell>
        </row>
        <row r="1026">
          <cell r="A1026">
            <v>7436</v>
          </cell>
          <cell r="B1026" t="str">
            <v>REGALOS MARU (ZINAPECUARO)</v>
          </cell>
          <cell r="C1026">
            <v>0</v>
          </cell>
          <cell r="D1026">
            <v>0</v>
          </cell>
          <cell r="E1026" t="str">
            <v>ZINAPECUARO, MICH.</v>
          </cell>
          <cell r="F1026">
            <v>0</v>
          </cell>
          <cell r="G1026">
            <v>0</v>
          </cell>
          <cell r="H1026">
            <v>0</v>
          </cell>
          <cell r="I1026">
            <v>0</v>
          </cell>
          <cell r="J1026">
            <v>0</v>
          </cell>
          <cell r="K1026">
            <v>0</v>
          </cell>
          <cell r="L1026">
            <v>0</v>
          </cell>
          <cell r="M1026">
            <v>0</v>
          </cell>
          <cell r="N1026">
            <v>0</v>
          </cell>
          <cell r="O1026">
            <v>0</v>
          </cell>
          <cell r="P1026">
            <v>0</v>
          </cell>
          <cell r="Q1026">
            <v>0</v>
          </cell>
          <cell r="R1026">
            <v>0</v>
          </cell>
          <cell r="S1026">
            <v>0</v>
          </cell>
          <cell r="T1026">
            <v>0</v>
          </cell>
          <cell r="U1026">
            <v>0</v>
          </cell>
          <cell r="V1026">
            <v>0</v>
          </cell>
          <cell r="W1026">
            <v>0</v>
          </cell>
          <cell r="X1026">
            <v>0</v>
          </cell>
        </row>
        <row r="1027">
          <cell r="A1027">
            <v>7437</v>
          </cell>
          <cell r="B1027" t="str">
            <v>FARMACIA LA IDEAL / GRACIELA (ZINAPECUARO)</v>
          </cell>
          <cell r="C1027">
            <v>0</v>
          </cell>
          <cell r="D1027">
            <v>0</v>
          </cell>
          <cell r="E1027" t="str">
            <v>ZINAPECUARO, MICH.</v>
          </cell>
          <cell r="F1027">
            <v>0</v>
          </cell>
          <cell r="G1027">
            <v>0</v>
          </cell>
          <cell r="H1027">
            <v>0</v>
          </cell>
          <cell r="I1027">
            <v>0</v>
          </cell>
          <cell r="J1027">
            <v>0</v>
          </cell>
          <cell r="K1027">
            <v>0</v>
          </cell>
          <cell r="L1027">
            <v>0</v>
          </cell>
          <cell r="M1027">
            <v>0</v>
          </cell>
          <cell r="N1027">
            <v>0</v>
          </cell>
          <cell r="O1027">
            <v>0</v>
          </cell>
          <cell r="P1027">
            <v>0</v>
          </cell>
          <cell r="Q1027">
            <v>0</v>
          </cell>
          <cell r="R1027">
            <v>0</v>
          </cell>
          <cell r="S1027">
            <v>0</v>
          </cell>
          <cell r="T1027">
            <v>0</v>
          </cell>
          <cell r="U1027">
            <v>0</v>
          </cell>
          <cell r="V1027">
            <v>0</v>
          </cell>
          <cell r="W1027">
            <v>0</v>
          </cell>
          <cell r="X1027">
            <v>0</v>
          </cell>
        </row>
        <row r="1028">
          <cell r="A1028">
            <v>7438</v>
          </cell>
          <cell r="B1028" t="str">
            <v>ANGEL HERNANDEZ FLORES (TULA)</v>
          </cell>
          <cell r="C1028" t="str">
            <v>PAPELERIA ERICKA</v>
          </cell>
          <cell r="D1028" t="str">
            <v>QUETZALCOATL #401</v>
          </cell>
          <cell r="E1028" t="str">
            <v>TULA DE ALLENDE, HGO.</v>
          </cell>
          <cell r="F1028" t="str">
            <v>42800</v>
          </cell>
          <cell r="G1028" t="str">
            <v>(55) 4913-3937</v>
          </cell>
          <cell r="H1028">
            <v>0</v>
          </cell>
          <cell r="I1028">
            <v>0</v>
          </cell>
          <cell r="J1028">
            <v>0</v>
          </cell>
          <cell r="K1028">
            <v>0</v>
          </cell>
          <cell r="L1028">
            <v>0</v>
          </cell>
          <cell r="M1028">
            <v>0</v>
          </cell>
          <cell r="N1028">
            <v>0</v>
          </cell>
          <cell r="O1028">
            <v>0</v>
          </cell>
          <cell r="P1028">
            <v>0</v>
          </cell>
          <cell r="Q1028">
            <v>0</v>
          </cell>
          <cell r="R1028">
            <v>0</v>
          </cell>
          <cell r="S1028">
            <v>0</v>
          </cell>
          <cell r="T1028">
            <v>0</v>
          </cell>
          <cell r="U1028">
            <v>0</v>
          </cell>
          <cell r="V1028" t="str">
            <v>CENTRO</v>
          </cell>
          <cell r="W1028">
            <v>0</v>
          </cell>
          <cell r="X1028">
            <v>0</v>
          </cell>
        </row>
        <row r="1029">
          <cell r="A1029">
            <v>7439</v>
          </cell>
          <cell r="B1029" t="str">
            <v>ANA EDITH GARCIA MEJIA (E. MONTES)</v>
          </cell>
          <cell r="C1029" t="str">
            <v>SOBRINA SR. GUSTAVO</v>
          </cell>
          <cell r="D1029" t="str">
            <v>LERDO DE TEJADA #8</v>
          </cell>
          <cell r="E1029" t="str">
            <v>EZEQUIEL MONTES, QRO.</v>
          </cell>
          <cell r="F1029">
            <v>0</v>
          </cell>
          <cell r="G1029">
            <v>0</v>
          </cell>
          <cell r="H1029">
            <v>0</v>
          </cell>
          <cell r="I1029">
            <v>0</v>
          </cell>
          <cell r="J1029">
            <v>0</v>
          </cell>
          <cell r="K1029">
            <v>0</v>
          </cell>
          <cell r="L1029">
            <v>0</v>
          </cell>
          <cell r="M1029">
            <v>0</v>
          </cell>
          <cell r="N1029">
            <v>0</v>
          </cell>
          <cell r="O1029">
            <v>0</v>
          </cell>
          <cell r="P1029">
            <v>0</v>
          </cell>
          <cell r="Q1029">
            <v>0</v>
          </cell>
          <cell r="R1029">
            <v>0</v>
          </cell>
          <cell r="S1029">
            <v>0</v>
          </cell>
          <cell r="T1029">
            <v>0</v>
          </cell>
          <cell r="U1029">
            <v>0</v>
          </cell>
          <cell r="V1029" t="str">
            <v>VILLA PROGRESO</v>
          </cell>
          <cell r="W1029">
            <v>0</v>
          </cell>
          <cell r="X1029">
            <v>0</v>
          </cell>
        </row>
        <row r="1030">
          <cell r="A1030">
            <v>7440</v>
          </cell>
          <cell r="B1030" t="str">
            <v>GUILLERMINA ZUÑIGA (PROGRESO)</v>
          </cell>
          <cell r="C1030">
            <v>0</v>
          </cell>
          <cell r="D1030">
            <v>0</v>
          </cell>
          <cell r="E1030" t="str">
            <v>PROGRESO, HGO.</v>
          </cell>
          <cell r="F1030">
            <v>0</v>
          </cell>
          <cell r="G1030">
            <v>0</v>
          </cell>
          <cell r="H1030">
            <v>0</v>
          </cell>
          <cell r="I1030">
            <v>0</v>
          </cell>
          <cell r="J1030">
            <v>0</v>
          </cell>
          <cell r="K1030">
            <v>0</v>
          </cell>
          <cell r="L1030">
            <v>0</v>
          </cell>
          <cell r="M1030">
            <v>0</v>
          </cell>
          <cell r="N1030">
            <v>0</v>
          </cell>
          <cell r="O1030">
            <v>0</v>
          </cell>
          <cell r="P1030">
            <v>0</v>
          </cell>
          <cell r="Q1030">
            <v>0</v>
          </cell>
          <cell r="R1030">
            <v>0</v>
          </cell>
          <cell r="S1030">
            <v>0</v>
          </cell>
          <cell r="T1030">
            <v>0</v>
          </cell>
          <cell r="U1030">
            <v>0</v>
          </cell>
          <cell r="V1030">
            <v>0</v>
          </cell>
          <cell r="W1030">
            <v>0</v>
          </cell>
          <cell r="X1030">
            <v>0</v>
          </cell>
        </row>
        <row r="1031">
          <cell r="A1031">
            <v>7441</v>
          </cell>
          <cell r="B1031" t="str">
            <v>ANA MARIA DAVILA M. (NOPALA)</v>
          </cell>
          <cell r="C1031">
            <v>0</v>
          </cell>
          <cell r="D1031">
            <v>0</v>
          </cell>
          <cell r="E1031" t="str">
            <v>NOPALA DE VILLAGRAN, HGO.</v>
          </cell>
          <cell r="F1031">
            <v>0</v>
          </cell>
          <cell r="G1031">
            <v>0</v>
          </cell>
          <cell r="H1031">
            <v>0</v>
          </cell>
          <cell r="I1031">
            <v>0</v>
          </cell>
          <cell r="J1031">
            <v>0</v>
          </cell>
          <cell r="K1031">
            <v>0</v>
          </cell>
          <cell r="L1031">
            <v>0</v>
          </cell>
          <cell r="M1031">
            <v>0</v>
          </cell>
          <cell r="N1031">
            <v>0</v>
          </cell>
          <cell r="O1031">
            <v>0</v>
          </cell>
          <cell r="P1031">
            <v>0</v>
          </cell>
          <cell r="Q1031">
            <v>0</v>
          </cell>
          <cell r="R1031">
            <v>0</v>
          </cell>
          <cell r="S1031">
            <v>0</v>
          </cell>
          <cell r="T1031">
            <v>0</v>
          </cell>
          <cell r="U1031">
            <v>0</v>
          </cell>
          <cell r="V1031">
            <v>0</v>
          </cell>
          <cell r="W1031">
            <v>0</v>
          </cell>
          <cell r="X1031">
            <v>0</v>
          </cell>
        </row>
        <row r="1032">
          <cell r="A1032">
            <v>7442</v>
          </cell>
          <cell r="B1032" t="str">
            <v>MARIA INES (TLAHUELILPAN)</v>
          </cell>
          <cell r="C1032">
            <v>0</v>
          </cell>
          <cell r="D1032">
            <v>0</v>
          </cell>
          <cell r="E1032" t="str">
            <v>TLAHUELILPAN, HGO.</v>
          </cell>
          <cell r="F1032">
            <v>0</v>
          </cell>
          <cell r="G1032">
            <v>0</v>
          </cell>
          <cell r="H1032">
            <v>0</v>
          </cell>
          <cell r="I1032">
            <v>0</v>
          </cell>
          <cell r="J1032">
            <v>0</v>
          </cell>
          <cell r="K1032">
            <v>0</v>
          </cell>
          <cell r="L1032">
            <v>0</v>
          </cell>
          <cell r="M1032">
            <v>0</v>
          </cell>
          <cell r="N1032">
            <v>0</v>
          </cell>
          <cell r="O1032">
            <v>0</v>
          </cell>
          <cell r="P1032">
            <v>0</v>
          </cell>
          <cell r="Q1032">
            <v>0</v>
          </cell>
          <cell r="R1032">
            <v>0</v>
          </cell>
          <cell r="S1032">
            <v>0</v>
          </cell>
          <cell r="T1032">
            <v>0</v>
          </cell>
          <cell r="U1032">
            <v>0</v>
          </cell>
          <cell r="V1032">
            <v>0</v>
          </cell>
          <cell r="W1032">
            <v>0</v>
          </cell>
          <cell r="X1032">
            <v>0</v>
          </cell>
        </row>
        <row r="1033">
          <cell r="A1033">
            <v>7443</v>
          </cell>
          <cell r="B1033" t="str">
            <v>PEEKABOO (QUERETARO)</v>
          </cell>
          <cell r="C1033">
            <v>0</v>
          </cell>
          <cell r="D1033">
            <v>0</v>
          </cell>
          <cell r="E1033" t="str">
            <v>QUERETARO, QRO.</v>
          </cell>
          <cell r="F1033">
            <v>0</v>
          </cell>
          <cell r="G1033">
            <v>0</v>
          </cell>
          <cell r="H1033">
            <v>0</v>
          </cell>
          <cell r="I1033">
            <v>0</v>
          </cell>
          <cell r="J1033">
            <v>0</v>
          </cell>
          <cell r="K1033">
            <v>0</v>
          </cell>
          <cell r="L1033">
            <v>0</v>
          </cell>
          <cell r="M1033">
            <v>0</v>
          </cell>
          <cell r="N1033">
            <v>0</v>
          </cell>
          <cell r="O1033">
            <v>0</v>
          </cell>
          <cell r="P1033">
            <v>0</v>
          </cell>
          <cell r="Q1033">
            <v>0</v>
          </cell>
          <cell r="R1033">
            <v>0</v>
          </cell>
          <cell r="S1033">
            <v>0</v>
          </cell>
          <cell r="T1033">
            <v>0</v>
          </cell>
          <cell r="U1033">
            <v>0</v>
          </cell>
          <cell r="V1033">
            <v>0</v>
          </cell>
          <cell r="W1033">
            <v>0</v>
          </cell>
          <cell r="X1033">
            <v>0</v>
          </cell>
        </row>
        <row r="1034">
          <cell r="A1034">
            <v>7444</v>
          </cell>
          <cell r="B1034" t="str">
            <v>PAPELERIA PAPELIN (NOPALA)</v>
          </cell>
          <cell r="C1034">
            <v>0</v>
          </cell>
          <cell r="D1034">
            <v>0</v>
          </cell>
          <cell r="E1034" t="str">
            <v>NOPALA DE VILLAGRAN, HGO.</v>
          </cell>
          <cell r="F1034">
            <v>0</v>
          </cell>
          <cell r="G1034">
            <v>0</v>
          </cell>
          <cell r="H1034">
            <v>0</v>
          </cell>
          <cell r="I1034">
            <v>0</v>
          </cell>
          <cell r="J1034">
            <v>0</v>
          </cell>
          <cell r="K1034">
            <v>0</v>
          </cell>
          <cell r="L1034">
            <v>0</v>
          </cell>
          <cell r="M1034">
            <v>0</v>
          </cell>
          <cell r="N1034">
            <v>0</v>
          </cell>
          <cell r="O1034">
            <v>0</v>
          </cell>
          <cell r="P1034">
            <v>0</v>
          </cell>
          <cell r="Q1034">
            <v>0</v>
          </cell>
          <cell r="R1034">
            <v>0</v>
          </cell>
          <cell r="S1034">
            <v>0</v>
          </cell>
          <cell r="T1034">
            <v>0</v>
          </cell>
          <cell r="U1034">
            <v>0</v>
          </cell>
          <cell r="V1034">
            <v>0</v>
          </cell>
          <cell r="W1034">
            <v>0</v>
          </cell>
          <cell r="X1034">
            <v>0</v>
          </cell>
        </row>
        <row r="1035">
          <cell r="A1035">
            <v>7445</v>
          </cell>
          <cell r="B1035" t="str">
            <v>JESSENIA NAJERA (HUICHAPAN)</v>
          </cell>
          <cell r="C1035">
            <v>0</v>
          </cell>
          <cell r="D1035">
            <v>0</v>
          </cell>
          <cell r="E1035" t="str">
            <v>HUICHAPAN, HGO.</v>
          </cell>
          <cell r="F1035">
            <v>0</v>
          </cell>
          <cell r="G1035">
            <v>0</v>
          </cell>
          <cell r="H1035">
            <v>0</v>
          </cell>
          <cell r="I1035">
            <v>0</v>
          </cell>
          <cell r="J1035">
            <v>0</v>
          </cell>
          <cell r="K1035">
            <v>0</v>
          </cell>
          <cell r="L1035">
            <v>0</v>
          </cell>
          <cell r="M1035">
            <v>0</v>
          </cell>
          <cell r="N1035">
            <v>0</v>
          </cell>
          <cell r="O1035">
            <v>0</v>
          </cell>
          <cell r="P1035">
            <v>0</v>
          </cell>
          <cell r="Q1035">
            <v>0</v>
          </cell>
          <cell r="R1035">
            <v>0</v>
          </cell>
          <cell r="S1035">
            <v>0</v>
          </cell>
          <cell r="T1035">
            <v>0</v>
          </cell>
          <cell r="U1035">
            <v>0</v>
          </cell>
          <cell r="V1035">
            <v>0</v>
          </cell>
          <cell r="W1035">
            <v>0</v>
          </cell>
          <cell r="X1035">
            <v>0</v>
          </cell>
        </row>
        <row r="1036">
          <cell r="A1036">
            <v>7446</v>
          </cell>
          <cell r="B1036" t="str">
            <v>NAYELI MENDOZA (CORONEO)</v>
          </cell>
          <cell r="C1036">
            <v>0</v>
          </cell>
          <cell r="D1036">
            <v>0</v>
          </cell>
          <cell r="E1036" t="str">
            <v>CORONEO, GTO.</v>
          </cell>
          <cell r="F1036">
            <v>0</v>
          </cell>
          <cell r="G1036">
            <v>0</v>
          </cell>
          <cell r="H1036">
            <v>0</v>
          </cell>
          <cell r="I1036">
            <v>0</v>
          </cell>
          <cell r="J1036">
            <v>0</v>
          </cell>
          <cell r="K1036">
            <v>0</v>
          </cell>
          <cell r="L1036">
            <v>0</v>
          </cell>
          <cell r="M1036">
            <v>0</v>
          </cell>
          <cell r="N1036">
            <v>0</v>
          </cell>
          <cell r="O1036">
            <v>0</v>
          </cell>
          <cell r="P1036">
            <v>0</v>
          </cell>
          <cell r="Q1036">
            <v>0</v>
          </cell>
          <cell r="R1036">
            <v>0</v>
          </cell>
          <cell r="S1036">
            <v>0</v>
          </cell>
          <cell r="T1036">
            <v>0</v>
          </cell>
          <cell r="U1036">
            <v>0</v>
          </cell>
          <cell r="V1036">
            <v>0</v>
          </cell>
          <cell r="W1036">
            <v>0</v>
          </cell>
          <cell r="X1036">
            <v>0</v>
          </cell>
        </row>
        <row r="1037">
          <cell r="A1037">
            <v>7447</v>
          </cell>
          <cell r="B1037" t="str">
            <v>GRISELDA ARACELI AGUILAR FUENTES (QUERETARO)</v>
          </cell>
          <cell r="C1037" t="str">
            <v>AUFG6410204A6</v>
          </cell>
          <cell r="D1037" t="str">
            <v>FRAY LUIS DE LEON #7 EXT. 7071</v>
          </cell>
          <cell r="E1037" t="str">
            <v>QUERETARO, QRO.</v>
          </cell>
          <cell r="F1037" t="str">
            <v>76090</v>
          </cell>
          <cell r="G1037">
            <v>0</v>
          </cell>
          <cell r="H1037">
            <v>0</v>
          </cell>
          <cell r="I1037">
            <v>0</v>
          </cell>
          <cell r="J1037">
            <v>0</v>
          </cell>
          <cell r="K1037">
            <v>0</v>
          </cell>
          <cell r="L1037">
            <v>0</v>
          </cell>
          <cell r="M1037">
            <v>0</v>
          </cell>
          <cell r="N1037">
            <v>0</v>
          </cell>
          <cell r="O1037">
            <v>0</v>
          </cell>
          <cell r="P1037">
            <v>0</v>
          </cell>
          <cell r="Q1037">
            <v>0</v>
          </cell>
          <cell r="R1037">
            <v>0</v>
          </cell>
          <cell r="S1037">
            <v>0</v>
          </cell>
          <cell r="T1037">
            <v>0</v>
          </cell>
          <cell r="U1037">
            <v>0</v>
          </cell>
          <cell r="V1037" t="str">
            <v>CENTRO SUR</v>
          </cell>
          <cell r="W1037">
            <v>0</v>
          </cell>
          <cell r="X1037" t="str">
            <v>PAULINA "EASY PARTY"</v>
          </cell>
        </row>
        <row r="1038">
          <cell r="A1038">
            <v>7448</v>
          </cell>
          <cell r="B1038" t="str">
            <v>MARIA PEREZ HERNANDEZ (EPITACIO HUERTA)</v>
          </cell>
          <cell r="C1038">
            <v>0</v>
          </cell>
          <cell r="D1038">
            <v>0</v>
          </cell>
          <cell r="E1038" t="str">
            <v>EPITACIO HUERTA, MICH.</v>
          </cell>
          <cell r="F1038">
            <v>0</v>
          </cell>
          <cell r="G1038">
            <v>0</v>
          </cell>
          <cell r="H1038">
            <v>0</v>
          </cell>
          <cell r="I1038">
            <v>0</v>
          </cell>
          <cell r="J1038">
            <v>0</v>
          </cell>
          <cell r="K1038">
            <v>0</v>
          </cell>
          <cell r="L1038">
            <v>0</v>
          </cell>
          <cell r="M1038">
            <v>0</v>
          </cell>
          <cell r="N1038">
            <v>0</v>
          </cell>
          <cell r="O1038">
            <v>0</v>
          </cell>
          <cell r="P1038">
            <v>0</v>
          </cell>
          <cell r="Q1038">
            <v>0</v>
          </cell>
          <cell r="R1038">
            <v>0</v>
          </cell>
          <cell r="S1038">
            <v>0</v>
          </cell>
          <cell r="T1038">
            <v>0</v>
          </cell>
          <cell r="U1038">
            <v>0</v>
          </cell>
          <cell r="V1038">
            <v>0</v>
          </cell>
          <cell r="W1038">
            <v>0</v>
          </cell>
          <cell r="X1038">
            <v>0</v>
          </cell>
        </row>
        <row r="1039">
          <cell r="A1039">
            <v>7449</v>
          </cell>
          <cell r="B1039" t="str">
            <v xml:space="preserve">MAGDALENA ZUÑIGA (TEPEJI) </v>
          </cell>
          <cell r="C1039">
            <v>0</v>
          </cell>
          <cell r="D1039">
            <v>0</v>
          </cell>
          <cell r="E1039" t="str">
            <v>TEPEJI DEL RIO, HGO.</v>
          </cell>
          <cell r="F1039">
            <v>0</v>
          </cell>
          <cell r="G1039">
            <v>0</v>
          </cell>
          <cell r="H1039">
            <v>0</v>
          </cell>
          <cell r="I1039">
            <v>0</v>
          </cell>
          <cell r="J1039">
            <v>0</v>
          </cell>
          <cell r="K1039">
            <v>0</v>
          </cell>
          <cell r="L1039">
            <v>0</v>
          </cell>
          <cell r="M1039">
            <v>0</v>
          </cell>
          <cell r="N1039">
            <v>0</v>
          </cell>
          <cell r="O1039">
            <v>0</v>
          </cell>
          <cell r="P1039">
            <v>0</v>
          </cell>
          <cell r="Q1039">
            <v>0</v>
          </cell>
          <cell r="R1039">
            <v>0</v>
          </cell>
          <cell r="S1039">
            <v>0</v>
          </cell>
          <cell r="T1039">
            <v>0</v>
          </cell>
          <cell r="U1039">
            <v>0</v>
          </cell>
          <cell r="V1039">
            <v>0</v>
          </cell>
          <cell r="W1039">
            <v>0</v>
          </cell>
          <cell r="X1039">
            <v>0</v>
          </cell>
        </row>
        <row r="1040">
          <cell r="A1040">
            <v>7450</v>
          </cell>
          <cell r="B1040" t="str">
            <v>REGALOS CHUY (AMEALCO)</v>
          </cell>
          <cell r="C1040">
            <v>0</v>
          </cell>
          <cell r="D1040">
            <v>0</v>
          </cell>
          <cell r="E1040" t="str">
            <v>AMEALCO, QRO.</v>
          </cell>
          <cell r="F1040">
            <v>0</v>
          </cell>
          <cell r="G1040">
            <v>0</v>
          </cell>
          <cell r="H1040">
            <v>0</v>
          </cell>
          <cell r="I1040">
            <v>0</v>
          </cell>
          <cell r="J1040">
            <v>0</v>
          </cell>
          <cell r="K1040">
            <v>0</v>
          </cell>
          <cell r="L1040">
            <v>0</v>
          </cell>
          <cell r="M1040">
            <v>0</v>
          </cell>
          <cell r="N1040">
            <v>0</v>
          </cell>
          <cell r="O1040">
            <v>0</v>
          </cell>
          <cell r="P1040">
            <v>0</v>
          </cell>
          <cell r="Q1040">
            <v>0</v>
          </cell>
          <cell r="R1040">
            <v>0</v>
          </cell>
          <cell r="S1040">
            <v>0</v>
          </cell>
          <cell r="T1040">
            <v>0</v>
          </cell>
          <cell r="U1040">
            <v>0</v>
          </cell>
          <cell r="V1040">
            <v>0</v>
          </cell>
          <cell r="W1040">
            <v>0</v>
          </cell>
          <cell r="X1040">
            <v>0</v>
          </cell>
        </row>
        <row r="1041">
          <cell r="A1041">
            <v>7451</v>
          </cell>
          <cell r="B1041" t="str">
            <v>PAPELERIA REYNA (JILOTEPEC)</v>
          </cell>
          <cell r="C1041">
            <v>0</v>
          </cell>
          <cell r="D1041">
            <v>0</v>
          </cell>
          <cell r="E1041" t="str">
            <v>JILOTEPEC, EDO. DE MEXICO</v>
          </cell>
          <cell r="F1041">
            <v>0</v>
          </cell>
          <cell r="G1041">
            <v>0</v>
          </cell>
          <cell r="H1041">
            <v>0</v>
          </cell>
          <cell r="I1041">
            <v>0</v>
          </cell>
          <cell r="J1041">
            <v>0</v>
          </cell>
          <cell r="K1041">
            <v>0</v>
          </cell>
          <cell r="L1041">
            <v>0</v>
          </cell>
          <cell r="M1041">
            <v>0</v>
          </cell>
          <cell r="N1041">
            <v>0</v>
          </cell>
          <cell r="O1041">
            <v>0</v>
          </cell>
          <cell r="P1041">
            <v>0</v>
          </cell>
          <cell r="Q1041">
            <v>0</v>
          </cell>
          <cell r="R1041">
            <v>0</v>
          </cell>
          <cell r="S1041">
            <v>0</v>
          </cell>
          <cell r="T1041">
            <v>0</v>
          </cell>
          <cell r="U1041">
            <v>0</v>
          </cell>
          <cell r="V1041">
            <v>0</v>
          </cell>
          <cell r="W1041">
            <v>0</v>
          </cell>
          <cell r="X1041">
            <v>0</v>
          </cell>
        </row>
        <row r="1042">
          <cell r="A1042">
            <v>7452</v>
          </cell>
          <cell r="B1042" t="str">
            <v>REGALOS GIO (A. EL GRANDE)</v>
          </cell>
          <cell r="C1042">
            <v>0</v>
          </cell>
          <cell r="D1042">
            <v>0</v>
          </cell>
          <cell r="E1042" t="str">
            <v xml:space="preserve">APASEO EL GRANDE, GTO.        </v>
          </cell>
          <cell r="F1042">
            <v>0</v>
          </cell>
          <cell r="G1042">
            <v>0</v>
          </cell>
          <cell r="H1042">
            <v>0</v>
          </cell>
          <cell r="I1042">
            <v>0</v>
          </cell>
          <cell r="J1042">
            <v>0</v>
          </cell>
          <cell r="K1042">
            <v>0</v>
          </cell>
          <cell r="L1042">
            <v>0</v>
          </cell>
          <cell r="M1042">
            <v>0</v>
          </cell>
          <cell r="N1042">
            <v>0</v>
          </cell>
          <cell r="O1042">
            <v>0</v>
          </cell>
          <cell r="P1042">
            <v>0</v>
          </cell>
          <cell r="Q1042">
            <v>0</v>
          </cell>
          <cell r="R1042">
            <v>0</v>
          </cell>
          <cell r="S1042">
            <v>0</v>
          </cell>
          <cell r="T1042">
            <v>0</v>
          </cell>
          <cell r="U1042">
            <v>0</v>
          </cell>
          <cell r="V1042">
            <v>0</v>
          </cell>
          <cell r="W1042">
            <v>0</v>
          </cell>
          <cell r="X1042">
            <v>0</v>
          </cell>
        </row>
        <row r="1043">
          <cell r="A1043">
            <v>7453</v>
          </cell>
          <cell r="B1043" t="str">
            <v>DENISSE GIL VALENCIA (ACAMBAY)</v>
          </cell>
          <cell r="C1043">
            <v>0</v>
          </cell>
          <cell r="D1043">
            <v>0</v>
          </cell>
          <cell r="E1043" t="str">
            <v>ACAMBAY, EDO. DE MEXICO</v>
          </cell>
          <cell r="F1043">
            <v>0</v>
          </cell>
          <cell r="G1043">
            <v>0</v>
          </cell>
          <cell r="H1043">
            <v>0</v>
          </cell>
          <cell r="I1043">
            <v>0</v>
          </cell>
          <cell r="J1043">
            <v>0</v>
          </cell>
          <cell r="K1043">
            <v>0</v>
          </cell>
          <cell r="L1043">
            <v>0</v>
          </cell>
          <cell r="M1043">
            <v>0</v>
          </cell>
          <cell r="N1043">
            <v>0</v>
          </cell>
          <cell r="O1043">
            <v>0</v>
          </cell>
          <cell r="P1043">
            <v>0</v>
          </cell>
          <cell r="Q1043">
            <v>0</v>
          </cell>
          <cell r="R1043">
            <v>0</v>
          </cell>
          <cell r="S1043">
            <v>0</v>
          </cell>
          <cell r="T1043">
            <v>0</v>
          </cell>
          <cell r="U1043">
            <v>0</v>
          </cell>
          <cell r="V1043">
            <v>0</v>
          </cell>
          <cell r="W1043">
            <v>0</v>
          </cell>
          <cell r="X1043">
            <v>0</v>
          </cell>
        </row>
        <row r="1044">
          <cell r="A1044">
            <v>7454</v>
          </cell>
          <cell r="B1044" t="str">
            <v>ROSA ISELA (TARANDA)</v>
          </cell>
          <cell r="C1044">
            <v>0</v>
          </cell>
          <cell r="D1044">
            <v>0</v>
          </cell>
          <cell r="E1044" t="str">
            <v>TARANDACUAO, GTO.</v>
          </cell>
          <cell r="F1044">
            <v>0</v>
          </cell>
          <cell r="G1044">
            <v>0</v>
          </cell>
          <cell r="H1044">
            <v>0</v>
          </cell>
          <cell r="I1044">
            <v>0</v>
          </cell>
          <cell r="J1044">
            <v>0</v>
          </cell>
          <cell r="K1044">
            <v>0</v>
          </cell>
          <cell r="L1044">
            <v>0</v>
          </cell>
          <cell r="M1044">
            <v>0</v>
          </cell>
          <cell r="N1044">
            <v>0</v>
          </cell>
          <cell r="O1044">
            <v>0</v>
          </cell>
          <cell r="P1044">
            <v>0</v>
          </cell>
          <cell r="Q1044">
            <v>0</v>
          </cell>
          <cell r="R1044">
            <v>0</v>
          </cell>
          <cell r="S1044">
            <v>0</v>
          </cell>
          <cell r="T1044">
            <v>0</v>
          </cell>
          <cell r="U1044">
            <v>0</v>
          </cell>
          <cell r="V1044">
            <v>0</v>
          </cell>
          <cell r="W1044">
            <v>0</v>
          </cell>
          <cell r="X1044">
            <v>0</v>
          </cell>
        </row>
        <row r="1045">
          <cell r="A1045">
            <v>7455</v>
          </cell>
          <cell r="B1045" t="str">
            <v>MARIA GASCA (VILLAGRAN)</v>
          </cell>
          <cell r="C1045">
            <v>0</v>
          </cell>
          <cell r="D1045">
            <v>0</v>
          </cell>
          <cell r="E1045" t="str">
            <v>VILLAGRAN, GTO.</v>
          </cell>
          <cell r="F1045">
            <v>0</v>
          </cell>
          <cell r="G1045">
            <v>0</v>
          </cell>
          <cell r="H1045">
            <v>0</v>
          </cell>
          <cell r="I1045">
            <v>0</v>
          </cell>
          <cell r="J1045">
            <v>0</v>
          </cell>
          <cell r="K1045">
            <v>0</v>
          </cell>
          <cell r="L1045">
            <v>0</v>
          </cell>
          <cell r="M1045">
            <v>0</v>
          </cell>
          <cell r="N1045">
            <v>0</v>
          </cell>
          <cell r="O1045">
            <v>0</v>
          </cell>
          <cell r="P1045">
            <v>0</v>
          </cell>
          <cell r="Q1045">
            <v>0</v>
          </cell>
          <cell r="R1045">
            <v>0</v>
          </cell>
          <cell r="S1045">
            <v>0</v>
          </cell>
          <cell r="T1045">
            <v>0</v>
          </cell>
          <cell r="U1045">
            <v>0</v>
          </cell>
          <cell r="V1045">
            <v>0</v>
          </cell>
          <cell r="W1045">
            <v>0</v>
          </cell>
          <cell r="X1045">
            <v>0</v>
          </cell>
        </row>
        <row r="1046">
          <cell r="A1046">
            <v>7456</v>
          </cell>
          <cell r="B1046" t="str">
            <v>MIJHO CHOCOLATES (SAN JOSE ITURBIDE)</v>
          </cell>
          <cell r="C1046">
            <v>0</v>
          </cell>
          <cell r="D1046">
            <v>0</v>
          </cell>
          <cell r="E1046" t="str">
            <v>SAN JOSE ITURBIDE, GTO.</v>
          </cell>
          <cell r="F1046">
            <v>0</v>
          </cell>
          <cell r="G1046">
            <v>0</v>
          </cell>
          <cell r="H1046">
            <v>0</v>
          </cell>
          <cell r="I1046">
            <v>0</v>
          </cell>
          <cell r="J1046">
            <v>0</v>
          </cell>
          <cell r="K1046">
            <v>0</v>
          </cell>
          <cell r="L1046">
            <v>0</v>
          </cell>
          <cell r="M1046">
            <v>0</v>
          </cell>
          <cell r="N1046">
            <v>0</v>
          </cell>
          <cell r="O1046">
            <v>0</v>
          </cell>
          <cell r="P1046">
            <v>0</v>
          </cell>
          <cell r="Q1046">
            <v>0</v>
          </cell>
          <cell r="R1046">
            <v>0</v>
          </cell>
          <cell r="S1046">
            <v>0</v>
          </cell>
          <cell r="T1046">
            <v>0</v>
          </cell>
          <cell r="U1046">
            <v>0</v>
          </cell>
          <cell r="V1046">
            <v>0</v>
          </cell>
          <cell r="W1046">
            <v>0</v>
          </cell>
          <cell r="X1046">
            <v>0</v>
          </cell>
        </row>
        <row r="1047">
          <cell r="A1047">
            <v>7457</v>
          </cell>
          <cell r="B1047" t="str">
            <v>ANDREA "GLOBO ROSA" (QUERETARO)</v>
          </cell>
          <cell r="C1047">
            <v>0</v>
          </cell>
          <cell r="D1047">
            <v>0</v>
          </cell>
          <cell r="E1047" t="str">
            <v>QUERETARO, QRO.</v>
          </cell>
          <cell r="F1047">
            <v>0</v>
          </cell>
          <cell r="G1047">
            <v>0</v>
          </cell>
          <cell r="H1047">
            <v>0</v>
          </cell>
          <cell r="I1047">
            <v>0</v>
          </cell>
          <cell r="J1047">
            <v>0</v>
          </cell>
          <cell r="K1047">
            <v>0</v>
          </cell>
          <cell r="L1047">
            <v>0</v>
          </cell>
          <cell r="M1047">
            <v>0</v>
          </cell>
          <cell r="N1047">
            <v>0</v>
          </cell>
          <cell r="O1047">
            <v>0</v>
          </cell>
          <cell r="P1047">
            <v>0</v>
          </cell>
          <cell r="Q1047">
            <v>0</v>
          </cell>
          <cell r="R1047">
            <v>0</v>
          </cell>
          <cell r="S1047">
            <v>0</v>
          </cell>
          <cell r="T1047">
            <v>0</v>
          </cell>
          <cell r="U1047">
            <v>0</v>
          </cell>
          <cell r="V1047">
            <v>0</v>
          </cell>
          <cell r="W1047">
            <v>0</v>
          </cell>
          <cell r="X1047">
            <v>0</v>
          </cell>
        </row>
        <row r="1048">
          <cell r="A1048">
            <v>7458</v>
          </cell>
          <cell r="B1048" t="str">
            <v>ARCELIA TORRES "EL DULCECITO" (QUERETARO)</v>
          </cell>
          <cell r="C1048">
            <v>0</v>
          </cell>
          <cell r="D1048">
            <v>0</v>
          </cell>
          <cell r="E1048" t="str">
            <v>QUERETARO, QRO.</v>
          </cell>
          <cell r="F1048">
            <v>0</v>
          </cell>
          <cell r="G1048">
            <v>0</v>
          </cell>
          <cell r="H1048">
            <v>0</v>
          </cell>
          <cell r="I1048">
            <v>0</v>
          </cell>
          <cell r="J1048">
            <v>0</v>
          </cell>
          <cell r="K1048">
            <v>0</v>
          </cell>
          <cell r="L1048">
            <v>0</v>
          </cell>
          <cell r="M1048">
            <v>0</v>
          </cell>
          <cell r="N1048">
            <v>0</v>
          </cell>
          <cell r="O1048">
            <v>0</v>
          </cell>
          <cell r="P1048">
            <v>0</v>
          </cell>
          <cell r="Q1048">
            <v>0</v>
          </cell>
          <cell r="R1048">
            <v>0</v>
          </cell>
          <cell r="S1048">
            <v>0</v>
          </cell>
          <cell r="T1048">
            <v>0</v>
          </cell>
          <cell r="U1048">
            <v>0</v>
          </cell>
          <cell r="V1048">
            <v>0</v>
          </cell>
          <cell r="W1048">
            <v>0</v>
          </cell>
          <cell r="X1048">
            <v>0</v>
          </cell>
        </row>
        <row r="1049">
          <cell r="A1049">
            <v>7459</v>
          </cell>
          <cell r="B1049" t="str">
            <v>AL-FLOM (SAN JUAN)</v>
          </cell>
          <cell r="C1049">
            <v>0</v>
          </cell>
          <cell r="D1049" t="str">
            <v>PINO SUAREZ #25-B</v>
          </cell>
          <cell r="E1049" t="str">
            <v>SAN JUAN DEL RIO, QRO.</v>
          </cell>
          <cell r="F1049">
            <v>0</v>
          </cell>
          <cell r="G1049" t="str">
            <v>427 277-2697</v>
          </cell>
          <cell r="H1049">
            <v>0</v>
          </cell>
          <cell r="I1049">
            <v>0</v>
          </cell>
          <cell r="J1049">
            <v>0</v>
          </cell>
          <cell r="K1049">
            <v>0</v>
          </cell>
          <cell r="L1049">
            <v>0</v>
          </cell>
          <cell r="M1049">
            <v>0</v>
          </cell>
          <cell r="N1049">
            <v>0</v>
          </cell>
          <cell r="O1049">
            <v>0</v>
          </cell>
          <cell r="P1049">
            <v>0</v>
          </cell>
          <cell r="Q1049">
            <v>0</v>
          </cell>
          <cell r="R1049">
            <v>0</v>
          </cell>
          <cell r="S1049">
            <v>0</v>
          </cell>
          <cell r="T1049">
            <v>0</v>
          </cell>
          <cell r="U1049">
            <v>0</v>
          </cell>
          <cell r="V1049" t="str">
            <v>AMP. SANTA CRUZ NIETO</v>
          </cell>
          <cell r="W1049">
            <v>0</v>
          </cell>
          <cell r="X1049">
            <v>0</v>
          </cell>
        </row>
        <row r="1050">
          <cell r="A1050">
            <v>7460</v>
          </cell>
          <cell r="B1050" t="str">
            <v>JAQUELINE (MIXQUIAHUALA)</v>
          </cell>
          <cell r="C1050">
            <v>0</v>
          </cell>
          <cell r="D1050">
            <v>0</v>
          </cell>
          <cell r="E1050" t="str">
            <v>MIXQUIAHUALA, HGO.</v>
          </cell>
          <cell r="F1050">
            <v>0</v>
          </cell>
          <cell r="G1050">
            <v>0</v>
          </cell>
          <cell r="H1050">
            <v>0</v>
          </cell>
          <cell r="I1050">
            <v>0</v>
          </cell>
          <cell r="J1050">
            <v>0</v>
          </cell>
          <cell r="K1050">
            <v>0</v>
          </cell>
          <cell r="L1050">
            <v>0</v>
          </cell>
          <cell r="M1050">
            <v>0</v>
          </cell>
          <cell r="N1050">
            <v>0</v>
          </cell>
          <cell r="O1050">
            <v>0</v>
          </cell>
          <cell r="P1050">
            <v>0</v>
          </cell>
          <cell r="Q1050">
            <v>0</v>
          </cell>
          <cell r="R1050">
            <v>0</v>
          </cell>
          <cell r="S1050">
            <v>0</v>
          </cell>
          <cell r="T1050">
            <v>0</v>
          </cell>
          <cell r="U1050">
            <v>0</v>
          </cell>
          <cell r="V1050">
            <v>0</v>
          </cell>
          <cell r="W1050">
            <v>0</v>
          </cell>
          <cell r="X1050">
            <v>0</v>
          </cell>
        </row>
        <row r="1051">
          <cell r="A1051">
            <v>7461</v>
          </cell>
          <cell r="B1051" t="str">
            <v>LIBRE</v>
          </cell>
          <cell r="C1051">
            <v>0</v>
          </cell>
          <cell r="D1051">
            <v>0</v>
          </cell>
          <cell r="E1051">
            <v>0</v>
          </cell>
          <cell r="F1051">
            <v>0</v>
          </cell>
          <cell r="G1051">
            <v>0</v>
          </cell>
          <cell r="H1051">
            <v>0</v>
          </cell>
          <cell r="I1051">
            <v>0</v>
          </cell>
          <cell r="J1051">
            <v>0</v>
          </cell>
          <cell r="K1051">
            <v>0</v>
          </cell>
          <cell r="L1051">
            <v>0</v>
          </cell>
          <cell r="M1051">
            <v>0</v>
          </cell>
          <cell r="N1051">
            <v>0</v>
          </cell>
          <cell r="O1051">
            <v>0</v>
          </cell>
          <cell r="P1051">
            <v>0</v>
          </cell>
          <cell r="Q1051">
            <v>0</v>
          </cell>
          <cell r="R1051">
            <v>0</v>
          </cell>
          <cell r="S1051">
            <v>0</v>
          </cell>
          <cell r="T1051">
            <v>0</v>
          </cell>
          <cell r="U1051">
            <v>0</v>
          </cell>
          <cell r="V1051">
            <v>0</v>
          </cell>
          <cell r="W1051">
            <v>0</v>
          </cell>
          <cell r="X1051">
            <v>0</v>
          </cell>
        </row>
        <row r="1052">
          <cell r="A1052">
            <v>7462</v>
          </cell>
          <cell r="B1052" t="str">
            <v>TODO AGRANEL (SALALMANCA)</v>
          </cell>
          <cell r="C1052">
            <v>0</v>
          </cell>
          <cell r="D1052">
            <v>0</v>
          </cell>
          <cell r="E1052" t="str">
            <v>SALAMANCA, GTO.</v>
          </cell>
          <cell r="F1052">
            <v>0</v>
          </cell>
          <cell r="G1052">
            <v>0</v>
          </cell>
          <cell r="H1052">
            <v>0</v>
          </cell>
          <cell r="I1052">
            <v>0</v>
          </cell>
          <cell r="J1052">
            <v>0</v>
          </cell>
          <cell r="K1052">
            <v>0</v>
          </cell>
          <cell r="L1052">
            <v>0</v>
          </cell>
          <cell r="M1052">
            <v>0</v>
          </cell>
          <cell r="N1052">
            <v>0</v>
          </cell>
          <cell r="O1052">
            <v>0</v>
          </cell>
          <cell r="P1052">
            <v>0</v>
          </cell>
          <cell r="Q1052">
            <v>0</v>
          </cell>
          <cell r="R1052">
            <v>0</v>
          </cell>
          <cell r="S1052">
            <v>0</v>
          </cell>
          <cell r="T1052">
            <v>0</v>
          </cell>
          <cell r="U1052">
            <v>0</v>
          </cell>
          <cell r="V1052">
            <v>0</v>
          </cell>
          <cell r="W1052">
            <v>0</v>
          </cell>
          <cell r="X1052">
            <v>0</v>
          </cell>
        </row>
        <row r="1053">
          <cell r="A1053">
            <v>7463</v>
          </cell>
          <cell r="B1053" t="str">
            <v>MARIA ELENA (SALAMANCA)</v>
          </cell>
          <cell r="C1053">
            <v>0</v>
          </cell>
          <cell r="D1053">
            <v>0</v>
          </cell>
          <cell r="E1053" t="str">
            <v>SALAMANCA, GTO.</v>
          </cell>
          <cell r="F1053">
            <v>0</v>
          </cell>
          <cell r="G1053">
            <v>0</v>
          </cell>
          <cell r="H1053">
            <v>0</v>
          </cell>
          <cell r="I1053">
            <v>0</v>
          </cell>
          <cell r="J1053">
            <v>0</v>
          </cell>
          <cell r="K1053">
            <v>0</v>
          </cell>
          <cell r="L1053">
            <v>0</v>
          </cell>
          <cell r="M1053">
            <v>0</v>
          </cell>
          <cell r="N1053">
            <v>0</v>
          </cell>
          <cell r="O1053">
            <v>0</v>
          </cell>
          <cell r="P1053">
            <v>0</v>
          </cell>
          <cell r="Q1053">
            <v>0</v>
          </cell>
          <cell r="R1053">
            <v>0</v>
          </cell>
          <cell r="S1053">
            <v>0</v>
          </cell>
          <cell r="T1053">
            <v>0</v>
          </cell>
          <cell r="U1053">
            <v>0</v>
          </cell>
          <cell r="V1053">
            <v>0</v>
          </cell>
          <cell r="W1053">
            <v>0</v>
          </cell>
          <cell r="X1053">
            <v>0</v>
          </cell>
        </row>
        <row r="1054">
          <cell r="A1054">
            <v>7464</v>
          </cell>
          <cell r="B1054" t="str">
            <v>PAPELERIA CONY (TULA)</v>
          </cell>
          <cell r="C1054">
            <v>0</v>
          </cell>
          <cell r="D1054">
            <v>0</v>
          </cell>
          <cell r="E1054" t="str">
            <v>TULA DE ALLENDE, HGO.</v>
          </cell>
          <cell r="F1054">
            <v>0</v>
          </cell>
          <cell r="G1054">
            <v>0</v>
          </cell>
          <cell r="H1054">
            <v>0</v>
          </cell>
          <cell r="I1054">
            <v>0</v>
          </cell>
          <cell r="J1054">
            <v>0</v>
          </cell>
          <cell r="K1054">
            <v>0</v>
          </cell>
          <cell r="L1054">
            <v>0</v>
          </cell>
          <cell r="M1054">
            <v>0</v>
          </cell>
          <cell r="N1054">
            <v>0</v>
          </cell>
          <cell r="O1054">
            <v>0</v>
          </cell>
          <cell r="P1054">
            <v>0</v>
          </cell>
          <cell r="Q1054">
            <v>0</v>
          </cell>
          <cell r="R1054">
            <v>0</v>
          </cell>
          <cell r="S1054">
            <v>0</v>
          </cell>
          <cell r="T1054">
            <v>0</v>
          </cell>
          <cell r="U1054">
            <v>0</v>
          </cell>
          <cell r="V1054">
            <v>0</v>
          </cell>
          <cell r="W1054">
            <v>0</v>
          </cell>
          <cell r="X1054">
            <v>0</v>
          </cell>
        </row>
        <row r="1055">
          <cell r="A1055">
            <v>7465</v>
          </cell>
          <cell r="B1055" t="str">
            <v>PAPELERIA CENTENARIO (YURIRIA)</v>
          </cell>
          <cell r="C1055">
            <v>0</v>
          </cell>
          <cell r="D1055">
            <v>0</v>
          </cell>
          <cell r="E1055" t="str">
            <v>YURIRIA, GTO.</v>
          </cell>
          <cell r="F1055">
            <v>0</v>
          </cell>
          <cell r="G1055">
            <v>0</v>
          </cell>
          <cell r="H1055">
            <v>0</v>
          </cell>
          <cell r="I1055">
            <v>0</v>
          </cell>
          <cell r="J1055">
            <v>0</v>
          </cell>
          <cell r="K1055">
            <v>0</v>
          </cell>
          <cell r="L1055">
            <v>0</v>
          </cell>
          <cell r="M1055">
            <v>0</v>
          </cell>
          <cell r="N1055">
            <v>0</v>
          </cell>
          <cell r="O1055">
            <v>0</v>
          </cell>
          <cell r="P1055">
            <v>0</v>
          </cell>
          <cell r="Q1055">
            <v>0</v>
          </cell>
          <cell r="R1055">
            <v>0</v>
          </cell>
          <cell r="S1055">
            <v>0</v>
          </cell>
          <cell r="T1055">
            <v>0</v>
          </cell>
          <cell r="U1055">
            <v>0</v>
          </cell>
          <cell r="V1055">
            <v>0</v>
          </cell>
          <cell r="W1055">
            <v>0</v>
          </cell>
          <cell r="X1055">
            <v>0</v>
          </cell>
        </row>
        <row r="1056">
          <cell r="A1056">
            <v>7466</v>
          </cell>
          <cell r="B1056" t="str">
            <v>VERONICA RAMIREZ VILLA (SALAMANCA)</v>
          </cell>
          <cell r="C1056">
            <v>0</v>
          </cell>
          <cell r="D1056" t="str">
            <v>TENIXTEPEC #304</v>
          </cell>
          <cell r="E1056" t="str">
            <v>SALAMANCA, GTO.</v>
          </cell>
          <cell r="F1056" t="str">
            <v>36730</v>
          </cell>
          <cell r="G1056" t="str">
            <v>(464) 566-7931</v>
          </cell>
          <cell r="H1056">
            <v>0</v>
          </cell>
          <cell r="I1056">
            <v>0</v>
          </cell>
          <cell r="J1056">
            <v>0</v>
          </cell>
          <cell r="K1056">
            <v>0</v>
          </cell>
          <cell r="L1056">
            <v>0</v>
          </cell>
          <cell r="M1056">
            <v>0</v>
          </cell>
          <cell r="N1056">
            <v>0</v>
          </cell>
          <cell r="O1056">
            <v>0</v>
          </cell>
          <cell r="P1056">
            <v>0</v>
          </cell>
          <cell r="Q1056">
            <v>0</v>
          </cell>
          <cell r="R1056">
            <v>0</v>
          </cell>
          <cell r="S1056">
            <v>0</v>
          </cell>
          <cell r="T1056">
            <v>0</v>
          </cell>
          <cell r="U1056">
            <v>0</v>
          </cell>
          <cell r="V1056" t="str">
            <v>VELLA VISTA</v>
          </cell>
          <cell r="W1056">
            <v>0</v>
          </cell>
          <cell r="X1056">
            <v>0</v>
          </cell>
        </row>
        <row r="1057">
          <cell r="A1057">
            <v>7467</v>
          </cell>
          <cell r="B1057" t="str">
            <v>OFELIA GUTIERREZ (SAN JUAN)</v>
          </cell>
          <cell r="C1057">
            <v>0</v>
          </cell>
          <cell r="D1057">
            <v>0</v>
          </cell>
          <cell r="E1057" t="str">
            <v>SAN JUAN DEL RIO, QRO.</v>
          </cell>
          <cell r="F1057">
            <v>0</v>
          </cell>
          <cell r="G1057">
            <v>0</v>
          </cell>
          <cell r="H1057">
            <v>0</v>
          </cell>
          <cell r="I1057">
            <v>0</v>
          </cell>
          <cell r="J1057">
            <v>0</v>
          </cell>
          <cell r="K1057">
            <v>0</v>
          </cell>
          <cell r="L1057">
            <v>0</v>
          </cell>
          <cell r="M1057">
            <v>0</v>
          </cell>
          <cell r="N1057">
            <v>0</v>
          </cell>
          <cell r="O1057">
            <v>0</v>
          </cell>
          <cell r="P1057">
            <v>0</v>
          </cell>
          <cell r="Q1057">
            <v>0</v>
          </cell>
          <cell r="R1057">
            <v>0</v>
          </cell>
          <cell r="S1057">
            <v>0</v>
          </cell>
          <cell r="T1057">
            <v>0</v>
          </cell>
          <cell r="U1057">
            <v>0</v>
          </cell>
          <cell r="V1057">
            <v>0</v>
          </cell>
          <cell r="W1057">
            <v>0</v>
          </cell>
          <cell r="X1057">
            <v>0</v>
          </cell>
        </row>
        <row r="1058">
          <cell r="A1058">
            <v>7468</v>
          </cell>
          <cell r="B1058" t="str">
            <v>MIRIAM ADRIANA MELO MUJICA (COAHUILA)</v>
          </cell>
          <cell r="C1058" t="str">
            <v>TODOGLOBOS RAMOS</v>
          </cell>
          <cell r="D1058" t="str">
            <v>BLVD. JAIME BENAVIDES POMPA #623, LOCAL 2</v>
          </cell>
          <cell r="E1058" t="str">
            <v xml:space="preserve">RAMOS ARIZPE, COAHUILA </v>
          </cell>
          <cell r="F1058" t="str">
            <v>25904</v>
          </cell>
          <cell r="G1058">
            <v>0</v>
          </cell>
          <cell r="H1058">
            <v>0</v>
          </cell>
          <cell r="I1058">
            <v>0</v>
          </cell>
          <cell r="J1058">
            <v>0</v>
          </cell>
          <cell r="K1058">
            <v>0</v>
          </cell>
          <cell r="L1058">
            <v>0</v>
          </cell>
          <cell r="M1058">
            <v>0</v>
          </cell>
          <cell r="N1058">
            <v>0</v>
          </cell>
          <cell r="O1058">
            <v>0</v>
          </cell>
          <cell r="P1058">
            <v>0</v>
          </cell>
          <cell r="Q1058">
            <v>0</v>
          </cell>
          <cell r="R1058">
            <v>0</v>
          </cell>
          <cell r="S1058">
            <v>0</v>
          </cell>
          <cell r="T1058">
            <v>0</v>
          </cell>
          <cell r="U1058">
            <v>0</v>
          </cell>
          <cell r="V1058" t="str">
            <v>DEL VALLE</v>
          </cell>
          <cell r="W1058">
            <v>0</v>
          </cell>
          <cell r="X1058">
            <v>0</v>
          </cell>
        </row>
        <row r="1059">
          <cell r="A1059">
            <v>7469</v>
          </cell>
          <cell r="B1059" t="str">
            <v>VERONICA FERNANDEZ (QUERETARO)</v>
          </cell>
          <cell r="C1059">
            <v>0</v>
          </cell>
          <cell r="D1059">
            <v>0</v>
          </cell>
          <cell r="E1059" t="str">
            <v>QUERETARO, QRO.</v>
          </cell>
          <cell r="F1059">
            <v>0</v>
          </cell>
          <cell r="G1059">
            <v>0</v>
          </cell>
          <cell r="H1059">
            <v>0</v>
          </cell>
          <cell r="I1059">
            <v>0</v>
          </cell>
          <cell r="J1059">
            <v>0</v>
          </cell>
          <cell r="K1059">
            <v>0</v>
          </cell>
          <cell r="L1059">
            <v>0</v>
          </cell>
          <cell r="M1059">
            <v>0</v>
          </cell>
          <cell r="N1059">
            <v>0</v>
          </cell>
          <cell r="O1059">
            <v>0</v>
          </cell>
          <cell r="P1059">
            <v>0</v>
          </cell>
          <cell r="Q1059">
            <v>0</v>
          </cell>
          <cell r="R1059">
            <v>0</v>
          </cell>
          <cell r="S1059">
            <v>0</v>
          </cell>
          <cell r="T1059">
            <v>0</v>
          </cell>
          <cell r="U1059">
            <v>0</v>
          </cell>
          <cell r="V1059">
            <v>0</v>
          </cell>
          <cell r="W1059">
            <v>0</v>
          </cell>
          <cell r="X1059">
            <v>0</v>
          </cell>
        </row>
        <row r="1060">
          <cell r="A1060">
            <v>7470</v>
          </cell>
          <cell r="B1060" t="str">
            <v>DOLORES FATIMA MORENO CARMONA (VILLAGRAN)</v>
          </cell>
          <cell r="C1060">
            <v>0</v>
          </cell>
          <cell r="D1060" t="str">
            <v>ALLENDE #321</v>
          </cell>
          <cell r="E1060" t="str">
            <v>VILLAGRAN, GTO.</v>
          </cell>
          <cell r="F1060">
            <v>0</v>
          </cell>
          <cell r="G1060">
            <v>0</v>
          </cell>
          <cell r="H1060">
            <v>0</v>
          </cell>
          <cell r="I1060">
            <v>0</v>
          </cell>
          <cell r="J1060">
            <v>0</v>
          </cell>
          <cell r="K1060">
            <v>0</v>
          </cell>
          <cell r="L1060">
            <v>0</v>
          </cell>
          <cell r="M1060">
            <v>0</v>
          </cell>
          <cell r="N1060">
            <v>0</v>
          </cell>
          <cell r="O1060">
            <v>0</v>
          </cell>
          <cell r="P1060">
            <v>0</v>
          </cell>
          <cell r="Q1060">
            <v>0</v>
          </cell>
          <cell r="R1060">
            <v>0</v>
          </cell>
          <cell r="S1060">
            <v>0</v>
          </cell>
          <cell r="T1060">
            <v>0</v>
          </cell>
          <cell r="U1060">
            <v>0</v>
          </cell>
          <cell r="V1060" t="str">
            <v>CENTRO</v>
          </cell>
          <cell r="W1060">
            <v>0</v>
          </cell>
          <cell r="X1060">
            <v>0</v>
          </cell>
        </row>
        <row r="1061">
          <cell r="A1061">
            <v>7471</v>
          </cell>
          <cell r="B1061" t="str">
            <v>BEATRIZ "PAPELERIA PAPIRO" (QUERETARO)</v>
          </cell>
          <cell r="C1061">
            <v>0</v>
          </cell>
          <cell r="D1061">
            <v>0</v>
          </cell>
          <cell r="E1061" t="str">
            <v>QUERETARO, QRO.</v>
          </cell>
          <cell r="F1061">
            <v>0</v>
          </cell>
          <cell r="G1061">
            <v>0</v>
          </cell>
          <cell r="H1061">
            <v>0</v>
          </cell>
          <cell r="I1061">
            <v>0</v>
          </cell>
          <cell r="J1061">
            <v>0</v>
          </cell>
          <cell r="K1061">
            <v>0</v>
          </cell>
          <cell r="L1061">
            <v>0</v>
          </cell>
          <cell r="M1061">
            <v>0</v>
          </cell>
          <cell r="N1061">
            <v>0</v>
          </cell>
          <cell r="O1061">
            <v>0</v>
          </cell>
          <cell r="P1061">
            <v>0</v>
          </cell>
          <cell r="Q1061">
            <v>0</v>
          </cell>
          <cell r="R1061">
            <v>0</v>
          </cell>
          <cell r="S1061">
            <v>0</v>
          </cell>
          <cell r="T1061">
            <v>0</v>
          </cell>
          <cell r="U1061">
            <v>0</v>
          </cell>
          <cell r="V1061">
            <v>0</v>
          </cell>
          <cell r="W1061">
            <v>0</v>
          </cell>
          <cell r="X1061">
            <v>0</v>
          </cell>
        </row>
        <row r="1062">
          <cell r="A1062">
            <v>7472</v>
          </cell>
          <cell r="B1062" t="str">
            <v>NADIA (MIXQUIAHUALA)</v>
          </cell>
          <cell r="C1062">
            <v>0</v>
          </cell>
          <cell r="D1062">
            <v>0</v>
          </cell>
          <cell r="E1062" t="str">
            <v>MIXQUIAHUALA, HGO.</v>
          </cell>
          <cell r="F1062">
            <v>0</v>
          </cell>
          <cell r="G1062">
            <v>0</v>
          </cell>
          <cell r="H1062">
            <v>0</v>
          </cell>
          <cell r="I1062">
            <v>0</v>
          </cell>
          <cell r="J1062">
            <v>0</v>
          </cell>
          <cell r="K1062">
            <v>0</v>
          </cell>
          <cell r="L1062">
            <v>0</v>
          </cell>
          <cell r="M1062">
            <v>0</v>
          </cell>
          <cell r="N1062">
            <v>0</v>
          </cell>
          <cell r="O1062">
            <v>0</v>
          </cell>
          <cell r="P1062">
            <v>0</v>
          </cell>
          <cell r="Q1062">
            <v>0</v>
          </cell>
          <cell r="R1062">
            <v>0</v>
          </cell>
          <cell r="S1062">
            <v>0</v>
          </cell>
          <cell r="T1062">
            <v>0</v>
          </cell>
          <cell r="U1062">
            <v>0</v>
          </cell>
          <cell r="V1062">
            <v>0</v>
          </cell>
          <cell r="W1062">
            <v>0</v>
          </cell>
          <cell r="X1062">
            <v>0</v>
          </cell>
        </row>
        <row r="1063">
          <cell r="A1063">
            <v>7473</v>
          </cell>
          <cell r="B1063" t="str">
            <v>LA CAJITA DE SORPRESAS DE MAYRA (SAN LUIS DE LA PAZ)</v>
          </cell>
          <cell r="C1063">
            <v>0</v>
          </cell>
          <cell r="D1063">
            <v>0</v>
          </cell>
          <cell r="E1063" t="str">
            <v>SAN LUIS DE LA PAZ, GTO.</v>
          </cell>
          <cell r="F1063">
            <v>0</v>
          </cell>
          <cell r="G1063">
            <v>0</v>
          </cell>
          <cell r="H1063">
            <v>0</v>
          </cell>
          <cell r="I1063">
            <v>0</v>
          </cell>
          <cell r="J1063">
            <v>0</v>
          </cell>
          <cell r="K1063">
            <v>0</v>
          </cell>
          <cell r="L1063">
            <v>0</v>
          </cell>
          <cell r="M1063">
            <v>0</v>
          </cell>
          <cell r="N1063">
            <v>0</v>
          </cell>
          <cell r="O1063">
            <v>0</v>
          </cell>
          <cell r="P1063">
            <v>0</v>
          </cell>
          <cell r="Q1063">
            <v>0</v>
          </cell>
          <cell r="R1063">
            <v>0</v>
          </cell>
          <cell r="S1063">
            <v>0</v>
          </cell>
          <cell r="T1063">
            <v>0</v>
          </cell>
          <cell r="U1063">
            <v>0</v>
          </cell>
          <cell r="V1063">
            <v>0</v>
          </cell>
          <cell r="W1063">
            <v>0</v>
          </cell>
          <cell r="X1063">
            <v>0</v>
          </cell>
        </row>
        <row r="1064">
          <cell r="A1064">
            <v>7474</v>
          </cell>
          <cell r="B1064" t="str">
            <v>FABY DEL REAL (QUERETARO)</v>
          </cell>
          <cell r="C1064">
            <v>0</v>
          </cell>
          <cell r="D1064">
            <v>0</v>
          </cell>
          <cell r="E1064" t="str">
            <v>QUERETARO, QRO.</v>
          </cell>
          <cell r="F1064">
            <v>0</v>
          </cell>
          <cell r="G1064">
            <v>0</v>
          </cell>
          <cell r="H1064">
            <v>0</v>
          </cell>
          <cell r="I1064">
            <v>0</v>
          </cell>
          <cell r="J1064">
            <v>0</v>
          </cell>
          <cell r="K1064">
            <v>0</v>
          </cell>
          <cell r="L1064">
            <v>0</v>
          </cell>
          <cell r="M1064">
            <v>0</v>
          </cell>
          <cell r="N1064">
            <v>0</v>
          </cell>
          <cell r="O1064">
            <v>0</v>
          </cell>
          <cell r="P1064">
            <v>0</v>
          </cell>
          <cell r="Q1064">
            <v>0</v>
          </cell>
          <cell r="R1064">
            <v>0</v>
          </cell>
          <cell r="S1064">
            <v>0</v>
          </cell>
          <cell r="T1064">
            <v>0</v>
          </cell>
          <cell r="U1064">
            <v>0</v>
          </cell>
          <cell r="V1064">
            <v>0</v>
          </cell>
          <cell r="W1064">
            <v>0</v>
          </cell>
          <cell r="X1064">
            <v>0</v>
          </cell>
        </row>
        <row r="1065">
          <cell r="A1065">
            <v>7475</v>
          </cell>
          <cell r="B1065" t="str">
            <v>NANCY ZUÑIGA  (TEPEJI)</v>
          </cell>
          <cell r="C1065">
            <v>0</v>
          </cell>
          <cell r="D1065">
            <v>0</v>
          </cell>
          <cell r="E1065" t="str">
            <v>TEPEJI DEL RIO, HGO.</v>
          </cell>
          <cell r="F1065">
            <v>0</v>
          </cell>
          <cell r="G1065">
            <v>0</v>
          </cell>
          <cell r="H1065">
            <v>0</v>
          </cell>
          <cell r="I1065">
            <v>0</v>
          </cell>
          <cell r="J1065">
            <v>0</v>
          </cell>
          <cell r="K1065">
            <v>0</v>
          </cell>
          <cell r="L1065">
            <v>0</v>
          </cell>
          <cell r="M1065">
            <v>0</v>
          </cell>
          <cell r="N1065">
            <v>0</v>
          </cell>
          <cell r="O1065">
            <v>0</v>
          </cell>
          <cell r="P1065">
            <v>0</v>
          </cell>
          <cell r="Q1065">
            <v>0</v>
          </cell>
          <cell r="R1065">
            <v>0</v>
          </cell>
          <cell r="S1065">
            <v>0</v>
          </cell>
          <cell r="T1065">
            <v>0</v>
          </cell>
          <cell r="U1065">
            <v>0</v>
          </cell>
          <cell r="V1065">
            <v>0</v>
          </cell>
          <cell r="W1065">
            <v>0</v>
          </cell>
          <cell r="X1065">
            <v>0</v>
          </cell>
        </row>
        <row r="1066">
          <cell r="A1066">
            <v>7476</v>
          </cell>
          <cell r="B1066" t="str">
            <v>JAVIER (MIXQUIAHUALA)</v>
          </cell>
          <cell r="C1066">
            <v>0</v>
          </cell>
          <cell r="D1066">
            <v>0</v>
          </cell>
          <cell r="E1066" t="str">
            <v>MIXQUIAHUALA, HGO.</v>
          </cell>
          <cell r="F1066">
            <v>0</v>
          </cell>
          <cell r="G1066">
            <v>0</v>
          </cell>
          <cell r="H1066">
            <v>0</v>
          </cell>
          <cell r="I1066">
            <v>0</v>
          </cell>
          <cell r="J1066">
            <v>0</v>
          </cell>
          <cell r="K1066">
            <v>0</v>
          </cell>
          <cell r="L1066">
            <v>0</v>
          </cell>
          <cell r="M1066">
            <v>0</v>
          </cell>
          <cell r="N1066">
            <v>0</v>
          </cell>
          <cell r="O1066">
            <v>0</v>
          </cell>
          <cell r="P1066">
            <v>0</v>
          </cell>
          <cell r="Q1066">
            <v>0</v>
          </cell>
          <cell r="R1066">
            <v>0</v>
          </cell>
          <cell r="S1066">
            <v>0</v>
          </cell>
          <cell r="T1066">
            <v>0</v>
          </cell>
          <cell r="U1066">
            <v>0</v>
          </cell>
          <cell r="V1066">
            <v>0</v>
          </cell>
          <cell r="W1066">
            <v>0</v>
          </cell>
          <cell r="X1066">
            <v>0</v>
          </cell>
        </row>
        <row r="1067">
          <cell r="A1067">
            <v>7477</v>
          </cell>
          <cell r="B1067" t="str">
            <v>KATY CAMACHO (QUERETARO)</v>
          </cell>
          <cell r="C1067">
            <v>0</v>
          </cell>
          <cell r="D1067">
            <v>0</v>
          </cell>
          <cell r="E1067" t="str">
            <v>QUERETARO, QRO.</v>
          </cell>
          <cell r="F1067">
            <v>0</v>
          </cell>
          <cell r="G1067">
            <v>0</v>
          </cell>
          <cell r="H1067">
            <v>0</v>
          </cell>
          <cell r="I1067">
            <v>0</v>
          </cell>
          <cell r="J1067">
            <v>0</v>
          </cell>
          <cell r="K1067">
            <v>0</v>
          </cell>
          <cell r="L1067">
            <v>0</v>
          </cell>
          <cell r="M1067">
            <v>0</v>
          </cell>
          <cell r="N1067">
            <v>0</v>
          </cell>
          <cell r="O1067">
            <v>0</v>
          </cell>
          <cell r="P1067">
            <v>0</v>
          </cell>
          <cell r="Q1067">
            <v>0</v>
          </cell>
          <cell r="R1067">
            <v>0</v>
          </cell>
          <cell r="S1067">
            <v>0</v>
          </cell>
          <cell r="T1067">
            <v>0</v>
          </cell>
          <cell r="U1067">
            <v>0</v>
          </cell>
          <cell r="V1067">
            <v>0</v>
          </cell>
          <cell r="W1067">
            <v>0</v>
          </cell>
          <cell r="X1067">
            <v>0</v>
          </cell>
        </row>
        <row r="1068">
          <cell r="A1068">
            <v>7478</v>
          </cell>
          <cell r="B1068" t="str">
            <v>YOLEANA (COACALCO)</v>
          </cell>
          <cell r="C1068">
            <v>0</v>
          </cell>
          <cell r="D1068">
            <v>0</v>
          </cell>
          <cell r="E1068" t="str">
            <v>COACALCO, EDO. DE MEXICO</v>
          </cell>
          <cell r="F1068">
            <v>0</v>
          </cell>
          <cell r="G1068">
            <v>0</v>
          </cell>
          <cell r="H1068">
            <v>0</v>
          </cell>
          <cell r="I1068">
            <v>0</v>
          </cell>
          <cell r="J1068">
            <v>0</v>
          </cell>
          <cell r="K1068">
            <v>0</v>
          </cell>
          <cell r="L1068">
            <v>0</v>
          </cell>
          <cell r="M1068">
            <v>0</v>
          </cell>
          <cell r="N1068">
            <v>0</v>
          </cell>
          <cell r="O1068">
            <v>0</v>
          </cell>
          <cell r="P1068">
            <v>0</v>
          </cell>
          <cell r="Q1068">
            <v>0</v>
          </cell>
          <cell r="R1068">
            <v>0</v>
          </cell>
          <cell r="S1068">
            <v>0</v>
          </cell>
          <cell r="T1068">
            <v>0</v>
          </cell>
          <cell r="U1068">
            <v>0</v>
          </cell>
          <cell r="V1068">
            <v>0</v>
          </cell>
          <cell r="W1068">
            <v>0</v>
          </cell>
          <cell r="X1068">
            <v>0</v>
          </cell>
        </row>
        <row r="1069">
          <cell r="A1069">
            <v>7479</v>
          </cell>
          <cell r="B1069" t="str">
            <v>ERIKA MATEO (ATLACOMULCO)</v>
          </cell>
          <cell r="C1069">
            <v>0</v>
          </cell>
          <cell r="D1069">
            <v>0</v>
          </cell>
          <cell r="E1069" t="str">
            <v>ATLACOMULCO, EDO. DE MEXICO</v>
          </cell>
          <cell r="F1069">
            <v>0</v>
          </cell>
          <cell r="G1069">
            <v>0</v>
          </cell>
          <cell r="H1069">
            <v>0</v>
          </cell>
          <cell r="I1069">
            <v>0</v>
          </cell>
          <cell r="J1069">
            <v>0</v>
          </cell>
          <cell r="K1069">
            <v>0</v>
          </cell>
          <cell r="L1069">
            <v>0</v>
          </cell>
          <cell r="M1069">
            <v>0</v>
          </cell>
          <cell r="N1069">
            <v>0</v>
          </cell>
          <cell r="O1069">
            <v>0</v>
          </cell>
          <cell r="P1069">
            <v>0</v>
          </cell>
          <cell r="Q1069">
            <v>0</v>
          </cell>
          <cell r="R1069">
            <v>0</v>
          </cell>
          <cell r="S1069">
            <v>0</v>
          </cell>
          <cell r="T1069">
            <v>0</v>
          </cell>
          <cell r="U1069">
            <v>0</v>
          </cell>
          <cell r="V1069">
            <v>0</v>
          </cell>
          <cell r="W1069">
            <v>0</v>
          </cell>
          <cell r="X1069">
            <v>0</v>
          </cell>
        </row>
        <row r="1070">
          <cell r="A1070">
            <v>7480</v>
          </cell>
          <cell r="B1070" t="str">
            <v>LA CASITA DEL REGALO (QUERETARO)</v>
          </cell>
          <cell r="C1070">
            <v>0</v>
          </cell>
          <cell r="D1070">
            <v>0</v>
          </cell>
          <cell r="E1070" t="str">
            <v>QUERETARO, QRO.</v>
          </cell>
          <cell r="F1070">
            <v>0</v>
          </cell>
          <cell r="G1070">
            <v>0</v>
          </cell>
          <cell r="H1070">
            <v>0</v>
          </cell>
          <cell r="I1070">
            <v>0</v>
          </cell>
          <cell r="J1070">
            <v>0</v>
          </cell>
          <cell r="K1070">
            <v>0</v>
          </cell>
          <cell r="L1070">
            <v>0</v>
          </cell>
          <cell r="M1070">
            <v>0</v>
          </cell>
          <cell r="N1070">
            <v>0</v>
          </cell>
          <cell r="O1070">
            <v>0</v>
          </cell>
          <cell r="P1070">
            <v>0</v>
          </cell>
          <cell r="Q1070">
            <v>0</v>
          </cell>
          <cell r="R1070">
            <v>0</v>
          </cell>
          <cell r="S1070">
            <v>0</v>
          </cell>
          <cell r="T1070">
            <v>0</v>
          </cell>
          <cell r="U1070">
            <v>0</v>
          </cell>
          <cell r="V1070">
            <v>0</v>
          </cell>
          <cell r="W1070">
            <v>0</v>
          </cell>
          <cell r="X1070">
            <v>0</v>
          </cell>
        </row>
        <row r="1071">
          <cell r="A1071">
            <v>7481</v>
          </cell>
          <cell r="B1071" t="str">
            <v>JUANA CABELLO (QUERETARO)</v>
          </cell>
          <cell r="C1071">
            <v>0</v>
          </cell>
          <cell r="D1071">
            <v>0</v>
          </cell>
          <cell r="E1071" t="str">
            <v>QUERETARO, QRO.</v>
          </cell>
          <cell r="F1071">
            <v>0</v>
          </cell>
          <cell r="G1071">
            <v>0</v>
          </cell>
          <cell r="H1071">
            <v>0</v>
          </cell>
          <cell r="I1071">
            <v>0</v>
          </cell>
          <cell r="J1071">
            <v>0</v>
          </cell>
          <cell r="K1071">
            <v>0</v>
          </cell>
          <cell r="L1071">
            <v>0</v>
          </cell>
          <cell r="M1071">
            <v>0</v>
          </cell>
          <cell r="N1071">
            <v>0</v>
          </cell>
          <cell r="O1071">
            <v>0</v>
          </cell>
          <cell r="P1071">
            <v>0</v>
          </cell>
          <cell r="Q1071">
            <v>0</v>
          </cell>
          <cell r="R1071">
            <v>0</v>
          </cell>
          <cell r="S1071">
            <v>0</v>
          </cell>
          <cell r="T1071">
            <v>0</v>
          </cell>
          <cell r="U1071">
            <v>0</v>
          </cell>
          <cell r="V1071">
            <v>0</v>
          </cell>
          <cell r="W1071">
            <v>0</v>
          </cell>
          <cell r="X1071">
            <v>0</v>
          </cell>
        </row>
        <row r="1072">
          <cell r="A1072">
            <v>7482</v>
          </cell>
          <cell r="B1072" t="str">
            <v>MARIA GUADALUPE SILVA GARCIA (TEOLOYUCAN)</v>
          </cell>
          <cell r="C1072">
            <v>0</v>
          </cell>
          <cell r="D1072" t="str">
            <v>ROSAL S/N</v>
          </cell>
          <cell r="E1072" t="str">
            <v>TEOLOYUCAN, EDO. DE MEXICO</v>
          </cell>
          <cell r="F1072" t="str">
            <v>54784</v>
          </cell>
          <cell r="G1072">
            <v>0</v>
          </cell>
          <cell r="H1072">
            <v>0</v>
          </cell>
          <cell r="I1072">
            <v>0</v>
          </cell>
          <cell r="J1072">
            <v>0</v>
          </cell>
          <cell r="K1072">
            <v>0</v>
          </cell>
          <cell r="L1072">
            <v>0</v>
          </cell>
          <cell r="M1072">
            <v>0</v>
          </cell>
          <cell r="N1072">
            <v>0</v>
          </cell>
          <cell r="O1072">
            <v>0</v>
          </cell>
          <cell r="P1072">
            <v>0</v>
          </cell>
          <cell r="Q1072">
            <v>0</v>
          </cell>
          <cell r="R1072">
            <v>0</v>
          </cell>
          <cell r="S1072">
            <v>0</v>
          </cell>
          <cell r="T1072">
            <v>0</v>
          </cell>
          <cell r="U1072">
            <v>0</v>
          </cell>
          <cell r="V1072" t="str">
            <v>BARRIO SANTIAGO</v>
          </cell>
          <cell r="W1072">
            <v>0</v>
          </cell>
          <cell r="X1072">
            <v>0</v>
          </cell>
        </row>
        <row r="1073">
          <cell r="A1073">
            <v>7483</v>
          </cell>
          <cell r="B1073" t="str">
            <v>BOLSAS ROMINA (TLAXCOAPAN)</v>
          </cell>
          <cell r="C1073">
            <v>0</v>
          </cell>
          <cell r="D1073">
            <v>0</v>
          </cell>
          <cell r="E1073" t="str">
            <v>TLAXCOAPAN, HGO.</v>
          </cell>
          <cell r="F1073">
            <v>0</v>
          </cell>
          <cell r="G1073">
            <v>0</v>
          </cell>
          <cell r="H1073">
            <v>0</v>
          </cell>
          <cell r="I1073">
            <v>0</v>
          </cell>
          <cell r="J1073">
            <v>0</v>
          </cell>
          <cell r="K1073">
            <v>0</v>
          </cell>
          <cell r="L1073">
            <v>0</v>
          </cell>
          <cell r="M1073">
            <v>0</v>
          </cell>
          <cell r="N1073">
            <v>0</v>
          </cell>
          <cell r="O1073">
            <v>0</v>
          </cell>
          <cell r="P1073">
            <v>0</v>
          </cell>
          <cell r="Q1073">
            <v>0</v>
          </cell>
          <cell r="R1073">
            <v>0</v>
          </cell>
          <cell r="S1073">
            <v>0</v>
          </cell>
          <cell r="T1073">
            <v>0</v>
          </cell>
          <cell r="U1073">
            <v>0</v>
          </cell>
          <cell r="V1073">
            <v>0</v>
          </cell>
          <cell r="W1073">
            <v>0</v>
          </cell>
          <cell r="X1073">
            <v>0</v>
          </cell>
        </row>
        <row r="1074">
          <cell r="A1074">
            <v>7484</v>
          </cell>
          <cell r="B1074" t="str">
            <v>AL FLOM (SJR)</v>
          </cell>
          <cell r="C1074">
            <v>0</v>
          </cell>
          <cell r="D1074">
            <v>0</v>
          </cell>
          <cell r="E1074" t="str">
            <v>SAN JUAN DEL RIO, QRO.</v>
          </cell>
          <cell r="F1074">
            <v>0</v>
          </cell>
          <cell r="G1074">
            <v>0</v>
          </cell>
          <cell r="H1074">
            <v>0</v>
          </cell>
          <cell r="I1074">
            <v>0</v>
          </cell>
          <cell r="J1074">
            <v>0</v>
          </cell>
          <cell r="K1074">
            <v>0</v>
          </cell>
          <cell r="L1074">
            <v>0</v>
          </cell>
          <cell r="M1074">
            <v>0</v>
          </cell>
          <cell r="N1074">
            <v>0</v>
          </cell>
          <cell r="O1074">
            <v>0</v>
          </cell>
          <cell r="P1074">
            <v>0</v>
          </cell>
          <cell r="Q1074">
            <v>0</v>
          </cell>
          <cell r="R1074">
            <v>0</v>
          </cell>
          <cell r="S1074">
            <v>0</v>
          </cell>
          <cell r="T1074">
            <v>0</v>
          </cell>
          <cell r="U1074">
            <v>0</v>
          </cell>
          <cell r="V1074">
            <v>0</v>
          </cell>
          <cell r="W1074">
            <v>0</v>
          </cell>
          <cell r="X1074">
            <v>0</v>
          </cell>
        </row>
        <row r="1075">
          <cell r="A1075">
            <v>7485</v>
          </cell>
          <cell r="B1075" t="str">
            <v>PAZ ABOLENGO (SJR)</v>
          </cell>
          <cell r="C1075">
            <v>0</v>
          </cell>
          <cell r="D1075">
            <v>0</v>
          </cell>
          <cell r="E1075" t="str">
            <v>SAN JUAN DEL RIO, QRO.</v>
          </cell>
          <cell r="F1075">
            <v>0</v>
          </cell>
          <cell r="G1075">
            <v>0</v>
          </cell>
          <cell r="H1075">
            <v>0</v>
          </cell>
          <cell r="I1075">
            <v>0</v>
          </cell>
          <cell r="J1075">
            <v>0</v>
          </cell>
          <cell r="K1075">
            <v>0</v>
          </cell>
          <cell r="L1075">
            <v>0</v>
          </cell>
          <cell r="M1075">
            <v>0</v>
          </cell>
          <cell r="N1075">
            <v>0</v>
          </cell>
          <cell r="O1075">
            <v>0</v>
          </cell>
          <cell r="P1075">
            <v>0</v>
          </cell>
          <cell r="Q1075">
            <v>0</v>
          </cell>
          <cell r="R1075">
            <v>0</v>
          </cell>
          <cell r="S1075">
            <v>0</v>
          </cell>
          <cell r="T1075">
            <v>0</v>
          </cell>
          <cell r="U1075">
            <v>0</v>
          </cell>
          <cell r="V1075">
            <v>0</v>
          </cell>
          <cell r="W1075">
            <v>0</v>
          </cell>
          <cell r="X1075">
            <v>0</v>
          </cell>
        </row>
        <row r="1076">
          <cell r="A1076">
            <v>7486</v>
          </cell>
          <cell r="B1076" t="str">
            <v>LETICIA CABRALES AGUILAR (NAYARIT)</v>
          </cell>
          <cell r="C1076" t="str">
            <v>PARA EL LADO DEL TORIL</v>
          </cell>
          <cell r="D1076" t="str">
            <v>EMILIANO ZAPATA #10</v>
          </cell>
          <cell r="E1076" t="str">
            <v>TUXPAN, NAYARIT</v>
          </cell>
          <cell r="F1076" t="str">
            <v>63660</v>
          </cell>
          <cell r="G1076" t="str">
            <v>(323) 117-7766</v>
          </cell>
          <cell r="H1076">
            <v>0</v>
          </cell>
          <cell r="I1076">
            <v>0</v>
          </cell>
          <cell r="J1076">
            <v>0</v>
          </cell>
          <cell r="K1076">
            <v>0</v>
          </cell>
          <cell r="L1076">
            <v>0</v>
          </cell>
          <cell r="M1076">
            <v>0</v>
          </cell>
          <cell r="N1076">
            <v>0</v>
          </cell>
          <cell r="O1076">
            <v>0</v>
          </cell>
          <cell r="P1076">
            <v>0</v>
          </cell>
          <cell r="Q1076">
            <v>0</v>
          </cell>
          <cell r="R1076">
            <v>0</v>
          </cell>
          <cell r="S1076">
            <v>0</v>
          </cell>
          <cell r="T1076">
            <v>0</v>
          </cell>
          <cell r="U1076">
            <v>0</v>
          </cell>
          <cell r="V1076" t="str">
            <v>PALMA GRANDE</v>
          </cell>
          <cell r="W1076">
            <v>0</v>
          </cell>
          <cell r="X1076">
            <v>0</v>
          </cell>
        </row>
        <row r="1077">
          <cell r="A1077">
            <v>7487</v>
          </cell>
          <cell r="B1077" t="str">
            <v>ALEJANDRO FLORES (ROMITA)</v>
          </cell>
          <cell r="C1077">
            <v>0</v>
          </cell>
          <cell r="D1077">
            <v>0</v>
          </cell>
          <cell r="E1077" t="str">
            <v>ROMITA, GTO.</v>
          </cell>
          <cell r="F1077">
            <v>0</v>
          </cell>
          <cell r="G1077">
            <v>0</v>
          </cell>
          <cell r="H1077">
            <v>0</v>
          </cell>
          <cell r="I1077">
            <v>0</v>
          </cell>
          <cell r="J1077">
            <v>0</v>
          </cell>
          <cell r="K1077">
            <v>0</v>
          </cell>
          <cell r="L1077">
            <v>0</v>
          </cell>
          <cell r="M1077">
            <v>0</v>
          </cell>
          <cell r="N1077">
            <v>0</v>
          </cell>
          <cell r="O1077">
            <v>0</v>
          </cell>
          <cell r="P1077">
            <v>0</v>
          </cell>
          <cell r="Q1077">
            <v>0</v>
          </cell>
          <cell r="R1077">
            <v>0</v>
          </cell>
          <cell r="S1077">
            <v>0</v>
          </cell>
          <cell r="T1077">
            <v>0</v>
          </cell>
          <cell r="U1077">
            <v>0</v>
          </cell>
          <cell r="V1077">
            <v>0</v>
          </cell>
          <cell r="W1077">
            <v>0</v>
          </cell>
          <cell r="X1077">
            <v>0</v>
          </cell>
        </row>
        <row r="1078">
          <cell r="A1078">
            <v>7488</v>
          </cell>
          <cell r="B1078" t="str">
            <v>YANELLI ORTEGA GARCIA (ACTOPAN)</v>
          </cell>
          <cell r="C1078">
            <v>0</v>
          </cell>
          <cell r="D1078">
            <v>0</v>
          </cell>
          <cell r="E1078" t="str">
            <v>ACTOPAN, HGO.</v>
          </cell>
          <cell r="F1078">
            <v>0</v>
          </cell>
          <cell r="G1078">
            <v>0</v>
          </cell>
          <cell r="H1078">
            <v>0</v>
          </cell>
          <cell r="I1078">
            <v>0</v>
          </cell>
          <cell r="J1078">
            <v>0</v>
          </cell>
          <cell r="K1078">
            <v>0</v>
          </cell>
          <cell r="L1078">
            <v>0</v>
          </cell>
          <cell r="M1078">
            <v>0</v>
          </cell>
          <cell r="N1078">
            <v>0</v>
          </cell>
          <cell r="O1078">
            <v>0</v>
          </cell>
          <cell r="P1078">
            <v>0</v>
          </cell>
          <cell r="Q1078">
            <v>0</v>
          </cell>
          <cell r="R1078">
            <v>0</v>
          </cell>
          <cell r="S1078">
            <v>0</v>
          </cell>
          <cell r="T1078">
            <v>0</v>
          </cell>
          <cell r="U1078">
            <v>0</v>
          </cell>
          <cell r="V1078">
            <v>0</v>
          </cell>
          <cell r="W1078">
            <v>0</v>
          </cell>
          <cell r="X1078">
            <v>0</v>
          </cell>
        </row>
        <row r="1079">
          <cell r="A1079">
            <v>7489</v>
          </cell>
          <cell r="B1079" t="str">
            <v>MARIA LUISA IBARRA CECEÑA (SONORA)</v>
          </cell>
          <cell r="C1079">
            <v>0</v>
          </cell>
          <cell r="D1079" t="str">
            <v>CDA. VALLE ESCONDIDO #49</v>
          </cell>
          <cell r="E1079" t="str">
            <v>GUAYMAS, SONORA</v>
          </cell>
          <cell r="F1079" t="str">
            <v>85423</v>
          </cell>
          <cell r="G1079" t="str">
            <v>(622) 125-5141</v>
          </cell>
          <cell r="H1079">
            <v>0</v>
          </cell>
          <cell r="I1079">
            <v>0</v>
          </cell>
          <cell r="J1079">
            <v>0</v>
          </cell>
          <cell r="K1079">
            <v>0</v>
          </cell>
          <cell r="L1079">
            <v>0</v>
          </cell>
          <cell r="M1079">
            <v>0</v>
          </cell>
          <cell r="N1079">
            <v>0</v>
          </cell>
          <cell r="O1079">
            <v>0</v>
          </cell>
          <cell r="P1079">
            <v>0</v>
          </cell>
          <cell r="Q1079">
            <v>0</v>
          </cell>
          <cell r="R1079">
            <v>0</v>
          </cell>
          <cell r="S1079">
            <v>0</v>
          </cell>
          <cell r="T1079">
            <v>0</v>
          </cell>
          <cell r="U1079">
            <v>0</v>
          </cell>
          <cell r="V1079" t="str">
            <v>FRACC. VALLE DEL MAR, GUAYMAS NTE.</v>
          </cell>
          <cell r="W1079">
            <v>0</v>
          </cell>
          <cell r="X1079">
            <v>0</v>
          </cell>
        </row>
        <row r="1080">
          <cell r="A1080">
            <v>7490</v>
          </cell>
          <cell r="B1080" t="str">
            <v>HERIBERTO CRUZ (ACAMBARO)</v>
          </cell>
          <cell r="C1080">
            <v>0</v>
          </cell>
          <cell r="D1080">
            <v>0</v>
          </cell>
          <cell r="E1080" t="str">
            <v>ACAMBARO, GTO.</v>
          </cell>
          <cell r="F1080">
            <v>0</v>
          </cell>
          <cell r="G1080">
            <v>0</v>
          </cell>
          <cell r="H1080">
            <v>0</v>
          </cell>
          <cell r="I1080">
            <v>0</v>
          </cell>
          <cell r="J1080">
            <v>0</v>
          </cell>
          <cell r="K1080">
            <v>0</v>
          </cell>
          <cell r="L1080">
            <v>0</v>
          </cell>
          <cell r="M1080">
            <v>0</v>
          </cell>
          <cell r="N1080">
            <v>0</v>
          </cell>
          <cell r="O1080">
            <v>0</v>
          </cell>
          <cell r="P1080">
            <v>0</v>
          </cell>
          <cell r="Q1080">
            <v>0</v>
          </cell>
          <cell r="R1080">
            <v>0</v>
          </cell>
          <cell r="S1080">
            <v>0</v>
          </cell>
          <cell r="T1080">
            <v>0</v>
          </cell>
          <cell r="U1080">
            <v>0</v>
          </cell>
          <cell r="V1080">
            <v>0</v>
          </cell>
          <cell r="W1080">
            <v>0</v>
          </cell>
          <cell r="X1080">
            <v>0</v>
          </cell>
        </row>
        <row r="1081">
          <cell r="A1081">
            <v>7491</v>
          </cell>
          <cell r="B1081" t="str">
            <v>TERE MANDUJANO (EL COLORADO)</v>
          </cell>
          <cell r="C1081">
            <v>0</v>
          </cell>
          <cell r="D1081">
            <v>0</v>
          </cell>
          <cell r="E1081" t="str">
            <v>EL COLORADO, QRO.</v>
          </cell>
          <cell r="F1081">
            <v>0</v>
          </cell>
          <cell r="G1081">
            <v>0</v>
          </cell>
          <cell r="H1081">
            <v>0</v>
          </cell>
          <cell r="I1081">
            <v>0</v>
          </cell>
          <cell r="J1081">
            <v>0</v>
          </cell>
          <cell r="K1081">
            <v>0</v>
          </cell>
          <cell r="L1081">
            <v>0</v>
          </cell>
          <cell r="M1081">
            <v>0</v>
          </cell>
          <cell r="N1081">
            <v>0</v>
          </cell>
          <cell r="O1081">
            <v>0</v>
          </cell>
          <cell r="P1081">
            <v>0</v>
          </cell>
          <cell r="Q1081">
            <v>0</v>
          </cell>
          <cell r="R1081">
            <v>0</v>
          </cell>
          <cell r="S1081">
            <v>0</v>
          </cell>
          <cell r="T1081">
            <v>0</v>
          </cell>
          <cell r="U1081">
            <v>0</v>
          </cell>
          <cell r="V1081">
            <v>0</v>
          </cell>
          <cell r="W1081">
            <v>0</v>
          </cell>
          <cell r="X1081">
            <v>0</v>
          </cell>
        </row>
        <row r="1082">
          <cell r="A1082">
            <v>7492</v>
          </cell>
          <cell r="B1082" t="str">
            <v>PAPELERIA LIZBETH (TEQUISQUIAPAN)</v>
          </cell>
          <cell r="C1082">
            <v>0</v>
          </cell>
          <cell r="D1082">
            <v>0</v>
          </cell>
          <cell r="E1082" t="str">
            <v>TEQUISQUIAPAN, QRO.</v>
          </cell>
          <cell r="F1082">
            <v>0</v>
          </cell>
          <cell r="G1082" t="str">
            <v>442 275-9686</v>
          </cell>
          <cell r="H1082">
            <v>0</v>
          </cell>
          <cell r="I1082">
            <v>0</v>
          </cell>
          <cell r="J1082">
            <v>0</v>
          </cell>
          <cell r="K1082">
            <v>0</v>
          </cell>
          <cell r="L1082">
            <v>0</v>
          </cell>
          <cell r="M1082">
            <v>0</v>
          </cell>
          <cell r="N1082">
            <v>0</v>
          </cell>
          <cell r="O1082">
            <v>0</v>
          </cell>
          <cell r="P1082">
            <v>0</v>
          </cell>
          <cell r="Q1082">
            <v>0</v>
          </cell>
          <cell r="R1082">
            <v>0</v>
          </cell>
          <cell r="S1082">
            <v>0</v>
          </cell>
          <cell r="T1082">
            <v>0</v>
          </cell>
          <cell r="U1082">
            <v>0</v>
          </cell>
          <cell r="V1082">
            <v>0</v>
          </cell>
          <cell r="W1082">
            <v>0</v>
          </cell>
          <cell r="X1082">
            <v>0</v>
          </cell>
        </row>
        <row r="1083">
          <cell r="A1083">
            <v>7493</v>
          </cell>
          <cell r="B1083" t="str">
            <v>FEREGLOBS (EPITACIO HUERTA)</v>
          </cell>
          <cell r="C1083">
            <v>0</v>
          </cell>
          <cell r="D1083">
            <v>0</v>
          </cell>
          <cell r="E1083" t="str">
            <v>EPITACIO HUERTA, MICH.</v>
          </cell>
          <cell r="F1083">
            <v>0</v>
          </cell>
          <cell r="G1083">
            <v>0</v>
          </cell>
          <cell r="H1083">
            <v>0</v>
          </cell>
          <cell r="I1083">
            <v>0</v>
          </cell>
          <cell r="J1083">
            <v>0</v>
          </cell>
          <cell r="K1083">
            <v>0</v>
          </cell>
          <cell r="L1083">
            <v>0</v>
          </cell>
          <cell r="M1083">
            <v>0</v>
          </cell>
          <cell r="N1083">
            <v>0</v>
          </cell>
          <cell r="O1083">
            <v>0</v>
          </cell>
          <cell r="P1083">
            <v>0</v>
          </cell>
          <cell r="Q1083">
            <v>0</v>
          </cell>
          <cell r="R1083">
            <v>0</v>
          </cell>
          <cell r="S1083">
            <v>0</v>
          </cell>
          <cell r="T1083">
            <v>0</v>
          </cell>
          <cell r="U1083">
            <v>0</v>
          </cell>
          <cell r="V1083">
            <v>0</v>
          </cell>
          <cell r="W1083">
            <v>0</v>
          </cell>
          <cell r="X1083">
            <v>0</v>
          </cell>
        </row>
        <row r="1084">
          <cell r="A1084">
            <v>7494</v>
          </cell>
          <cell r="B1084" t="str">
            <v>PAPELERIA PERLA (SAN JUAN)</v>
          </cell>
          <cell r="C1084">
            <v>0</v>
          </cell>
          <cell r="D1084">
            <v>0</v>
          </cell>
          <cell r="E1084" t="str">
            <v>SAN JUAN DEL RIO, QRO.</v>
          </cell>
          <cell r="F1084">
            <v>0</v>
          </cell>
          <cell r="G1084">
            <v>0</v>
          </cell>
          <cell r="H1084">
            <v>0</v>
          </cell>
          <cell r="I1084">
            <v>0</v>
          </cell>
          <cell r="J1084">
            <v>0</v>
          </cell>
          <cell r="K1084">
            <v>0</v>
          </cell>
          <cell r="L1084">
            <v>0</v>
          </cell>
          <cell r="M1084">
            <v>0</v>
          </cell>
          <cell r="N1084">
            <v>0</v>
          </cell>
          <cell r="O1084">
            <v>0</v>
          </cell>
          <cell r="P1084">
            <v>0</v>
          </cell>
          <cell r="Q1084">
            <v>0</v>
          </cell>
          <cell r="R1084">
            <v>0</v>
          </cell>
          <cell r="S1084">
            <v>0</v>
          </cell>
          <cell r="T1084">
            <v>0</v>
          </cell>
          <cell r="U1084">
            <v>0</v>
          </cell>
          <cell r="V1084">
            <v>0</v>
          </cell>
          <cell r="W1084">
            <v>0</v>
          </cell>
          <cell r="X1084">
            <v>0</v>
          </cell>
        </row>
        <row r="1085">
          <cell r="A1085">
            <v>7495</v>
          </cell>
          <cell r="B1085" t="str">
            <v>EL REGALITO DEL PUG (TEQUISQUIAPAN)</v>
          </cell>
          <cell r="C1085">
            <v>0</v>
          </cell>
          <cell r="D1085">
            <v>0</v>
          </cell>
          <cell r="E1085" t="str">
            <v>TEQUISQUIAPAN, QRO.</v>
          </cell>
          <cell r="F1085">
            <v>0</v>
          </cell>
          <cell r="G1085">
            <v>0</v>
          </cell>
          <cell r="H1085">
            <v>0</v>
          </cell>
          <cell r="I1085">
            <v>0</v>
          </cell>
          <cell r="J1085">
            <v>0</v>
          </cell>
          <cell r="K1085">
            <v>0</v>
          </cell>
          <cell r="L1085">
            <v>0</v>
          </cell>
          <cell r="M1085">
            <v>0</v>
          </cell>
          <cell r="N1085">
            <v>0</v>
          </cell>
          <cell r="O1085">
            <v>0</v>
          </cell>
          <cell r="P1085">
            <v>0</v>
          </cell>
          <cell r="Q1085">
            <v>0</v>
          </cell>
          <cell r="R1085">
            <v>0</v>
          </cell>
          <cell r="S1085">
            <v>0</v>
          </cell>
          <cell r="T1085">
            <v>0</v>
          </cell>
          <cell r="U1085">
            <v>0</v>
          </cell>
          <cell r="V1085">
            <v>0</v>
          </cell>
          <cell r="W1085">
            <v>0</v>
          </cell>
          <cell r="X1085">
            <v>0</v>
          </cell>
        </row>
        <row r="1086">
          <cell r="A1086">
            <v>7496</v>
          </cell>
          <cell r="B1086" t="str">
            <v>BRENDA NAVARRETE</v>
          </cell>
          <cell r="C1086">
            <v>0</v>
          </cell>
          <cell r="D1086">
            <v>0</v>
          </cell>
          <cell r="E1086">
            <v>0</v>
          </cell>
          <cell r="F1086">
            <v>0</v>
          </cell>
          <cell r="G1086">
            <v>0</v>
          </cell>
          <cell r="H1086">
            <v>0</v>
          </cell>
          <cell r="I1086">
            <v>0</v>
          </cell>
          <cell r="J1086">
            <v>0</v>
          </cell>
          <cell r="K1086">
            <v>0</v>
          </cell>
          <cell r="L1086">
            <v>0</v>
          </cell>
          <cell r="M1086">
            <v>0</v>
          </cell>
          <cell r="N1086">
            <v>0</v>
          </cell>
          <cell r="O1086">
            <v>0</v>
          </cell>
          <cell r="P1086">
            <v>0</v>
          </cell>
          <cell r="Q1086">
            <v>0</v>
          </cell>
          <cell r="R1086">
            <v>0</v>
          </cell>
          <cell r="S1086">
            <v>0</v>
          </cell>
          <cell r="T1086">
            <v>0</v>
          </cell>
          <cell r="U1086">
            <v>0</v>
          </cell>
          <cell r="V1086">
            <v>0</v>
          </cell>
          <cell r="W1086">
            <v>0</v>
          </cell>
          <cell r="X1086">
            <v>0</v>
          </cell>
        </row>
        <row r="1087">
          <cell r="A1087">
            <v>7497</v>
          </cell>
          <cell r="B1087" t="str">
            <v>SARA OFELIA OLVERA (APASEO EL GRANDE)</v>
          </cell>
          <cell r="C1087">
            <v>0</v>
          </cell>
          <cell r="D1087">
            <v>0</v>
          </cell>
          <cell r="E1087" t="str">
            <v xml:space="preserve">APASEO EL GRANDE, GTO.        </v>
          </cell>
          <cell r="F1087">
            <v>0</v>
          </cell>
          <cell r="G1087">
            <v>0</v>
          </cell>
          <cell r="H1087">
            <v>0</v>
          </cell>
          <cell r="I1087">
            <v>0</v>
          </cell>
          <cell r="J1087">
            <v>0</v>
          </cell>
          <cell r="K1087">
            <v>0</v>
          </cell>
          <cell r="L1087">
            <v>0</v>
          </cell>
          <cell r="M1087">
            <v>0</v>
          </cell>
          <cell r="N1087">
            <v>0</v>
          </cell>
          <cell r="O1087">
            <v>0</v>
          </cell>
          <cell r="P1087">
            <v>0</v>
          </cell>
          <cell r="Q1087">
            <v>0</v>
          </cell>
          <cell r="R1087">
            <v>0</v>
          </cell>
          <cell r="S1087">
            <v>0</v>
          </cell>
          <cell r="T1087">
            <v>0</v>
          </cell>
          <cell r="U1087">
            <v>0</v>
          </cell>
          <cell r="V1087">
            <v>0</v>
          </cell>
          <cell r="W1087">
            <v>0</v>
          </cell>
          <cell r="X1087">
            <v>0</v>
          </cell>
        </row>
        <row r="1088">
          <cell r="A1088">
            <v>7498</v>
          </cell>
          <cell r="B1088" t="str">
            <v>PAPELERIA PLUS II - MARTHA (YURIRIA)</v>
          </cell>
          <cell r="C1088">
            <v>0</v>
          </cell>
          <cell r="D1088" t="str">
            <v>JUAREZ</v>
          </cell>
          <cell r="E1088" t="str">
            <v>YURIRIA, GTO.</v>
          </cell>
          <cell r="F1088">
            <v>0</v>
          </cell>
          <cell r="G1088">
            <v>0</v>
          </cell>
          <cell r="H1088">
            <v>0</v>
          </cell>
          <cell r="I1088">
            <v>0</v>
          </cell>
          <cell r="J1088">
            <v>0</v>
          </cell>
          <cell r="K1088">
            <v>0</v>
          </cell>
          <cell r="L1088">
            <v>0</v>
          </cell>
          <cell r="M1088">
            <v>0</v>
          </cell>
          <cell r="N1088">
            <v>0</v>
          </cell>
          <cell r="O1088">
            <v>0</v>
          </cell>
          <cell r="P1088">
            <v>0</v>
          </cell>
          <cell r="Q1088">
            <v>0</v>
          </cell>
          <cell r="R1088">
            <v>0</v>
          </cell>
          <cell r="S1088">
            <v>0</v>
          </cell>
          <cell r="T1088">
            <v>0</v>
          </cell>
          <cell r="U1088">
            <v>0</v>
          </cell>
          <cell r="V1088" t="str">
            <v>CENTRO</v>
          </cell>
          <cell r="W1088">
            <v>0</v>
          </cell>
          <cell r="X1088">
            <v>0</v>
          </cell>
        </row>
        <row r="1089">
          <cell r="A1089">
            <v>7499</v>
          </cell>
          <cell r="B1089" t="str">
            <v>KOOL PARTY (TARANDA)</v>
          </cell>
          <cell r="C1089">
            <v>0</v>
          </cell>
          <cell r="D1089">
            <v>0</v>
          </cell>
          <cell r="E1089" t="str">
            <v>TARANDACUAO, GTO.</v>
          </cell>
          <cell r="F1089">
            <v>0</v>
          </cell>
          <cell r="G1089">
            <v>0</v>
          </cell>
          <cell r="H1089">
            <v>0</v>
          </cell>
          <cell r="I1089">
            <v>0</v>
          </cell>
          <cell r="J1089">
            <v>0</v>
          </cell>
          <cell r="K1089">
            <v>0</v>
          </cell>
          <cell r="L1089">
            <v>0</v>
          </cell>
          <cell r="M1089">
            <v>0</v>
          </cell>
          <cell r="N1089">
            <v>0</v>
          </cell>
          <cell r="O1089">
            <v>0</v>
          </cell>
          <cell r="P1089">
            <v>0</v>
          </cell>
          <cell r="Q1089">
            <v>0</v>
          </cell>
          <cell r="R1089">
            <v>0</v>
          </cell>
          <cell r="S1089">
            <v>0</v>
          </cell>
          <cell r="T1089">
            <v>0</v>
          </cell>
          <cell r="U1089">
            <v>0</v>
          </cell>
          <cell r="V1089">
            <v>0</v>
          </cell>
          <cell r="W1089">
            <v>0</v>
          </cell>
          <cell r="X1089">
            <v>0</v>
          </cell>
        </row>
        <row r="1090">
          <cell r="A1090">
            <v>7500</v>
          </cell>
          <cell r="B1090" t="str">
            <v>ABBY LITTE MONKEY (SAN JUAN)</v>
          </cell>
          <cell r="C1090">
            <v>0</v>
          </cell>
          <cell r="D1090">
            <v>0</v>
          </cell>
          <cell r="E1090" t="str">
            <v>SAN JUAN DEL RIO, QRO.</v>
          </cell>
          <cell r="F1090">
            <v>0</v>
          </cell>
          <cell r="G1090">
            <v>0</v>
          </cell>
          <cell r="H1090">
            <v>0</v>
          </cell>
          <cell r="I1090">
            <v>0</v>
          </cell>
          <cell r="J1090">
            <v>0</v>
          </cell>
          <cell r="K1090">
            <v>0</v>
          </cell>
          <cell r="L1090">
            <v>0</v>
          </cell>
          <cell r="M1090">
            <v>0</v>
          </cell>
          <cell r="N1090">
            <v>0</v>
          </cell>
          <cell r="O1090">
            <v>0</v>
          </cell>
          <cell r="P1090">
            <v>0</v>
          </cell>
          <cell r="Q1090">
            <v>0</v>
          </cell>
          <cell r="R1090">
            <v>0</v>
          </cell>
          <cell r="S1090">
            <v>0</v>
          </cell>
          <cell r="T1090">
            <v>0</v>
          </cell>
          <cell r="U1090">
            <v>0</v>
          </cell>
          <cell r="V1090">
            <v>0</v>
          </cell>
          <cell r="W1090">
            <v>0</v>
          </cell>
          <cell r="X1090">
            <v>0</v>
          </cell>
        </row>
        <row r="1091">
          <cell r="A1091">
            <v>7501</v>
          </cell>
          <cell r="B1091" t="str">
            <v>DANIELA ZARCO "JUGUEQRO" (QUERETARO)</v>
          </cell>
          <cell r="C1091">
            <v>0</v>
          </cell>
          <cell r="D1091">
            <v>0</v>
          </cell>
          <cell r="E1091" t="str">
            <v>QUERETARO, QRO.</v>
          </cell>
          <cell r="F1091">
            <v>0</v>
          </cell>
          <cell r="G1091">
            <v>0</v>
          </cell>
          <cell r="H1091">
            <v>0</v>
          </cell>
          <cell r="I1091">
            <v>0</v>
          </cell>
          <cell r="J1091">
            <v>0</v>
          </cell>
          <cell r="K1091">
            <v>0</v>
          </cell>
          <cell r="L1091">
            <v>0</v>
          </cell>
          <cell r="M1091">
            <v>0</v>
          </cell>
          <cell r="N1091">
            <v>0</v>
          </cell>
          <cell r="O1091">
            <v>0</v>
          </cell>
          <cell r="P1091">
            <v>0</v>
          </cell>
          <cell r="Q1091">
            <v>0</v>
          </cell>
          <cell r="R1091">
            <v>0</v>
          </cell>
          <cell r="S1091">
            <v>0</v>
          </cell>
          <cell r="T1091">
            <v>0</v>
          </cell>
          <cell r="U1091">
            <v>0</v>
          </cell>
          <cell r="V1091">
            <v>0</v>
          </cell>
          <cell r="W1091">
            <v>0</v>
          </cell>
          <cell r="X1091">
            <v>0</v>
          </cell>
        </row>
        <row r="1092">
          <cell r="A1092">
            <v>7502</v>
          </cell>
          <cell r="B1092" t="str">
            <v>ULISES GARCIA MARTINEZ (MICHOACAN)</v>
          </cell>
          <cell r="C1092">
            <v>0</v>
          </cell>
          <cell r="D1092" t="str">
            <v>CIRCUITO MORELOS #33</v>
          </cell>
          <cell r="E1092" t="str">
            <v>APATZINGAN, MICH.</v>
          </cell>
          <cell r="F1092" t="str">
            <v>60626</v>
          </cell>
          <cell r="G1092" t="str">
            <v>453 117-7365</v>
          </cell>
          <cell r="H1092">
            <v>0</v>
          </cell>
          <cell r="I1092">
            <v>0</v>
          </cell>
          <cell r="J1092">
            <v>0</v>
          </cell>
          <cell r="K1092">
            <v>0</v>
          </cell>
          <cell r="L1092">
            <v>0</v>
          </cell>
          <cell r="M1092">
            <v>0</v>
          </cell>
          <cell r="N1092">
            <v>0</v>
          </cell>
          <cell r="O1092">
            <v>0</v>
          </cell>
          <cell r="P1092">
            <v>0</v>
          </cell>
          <cell r="Q1092">
            <v>0</v>
          </cell>
          <cell r="R1092">
            <v>0</v>
          </cell>
          <cell r="S1092">
            <v>0</v>
          </cell>
          <cell r="T1092">
            <v>0</v>
          </cell>
          <cell r="U1092">
            <v>0</v>
          </cell>
          <cell r="V1092" t="str">
            <v>FOVISSSTE</v>
          </cell>
          <cell r="W1092">
            <v>0</v>
          </cell>
          <cell r="X1092" t="str">
            <v>revistatriunfomusical@outlook.com</v>
          </cell>
        </row>
        <row r="1093">
          <cell r="A1093">
            <v>7503</v>
          </cell>
          <cell r="B1093" t="str">
            <v>ARTURO VAZQUEZ "ROLLY POLLY" (QUERETARO)</v>
          </cell>
          <cell r="C1093">
            <v>0</v>
          </cell>
          <cell r="D1093">
            <v>0</v>
          </cell>
          <cell r="E1093" t="str">
            <v>QUERETARO, QRO.</v>
          </cell>
          <cell r="F1093">
            <v>0</v>
          </cell>
          <cell r="G1093">
            <v>0</v>
          </cell>
          <cell r="H1093">
            <v>0</v>
          </cell>
          <cell r="I1093">
            <v>0</v>
          </cell>
          <cell r="J1093">
            <v>0</v>
          </cell>
          <cell r="K1093">
            <v>0</v>
          </cell>
          <cell r="L1093">
            <v>0</v>
          </cell>
          <cell r="M1093">
            <v>0</v>
          </cell>
          <cell r="N1093">
            <v>0</v>
          </cell>
          <cell r="O1093">
            <v>0</v>
          </cell>
          <cell r="P1093">
            <v>0</v>
          </cell>
          <cell r="Q1093">
            <v>0</v>
          </cell>
          <cell r="R1093">
            <v>0</v>
          </cell>
          <cell r="S1093">
            <v>0</v>
          </cell>
          <cell r="T1093">
            <v>0</v>
          </cell>
          <cell r="U1093">
            <v>0</v>
          </cell>
          <cell r="V1093">
            <v>0</v>
          </cell>
          <cell r="W1093">
            <v>0</v>
          </cell>
          <cell r="X1093">
            <v>0</v>
          </cell>
        </row>
        <row r="1094">
          <cell r="A1094">
            <v>7504</v>
          </cell>
          <cell r="B1094" t="str">
            <v>LORENA HERNANDEZ (TULTEPEC)</v>
          </cell>
          <cell r="C1094">
            <v>0</v>
          </cell>
          <cell r="D1094">
            <v>0</v>
          </cell>
          <cell r="E1094" t="str">
            <v>TULTEPEC, EDO. DE MEXICO</v>
          </cell>
          <cell r="F1094">
            <v>0</v>
          </cell>
          <cell r="G1094">
            <v>0</v>
          </cell>
          <cell r="H1094">
            <v>0</v>
          </cell>
          <cell r="I1094">
            <v>0</v>
          </cell>
          <cell r="J1094">
            <v>0</v>
          </cell>
          <cell r="K1094">
            <v>0</v>
          </cell>
          <cell r="L1094">
            <v>0</v>
          </cell>
          <cell r="M1094">
            <v>0</v>
          </cell>
          <cell r="N1094">
            <v>0</v>
          </cell>
          <cell r="O1094">
            <v>0</v>
          </cell>
          <cell r="P1094">
            <v>0</v>
          </cell>
          <cell r="Q1094">
            <v>0</v>
          </cell>
          <cell r="R1094">
            <v>0</v>
          </cell>
          <cell r="S1094">
            <v>0</v>
          </cell>
          <cell r="T1094">
            <v>0</v>
          </cell>
          <cell r="U1094">
            <v>0</v>
          </cell>
          <cell r="V1094">
            <v>0</v>
          </cell>
          <cell r="W1094">
            <v>0</v>
          </cell>
          <cell r="X1094">
            <v>0</v>
          </cell>
        </row>
        <row r="1095">
          <cell r="A1095">
            <v>7505</v>
          </cell>
          <cell r="B1095" t="str">
            <v>LUZ ELENA URIASTEGUI (TULA)</v>
          </cell>
          <cell r="C1095">
            <v>0</v>
          </cell>
          <cell r="D1095">
            <v>0</v>
          </cell>
          <cell r="E1095" t="str">
            <v>TULA, HGO.</v>
          </cell>
          <cell r="F1095">
            <v>0</v>
          </cell>
          <cell r="G1095">
            <v>0</v>
          </cell>
          <cell r="H1095">
            <v>0</v>
          </cell>
          <cell r="I1095">
            <v>0</v>
          </cell>
          <cell r="J1095">
            <v>0</v>
          </cell>
          <cell r="K1095">
            <v>0</v>
          </cell>
          <cell r="L1095">
            <v>0</v>
          </cell>
          <cell r="M1095">
            <v>0</v>
          </cell>
          <cell r="N1095">
            <v>0</v>
          </cell>
          <cell r="O1095">
            <v>0</v>
          </cell>
          <cell r="P1095">
            <v>0</v>
          </cell>
          <cell r="Q1095">
            <v>0</v>
          </cell>
          <cell r="R1095">
            <v>0</v>
          </cell>
          <cell r="S1095">
            <v>0</v>
          </cell>
          <cell r="T1095">
            <v>0</v>
          </cell>
          <cell r="U1095">
            <v>0</v>
          </cell>
          <cell r="V1095">
            <v>0</v>
          </cell>
          <cell r="W1095">
            <v>0</v>
          </cell>
          <cell r="X1095">
            <v>0</v>
          </cell>
        </row>
        <row r="1096">
          <cell r="A1096">
            <v>0</v>
          </cell>
          <cell r="B1096">
            <v>0</v>
          </cell>
          <cell r="C1096">
            <v>0</v>
          </cell>
          <cell r="D1096">
            <v>0</v>
          </cell>
          <cell r="E1096">
            <v>0</v>
          </cell>
          <cell r="F1096">
            <v>0</v>
          </cell>
          <cell r="G1096">
            <v>0</v>
          </cell>
          <cell r="H1096">
            <v>0</v>
          </cell>
          <cell r="I1096">
            <v>0</v>
          </cell>
          <cell r="J1096">
            <v>0</v>
          </cell>
          <cell r="K1096">
            <v>0</v>
          </cell>
          <cell r="L1096">
            <v>0</v>
          </cell>
          <cell r="M1096">
            <v>0</v>
          </cell>
          <cell r="N1096">
            <v>0</v>
          </cell>
          <cell r="O1096">
            <v>0</v>
          </cell>
          <cell r="P1096">
            <v>0</v>
          </cell>
          <cell r="Q1096">
            <v>0</v>
          </cell>
          <cell r="R1096">
            <v>0</v>
          </cell>
          <cell r="S1096">
            <v>0</v>
          </cell>
          <cell r="T1096">
            <v>0</v>
          </cell>
          <cell r="U1096">
            <v>0</v>
          </cell>
          <cell r="V1096">
            <v>0</v>
          </cell>
          <cell r="W1096">
            <v>0</v>
          </cell>
          <cell r="X1096">
            <v>0</v>
          </cell>
        </row>
        <row r="1097">
          <cell r="A1097" t="str">
            <v>-</v>
          </cell>
          <cell r="B1097" t="str">
            <v>CANCELADA</v>
          </cell>
          <cell r="C1097">
            <v>0</v>
          </cell>
          <cell r="D1097">
            <v>0</v>
          </cell>
          <cell r="E1097">
            <v>0</v>
          </cell>
          <cell r="F1097">
            <v>0</v>
          </cell>
          <cell r="G1097">
            <v>0</v>
          </cell>
          <cell r="H1097">
            <v>0</v>
          </cell>
          <cell r="I1097">
            <v>0</v>
          </cell>
          <cell r="J1097">
            <v>0</v>
          </cell>
          <cell r="K1097">
            <v>0</v>
          </cell>
          <cell r="L1097">
            <v>0</v>
          </cell>
          <cell r="M1097">
            <v>0</v>
          </cell>
          <cell r="N1097">
            <v>0</v>
          </cell>
          <cell r="O1097">
            <v>0</v>
          </cell>
          <cell r="P1097">
            <v>0</v>
          </cell>
          <cell r="Q1097">
            <v>0</v>
          </cell>
          <cell r="R1097">
            <v>0</v>
          </cell>
          <cell r="S1097">
            <v>0</v>
          </cell>
          <cell r="T1097">
            <v>0</v>
          </cell>
          <cell r="U1097">
            <v>0</v>
          </cell>
          <cell r="V1097">
            <v>0</v>
          </cell>
          <cell r="W1097">
            <v>0</v>
          </cell>
          <cell r="X1097">
            <v>0</v>
          </cell>
        </row>
        <row r="1098">
          <cell r="A1098">
            <v>0</v>
          </cell>
          <cell r="B1098" t="str">
            <v xml:space="preserve">NITZA BEATRIZ CORDOBA CONTRERAS (OJO DE AGUA) </v>
          </cell>
          <cell r="C1098">
            <v>0</v>
          </cell>
          <cell r="D1098" t="str">
            <v>LIMONES MZ. 95 LT. 60</v>
          </cell>
          <cell r="E1098" t="str">
            <v>OJO DE AGUA, EDO. DE MEXICO</v>
          </cell>
          <cell r="F1098">
            <v>0</v>
          </cell>
          <cell r="G1098">
            <v>0</v>
          </cell>
          <cell r="H1098">
            <v>0</v>
          </cell>
          <cell r="I1098">
            <v>0</v>
          </cell>
          <cell r="J1098" t="str">
            <v>F02-A</v>
          </cell>
          <cell r="K1098">
            <v>0</v>
          </cell>
          <cell r="L1098">
            <v>0</v>
          </cell>
          <cell r="M1098">
            <v>0</v>
          </cell>
          <cell r="N1098">
            <v>0</v>
          </cell>
          <cell r="O1098">
            <v>0</v>
          </cell>
          <cell r="P1098">
            <v>0</v>
          </cell>
          <cell r="Q1098">
            <v>0</v>
          </cell>
          <cell r="R1098">
            <v>0</v>
          </cell>
          <cell r="S1098">
            <v>0</v>
          </cell>
          <cell r="T1098">
            <v>0</v>
          </cell>
          <cell r="U1098">
            <v>0</v>
          </cell>
          <cell r="V1098">
            <v>0</v>
          </cell>
          <cell r="W1098">
            <v>0</v>
          </cell>
          <cell r="X1098">
            <v>0</v>
          </cell>
        </row>
        <row r="1099">
          <cell r="A1099">
            <v>0</v>
          </cell>
          <cell r="B1099" t="str">
            <v>MIRIAM (QUERETARO)</v>
          </cell>
          <cell r="C1099">
            <v>0</v>
          </cell>
          <cell r="D1099" t="str">
            <v>AV. SOMBRERETE #1301 FRENTE A COBAC 17</v>
          </cell>
          <cell r="E1099" t="str">
            <v>QUERETARO, QRO.</v>
          </cell>
          <cell r="F1099">
            <v>0</v>
          </cell>
          <cell r="G1099" t="str">
            <v>(442) 170-4651</v>
          </cell>
          <cell r="H1099">
            <v>0</v>
          </cell>
          <cell r="I1099">
            <v>0</v>
          </cell>
          <cell r="J1099" t="str">
            <v>L04</v>
          </cell>
          <cell r="K1099">
            <v>0</v>
          </cell>
          <cell r="L1099">
            <v>0</v>
          </cell>
          <cell r="M1099">
            <v>0</v>
          </cell>
          <cell r="N1099">
            <v>0</v>
          </cell>
          <cell r="O1099">
            <v>0</v>
          </cell>
          <cell r="P1099">
            <v>0</v>
          </cell>
          <cell r="Q1099">
            <v>0</v>
          </cell>
          <cell r="R1099">
            <v>0</v>
          </cell>
          <cell r="S1099">
            <v>0</v>
          </cell>
          <cell r="T1099">
            <v>0</v>
          </cell>
          <cell r="U1099">
            <v>0</v>
          </cell>
          <cell r="V1099" t="str">
            <v>LOS ENCINOS</v>
          </cell>
          <cell r="W1099">
            <v>0</v>
          </cell>
          <cell r="X1099">
            <v>0</v>
          </cell>
        </row>
        <row r="1100">
          <cell r="A1100">
            <v>0</v>
          </cell>
          <cell r="B1100" t="str">
            <v>PAPELERIA LA OLIMPICA (EL COLORADO)</v>
          </cell>
          <cell r="C1100">
            <v>0</v>
          </cell>
          <cell r="D1100" t="str">
            <v>VICENTE GUERRERO #1</v>
          </cell>
          <cell r="E1100" t="str">
            <v>EL COLORADO, QRO.</v>
          </cell>
          <cell r="F1100">
            <v>0</v>
          </cell>
          <cell r="G1100">
            <v>0</v>
          </cell>
          <cell r="H1100">
            <v>0</v>
          </cell>
          <cell r="I1100">
            <v>0</v>
          </cell>
          <cell r="J1100">
            <v>0</v>
          </cell>
          <cell r="K1100">
            <v>0</v>
          </cell>
          <cell r="L1100">
            <v>0</v>
          </cell>
          <cell r="M1100">
            <v>0</v>
          </cell>
          <cell r="N1100">
            <v>0</v>
          </cell>
          <cell r="O1100">
            <v>0</v>
          </cell>
          <cell r="P1100">
            <v>0</v>
          </cell>
          <cell r="Q1100">
            <v>0</v>
          </cell>
          <cell r="R1100">
            <v>0</v>
          </cell>
          <cell r="S1100">
            <v>0</v>
          </cell>
          <cell r="T1100">
            <v>0</v>
          </cell>
          <cell r="U1100">
            <v>0</v>
          </cell>
          <cell r="V1100">
            <v>0</v>
          </cell>
          <cell r="W1100">
            <v>0</v>
          </cell>
          <cell r="X1100">
            <v>0</v>
          </cell>
        </row>
        <row r="1101">
          <cell r="A1101" t="str">
            <v>A1017</v>
          </cell>
          <cell r="B1101" t="str">
            <v>JESUS LEYVA (SAN JUAN)</v>
          </cell>
          <cell r="C1101" t="str">
            <v>SR. BERTHA PINEDA</v>
          </cell>
          <cell r="D1101">
            <v>0</v>
          </cell>
          <cell r="E1101" t="str">
            <v>SAN JUAN DEL RIO, QRO.</v>
          </cell>
          <cell r="F1101">
            <v>0</v>
          </cell>
          <cell r="G1101" t="str">
            <v>(442) 461-1243</v>
          </cell>
          <cell r="H1101">
            <v>0</v>
          </cell>
          <cell r="I1101">
            <v>0</v>
          </cell>
          <cell r="J1101" t="str">
            <v>J03</v>
          </cell>
          <cell r="K1101">
            <v>0</v>
          </cell>
          <cell r="L1101">
            <v>0</v>
          </cell>
          <cell r="M1101">
            <v>0</v>
          </cell>
          <cell r="N1101">
            <v>0</v>
          </cell>
          <cell r="O1101">
            <v>0</v>
          </cell>
          <cell r="P1101">
            <v>0</v>
          </cell>
          <cell r="Q1101">
            <v>0</v>
          </cell>
          <cell r="R1101">
            <v>0</v>
          </cell>
          <cell r="S1101">
            <v>0</v>
          </cell>
          <cell r="T1101">
            <v>0</v>
          </cell>
          <cell r="U1101">
            <v>0</v>
          </cell>
          <cell r="V1101">
            <v>0</v>
          </cell>
          <cell r="W1101">
            <v>0</v>
          </cell>
          <cell r="X1101">
            <v>0</v>
          </cell>
        </row>
        <row r="1102">
          <cell r="A1102" t="str">
            <v>A2001</v>
          </cell>
          <cell r="B1102" t="str">
            <v>JESUS MICHAUS (TEQUIS)</v>
          </cell>
          <cell r="C1102">
            <v>0</v>
          </cell>
          <cell r="D1102">
            <v>0</v>
          </cell>
          <cell r="E1102">
            <v>0</v>
          </cell>
          <cell r="F1102">
            <v>0</v>
          </cell>
          <cell r="G1102">
            <v>0</v>
          </cell>
          <cell r="H1102">
            <v>0</v>
          </cell>
          <cell r="I1102">
            <v>0</v>
          </cell>
          <cell r="J1102">
            <v>0</v>
          </cell>
          <cell r="K1102">
            <v>0</v>
          </cell>
          <cell r="L1102">
            <v>0</v>
          </cell>
          <cell r="M1102">
            <v>0</v>
          </cell>
          <cell r="N1102">
            <v>0</v>
          </cell>
          <cell r="O1102">
            <v>0</v>
          </cell>
          <cell r="P1102">
            <v>0</v>
          </cell>
          <cell r="Q1102">
            <v>0</v>
          </cell>
          <cell r="R1102">
            <v>0</v>
          </cell>
          <cell r="S1102">
            <v>0</v>
          </cell>
          <cell r="T1102">
            <v>0</v>
          </cell>
          <cell r="U1102">
            <v>0</v>
          </cell>
          <cell r="V1102">
            <v>0</v>
          </cell>
          <cell r="W1102">
            <v>0</v>
          </cell>
          <cell r="X1102">
            <v>0</v>
          </cell>
        </row>
        <row r="1103">
          <cell r="A1103" t="str">
            <v>A2025</v>
          </cell>
          <cell r="B1103" t="str">
            <v>FILIBERTO RESENDIZ (E. MONTES)</v>
          </cell>
          <cell r="C1103">
            <v>0</v>
          </cell>
          <cell r="D1103">
            <v>0</v>
          </cell>
          <cell r="E1103" t="str">
            <v>EZEQUIEL MONTES, QRO.</v>
          </cell>
          <cell r="F1103">
            <v>0</v>
          </cell>
          <cell r="G1103">
            <v>0</v>
          </cell>
          <cell r="H1103">
            <v>0</v>
          </cell>
          <cell r="I1103">
            <v>0</v>
          </cell>
          <cell r="J1103">
            <v>0</v>
          </cell>
          <cell r="K1103">
            <v>0</v>
          </cell>
          <cell r="L1103">
            <v>0</v>
          </cell>
          <cell r="M1103">
            <v>0</v>
          </cell>
          <cell r="N1103">
            <v>0</v>
          </cell>
          <cell r="O1103">
            <v>0</v>
          </cell>
          <cell r="P1103">
            <v>0</v>
          </cell>
          <cell r="Q1103">
            <v>0</v>
          </cell>
          <cell r="R1103">
            <v>0</v>
          </cell>
          <cell r="S1103">
            <v>0</v>
          </cell>
          <cell r="T1103">
            <v>0</v>
          </cell>
          <cell r="U1103">
            <v>0</v>
          </cell>
          <cell r="V1103">
            <v>0</v>
          </cell>
          <cell r="W1103">
            <v>0</v>
          </cell>
          <cell r="X1103">
            <v>0</v>
          </cell>
        </row>
        <row r="1104">
          <cell r="A1104" t="str">
            <v>A2026</v>
          </cell>
          <cell r="B1104" t="str">
            <v>JAIME RESENDIZ (E. MONTES)</v>
          </cell>
          <cell r="C1104">
            <v>0</v>
          </cell>
          <cell r="D1104">
            <v>0</v>
          </cell>
          <cell r="E1104" t="str">
            <v>EZEQUIEL MONTES, QRO.</v>
          </cell>
          <cell r="F1104">
            <v>0</v>
          </cell>
          <cell r="G1104">
            <v>0</v>
          </cell>
          <cell r="H1104">
            <v>0</v>
          </cell>
          <cell r="I1104">
            <v>0</v>
          </cell>
          <cell r="J1104">
            <v>0</v>
          </cell>
          <cell r="K1104">
            <v>0</v>
          </cell>
          <cell r="L1104">
            <v>0</v>
          </cell>
          <cell r="M1104">
            <v>0</v>
          </cell>
          <cell r="N1104">
            <v>0</v>
          </cell>
          <cell r="O1104">
            <v>0</v>
          </cell>
          <cell r="P1104">
            <v>0</v>
          </cell>
          <cell r="Q1104">
            <v>0</v>
          </cell>
          <cell r="R1104">
            <v>0</v>
          </cell>
          <cell r="S1104">
            <v>0</v>
          </cell>
          <cell r="T1104">
            <v>0</v>
          </cell>
          <cell r="U1104">
            <v>0</v>
          </cell>
          <cell r="V1104">
            <v>0</v>
          </cell>
          <cell r="W1104">
            <v>0</v>
          </cell>
          <cell r="X1104">
            <v>0</v>
          </cell>
        </row>
        <row r="1105">
          <cell r="A1105" t="str">
            <v>A6055</v>
          </cell>
          <cell r="B1105" t="str">
            <v>OSCAR OLGUIN (IXMIQUILPAN)</v>
          </cell>
          <cell r="C1105" t="str">
            <v>42300</v>
          </cell>
          <cell r="D1105" t="str">
            <v>AV. INSURGENTES OTE. #109</v>
          </cell>
          <cell r="E1105" t="str">
            <v>IXMIQUILPAN, HGO.</v>
          </cell>
          <cell r="F1105">
            <v>0</v>
          </cell>
          <cell r="G1105" t="str">
            <v>(772) 123-7962</v>
          </cell>
          <cell r="H1105">
            <v>0</v>
          </cell>
          <cell r="I1105">
            <v>0</v>
          </cell>
          <cell r="J1105">
            <v>0</v>
          </cell>
          <cell r="K1105">
            <v>0</v>
          </cell>
          <cell r="L1105">
            <v>0</v>
          </cell>
          <cell r="M1105">
            <v>0</v>
          </cell>
          <cell r="N1105">
            <v>0</v>
          </cell>
          <cell r="O1105">
            <v>0</v>
          </cell>
          <cell r="P1105">
            <v>0</v>
          </cell>
          <cell r="Q1105">
            <v>0</v>
          </cell>
          <cell r="R1105">
            <v>0</v>
          </cell>
          <cell r="S1105">
            <v>0</v>
          </cell>
          <cell r="T1105">
            <v>0</v>
          </cell>
          <cell r="U1105">
            <v>0</v>
          </cell>
          <cell r="V1105" t="str">
            <v>CENTRO</v>
          </cell>
          <cell r="W1105">
            <v>0</v>
          </cell>
          <cell r="X1105">
            <v>0</v>
          </cell>
        </row>
        <row r="1106">
          <cell r="A1106" t="str">
            <v>A8013</v>
          </cell>
          <cell r="B1106" t="str">
            <v>GILBERTO MARTINEZ (ACAMBAY)</v>
          </cell>
          <cell r="C1106" t="str">
            <v>50333</v>
          </cell>
          <cell r="D1106" t="str">
            <v>CARR. PANAMERICANA S/N</v>
          </cell>
          <cell r="E1106" t="str">
            <v>ACAMBAY, EDO. DE MEXICO</v>
          </cell>
          <cell r="F1106">
            <v>0</v>
          </cell>
          <cell r="G1106" t="str">
            <v>(712) 336-3136</v>
          </cell>
          <cell r="H1106">
            <v>0</v>
          </cell>
          <cell r="I1106">
            <v>0</v>
          </cell>
          <cell r="J1106">
            <v>0</v>
          </cell>
          <cell r="K1106">
            <v>0</v>
          </cell>
          <cell r="L1106">
            <v>0</v>
          </cell>
          <cell r="M1106">
            <v>0</v>
          </cell>
          <cell r="N1106">
            <v>0</v>
          </cell>
          <cell r="O1106">
            <v>0</v>
          </cell>
          <cell r="P1106">
            <v>0</v>
          </cell>
          <cell r="Q1106">
            <v>0</v>
          </cell>
          <cell r="R1106">
            <v>0</v>
          </cell>
          <cell r="S1106">
            <v>0</v>
          </cell>
          <cell r="T1106">
            <v>0</v>
          </cell>
          <cell r="U1106">
            <v>0</v>
          </cell>
          <cell r="V1106" t="str">
            <v>ACAMBAY CABECERA</v>
          </cell>
          <cell r="W1106">
            <v>0</v>
          </cell>
          <cell r="X1106">
            <v>0</v>
          </cell>
        </row>
        <row r="1107">
          <cell r="A1107" t="str">
            <v>C1010</v>
          </cell>
          <cell r="B1107" t="str">
            <v>ESTELA GALLEGOS (VILLA)</v>
          </cell>
          <cell r="C1107">
            <v>0</v>
          </cell>
          <cell r="D1107">
            <v>0</v>
          </cell>
          <cell r="E1107">
            <v>0</v>
          </cell>
          <cell r="F1107">
            <v>0</v>
          </cell>
          <cell r="G1107">
            <v>0</v>
          </cell>
          <cell r="H1107">
            <v>0</v>
          </cell>
          <cell r="I1107">
            <v>0</v>
          </cell>
          <cell r="J1107">
            <v>0</v>
          </cell>
          <cell r="K1107">
            <v>0</v>
          </cell>
          <cell r="L1107">
            <v>0</v>
          </cell>
          <cell r="M1107">
            <v>0</v>
          </cell>
          <cell r="N1107">
            <v>0</v>
          </cell>
          <cell r="O1107">
            <v>0</v>
          </cell>
          <cell r="P1107">
            <v>0</v>
          </cell>
          <cell r="Q1107">
            <v>0</v>
          </cell>
          <cell r="R1107">
            <v>0</v>
          </cell>
          <cell r="S1107">
            <v>0</v>
          </cell>
          <cell r="T1107">
            <v>0</v>
          </cell>
          <cell r="U1107">
            <v>0</v>
          </cell>
          <cell r="V1107">
            <v>0</v>
          </cell>
          <cell r="W1107">
            <v>0</v>
          </cell>
          <cell r="X1107">
            <v>0</v>
          </cell>
        </row>
        <row r="1108">
          <cell r="A1108" t="str">
            <v>C1011</v>
          </cell>
          <cell r="B1108" t="str">
            <v>BRISA HERNANDEZ (COACALCO)</v>
          </cell>
          <cell r="C1108">
            <v>0</v>
          </cell>
          <cell r="D1108">
            <v>0</v>
          </cell>
          <cell r="E1108">
            <v>0</v>
          </cell>
          <cell r="F1108">
            <v>0</v>
          </cell>
          <cell r="G1108">
            <v>0</v>
          </cell>
          <cell r="H1108">
            <v>0</v>
          </cell>
          <cell r="I1108">
            <v>0</v>
          </cell>
          <cell r="J1108">
            <v>0</v>
          </cell>
          <cell r="K1108">
            <v>0</v>
          </cell>
          <cell r="L1108">
            <v>0</v>
          </cell>
          <cell r="M1108">
            <v>0</v>
          </cell>
          <cell r="N1108">
            <v>0</v>
          </cell>
          <cell r="O1108">
            <v>0</v>
          </cell>
          <cell r="P1108">
            <v>0</v>
          </cell>
          <cell r="Q1108">
            <v>0</v>
          </cell>
          <cell r="R1108">
            <v>0</v>
          </cell>
          <cell r="S1108">
            <v>0</v>
          </cell>
          <cell r="T1108">
            <v>0</v>
          </cell>
          <cell r="U1108">
            <v>0</v>
          </cell>
          <cell r="V1108">
            <v>0</v>
          </cell>
          <cell r="W1108">
            <v>0</v>
          </cell>
          <cell r="X1108">
            <v>0</v>
          </cell>
        </row>
        <row r="1109">
          <cell r="A1109" t="str">
            <v>C1012</v>
          </cell>
          <cell r="B1109" t="str">
            <v>LETICIA LOPEZ ORTEGA (GPE. VICTORIA)</v>
          </cell>
          <cell r="C1109">
            <v>0</v>
          </cell>
          <cell r="D1109">
            <v>0</v>
          </cell>
          <cell r="E1109">
            <v>0</v>
          </cell>
          <cell r="F1109">
            <v>0</v>
          </cell>
          <cell r="G1109">
            <v>0</v>
          </cell>
          <cell r="H1109">
            <v>0</v>
          </cell>
          <cell r="I1109">
            <v>0</v>
          </cell>
          <cell r="J1109">
            <v>0</v>
          </cell>
          <cell r="K1109">
            <v>0</v>
          </cell>
          <cell r="L1109">
            <v>0</v>
          </cell>
          <cell r="M1109">
            <v>0</v>
          </cell>
          <cell r="N1109">
            <v>0</v>
          </cell>
          <cell r="O1109">
            <v>0</v>
          </cell>
          <cell r="P1109">
            <v>0</v>
          </cell>
          <cell r="Q1109">
            <v>0</v>
          </cell>
          <cell r="R1109">
            <v>0</v>
          </cell>
          <cell r="S1109">
            <v>0</v>
          </cell>
          <cell r="T1109">
            <v>0</v>
          </cell>
          <cell r="U1109">
            <v>0</v>
          </cell>
          <cell r="V1109">
            <v>0</v>
          </cell>
          <cell r="W1109">
            <v>0</v>
          </cell>
          <cell r="X1109">
            <v>0</v>
          </cell>
        </row>
        <row r="1110">
          <cell r="A1110" t="str">
            <v>C1013</v>
          </cell>
          <cell r="B1110" t="str">
            <v>ANGELICA GALVAN (POLITECNICA)</v>
          </cell>
          <cell r="C1110">
            <v>0</v>
          </cell>
          <cell r="D1110">
            <v>0</v>
          </cell>
          <cell r="E1110">
            <v>0</v>
          </cell>
          <cell r="F1110">
            <v>0</v>
          </cell>
          <cell r="G1110">
            <v>0</v>
          </cell>
          <cell r="H1110">
            <v>0</v>
          </cell>
          <cell r="I1110">
            <v>0</v>
          </cell>
          <cell r="J1110">
            <v>0</v>
          </cell>
          <cell r="K1110">
            <v>0</v>
          </cell>
          <cell r="L1110">
            <v>0</v>
          </cell>
          <cell r="M1110">
            <v>0</v>
          </cell>
          <cell r="N1110">
            <v>0</v>
          </cell>
          <cell r="O1110">
            <v>0</v>
          </cell>
          <cell r="P1110">
            <v>0</v>
          </cell>
          <cell r="Q1110">
            <v>0</v>
          </cell>
          <cell r="R1110">
            <v>0</v>
          </cell>
          <cell r="S1110">
            <v>0</v>
          </cell>
          <cell r="T1110">
            <v>0</v>
          </cell>
          <cell r="U1110">
            <v>0</v>
          </cell>
          <cell r="V1110">
            <v>0</v>
          </cell>
          <cell r="W1110">
            <v>0</v>
          </cell>
          <cell r="X1110">
            <v>0</v>
          </cell>
        </row>
        <row r="1111">
          <cell r="A1111" t="str">
            <v>C1014</v>
          </cell>
          <cell r="B1111" t="str">
            <v>ROSA INES (COACALCO)</v>
          </cell>
          <cell r="C1111">
            <v>0</v>
          </cell>
          <cell r="D1111" t="str">
            <v>MERCADO</v>
          </cell>
          <cell r="E1111" t="str">
            <v>COACALCO, EDO. DE MEXICO</v>
          </cell>
          <cell r="F1111">
            <v>0</v>
          </cell>
          <cell r="G1111">
            <v>0</v>
          </cell>
          <cell r="H1111">
            <v>0</v>
          </cell>
          <cell r="I1111">
            <v>0</v>
          </cell>
          <cell r="J1111">
            <v>0</v>
          </cell>
          <cell r="K1111">
            <v>0</v>
          </cell>
          <cell r="L1111">
            <v>0</v>
          </cell>
          <cell r="M1111">
            <v>0</v>
          </cell>
          <cell r="N1111">
            <v>0</v>
          </cell>
          <cell r="O1111">
            <v>0</v>
          </cell>
          <cell r="P1111">
            <v>0</v>
          </cell>
          <cell r="Q1111">
            <v>0</v>
          </cell>
          <cell r="R1111">
            <v>0</v>
          </cell>
          <cell r="S1111">
            <v>0</v>
          </cell>
          <cell r="T1111">
            <v>0</v>
          </cell>
          <cell r="U1111">
            <v>0</v>
          </cell>
          <cell r="V1111" t="str">
            <v>VILLA DE LAS FLORES</v>
          </cell>
          <cell r="W1111">
            <v>0</v>
          </cell>
          <cell r="X1111">
            <v>0</v>
          </cell>
        </row>
        <row r="1112">
          <cell r="A1112" t="str">
            <v>C1018</v>
          </cell>
          <cell r="B1112" t="str">
            <v>ADRIANA RAMOS (COACALCO)</v>
          </cell>
          <cell r="C1112">
            <v>0</v>
          </cell>
          <cell r="D1112">
            <v>0</v>
          </cell>
          <cell r="E1112">
            <v>0</v>
          </cell>
          <cell r="F1112">
            <v>0</v>
          </cell>
          <cell r="G1112">
            <v>0</v>
          </cell>
          <cell r="H1112">
            <v>0</v>
          </cell>
          <cell r="I1112">
            <v>0</v>
          </cell>
          <cell r="J1112">
            <v>0</v>
          </cell>
          <cell r="K1112">
            <v>0</v>
          </cell>
          <cell r="L1112">
            <v>0</v>
          </cell>
          <cell r="M1112">
            <v>0</v>
          </cell>
          <cell r="N1112">
            <v>0</v>
          </cell>
          <cell r="O1112">
            <v>0</v>
          </cell>
          <cell r="P1112">
            <v>0</v>
          </cell>
          <cell r="Q1112">
            <v>0</v>
          </cell>
          <cell r="R1112">
            <v>0</v>
          </cell>
          <cell r="S1112">
            <v>0</v>
          </cell>
          <cell r="T1112">
            <v>0</v>
          </cell>
          <cell r="U1112">
            <v>0</v>
          </cell>
          <cell r="V1112">
            <v>0</v>
          </cell>
          <cell r="W1112">
            <v>0</v>
          </cell>
          <cell r="X1112">
            <v>0</v>
          </cell>
        </row>
        <row r="1113">
          <cell r="A1113" t="str">
            <v>C1019</v>
          </cell>
          <cell r="B1113" t="str">
            <v>MA. DEL CARMEN DELGADO</v>
          </cell>
          <cell r="C1113">
            <v>0</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v>0</v>
          </cell>
          <cell r="V1113">
            <v>0</v>
          </cell>
          <cell r="W1113">
            <v>0</v>
          </cell>
          <cell r="X1113">
            <v>0</v>
          </cell>
        </row>
        <row r="1114">
          <cell r="A1114" t="str">
            <v>C1020</v>
          </cell>
          <cell r="B1114" t="str">
            <v>EDUARDO (SAN LORENZO)</v>
          </cell>
          <cell r="C1114">
            <v>0</v>
          </cell>
          <cell r="D1114">
            <v>0</v>
          </cell>
          <cell r="E1114" t="str">
            <v>COACALCO, EDO. DE MEXICO</v>
          </cell>
          <cell r="F1114">
            <v>0</v>
          </cell>
          <cell r="G1114">
            <v>0</v>
          </cell>
          <cell r="H1114">
            <v>0</v>
          </cell>
          <cell r="I1114">
            <v>0</v>
          </cell>
          <cell r="J1114">
            <v>0</v>
          </cell>
          <cell r="K1114">
            <v>0</v>
          </cell>
          <cell r="L1114">
            <v>0</v>
          </cell>
          <cell r="M1114">
            <v>0</v>
          </cell>
          <cell r="N1114">
            <v>0</v>
          </cell>
          <cell r="O1114">
            <v>0</v>
          </cell>
          <cell r="P1114">
            <v>0</v>
          </cell>
          <cell r="Q1114">
            <v>0</v>
          </cell>
          <cell r="R1114">
            <v>0</v>
          </cell>
          <cell r="S1114">
            <v>0</v>
          </cell>
          <cell r="T1114">
            <v>0</v>
          </cell>
          <cell r="U1114">
            <v>0</v>
          </cell>
          <cell r="V1114" t="str">
            <v>SAN LORENZO</v>
          </cell>
          <cell r="W1114">
            <v>0</v>
          </cell>
          <cell r="X1114">
            <v>0</v>
          </cell>
        </row>
        <row r="1115">
          <cell r="A1115" t="str">
            <v>C1021</v>
          </cell>
          <cell r="B1115" t="str">
            <v>LOURDES CRUZ (COACALCO)</v>
          </cell>
          <cell r="C1115">
            <v>0</v>
          </cell>
          <cell r="D1115">
            <v>0</v>
          </cell>
          <cell r="E1115" t="str">
            <v>COACALCO, EDO. DE MEXICO</v>
          </cell>
          <cell r="F1115">
            <v>0</v>
          </cell>
          <cell r="G1115">
            <v>0</v>
          </cell>
          <cell r="H1115">
            <v>0</v>
          </cell>
          <cell r="I1115">
            <v>0</v>
          </cell>
          <cell r="J1115">
            <v>0</v>
          </cell>
          <cell r="K1115">
            <v>0</v>
          </cell>
          <cell r="L1115">
            <v>0</v>
          </cell>
          <cell r="M1115">
            <v>0</v>
          </cell>
          <cell r="N1115">
            <v>0</v>
          </cell>
          <cell r="O1115">
            <v>0</v>
          </cell>
          <cell r="P1115">
            <v>0</v>
          </cell>
          <cell r="Q1115">
            <v>0</v>
          </cell>
          <cell r="R1115">
            <v>0</v>
          </cell>
          <cell r="S1115">
            <v>0</v>
          </cell>
          <cell r="T1115">
            <v>0</v>
          </cell>
          <cell r="U1115">
            <v>0</v>
          </cell>
          <cell r="V1115">
            <v>0</v>
          </cell>
          <cell r="W1115">
            <v>0</v>
          </cell>
          <cell r="X1115">
            <v>0</v>
          </cell>
        </row>
        <row r="1116">
          <cell r="A1116" t="str">
            <v>C1022</v>
          </cell>
          <cell r="B1116" t="str">
            <v>LOS ABUELOS (COACALCO)</v>
          </cell>
          <cell r="C1116">
            <v>0</v>
          </cell>
          <cell r="D1116">
            <v>0</v>
          </cell>
          <cell r="E1116" t="str">
            <v>COACALCO, EDO. DE MEXICO</v>
          </cell>
          <cell r="F1116">
            <v>0</v>
          </cell>
          <cell r="G1116">
            <v>0</v>
          </cell>
          <cell r="H1116">
            <v>0</v>
          </cell>
          <cell r="I1116">
            <v>0</v>
          </cell>
          <cell r="J1116">
            <v>0</v>
          </cell>
          <cell r="K1116">
            <v>0</v>
          </cell>
          <cell r="L1116">
            <v>0</v>
          </cell>
          <cell r="M1116">
            <v>0</v>
          </cell>
          <cell r="N1116">
            <v>0</v>
          </cell>
          <cell r="O1116">
            <v>0</v>
          </cell>
          <cell r="P1116">
            <v>0</v>
          </cell>
          <cell r="Q1116">
            <v>0</v>
          </cell>
          <cell r="R1116">
            <v>0</v>
          </cell>
          <cell r="S1116">
            <v>0</v>
          </cell>
          <cell r="T1116">
            <v>0</v>
          </cell>
          <cell r="U1116">
            <v>0</v>
          </cell>
          <cell r="V1116" t="str">
            <v>SAN LORENZO</v>
          </cell>
          <cell r="W1116">
            <v>0</v>
          </cell>
          <cell r="X1116">
            <v>0</v>
          </cell>
        </row>
        <row r="1117">
          <cell r="A1117" t="str">
            <v>C1023</v>
          </cell>
          <cell r="B1117" t="str">
            <v>ROSALIA (TEXCOCO)</v>
          </cell>
          <cell r="C1117">
            <v>0</v>
          </cell>
          <cell r="D1117">
            <v>0</v>
          </cell>
          <cell r="E1117" t="str">
            <v>TEXCOCO, EDO. DE MEXICO</v>
          </cell>
          <cell r="F1117">
            <v>0</v>
          </cell>
          <cell r="G1117">
            <v>0</v>
          </cell>
          <cell r="H1117">
            <v>0</v>
          </cell>
          <cell r="I1117">
            <v>0</v>
          </cell>
          <cell r="J1117">
            <v>0</v>
          </cell>
          <cell r="K1117">
            <v>0</v>
          </cell>
          <cell r="L1117">
            <v>0</v>
          </cell>
          <cell r="M1117">
            <v>0</v>
          </cell>
          <cell r="N1117">
            <v>0</v>
          </cell>
          <cell r="O1117">
            <v>0</v>
          </cell>
          <cell r="P1117">
            <v>0</v>
          </cell>
          <cell r="Q1117">
            <v>0</v>
          </cell>
          <cell r="R1117">
            <v>0</v>
          </cell>
          <cell r="S1117">
            <v>0</v>
          </cell>
          <cell r="T1117">
            <v>0</v>
          </cell>
          <cell r="U1117">
            <v>0</v>
          </cell>
          <cell r="V1117">
            <v>0</v>
          </cell>
          <cell r="W1117">
            <v>0</v>
          </cell>
          <cell r="X1117">
            <v>0</v>
          </cell>
        </row>
        <row r="1118">
          <cell r="A1118" t="str">
            <v>C1024</v>
          </cell>
          <cell r="B1118" t="str">
            <v>REGALOS ROSITA (TECAMAC)</v>
          </cell>
          <cell r="C1118">
            <v>0</v>
          </cell>
          <cell r="D1118">
            <v>0</v>
          </cell>
          <cell r="E1118" t="str">
            <v>TECAMAC, EDO. DE MEXICO</v>
          </cell>
          <cell r="F1118">
            <v>0</v>
          </cell>
          <cell r="G1118">
            <v>0</v>
          </cell>
          <cell r="H1118">
            <v>0</v>
          </cell>
          <cell r="I1118">
            <v>0</v>
          </cell>
          <cell r="J1118">
            <v>0</v>
          </cell>
          <cell r="K1118">
            <v>0</v>
          </cell>
          <cell r="L1118">
            <v>0</v>
          </cell>
          <cell r="M1118">
            <v>0</v>
          </cell>
          <cell r="N1118">
            <v>0</v>
          </cell>
          <cell r="O1118">
            <v>0</v>
          </cell>
          <cell r="P1118">
            <v>0</v>
          </cell>
          <cell r="Q1118">
            <v>0</v>
          </cell>
          <cell r="R1118">
            <v>0</v>
          </cell>
          <cell r="S1118">
            <v>0</v>
          </cell>
          <cell r="T1118">
            <v>0</v>
          </cell>
          <cell r="U1118">
            <v>0</v>
          </cell>
          <cell r="V1118">
            <v>0</v>
          </cell>
          <cell r="W1118">
            <v>0</v>
          </cell>
          <cell r="X1118">
            <v>0</v>
          </cell>
        </row>
        <row r="1119">
          <cell r="A1119" t="str">
            <v>C1025</v>
          </cell>
          <cell r="B1119" t="str">
            <v>ALEJANDRA ROLDAN</v>
          </cell>
          <cell r="C1119">
            <v>0</v>
          </cell>
          <cell r="D1119">
            <v>0</v>
          </cell>
          <cell r="E1119">
            <v>0</v>
          </cell>
          <cell r="F1119">
            <v>0</v>
          </cell>
          <cell r="G1119">
            <v>0</v>
          </cell>
          <cell r="H1119">
            <v>0</v>
          </cell>
          <cell r="I1119">
            <v>0</v>
          </cell>
          <cell r="J1119">
            <v>0</v>
          </cell>
          <cell r="K1119">
            <v>0</v>
          </cell>
          <cell r="L1119">
            <v>0</v>
          </cell>
          <cell r="M1119">
            <v>0</v>
          </cell>
          <cell r="N1119">
            <v>0</v>
          </cell>
          <cell r="O1119">
            <v>0</v>
          </cell>
          <cell r="P1119">
            <v>0</v>
          </cell>
          <cell r="Q1119">
            <v>0</v>
          </cell>
          <cell r="R1119">
            <v>0</v>
          </cell>
          <cell r="S1119">
            <v>0</v>
          </cell>
          <cell r="T1119">
            <v>0</v>
          </cell>
          <cell r="U1119">
            <v>0</v>
          </cell>
          <cell r="V1119">
            <v>0</v>
          </cell>
          <cell r="W1119">
            <v>0</v>
          </cell>
          <cell r="X1119">
            <v>0</v>
          </cell>
        </row>
        <row r="1120">
          <cell r="A1120" t="str">
            <v>C1026</v>
          </cell>
          <cell r="B1120" t="str">
            <v>PAPELERIA CYTLALI</v>
          </cell>
          <cell r="C1120">
            <v>0</v>
          </cell>
          <cell r="D1120">
            <v>0</v>
          </cell>
          <cell r="E1120">
            <v>0</v>
          </cell>
          <cell r="F1120">
            <v>0</v>
          </cell>
          <cell r="G1120">
            <v>0</v>
          </cell>
          <cell r="H1120">
            <v>0</v>
          </cell>
          <cell r="I1120">
            <v>0</v>
          </cell>
          <cell r="J1120">
            <v>0</v>
          </cell>
          <cell r="K1120">
            <v>0</v>
          </cell>
          <cell r="L1120">
            <v>0</v>
          </cell>
          <cell r="M1120">
            <v>0</v>
          </cell>
          <cell r="N1120">
            <v>0</v>
          </cell>
          <cell r="O1120">
            <v>0</v>
          </cell>
          <cell r="P1120">
            <v>0</v>
          </cell>
          <cell r="Q1120">
            <v>0</v>
          </cell>
          <cell r="R1120">
            <v>0</v>
          </cell>
          <cell r="S1120">
            <v>0</v>
          </cell>
          <cell r="T1120">
            <v>0</v>
          </cell>
          <cell r="U1120">
            <v>0</v>
          </cell>
          <cell r="V1120">
            <v>0</v>
          </cell>
          <cell r="W1120">
            <v>0</v>
          </cell>
          <cell r="X1120">
            <v>0</v>
          </cell>
        </row>
        <row r="1121">
          <cell r="A1121" t="str">
            <v>C1027</v>
          </cell>
          <cell r="B1121" t="str">
            <v>SANDRA PEREZ (TIZAYUCA)</v>
          </cell>
          <cell r="C1121">
            <v>0</v>
          </cell>
          <cell r="D1121">
            <v>0</v>
          </cell>
          <cell r="E1121" t="str">
            <v>TIZAYUCA, HGO.</v>
          </cell>
          <cell r="F1121">
            <v>0</v>
          </cell>
          <cell r="G1121">
            <v>0</v>
          </cell>
          <cell r="H1121">
            <v>0</v>
          </cell>
          <cell r="I1121">
            <v>0</v>
          </cell>
          <cell r="J1121">
            <v>0</v>
          </cell>
          <cell r="K1121">
            <v>0</v>
          </cell>
          <cell r="L1121">
            <v>0</v>
          </cell>
          <cell r="M1121">
            <v>0</v>
          </cell>
          <cell r="N1121">
            <v>0</v>
          </cell>
          <cell r="O1121">
            <v>0</v>
          </cell>
          <cell r="P1121">
            <v>0</v>
          </cell>
          <cell r="Q1121">
            <v>0</v>
          </cell>
          <cell r="R1121">
            <v>0</v>
          </cell>
          <cell r="S1121">
            <v>0</v>
          </cell>
          <cell r="T1121">
            <v>0</v>
          </cell>
          <cell r="U1121">
            <v>0</v>
          </cell>
          <cell r="V1121">
            <v>0</v>
          </cell>
          <cell r="W1121">
            <v>0</v>
          </cell>
          <cell r="X1121">
            <v>0</v>
          </cell>
        </row>
        <row r="1122">
          <cell r="A1122" t="str">
            <v>C1028</v>
          </cell>
          <cell r="B1122" t="str">
            <v>LUPITA BUSIO (VILLA)</v>
          </cell>
          <cell r="C1122">
            <v>0</v>
          </cell>
          <cell r="D1122">
            <v>0</v>
          </cell>
          <cell r="E1122" t="str">
            <v>COACALCO, EDO. MEXICO</v>
          </cell>
          <cell r="F1122">
            <v>0</v>
          </cell>
          <cell r="G1122">
            <v>0</v>
          </cell>
          <cell r="H1122">
            <v>0</v>
          </cell>
          <cell r="I1122">
            <v>0</v>
          </cell>
          <cell r="J1122">
            <v>0</v>
          </cell>
          <cell r="K1122">
            <v>0</v>
          </cell>
          <cell r="L1122">
            <v>0</v>
          </cell>
          <cell r="M1122">
            <v>0</v>
          </cell>
          <cell r="N1122">
            <v>0</v>
          </cell>
          <cell r="O1122">
            <v>0</v>
          </cell>
          <cell r="P1122">
            <v>0</v>
          </cell>
          <cell r="Q1122">
            <v>0</v>
          </cell>
          <cell r="R1122">
            <v>0</v>
          </cell>
          <cell r="S1122">
            <v>0</v>
          </cell>
          <cell r="T1122">
            <v>0</v>
          </cell>
          <cell r="U1122">
            <v>0</v>
          </cell>
          <cell r="V1122" t="str">
            <v>VILLA DE LAS FLORES</v>
          </cell>
          <cell r="W1122">
            <v>0</v>
          </cell>
          <cell r="X1122">
            <v>0</v>
          </cell>
        </row>
        <row r="1123">
          <cell r="A1123" t="str">
            <v>C1029</v>
          </cell>
          <cell r="B1123" t="str">
            <v>CAROLINA OLIVARES (TECAMAC)</v>
          </cell>
          <cell r="C1123">
            <v>0</v>
          </cell>
          <cell r="D1123">
            <v>0</v>
          </cell>
          <cell r="E1123" t="str">
            <v>TECAMAC, EDO. DE MEXICO</v>
          </cell>
          <cell r="F1123">
            <v>0</v>
          </cell>
          <cell r="G1123">
            <v>0</v>
          </cell>
          <cell r="H1123">
            <v>0</v>
          </cell>
          <cell r="I1123">
            <v>0</v>
          </cell>
          <cell r="J1123">
            <v>0</v>
          </cell>
          <cell r="K1123">
            <v>0</v>
          </cell>
          <cell r="L1123">
            <v>0</v>
          </cell>
          <cell r="M1123">
            <v>0</v>
          </cell>
          <cell r="N1123">
            <v>0</v>
          </cell>
          <cell r="O1123">
            <v>0</v>
          </cell>
          <cell r="P1123">
            <v>0</v>
          </cell>
          <cell r="Q1123">
            <v>0</v>
          </cell>
          <cell r="R1123">
            <v>0</v>
          </cell>
          <cell r="S1123">
            <v>0</v>
          </cell>
          <cell r="T1123">
            <v>0</v>
          </cell>
          <cell r="U1123">
            <v>0</v>
          </cell>
          <cell r="V1123">
            <v>0</v>
          </cell>
          <cell r="W1123">
            <v>0</v>
          </cell>
          <cell r="X1123">
            <v>0</v>
          </cell>
        </row>
        <row r="1124">
          <cell r="A1124" t="str">
            <v>C1030</v>
          </cell>
          <cell r="B1124">
            <v>0</v>
          </cell>
          <cell r="C1124">
            <v>0</v>
          </cell>
          <cell r="D1124">
            <v>0</v>
          </cell>
          <cell r="E1124">
            <v>0</v>
          </cell>
          <cell r="F1124">
            <v>0</v>
          </cell>
          <cell r="G1124">
            <v>0</v>
          </cell>
          <cell r="H1124">
            <v>0</v>
          </cell>
          <cell r="I1124">
            <v>0</v>
          </cell>
          <cell r="J1124">
            <v>0</v>
          </cell>
          <cell r="K1124">
            <v>0</v>
          </cell>
          <cell r="L1124">
            <v>0</v>
          </cell>
          <cell r="M1124">
            <v>0</v>
          </cell>
          <cell r="N1124">
            <v>0</v>
          </cell>
          <cell r="O1124">
            <v>0</v>
          </cell>
          <cell r="P1124">
            <v>0</v>
          </cell>
          <cell r="Q1124">
            <v>0</v>
          </cell>
          <cell r="R1124">
            <v>0</v>
          </cell>
          <cell r="S1124">
            <v>0</v>
          </cell>
          <cell r="T1124">
            <v>0</v>
          </cell>
          <cell r="U1124">
            <v>0</v>
          </cell>
          <cell r="V1124">
            <v>0</v>
          </cell>
          <cell r="W1124">
            <v>0</v>
          </cell>
          <cell r="X1124">
            <v>0</v>
          </cell>
        </row>
        <row r="1125">
          <cell r="A1125" t="str">
            <v>V1001</v>
          </cell>
          <cell r="B1125" t="str">
            <v>LUIS VEGA HERRERA (TIZAYUCA)</v>
          </cell>
          <cell r="C1125">
            <v>0</v>
          </cell>
          <cell r="D1125">
            <v>0</v>
          </cell>
          <cell r="E1125" t="str">
            <v>TIZAYUCA, HGO.</v>
          </cell>
          <cell r="F1125">
            <v>0</v>
          </cell>
          <cell r="G1125">
            <v>0</v>
          </cell>
          <cell r="H1125">
            <v>0</v>
          </cell>
          <cell r="I1125">
            <v>0</v>
          </cell>
          <cell r="J1125" t="str">
            <v>F02-A</v>
          </cell>
          <cell r="K1125">
            <v>0</v>
          </cell>
          <cell r="L1125">
            <v>0</v>
          </cell>
          <cell r="M1125">
            <v>0</v>
          </cell>
          <cell r="N1125">
            <v>0</v>
          </cell>
          <cell r="O1125">
            <v>0</v>
          </cell>
          <cell r="P1125">
            <v>0</v>
          </cell>
          <cell r="Q1125">
            <v>0</v>
          </cell>
          <cell r="R1125">
            <v>0</v>
          </cell>
          <cell r="S1125">
            <v>0</v>
          </cell>
          <cell r="T1125">
            <v>0</v>
          </cell>
          <cell r="U1125">
            <v>0</v>
          </cell>
          <cell r="V1125">
            <v>0</v>
          </cell>
          <cell r="W1125">
            <v>0</v>
          </cell>
          <cell r="X1125">
            <v>0</v>
          </cell>
        </row>
        <row r="1126">
          <cell r="A1126" t="str">
            <v>V1002</v>
          </cell>
          <cell r="B1126" t="str">
            <v>ROSY (TIZAYUCA)</v>
          </cell>
          <cell r="C1126">
            <v>0</v>
          </cell>
          <cell r="D1126">
            <v>0</v>
          </cell>
          <cell r="E1126" t="str">
            <v>TIZAYUCA, HGO.</v>
          </cell>
          <cell r="F1126">
            <v>0</v>
          </cell>
          <cell r="G1126">
            <v>0</v>
          </cell>
          <cell r="H1126">
            <v>0</v>
          </cell>
          <cell r="I1126">
            <v>0</v>
          </cell>
          <cell r="J1126" t="str">
            <v>F02-A</v>
          </cell>
          <cell r="K1126">
            <v>0</v>
          </cell>
          <cell r="L1126">
            <v>0</v>
          </cell>
          <cell r="M1126">
            <v>0</v>
          </cell>
          <cell r="N1126">
            <v>0</v>
          </cell>
          <cell r="O1126">
            <v>0</v>
          </cell>
          <cell r="P1126">
            <v>0</v>
          </cell>
          <cell r="Q1126">
            <v>0</v>
          </cell>
          <cell r="R1126">
            <v>0</v>
          </cell>
          <cell r="S1126">
            <v>0</v>
          </cell>
          <cell r="T1126">
            <v>0</v>
          </cell>
          <cell r="U1126">
            <v>0</v>
          </cell>
          <cell r="V1126">
            <v>0</v>
          </cell>
          <cell r="W1126">
            <v>0</v>
          </cell>
          <cell r="X1126">
            <v>0</v>
          </cell>
        </row>
        <row r="1127">
          <cell r="A1127" t="str">
            <v>V1003</v>
          </cell>
          <cell r="B1127" t="str">
            <v>CITLALI MENDEZ (HUEHUETOCA)</v>
          </cell>
          <cell r="C1127">
            <v>0</v>
          </cell>
          <cell r="D1127">
            <v>0</v>
          </cell>
          <cell r="E1127" t="str">
            <v>HUEHUETOCA, EDO. DE MEXICO</v>
          </cell>
          <cell r="F1127">
            <v>0</v>
          </cell>
          <cell r="G1127">
            <v>0</v>
          </cell>
          <cell r="H1127">
            <v>0</v>
          </cell>
          <cell r="I1127">
            <v>0</v>
          </cell>
          <cell r="J1127" t="str">
            <v>F02-A</v>
          </cell>
          <cell r="K1127">
            <v>0</v>
          </cell>
          <cell r="L1127">
            <v>0</v>
          </cell>
          <cell r="M1127">
            <v>0</v>
          </cell>
          <cell r="N1127">
            <v>0</v>
          </cell>
          <cell r="O1127">
            <v>0</v>
          </cell>
          <cell r="P1127">
            <v>0</v>
          </cell>
          <cell r="Q1127">
            <v>0</v>
          </cell>
          <cell r="R1127">
            <v>0</v>
          </cell>
          <cell r="S1127">
            <v>0</v>
          </cell>
          <cell r="T1127">
            <v>0</v>
          </cell>
          <cell r="U1127">
            <v>0</v>
          </cell>
          <cell r="V1127">
            <v>0</v>
          </cell>
          <cell r="W1127">
            <v>0</v>
          </cell>
          <cell r="X1127">
            <v>0</v>
          </cell>
        </row>
        <row r="1128">
          <cell r="A1128">
            <v>0</v>
          </cell>
          <cell r="B1128" t="str">
            <v>-</v>
          </cell>
          <cell r="C1128">
            <v>0</v>
          </cell>
          <cell r="D1128">
            <v>0</v>
          </cell>
          <cell r="E1128">
            <v>0</v>
          </cell>
          <cell r="F1128">
            <v>0</v>
          </cell>
          <cell r="G1128">
            <v>0</v>
          </cell>
          <cell r="H1128">
            <v>0</v>
          </cell>
          <cell r="I1128">
            <v>0</v>
          </cell>
          <cell r="J1128">
            <v>0</v>
          </cell>
          <cell r="K1128">
            <v>0</v>
          </cell>
          <cell r="L1128">
            <v>0</v>
          </cell>
          <cell r="M1128">
            <v>0</v>
          </cell>
          <cell r="N1128">
            <v>0</v>
          </cell>
          <cell r="O1128">
            <v>0</v>
          </cell>
          <cell r="P1128">
            <v>0</v>
          </cell>
          <cell r="Q1128">
            <v>0</v>
          </cell>
          <cell r="R1128">
            <v>0</v>
          </cell>
          <cell r="S1128">
            <v>0</v>
          </cell>
          <cell r="T1128">
            <v>0</v>
          </cell>
          <cell r="U1128">
            <v>0</v>
          </cell>
          <cell r="V1128">
            <v>0</v>
          </cell>
          <cell r="W1128">
            <v>0</v>
          </cell>
          <cell r="X1128">
            <v>0</v>
          </cell>
        </row>
        <row r="1129">
          <cell r="A1129">
            <v>0</v>
          </cell>
          <cell r="B1129" t="str">
            <v>-</v>
          </cell>
          <cell r="C1129">
            <v>0</v>
          </cell>
          <cell r="D1129">
            <v>0</v>
          </cell>
          <cell r="E1129">
            <v>0</v>
          </cell>
          <cell r="F1129">
            <v>0</v>
          </cell>
          <cell r="G1129">
            <v>0</v>
          </cell>
          <cell r="H1129">
            <v>0</v>
          </cell>
          <cell r="I1129">
            <v>0</v>
          </cell>
          <cell r="J1129">
            <v>0</v>
          </cell>
          <cell r="K1129">
            <v>0</v>
          </cell>
          <cell r="L1129">
            <v>0</v>
          </cell>
          <cell r="M1129">
            <v>0</v>
          </cell>
          <cell r="N1129">
            <v>0</v>
          </cell>
          <cell r="O1129">
            <v>0</v>
          </cell>
          <cell r="P1129">
            <v>0</v>
          </cell>
          <cell r="Q1129">
            <v>0</v>
          </cell>
          <cell r="R1129">
            <v>0</v>
          </cell>
          <cell r="S1129">
            <v>0</v>
          </cell>
          <cell r="T1129">
            <v>0</v>
          </cell>
          <cell r="U1129">
            <v>0</v>
          </cell>
          <cell r="V1129">
            <v>0</v>
          </cell>
          <cell r="W1129">
            <v>0</v>
          </cell>
          <cell r="X1129">
            <v>0</v>
          </cell>
        </row>
        <row r="1130">
          <cell r="A1130">
            <v>1</v>
          </cell>
          <cell r="B1130" t="str">
            <v xml:space="preserve">DULCE CASTILLO (TULANCINGO)                                 </v>
          </cell>
          <cell r="C1130">
            <v>0</v>
          </cell>
          <cell r="D1130" t="str">
            <v xml:space="preserve">LUIS PONCE 213 BIS                      </v>
          </cell>
          <cell r="E1130" t="str">
            <v>TULANCINGO, HGO.</v>
          </cell>
          <cell r="F1130">
            <v>0</v>
          </cell>
          <cell r="G1130" t="str">
            <v>(775) 205-4328</v>
          </cell>
          <cell r="H1130">
            <v>0</v>
          </cell>
          <cell r="I1130">
            <v>0</v>
          </cell>
          <cell r="J1130" t="str">
            <v>F02B</v>
          </cell>
          <cell r="K1130">
            <v>0</v>
          </cell>
          <cell r="L1130">
            <v>0</v>
          </cell>
          <cell r="M1130">
            <v>0</v>
          </cell>
          <cell r="N1130">
            <v>0</v>
          </cell>
          <cell r="O1130">
            <v>0</v>
          </cell>
          <cell r="P1130">
            <v>0</v>
          </cell>
          <cell r="Q1130">
            <v>0</v>
          </cell>
          <cell r="R1130">
            <v>0</v>
          </cell>
          <cell r="S1130">
            <v>0</v>
          </cell>
          <cell r="T1130">
            <v>0</v>
          </cell>
          <cell r="U1130">
            <v>0</v>
          </cell>
          <cell r="V1130" t="str">
            <v>CENTRO</v>
          </cell>
          <cell r="W1130">
            <v>0</v>
          </cell>
          <cell r="X1130">
            <v>0</v>
          </cell>
        </row>
        <row r="1131">
          <cell r="A1131">
            <v>2</v>
          </cell>
          <cell r="B1131" t="str">
            <v>FRANCISCO MONROY (SAN JUA)</v>
          </cell>
          <cell r="C1131">
            <v>0</v>
          </cell>
          <cell r="D1131">
            <v>0</v>
          </cell>
          <cell r="E1131">
            <v>0</v>
          </cell>
          <cell r="F1131">
            <v>0</v>
          </cell>
          <cell r="G1131">
            <v>0</v>
          </cell>
          <cell r="H1131">
            <v>0</v>
          </cell>
          <cell r="I1131">
            <v>0</v>
          </cell>
          <cell r="J1131">
            <v>0</v>
          </cell>
          <cell r="K1131">
            <v>0</v>
          </cell>
          <cell r="L1131">
            <v>0</v>
          </cell>
          <cell r="M1131">
            <v>0</v>
          </cell>
          <cell r="N1131">
            <v>0</v>
          </cell>
          <cell r="O1131">
            <v>0</v>
          </cell>
          <cell r="P1131">
            <v>0</v>
          </cell>
          <cell r="Q1131">
            <v>0</v>
          </cell>
          <cell r="R1131">
            <v>0</v>
          </cell>
          <cell r="S1131">
            <v>0</v>
          </cell>
          <cell r="T1131">
            <v>0</v>
          </cell>
          <cell r="U1131">
            <v>0</v>
          </cell>
          <cell r="V1131">
            <v>0</v>
          </cell>
          <cell r="W1131">
            <v>0</v>
          </cell>
          <cell r="X1131">
            <v>0</v>
          </cell>
        </row>
        <row r="1132">
          <cell r="A1132">
            <v>3</v>
          </cell>
          <cell r="B1132" t="str">
            <v>JUAN GARCIA PORRAS (TLAXCOAPAN)</v>
          </cell>
          <cell r="C1132">
            <v>0</v>
          </cell>
          <cell r="D1132" t="str">
            <v>PLAZA REAL DEL SOL</v>
          </cell>
          <cell r="E1132" t="str">
            <v>TLAXCOAPAN, HGO.</v>
          </cell>
          <cell r="F1132">
            <v>0</v>
          </cell>
          <cell r="G1132">
            <v>0</v>
          </cell>
          <cell r="H1132" t="str">
            <v>SRITA. SELENE</v>
          </cell>
          <cell r="I1132">
            <v>0</v>
          </cell>
          <cell r="J1132">
            <v>0</v>
          </cell>
          <cell r="K1132">
            <v>0</v>
          </cell>
          <cell r="L1132">
            <v>0</v>
          </cell>
          <cell r="M1132">
            <v>0</v>
          </cell>
          <cell r="N1132">
            <v>0</v>
          </cell>
          <cell r="O1132">
            <v>0</v>
          </cell>
          <cell r="P1132">
            <v>0</v>
          </cell>
          <cell r="Q1132">
            <v>0</v>
          </cell>
          <cell r="R1132">
            <v>0</v>
          </cell>
          <cell r="S1132">
            <v>0</v>
          </cell>
          <cell r="T1132">
            <v>0</v>
          </cell>
          <cell r="U1132">
            <v>0</v>
          </cell>
          <cell r="V1132" t="str">
            <v>CENTRO</v>
          </cell>
          <cell r="W1132">
            <v>0</v>
          </cell>
          <cell r="X1132">
            <v>0</v>
          </cell>
        </row>
        <row r="1133">
          <cell r="A1133">
            <v>4</v>
          </cell>
          <cell r="B1133" t="str">
            <v>MARGARITA RIVERA LEON (ESCOBEDO)</v>
          </cell>
          <cell r="C1133">
            <v>0</v>
          </cell>
          <cell r="D1133" t="str">
            <v>CUAUTEMOC #30</v>
          </cell>
          <cell r="E1133" t="str">
            <v>PEDRO ESCOBEDO, QRO.</v>
          </cell>
          <cell r="F1133">
            <v>0</v>
          </cell>
          <cell r="G1133">
            <v>0</v>
          </cell>
          <cell r="H1133">
            <v>0</v>
          </cell>
          <cell r="I1133">
            <v>0</v>
          </cell>
          <cell r="J1133" t="str">
            <v>L04</v>
          </cell>
          <cell r="K1133">
            <v>0</v>
          </cell>
          <cell r="L1133">
            <v>0</v>
          </cell>
          <cell r="M1133">
            <v>0</v>
          </cell>
          <cell r="N1133">
            <v>0</v>
          </cell>
          <cell r="O1133">
            <v>0</v>
          </cell>
          <cell r="P1133">
            <v>0</v>
          </cell>
          <cell r="Q1133">
            <v>0</v>
          </cell>
          <cell r="R1133">
            <v>0</v>
          </cell>
          <cell r="S1133">
            <v>0</v>
          </cell>
          <cell r="T1133">
            <v>0</v>
          </cell>
          <cell r="U1133">
            <v>0</v>
          </cell>
          <cell r="V1133">
            <v>0</v>
          </cell>
          <cell r="W1133">
            <v>0</v>
          </cell>
          <cell r="X1133">
            <v>0</v>
          </cell>
        </row>
        <row r="1134">
          <cell r="A1134">
            <v>5</v>
          </cell>
          <cell r="B1134" t="str">
            <v>DULCERIA (CORTAZAR)</v>
          </cell>
          <cell r="C1134">
            <v>0</v>
          </cell>
          <cell r="D1134">
            <v>0</v>
          </cell>
          <cell r="E1134" t="str">
            <v>CORTAZAR, GTO.</v>
          </cell>
          <cell r="F1134">
            <v>0</v>
          </cell>
          <cell r="G1134">
            <v>0</v>
          </cell>
          <cell r="H1134">
            <v>0</v>
          </cell>
          <cell r="I1134">
            <v>0</v>
          </cell>
          <cell r="J1134">
            <v>0</v>
          </cell>
          <cell r="K1134">
            <v>0</v>
          </cell>
          <cell r="L1134">
            <v>0</v>
          </cell>
          <cell r="M1134">
            <v>0</v>
          </cell>
          <cell r="N1134">
            <v>0</v>
          </cell>
          <cell r="O1134">
            <v>0</v>
          </cell>
          <cell r="P1134">
            <v>0</v>
          </cell>
          <cell r="Q1134">
            <v>0</v>
          </cell>
          <cell r="R1134">
            <v>0</v>
          </cell>
          <cell r="S1134">
            <v>0</v>
          </cell>
          <cell r="T1134">
            <v>0</v>
          </cell>
          <cell r="U1134">
            <v>0</v>
          </cell>
          <cell r="V1134">
            <v>0</v>
          </cell>
          <cell r="W1134">
            <v>0</v>
          </cell>
          <cell r="X1134">
            <v>0</v>
          </cell>
        </row>
      </sheetData>
      <sheetData sheetId="3" refreshError="1"/>
      <sheetData sheetId="4" refreshError="1"/>
      <sheetData sheetId="5"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N4178"/>
  <sheetViews>
    <sheetView view="pageBreakPreview" topLeftCell="A10" zoomScaleSheetLayoutView="100" workbookViewId="0">
      <selection activeCell="C7" sqref="C7:C13"/>
    </sheetView>
  </sheetViews>
  <sheetFormatPr baseColWidth="10" defaultRowHeight="15"/>
  <cols>
    <col min="1" max="1" width="8.7109375" customWidth="1"/>
    <col min="2" max="2" width="12.5703125" customWidth="1"/>
    <col min="3" max="3" width="34" customWidth="1"/>
    <col min="4" max="5" width="9.42578125" style="111" customWidth="1"/>
    <col min="6" max="6" width="10.85546875" customWidth="1"/>
    <col min="7" max="7" width="16.28515625" bestFit="1" customWidth="1"/>
  </cols>
  <sheetData>
    <row r="1" spans="1:14" ht="39.75">
      <c r="A1" s="212"/>
      <c r="B1" s="212"/>
      <c r="C1" s="212"/>
      <c r="D1" s="212"/>
      <c r="E1" s="145"/>
      <c r="G1" s="1" t="s">
        <v>0</v>
      </c>
      <c r="H1" s="2"/>
      <c r="I1" s="2"/>
      <c r="J1" s="2"/>
      <c r="K1" s="2"/>
      <c r="L1" s="2"/>
    </row>
    <row r="2" spans="1:14" ht="15.75" customHeight="1">
      <c r="B2" s="46"/>
      <c r="C2" s="213" t="s">
        <v>30</v>
      </c>
      <c r="D2" s="213"/>
      <c r="E2" s="146"/>
      <c r="G2" s="3" t="s">
        <v>69</v>
      </c>
    </row>
    <row r="3" spans="1:14">
      <c r="B3" s="45"/>
      <c r="C3" s="214" t="s">
        <v>29</v>
      </c>
      <c r="D3" s="214"/>
      <c r="E3" s="147"/>
      <c r="G3" s="5" t="s">
        <v>1</v>
      </c>
    </row>
    <row r="4" spans="1:14" ht="3.75" customHeight="1">
      <c r="A4" s="4"/>
      <c r="B4" s="4"/>
      <c r="C4" s="4"/>
      <c r="D4" s="4"/>
      <c r="E4" s="4"/>
    </row>
    <row r="5" spans="1:14" ht="15" customHeight="1">
      <c r="A5" s="215"/>
      <c r="B5" s="215"/>
      <c r="C5" s="215"/>
      <c r="D5" s="215"/>
      <c r="E5" s="148"/>
      <c r="G5" s="6">
        <f ca="1">NOW()</f>
        <v>46013.526447453703</v>
      </c>
      <c r="I5" s="123"/>
    </row>
    <row r="6" spans="1:14" ht="12.75" customHeight="1">
      <c r="A6" s="52" t="s">
        <v>2</v>
      </c>
      <c r="B6" s="52"/>
      <c r="C6" s="53">
        <v>2248</v>
      </c>
      <c r="D6" s="110"/>
      <c r="E6" s="110"/>
      <c r="F6" s="8"/>
    </row>
    <row r="7" spans="1:14" ht="12.75" customHeight="1">
      <c r="A7" s="52" t="s">
        <v>3</v>
      </c>
      <c r="B7" s="52"/>
      <c r="C7" s="155" t="str">
        <f>VLOOKUP(C6,[1]CLIENTES!$A$2:$AN$1150,2,FALSE)</f>
        <v>REYNA MONTIEL CARDENAS (ATLACOMULCO)</v>
      </c>
      <c r="D7" s="110"/>
      <c r="E7" s="110"/>
      <c r="F7" s="8"/>
      <c r="G7" s="9" t="s">
        <v>4</v>
      </c>
      <c r="J7" s="210"/>
      <c r="K7" s="210"/>
      <c r="L7" s="210"/>
      <c r="M7" s="210"/>
      <c r="N7" s="210"/>
    </row>
    <row r="8" spans="1:14" ht="12.75" customHeight="1">
      <c r="A8" s="52" t="s">
        <v>5</v>
      </c>
      <c r="B8" s="52"/>
      <c r="C8" s="155" t="str">
        <f>VLOOKUP(C6,[1]CLIENTES!$A$2:$AN$1150,4,FALSE)</f>
        <v>JOSE VICENTE VILLADA #8</v>
      </c>
      <c r="D8" s="110"/>
      <c r="E8" s="110"/>
      <c r="F8" s="8"/>
      <c r="G8" s="10"/>
    </row>
    <row r="9" spans="1:14" ht="12.75" customHeight="1">
      <c r="A9" s="52" t="s">
        <v>6</v>
      </c>
      <c r="B9" s="52"/>
      <c r="C9" s="155" t="str">
        <f>VLOOKUP(C6,[1]CLIENTES!$A$2:$AN$1150,22,FALSE)</f>
        <v>CENTRO</v>
      </c>
      <c r="D9" s="110"/>
      <c r="E9" s="110"/>
      <c r="F9" s="8"/>
      <c r="G9" s="9">
        <v>2</v>
      </c>
    </row>
    <row r="10" spans="1:14" ht="12.75" customHeight="1">
      <c r="A10" s="54" t="s">
        <v>7</v>
      </c>
      <c r="B10" s="55"/>
      <c r="C10" s="155" t="str">
        <f>VLOOKUP(C6,[1]CLIENTES!$A$2:$AN$1150,5,FALSE)</f>
        <v>ATLACOMULCO, EDO. DE MEXICO</v>
      </c>
      <c r="D10" s="110"/>
      <c r="E10" s="110"/>
      <c r="F10" s="8"/>
      <c r="G10" s="10"/>
    </row>
    <row r="11" spans="1:14" ht="12.75" customHeight="1">
      <c r="A11" s="56" t="s">
        <v>8</v>
      </c>
      <c r="B11" s="55"/>
      <c r="C11" s="155" t="str">
        <f>VLOOKUP(C6,[1]CLIENTES!$A$2:$AN$1150,6,FALSE)</f>
        <v/>
      </c>
      <c r="F11" s="8"/>
      <c r="G11" s="10"/>
    </row>
    <row r="12" spans="1:14" ht="12.75" customHeight="1">
      <c r="A12" s="211" t="s">
        <v>9</v>
      </c>
      <c r="B12" s="211"/>
      <c r="C12" s="155" t="str">
        <f>VLOOKUP(C6,[1]CLIENTES!$A$2:$AN$1150,7,FALSE)</f>
        <v>72*586145*2</v>
      </c>
      <c r="D12" s="112"/>
      <c r="E12" s="112"/>
      <c r="F12" s="8"/>
      <c r="G12" s="8"/>
    </row>
    <row r="13" spans="1:14" ht="12.75" customHeight="1">
      <c r="A13" s="52" t="s">
        <v>10</v>
      </c>
      <c r="B13" s="52"/>
      <c r="C13" s="156" t="s">
        <v>35</v>
      </c>
      <c r="D13" s="110"/>
      <c r="E13" s="110"/>
      <c r="F13" s="8"/>
      <c r="G13" s="8"/>
      <c r="J13">
        <f>350/12</f>
        <v>29.166666666666668</v>
      </c>
    </row>
    <row r="14" spans="1:14" ht="6.75" customHeight="1" thickBot="1">
      <c r="A14" s="11"/>
      <c r="G14" s="13"/>
    </row>
    <row r="15" spans="1:14" ht="24.75" thickBot="1">
      <c r="A15" s="42" t="s">
        <v>11</v>
      </c>
      <c r="B15" s="43" t="s">
        <v>12</v>
      </c>
      <c r="C15" s="47" t="s">
        <v>13</v>
      </c>
      <c r="D15" s="43" t="s">
        <v>41</v>
      </c>
      <c r="E15" s="43" t="s">
        <v>42</v>
      </c>
      <c r="F15" s="43" t="s">
        <v>14</v>
      </c>
      <c r="G15" s="49" t="s">
        <v>15</v>
      </c>
    </row>
    <row r="16" spans="1:14" ht="6.75" customHeight="1" thickBot="1">
      <c r="A16" s="105"/>
      <c r="B16" s="48"/>
      <c r="C16" s="47"/>
      <c r="D16" s="48"/>
      <c r="E16" s="48"/>
      <c r="F16" s="48"/>
      <c r="G16" s="106"/>
    </row>
    <row r="17" spans="1:12" ht="17.25" customHeight="1">
      <c r="A17" s="103">
        <v>12</v>
      </c>
      <c r="B17" s="124" t="s">
        <v>44</v>
      </c>
      <c r="C17" s="41" t="s">
        <v>45</v>
      </c>
      <c r="D17" s="128" t="s">
        <v>46</v>
      </c>
      <c r="E17" s="128" t="s">
        <v>40</v>
      </c>
      <c r="F17" s="50">
        <v>69</v>
      </c>
      <c r="G17" s="60">
        <f t="shared" ref="G17:G34" si="0">+A17*F17</f>
        <v>828</v>
      </c>
      <c r="I17" s="104"/>
    </row>
    <row r="18" spans="1:12" ht="18" customHeight="1">
      <c r="A18" s="103">
        <v>12</v>
      </c>
      <c r="B18" s="124" t="s">
        <v>44</v>
      </c>
      <c r="C18" s="41" t="s">
        <v>45</v>
      </c>
      <c r="D18" s="128" t="s">
        <v>47</v>
      </c>
      <c r="E18" s="128" t="s">
        <v>40</v>
      </c>
      <c r="F18" s="50">
        <v>69</v>
      </c>
      <c r="G18" s="60">
        <f t="shared" si="0"/>
        <v>828</v>
      </c>
      <c r="I18" s="104"/>
    </row>
    <row r="19" spans="1:12" ht="18" customHeight="1">
      <c r="A19" s="103">
        <v>12</v>
      </c>
      <c r="B19" s="124" t="s">
        <v>48</v>
      </c>
      <c r="C19" s="41" t="s">
        <v>49</v>
      </c>
      <c r="D19" s="128" t="s">
        <v>50</v>
      </c>
      <c r="E19" s="128" t="s">
        <v>40</v>
      </c>
      <c r="F19" s="50">
        <v>73</v>
      </c>
      <c r="G19" s="60">
        <f t="shared" si="0"/>
        <v>876</v>
      </c>
      <c r="I19" s="104"/>
    </row>
    <row r="20" spans="1:12" ht="18" customHeight="1">
      <c r="A20" s="103">
        <v>12</v>
      </c>
      <c r="B20" s="124" t="s">
        <v>48</v>
      </c>
      <c r="C20" s="41" t="s">
        <v>49</v>
      </c>
      <c r="D20" s="128" t="s">
        <v>51</v>
      </c>
      <c r="E20" s="128" t="s">
        <v>40</v>
      </c>
      <c r="F20" s="50">
        <v>73</v>
      </c>
      <c r="G20" s="60">
        <f t="shared" si="0"/>
        <v>876</v>
      </c>
      <c r="I20" s="104"/>
    </row>
    <row r="21" spans="1:12" ht="18" customHeight="1">
      <c r="A21" s="103">
        <v>12</v>
      </c>
      <c r="B21" s="124" t="s">
        <v>48</v>
      </c>
      <c r="C21" s="41" t="s">
        <v>49</v>
      </c>
      <c r="D21" s="128">
        <v>16</v>
      </c>
      <c r="E21" s="128" t="s">
        <v>40</v>
      </c>
      <c r="F21" s="50">
        <v>73</v>
      </c>
      <c r="G21" s="60">
        <f t="shared" si="0"/>
        <v>876</v>
      </c>
      <c r="I21" s="104"/>
    </row>
    <row r="22" spans="1:12" ht="18" customHeight="1">
      <c r="A22" s="103">
        <v>12</v>
      </c>
      <c r="B22" s="122" t="s">
        <v>52</v>
      </c>
      <c r="C22" s="41" t="s">
        <v>53</v>
      </c>
      <c r="D22" s="128" t="s">
        <v>46</v>
      </c>
      <c r="E22" s="128" t="s">
        <v>40</v>
      </c>
      <c r="F22" s="50">
        <v>70</v>
      </c>
      <c r="G22" s="60">
        <f t="shared" si="0"/>
        <v>840</v>
      </c>
      <c r="I22" s="104"/>
      <c r="L22" s="108"/>
    </row>
    <row r="23" spans="1:12" ht="18" customHeight="1">
      <c r="A23" s="103">
        <v>12</v>
      </c>
      <c r="B23" s="124" t="s">
        <v>52</v>
      </c>
      <c r="C23" s="41" t="s">
        <v>53</v>
      </c>
      <c r="D23" s="128" t="s">
        <v>47</v>
      </c>
      <c r="E23" s="128" t="s">
        <v>40</v>
      </c>
      <c r="F23" s="50">
        <v>70</v>
      </c>
      <c r="G23" s="60">
        <f t="shared" si="0"/>
        <v>840</v>
      </c>
      <c r="I23" s="104"/>
    </row>
    <row r="24" spans="1:12" ht="18" customHeight="1">
      <c r="A24" s="103">
        <v>12</v>
      </c>
      <c r="B24" s="122" t="s">
        <v>52</v>
      </c>
      <c r="C24" s="41" t="s">
        <v>53</v>
      </c>
      <c r="D24" s="128" t="s">
        <v>50</v>
      </c>
      <c r="E24" s="128" t="s">
        <v>40</v>
      </c>
      <c r="F24" s="50">
        <v>70</v>
      </c>
      <c r="G24" s="60">
        <f t="shared" si="0"/>
        <v>840</v>
      </c>
      <c r="I24" s="104"/>
    </row>
    <row r="25" spans="1:12" ht="18" customHeight="1">
      <c r="A25" s="103">
        <v>12</v>
      </c>
      <c r="B25" s="124" t="s">
        <v>54</v>
      </c>
      <c r="C25" s="41" t="s">
        <v>55</v>
      </c>
      <c r="D25" s="128" t="s">
        <v>51</v>
      </c>
      <c r="E25" s="128" t="s">
        <v>40</v>
      </c>
      <c r="F25" s="50">
        <v>77</v>
      </c>
      <c r="G25" s="60">
        <f t="shared" si="0"/>
        <v>924</v>
      </c>
      <c r="I25" s="104"/>
    </row>
    <row r="26" spans="1:12" ht="18" customHeight="1">
      <c r="A26" s="103">
        <v>12</v>
      </c>
      <c r="B26" s="122" t="s">
        <v>54</v>
      </c>
      <c r="C26" s="41" t="s">
        <v>55</v>
      </c>
      <c r="D26" s="128">
        <v>16</v>
      </c>
      <c r="E26" s="128" t="s">
        <v>40</v>
      </c>
      <c r="F26" s="50">
        <v>77</v>
      </c>
      <c r="G26" s="60">
        <f t="shared" si="0"/>
        <v>924</v>
      </c>
      <c r="I26" s="104"/>
    </row>
    <row r="27" spans="1:12" ht="18" customHeight="1">
      <c r="A27" s="103">
        <v>24</v>
      </c>
      <c r="B27" s="124" t="s">
        <v>56</v>
      </c>
      <c r="C27" s="41" t="s">
        <v>57</v>
      </c>
      <c r="D27" s="128">
        <v>3</v>
      </c>
      <c r="E27" s="128" t="s">
        <v>58</v>
      </c>
      <c r="F27" s="50">
        <v>45</v>
      </c>
      <c r="G27" s="60">
        <f t="shared" si="0"/>
        <v>1080</v>
      </c>
      <c r="I27" s="104"/>
    </row>
    <row r="28" spans="1:12" ht="18" customHeight="1">
      <c r="A28" s="103">
        <v>12</v>
      </c>
      <c r="B28" s="122" t="s">
        <v>56</v>
      </c>
      <c r="C28" s="41" t="s">
        <v>57</v>
      </c>
      <c r="D28" s="128">
        <v>2</v>
      </c>
      <c r="E28" s="128" t="s">
        <v>58</v>
      </c>
      <c r="F28" s="50">
        <v>45</v>
      </c>
      <c r="G28" s="60">
        <f t="shared" si="0"/>
        <v>540</v>
      </c>
      <c r="I28" s="104"/>
    </row>
    <row r="29" spans="1:12" ht="18" customHeight="1">
      <c r="A29" s="103">
        <v>12</v>
      </c>
      <c r="B29" s="122" t="s">
        <v>56</v>
      </c>
      <c r="C29" s="41" t="s">
        <v>57</v>
      </c>
      <c r="D29" s="128" t="s">
        <v>35</v>
      </c>
      <c r="E29" s="128" t="s">
        <v>40</v>
      </c>
      <c r="F29" s="50">
        <v>45</v>
      </c>
      <c r="G29" s="60">
        <f t="shared" si="0"/>
        <v>540</v>
      </c>
      <c r="I29" s="104"/>
    </row>
    <row r="30" spans="1:12" ht="18" customHeight="1">
      <c r="A30" s="103">
        <v>12</v>
      </c>
      <c r="B30" s="122" t="s">
        <v>59</v>
      </c>
      <c r="C30" s="41" t="s">
        <v>60</v>
      </c>
      <c r="D30" s="128">
        <v>2</v>
      </c>
      <c r="E30" s="128" t="s">
        <v>58</v>
      </c>
      <c r="F30" s="50">
        <v>47</v>
      </c>
      <c r="G30" s="60">
        <f t="shared" si="0"/>
        <v>564</v>
      </c>
      <c r="I30" s="104"/>
    </row>
    <row r="31" spans="1:12" ht="18" customHeight="1">
      <c r="A31" s="103">
        <v>12</v>
      </c>
      <c r="B31" s="124" t="s">
        <v>59</v>
      </c>
      <c r="C31" s="41" t="s">
        <v>60</v>
      </c>
      <c r="D31" s="128">
        <v>2</v>
      </c>
      <c r="E31" s="128" t="s">
        <v>40</v>
      </c>
      <c r="F31" s="50">
        <v>47</v>
      </c>
      <c r="G31" s="60">
        <f t="shared" si="0"/>
        <v>564</v>
      </c>
      <c r="I31" s="104"/>
    </row>
    <row r="32" spans="1:12" ht="18" customHeight="1">
      <c r="A32" s="103">
        <v>1</v>
      </c>
      <c r="B32" s="124" t="s">
        <v>61</v>
      </c>
      <c r="C32" s="41" t="s">
        <v>62</v>
      </c>
      <c r="D32" s="128" t="s">
        <v>65</v>
      </c>
      <c r="E32" s="128" t="s">
        <v>40</v>
      </c>
      <c r="F32" s="50">
        <v>145</v>
      </c>
      <c r="G32" s="60">
        <f t="shared" si="0"/>
        <v>145</v>
      </c>
      <c r="I32" s="104"/>
      <c r="K32">
        <f>1950+60</f>
        <v>2010</v>
      </c>
    </row>
    <row r="33" spans="1:12" ht="18" customHeight="1">
      <c r="A33" s="103">
        <v>1</v>
      </c>
      <c r="B33" s="124" t="s">
        <v>61</v>
      </c>
      <c r="C33" s="41" t="s">
        <v>62</v>
      </c>
      <c r="D33" s="128" t="s">
        <v>66</v>
      </c>
      <c r="E33" s="128" t="s">
        <v>40</v>
      </c>
      <c r="F33" s="50">
        <v>145</v>
      </c>
      <c r="G33" s="60">
        <f t="shared" si="0"/>
        <v>145</v>
      </c>
      <c r="I33" s="104"/>
    </row>
    <row r="34" spans="1:12" ht="18" customHeight="1">
      <c r="A34" s="103">
        <v>1</v>
      </c>
      <c r="B34" s="124" t="s">
        <v>63</v>
      </c>
      <c r="C34" s="41" t="s">
        <v>64</v>
      </c>
      <c r="D34" s="128" t="s">
        <v>67</v>
      </c>
      <c r="E34" s="128" t="s">
        <v>40</v>
      </c>
      <c r="F34" s="50">
        <v>151</v>
      </c>
      <c r="G34" s="60">
        <f t="shared" si="0"/>
        <v>151</v>
      </c>
    </row>
    <row r="35" spans="1:12" ht="18" customHeight="1">
      <c r="A35" s="59"/>
      <c r="B35" s="122"/>
      <c r="C35" s="41"/>
      <c r="D35" s="128"/>
      <c r="E35" s="128"/>
      <c r="F35" s="50"/>
      <c r="G35" s="60"/>
    </row>
    <row r="36" spans="1:12" ht="18" customHeight="1">
      <c r="A36" s="59"/>
      <c r="B36" s="122"/>
      <c r="C36" s="41"/>
      <c r="D36" s="128"/>
      <c r="E36" s="128"/>
      <c r="F36" s="50"/>
      <c r="G36" s="60"/>
    </row>
    <row r="37" spans="1:12" ht="18" customHeight="1">
      <c r="A37" s="59"/>
      <c r="B37" s="122"/>
      <c r="C37" s="41"/>
      <c r="D37" s="128"/>
      <c r="E37" s="128"/>
      <c r="F37" s="50"/>
      <c r="G37" s="60"/>
    </row>
    <row r="38" spans="1:12" ht="18" customHeight="1">
      <c r="A38" s="84"/>
      <c r="B38" s="122"/>
      <c r="C38" s="41"/>
      <c r="D38" s="128"/>
      <c r="E38" s="150"/>
      <c r="F38" s="85"/>
      <c r="G38" s="60"/>
      <c r="J38" s="33"/>
    </row>
    <row r="39" spans="1:12" ht="18" customHeight="1">
      <c r="A39" s="84"/>
      <c r="B39" s="122"/>
      <c r="C39" s="41"/>
      <c r="D39" s="128"/>
      <c r="E39" s="150"/>
      <c r="F39" s="85"/>
      <c r="G39" s="60"/>
      <c r="J39" s="33"/>
    </row>
    <row r="40" spans="1:12" ht="18" customHeight="1" thickBot="1">
      <c r="A40" s="61"/>
      <c r="B40" s="62"/>
      <c r="C40" s="63"/>
      <c r="D40" s="113"/>
      <c r="E40" s="113"/>
      <c r="F40" s="64"/>
      <c r="G40" s="65"/>
    </row>
    <row r="41" spans="1:12">
      <c r="A41" s="16"/>
      <c r="B41" s="17"/>
      <c r="C41" s="19"/>
      <c r="D41" s="114"/>
      <c r="E41" s="114"/>
      <c r="F41" s="21"/>
      <c r="G41" s="20"/>
      <c r="H41" s="22"/>
      <c r="I41" s="22"/>
      <c r="J41" s="15"/>
      <c r="K41" s="23"/>
      <c r="L41" s="22"/>
    </row>
    <row r="42" spans="1:12">
      <c r="B42" s="24">
        <f>SUM(A17:A40)</f>
        <v>195</v>
      </c>
      <c r="C42" s="7" t="s">
        <v>16</v>
      </c>
      <c r="D42" s="78" t="s">
        <v>15</v>
      </c>
      <c r="E42" s="78"/>
      <c r="G42" s="26">
        <f>SUM(G17:G40)</f>
        <v>12381</v>
      </c>
      <c r="H42" s="137"/>
      <c r="I42" s="137"/>
    </row>
    <row r="43" spans="1:12" ht="9" customHeight="1" thickBot="1">
      <c r="B43" s="27"/>
      <c r="D43" s="78"/>
      <c r="E43" s="78"/>
      <c r="G43" s="28"/>
    </row>
    <row r="44" spans="1:12" s="33" customFormat="1">
      <c r="A44" s="116"/>
      <c r="B44" s="117"/>
      <c r="C44" s="118" t="s">
        <v>17</v>
      </c>
      <c r="D44" s="119"/>
      <c r="E44" s="119"/>
      <c r="F44" s="117"/>
      <c r="G44" s="120"/>
    </row>
    <row r="45" spans="1:12" s="33" customFormat="1">
      <c r="A45" s="93" t="s">
        <v>18</v>
      </c>
      <c r="B45" s="34" t="s">
        <v>19</v>
      </c>
      <c r="C45" s="35"/>
      <c r="D45" s="29" t="s">
        <v>20</v>
      </c>
      <c r="E45" s="29"/>
      <c r="F45" s="29"/>
      <c r="G45" s="121">
        <f>G42</f>
        <v>12381</v>
      </c>
      <c r="H45" s="66"/>
    </row>
    <row r="46" spans="1:12" s="33" customFormat="1" ht="9" customHeight="1">
      <c r="A46" s="94"/>
      <c r="B46" s="29"/>
      <c r="C46" s="29"/>
      <c r="D46" s="126"/>
      <c r="E46" s="149"/>
      <c r="F46" s="36"/>
      <c r="G46" s="95"/>
      <c r="H46" s="66"/>
    </row>
    <row r="47" spans="1:12" s="33" customFormat="1">
      <c r="A47" s="96">
        <f ca="1">G5+31</f>
        <v>46044.526447453703</v>
      </c>
      <c r="B47" s="29"/>
      <c r="C47" s="37"/>
      <c r="D47" s="183" t="str">
        <f ca="1">CONCATENATE("Dia   ",DAY(G5),"   Mes   ",MONTH(G5),"   Año   ",YEAR(G5))</f>
        <v>Dia   22   Mes   12   Año   2025</v>
      </c>
      <c r="E47" s="183"/>
      <c r="F47" s="183"/>
      <c r="G47" s="184"/>
      <c r="H47" s="66"/>
    </row>
    <row r="48" spans="1:12" s="33" customFormat="1" ht="15" customHeight="1">
      <c r="A48" s="185" t="s">
        <v>34</v>
      </c>
      <c r="B48" s="186"/>
      <c r="C48" s="186"/>
      <c r="D48" s="186"/>
      <c r="E48" s="186"/>
      <c r="F48" s="186"/>
      <c r="G48" s="187"/>
    </row>
    <row r="49" spans="1:7" s="33" customFormat="1">
      <c r="A49" s="97" t="s">
        <v>21</v>
      </c>
      <c r="B49" s="188" t="s">
        <v>22</v>
      </c>
      <c r="C49" s="188"/>
      <c r="D49" s="189" t="str">
        <f ca="1">CONCATENATE("el  dia  ",DAY(A47),"  del  mes  ",MONTH(A47),"  del  año  ",YEAR(A47))</f>
        <v>el  dia  22  del  mes  1  del  año  2026</v>
      </c>
      <c r="E49" s="189"/>
      <c r="F49" s="189"/>
      <c r="G49" s="190"/>
    </row>
    <row r="50" spans="1:7" s="33" customFormat="1">
      <c r="A50" s="191" t="s">
        <v>23</v>
      </c>
      <c r="B50" s="188"/>
      <c r="C50" s="192" t="s">
        <v>68</v>
      </c>
      <c r="D50" s="192"/>
      <c r="E50" s="192"/>
      <c r="F50" s="192"/>
      <c r="G50" s="193"/>
    </row>
    <row r="51" spans="1:7" s="33" customFormat="1" ht="15" customHeight="1">
      <c r="A51" s="194" t="s">
        <v>24</v>
      </c>
      <c r="B51" s="195"/>
      <c r="C51" s="195"/>
      <c r="D51" s="195"/>
      <c r="E51" s="195"/>
      <c r="F51" s="195"/>
      <c r="G51" s="196"/>
    </row>
    <row r="52" spans="1:7" s="33" customFormat="1">
      <c r="A52" s="197"/>
      <c r="B52" s="198"/>
      <c r="C52" s="198"/>
      <c r="D52" s="198"/>
      <c r="E52" s="198"/>
      <c r="F52" s="198"/>
      <c r="G52" s="199"/>
    </row>
    <row r="53" spans="1:7" s="33" customFormat="1" ht="15" customHeight="1">
      <c r="A53" s="98" t="s">
        <v>25</v>
      </c>
      <c r="B53" s="204" t="str">
        <f>C7</f>
        <v>REYNA MONTIEL CARDENAS (ATLACOMULCO)</v>
      </c>
      <c r="C53" s="204"/>
      <c r="D53" s="204"/>
      <c r="E53" s="205"/>
      <c r="F53" s="200" t="s">
        <v>26</v>
      </c>
      <c r="G53" s="201"/>
    </row>
    <row r="54" spans="1:7" s="33" customFormat="1" ht="15" customHeight="1">
      <c r="A54" s="99" t="s">
        <v>27</v>
      </c>
      <c r="B54" s="206" t="str">
        <f>CONCATENATE(C6,", ", C7,", ",C8,", ",C9,", ",C10)</f>
        <v>2248, REYNA MONTIEL CARDENAS (ATLACOMULCO), JOSE VICENTE VILLADA #8, CENTRO, ATLACOMULCO, EDO. DE MEXICO</v>
      </c>
      <c r="C54" s="206"/>
      <c r="D54" s="206"/>
      <c r="E54" s="207"/>
      <c r="F54" s="202"/>
      <c r="G54" s="203"/>
    </row>
    <row r="55" spans="1:7" s="33" customFormat="1" ht="11.25" customHeight="1">
      <c r="A55" s="100"/>
      <c r="B55" s="206"/>
      <c r="C55" s="206"/>
      <c r="D55" s="206"/>
      <c r="E55" s="207"/>
      <c r="F55" s="39"/>
      <c r="G55" s="101"/>
    </row>
    <row r="56" spans="1:7" s="33" customFormat="1" ht="15.75" thickBot="1">
      <c r="A56" s="102"/>
      <c r="B56" s="208"/>
      <c r="C56" s="208"/>
      <c r="D56" s="208"/>
      <c r="E56" s="209"/>
      <c r="F56" s="181" t="s">
        <v>28</v>
      </c>
      <c r="G56" s="182"/>
    </row>
    <row r="57" spans="1:7">
      <c r="A57" s="27"/>
      <c r="B57" s="27"/>
      <c r="C57" s="51"/>
      <c r="D57" s="115"/>
      <c r="E57" s="115"/>
      <c r="F57" s="12"/>
      <c r="G57" s="12"/>
    </row>
    <row r="58" spans="1:7" s="67" customFormat="1">
      <c r="A58" s="15"/>
      <c r="B58" s="81"/>
      <c r="C58" s="51"/>
      <c r="D58" s="115"/>
      <c r="E58" s="115"/>
      <c r="F58" s="12"/>
      <c r="G58" s="12"/>
    </row>
    <row r="59" spans="1:7" s="67" customFormat="1">
      <c r="A59" s="15"/>
      <c r="B59" s="81"/>
      <c r="C59" s="51"/>
      <c r="D59" s="115"/>
      <c r="E59" s="115"/>
      <c r="F59" s="12"/>
      <c r="G59" s="12"/>
    </row>
    <row r="60" spans="1:7" s="67" customFormat="1">
      <c r="A60" s="15"/>
      <c r="B60" s="81"/>
      <c r="C60" s="51"/>
      <c r="D60" s="115"/>
      <c r="E60" s="115"/>
      <c r="F60" s="12"/>
      <c r="G60" s="12"/>
    </row>
    <row r="61" spans="1:7" s="67" customFormat="1">
      <c r="A61" s="15"/>
      <c r="B61" s="81"/>
      <c r="C61" s="51"/>
      <c r="D61" s="115"/>
      <c r="E61" s="115"/>
      <c r="F61" s="12"/>
      <c r="G61" s="12"/>
    </row>
    <row r="62" spans="1:7" s="67" customFormat="1">
      <c r="A62" s="15"/>
      <c r="B62" s="81"/>
      <c r="C62" s="51"/>
      <c r="D62" s="115"/>
      <c r="E62" s="115"/>
      <c r="F62" s="12"/>
      <c r="G62" s="12"/>
    </row>
    <row r="63" spans="1:7" s="67" customFormat="1">
      <c r="A63" s="15"/>
      <c r="B63" s="27"/>
      <c r="C63" s="51"/>
      <c r="D63" s="115"/>
      <c r="E63" s="115"/>
      <c r="F63" s="12"/>
      <c r="G63" s="12"/>
    </row>
    <row r="64" spans="1:7" s="15" customFormat="1">
      <c r="B64" s="27"/>
      <c r="C64" s="51"/>
      <c r="D64" s="115"/>
      <c r="E64" s="115"/>
      <c r="F64" s="12"/>
      <c r="G64" s="12"/>
    </row>
    <row r="65" spans="1:7" s="15" customFormat="1">
      <c r="A65" s="81"/>
      <c r="B65" s="81"/>
      <c r="D65" s="115"/>
      <c r="E65" s="115"/>
      <c r="F65" s="12"/>
      <c r="G65" s="12"/>
    </row>
    <row r="66" spans="1:7" s="15" customFormat="1">
      <c r="A66" s="81"/>
      <c r="B66" s="81"/>
      <c r="D66" s="115"/>
      <c r="E66" s="115"/>
      <c r="F66" s="12"/>
      <c r="G66" s="12"/>
    </row>
    <row r="67" spans="1:7" s="15" customFormat="1">
      <c r="A67" s="81"/>
      <c r="B67" s="81"/>
      <c r="D67" s="115"/>
      <c r="E67" s="115"/>
      <c r="F67" s="12"/>
      <c r="G67" s="12"/>
    </row>
    <row r="68" spans="1:7" s="15" customFormat="1">
      <c r="A68" s="81"/>
      <c r="B68" s="81"/>
      <c r="D68" s="115"/>
      <c r="E68" s="115"/>
      <c r="F68" s="12"/>
      <c r="G68" s="12"/>
    </row>
    <row r="69" spans="1:7" s="15" customFormat="1">
      <c r="A69" s="81"/>
      <c r="B69" s="81"/>
      <c r="D69" s="115"/>
      <c r="E69" s="115"/>
      <c r="F69" s="12"/>
      <c r="G69" s="12"/>
    </row>
    <row r="70" spans="1:7" s="15" customFormat="1">
      <c r="A70" s="27"/>
      <c r="B70" s="27"/>
      <c r="D70" s="115"/>
      <c r="E70" s="115"/>
      <c r="F70" s="12"/>
      <c r="G70" s="12"/>
    </row>
    <row r="71" spans="1:7" s="15" customFormat="1">
      <c r="A71" s="27"/>
      <c r="B71" s="27"/>
      <c r="D71" s="115"/>
      <c r="E71" s="115"/>
      <c r="F71" s="12"/>
      <c r="G71" s="12"/>
    </row>
    <row r="72" spans="1:7" s="15" customFormat="1">
      <c r="A72" s="27"/>
      <c r="B72" s="27"/>
      <c r="D72" s="115"/>
      <c r="E72" s="115"/>
      <c r="F72" s="12"/>
      <c r="G72" s="12"/>
    </row>
    <row r="73" spans="1:7" s="15" customFormat="1">
      <c r="A73" s="27"/>
      <c r="B73" s="27"/>
      <c r="D73" s="115"/>
      <c r="E73" s="115"/>
      <c r="F73" s="12"/>
      <c r="G73" s="12"/>
    </row>
    <row r="74" spans="1:7" s="15" customFormat="1">
      <c r="A74" s="27"/>
      <c r="B74" s="27"/>
      <c r="D74" s="115"/>
      <c r="E74" s="115"/>
      <c r="F74" s="12"/>
      <c r="G74" s="12"/>
    </row>
    <row r="75" spans="1:7" s="15" customFormat="1">
      <c r="A75" s="27"/>
      <c r="B75" s="27"/>
      <c r="D75" s="115"/>
      <c r="E75" s="115"/>
      <c r="F75" s="12"/>
      <c r="G75" s="12"/>
    </row>
    <row r="76" spans="1:7" s="15" customFormat="1">
      <c r="A76" s="27"/>
      <c r="B76" s="27"/>
      <c r="D76" s="115"/>
      <c r="E76" s="115"/>
      <c r="F76" s="12"/>
      <c r="G76" s="12"/>
    </row>
    <row r="77" spans="1:7" s="15" customFormat="1">
      <c r="A77" s="27"/>
      <c r="B77" s="27"/>
      <c r="D77" s="115"/>
      <c r="E77" s="115"/>
      <c r="F77" s="12"/>
      <c r="G77" s="12"/>
    </row>
    <row r="78" spans="1:7" s="15" customFormat="1">
      <c r="A78" s="27"/>
      <c r="B78" s="27"/>
      <c r="D78" s="115"/>
      <c r="E78" s="115"/>
      <c r="F78" s="12"/>
      <c r="G78" s="12"/>
    </row>
    <row r="79" spans="1:7" s="15" customFormat="1">
      <c r="A79" s="27"/>
      <c r="B79" s="27"/>
      <c r="D79" s="115"/>
      <c r="E79" s="115"/>
      <c r="F79" s="12"/>
      <c r="G79" s="12"/>
    </row>
    <row r="80" spans="1:7" s="15" customFormat="1">
      <c r="A80" s="27"/>
      <c r="B80" s="27"/>
      <c r="D80" s="115"/>
      <c r="E80" s="115"/>
      <c r="F80" s="12"/>
      <c r="G80" s="12"/>
    </row>
    <row r="81" spans="1:7" s="15" customFormat="1">
      <c r="A81" s="27"/>
      <c r="B81" s="27"/>
      <c r="D81" s="115"/>
      <c r="E81" s="115"/>
      <c r="F81" s="12"/>
      <c r="G81" s="12"/>
    </row>
    <row r="82" spans="1:7" s="15" customFormat="1">
      <c r="A82" s="27"/>
      <c r="B82" s="27"/>
      <c r="D82" s="115"/>
      <c r="E82" s="115"/>
      <c r="F82" s="12"/>
      <c r="G82" s="12"/>
    </row>
    <row r="83" spans="1:7" s="15" customFormat="1">
      <c r="A83" s="27"/>
      <c r="B83" s="27"/>
      <c r="D83" s="115"/>
      <c r="E83" s="115"/>
      <c r="F83" s="12"/>
      <c r="G83" s="12"/>
    </row>
    <row r="84" spans="1:7" s="15" customFormat="1">
      <c r="A84" s="27"/>
      <c r="B84" s="27"/>
      <c r="D84" s="115"/>
      <c r="E84" s="115"/>
      <c r="F84" s="12"/>
      <c r="G84" s="12"/>
    </row>
    <row r="85" spans="1:7" s="15" customFormat="1">
      <c r="A85" s="68"/>
      <c r="B85" s="68"/>
      <c r="D85" s="115"/>
      <c r="E85" s="115"/>
      <c r="F85" s="12"/>
      <c r="G85" s="12"/>
    </row>
    <row r="86" spans="1:7" s="15" customFormat="1">
      <c r="A86" s="68"/>
      <c r="B86" s="68"/>
      <c r="D86" s="115"/>
      <c r="E86" s="115"/>
      <c r="F86" s="12"/>
      <c r="G86" s="12"/>
    </row>
    <row r="87" spans="1:7" s="15" customFormat="1">
      <c r="A87" s="68"/>
      <c r="B87" s="68"/>
      <c r="D87" s="115"/>
      <c r="E87" s="115"/>
      <c r="F87" s="12"/>
      <c r="G87" s="12"/>
    </row>
    <row r="88" spans="1:7" s="15" customFormat="1">
      <c r="A88" s="68"/>
      <c r="B88" s="68"/>
      <c r="D88" s="115"/>
      <c r="E88" s="115"/>
      <c r="F88" s="12"/>
      <c r="G88" s="12"/>
    </row>
    <row r="89" spans="1:7" s="15" customFormat="1">
      <c r="A89" s="68"/>
      <c r="B89" s="68"/>
      <c r="D89" s="115"/>
      <c r="E89" s="115"/>
      <c r="F89" s="12"/>
      <c r="G89" s="12"/>
    </row>
    <row r="90" spans="1:7" s="15" customFormat="1">
      <c r="A90" s="68"/>
      <c r="B90" s="68"/>
      <c r="D90" s="115"/>
      <c r="E90" s="115"/>
      <c r="F90" s="12"/>
      <c r="G90" s="12"/>
    </row>
    <row r="91" spans="1:7" s="15" customFormat="1">
      <c r="A91" s="68"/>
      <c r="B91" s="68"/>
      <c r="D91" s="115"/>
      <c r="E91" s="115"/>
      <c r="F91" s="12"/>
      <c r="G91" s="12"/>
    </row>
    <row r="92" spans="1:7" s="15" customFormat="1">
      <c r="A92" s="68"/>
      <c r="B92" s="68"/>
      <c r="D92" s="115"/>
      <c r="E92" s="115"/>
      <c r="F92" s="12"/>
      <c r="G92" s="12"/>
    </row>
    <row r="93" spans="1:7" s="15" customFormat="1">
      <c r="A93" s="27"/>
      <c r="B93" s="27"/>
      <c r="D93" s="115"/>
      <c r="E93" s="115"/>
      <c r="F93" s="12"/>
      <c r="G93" s="12"/>
    </row>
    <row r="94" spans="1:7" s="15" customFormat="1">
      <c r="A94" s="27"/>
      <c r="B94" s="27"/>
      <c r="D94" s="115"/>
      <c r="E94" s="115"/>
      <c r="F94" s="12"/>
      <c r="G94" s="12"/>
    </row>
    <row r="95" spans="1:7" s="15" customFormat="1">
      <c r="A95" s="27"/>
      <c r="B95" s="27"/>
      <c r="D95" s="115"/>
      <c r="E95" s="115"/>
      <c r="F95" s="12"/>
      <c r="G95" s="12"/>
    </row>
    <row r="96" spans="1:7" s="15" customFormat="1">
      <c r="A96" s="27"/>
      <c r="B96" s="27"/>
      <c r="D96" s="115"/>
      <c r="E96" s="115"/>
      <c r="F96" s="12"/>
      <c r="G96" s="12"/>
    </row>
    <row r="97" spans="1:7" s="15" customFormat="1">
      <c r="A97" s="27"/>
      <c r="B97" s="27"/>
      <c r="D97" s="115"/>
      <c r="E97" s="115"/>
      <c r="F97" s="12"/>
      <c r="G97" s="12"/>
    </row>
    <row r="98" spans="1:7" s="15" customFormat="1">
      <c r="A98" s="27"/>
      <c r="B98" s="27"/>
      <c r="D98" s="115"/>
      <c r="E98" s="115"/>
      <c r="F98" s="12"/>
      <c r="G98" s="12"/>
    </row>
    <row r="99" spans="1:7" s="15" customFormat="1">
      <c r="A99" s="27"/>
      <c r="B99" s="27"/>
      <c r="D99" s="115"/>
      <c r="E99" s="115"/>
      <c r="F99" s="12"/>
      <c r="G99" s="12"/>
    </row>
    <row r="100" spans="1:7" s="15" customFormat="1">
      <c r="A100" s="27"/>
      <c r="B100" s="27"/>
      <c r="D100" s="115"/>
      <c r="E100" s="115"/>
      <c r="F100" s="12"/>
      <c r="G100" s="12"/>
    </row>
    <row r="101" spans="1:7" s="15" customFormat="1">
      <c r="A101" s="68"/>
      <c r="B101" s="68"/>
      <c r="D101" s="115"/>
      <c r="E101" s="115"/>
      <c r="F101" s="12"/>
      <c r="G101" s="12"/>
    </row>
    <row r="102" spans="1:7" s="15" customFormat="1">
      <c r="A102" s="68"/>
      <c r="B102" s="68"/>
      <c r="D102" s="115"/>
      <c r="E102" s="115"/>
      <c r="F102" s="12"/>
      <c r="G102" s="12"/>
    </row>
    <row r="103" spans="1:7" s="15" customFormat="1">
      <c r="A103" s="68"/>
      <c r="B103" s="68"/>
      <c r="D103" s="115"/>
      <c r="E103" s="115"/>
      <c r="F103" s="12"/>
      <c r="G103" s="12"/>
    </row>
    <row r="104" spans="1:7" s="15" customFormat="1">
      <c r="A104" s="68"/>
      <c r="B104" s="68"/>
      <c r="D104" s="115"/>
      <c r="E104" s="115"/>
      <c r="F104" s="12"/>
      <c r="G104" s="12"/>
    </row>
    <row r="105" spans="1:7" s="15" customFormat="1">
      <c r="A105" s="68"/>
      <c r="B105" s="68"/>
      <c r="D105" s="115"/>
      <c r="E105" s="115"/>
      <c r="F105" s="12"/>
      <c r="G105" s="12"/>
    </row>
    <row r="106" spans="1:7" s="15" customFormat="1">
      <c r="A106" s="68"/>
      <c r="B106" s="68"/>
      <c r="D106" s="115"/>
      <c r="E106" s="115"/>
      <c r="F106" s="12"/>
      <c r="G106" s="12"/>
    </row>
    <row r="107" spans="1:7" s="15" customFormat="1">
      <c r="A107" s="68"/>
      <c r="B107" s="68"/>
      <c r="D107" s="115"/>
      <c r="E107" s="115"/>
      <c r="F107" s="12"/>
      <c r="G107" s="12"/>
    </row>
    <row r="108" spans="1:7" s="15" customFormat="1">
      <c r="A108" s="68"/>
      <c r="B108" s="68"/>
      <c r="D108" s="115"/>
      <c r="E108" s="115"/>
      <c r="F108" s="12"/>
      <c r="G108" s="12"/>
    </row>
    <row r="109" spans="1:7" s="15" customFormat="1">
      <c r="A109" s="27"/>
      <c r="B109" s="27"/>
      <c r="D109" s="115"/>
      <c r="E109" s="115"/>
      <c r="F109" s="12"/>
      <c r="G109" s="12"/>
    </row>
    <row r="110" spans="1:7" s="15" customFormat="1">
      <c r="A110" s="27"/>
      <c r="B110" s="27"/>
      <c r="D110" s="115"/>
      <c r="E110" s="115"/>
      <c r="F110" s="12"/>
      <c r="G110" s="12"/>
    </row>
    <row r="111" spans="1:7" s="15" customFormat="1">
      <c r="A111" s="27"/>
      <c r="B111" s="27"/>
      <c r="C111" s="15" t="s">
        <v>37</v>
      </c>
      <c r="D111" s="115"/>
      <c r="E111" s="115"/>
      <c r="F111" s="12"/>
      <c r="G111" s="12"/>
    </row>
    <row r="112" spans="1:7" s="15" customFormat="1">
      <c r="A112" s="27"/>
      <c r="B112" s="27"/>
      <c r="D112" s="115"/>
      <c r="E112" s="115"/>
      <c r="F112" s="12"/>
      <c r="G112" s="12"/>
    </row>
    <row r="113" spans="1:7" s="15" customFormat="1">
      <c r="A113" s="27"/>
      <c r="B113" s="27"/>
      <c r="C113" s="15" t="s">
        <v>36</v>
      </c>
      <c r="D113" s="115"/>
      <c r="E113" s="115"/>
      <c r="F113" s="12"/>
      <c r="G113" s="12"/>
    </row>
    <row r="114" spans="1:7" s="15" customFormat="1">
      <c r="A114" s="27"/>
      <c r="B114" s="27"/>
      <c r="D114" s="115"/>
      <c r="E114" s="115"/>
      <c r="F114" s="12"/>
      <c r="G114" s="12"/>
    </row>
    <row r="115" spans="1:7" s="15" customFormat="1">
      <c r="A115" s="27"/>
      <c r="B115" s="27"/>
      <c r="D115" s="115"/>
      <c r="E115" s="115"/>
      <c r="F115" s="12"/>
      <c r="G115" s="12"/>
    </row>
    <row r="116" spans="1:7" s="15" customFormat="1">
      <c r="A116" s="27"/>
      <c r="B116" s="27"/>
      <c r="D116" s="115"/>
      <c r="E116" s="115"/>
      <c r="F116" s="12"/>
      <c r="G116" s="12"/>
    </row>
    <row r="117" spans="1:7" s="15" customFormat="1">
      <c r="A117" s="27"/>
      <c r="B117" s="27"/>
      <c r="D117" s="115"/>
      <c r="E117" s="115"/>
      <c r="F117" s="12"/>
      <c r="G117" s="12"/>
    </row>
    <row r="118" spans="1:7" s="15" customFormat="1">
      <c r="A118" s="27"/>
      <c r="B118" s="27"/>
      <c r="D118" s="115"/>
      <c r="E118" s="115"/>
      <c r="F118" s="12"/>
      <c r="G118" s="12"/>
    </row>
    <row r="119" spans="1:7" s="15" customFormat="1">
      <c r="A119" s="27"/>
      <c r="B119" s="27"/>
      <c r="D119" s="115"/>
      <c r="E119" s="115"/>
      <c r="F119" s="12"/>
      <c r="G119" s="12"/>
    </row>
    <row r="120" spans="1:7" s="15" customFormat="1">
      <c r="A120" s="27"/>
      <c r="B120" s="27"/>
      <c r="D120" s="115"/>
      <c r="E120" s="115"/>
      <c r="F120" s="12"/>
      <c r="G120" s="12"/>
    </row>
    <row r="121" spans="1:7" s="15" customFormat="1">
      <c r="A121" s="27"/>
      <c r="B121" s="27"/>
      <c r="D121" s="115"/>
      <c r="E121" s="115"/>
      <c r="F121" s="12"/>
      <c r="G121" s="12"/>
    </row>
    <row r="122" spans="1:7" s="15" customFormat="1">
      <c r="A122" s="27"/>
      <c r="B122" s="27"/>
      <c r="D122" s="115"/>
      <c r="E122" s="115"/>
      <c r="F122" s="12"/>
      <c r="G122" s="12"/>
    </row>
    <row r="123" spans="1:7" s="15" customFormat="1">
      <c r="A123" s="27"/>
      <c r="B123" s="27"/>
      <c r="D123" s="115"/>
      <c r="E123" s="115"/>
      <c r="F123" s="12"/>
      <c r="G123" s="12"/>
    </row>
    <row r="124" spans="1:7" s="15" customFormat="1">
      <c r="A124" s="27"/>
      <c r="B124" s="27"/>
      <c r="D124" s="115"/>
      <c r="E124" s="115"/>
      <c r="F124" s="12"/>
      <c r="G124" s="12"/>
    </row>
    <row r="125" spans="1:7" s="15" customFormat="1">
      <c r="A125" s="27"/>
      <c r="B125" s="27"/>
      <c r="D125" s="115"/>
      <c r="E125" s="115"/>
      <c r="F125" s="12"/>
      <c r="G125" s="12"/>
    </row>
    <row r="126" spans="1:7" s="15" customFormat="1">
      <c r="A126" s="27"/>
      <c r="B126" s="27"/>
      <c r="D126" s="115"/>
      <c r="E126" s="115"/>
      <c r="F126" s="12"/>
      <c r="G126" s="12"/>
    </row>
    <row r="127" spans="1:7" s="15" customFormat="1">
      <c r="A127" s="27"/>
      <c r="B127" s="27"/>
      <c r="D127" s="115"/>
      <c r="E127" s="115"/>
      <c r="F127" s="12"/>
      <c r="G127" s="12"/>
    </row>
    <row r="128" spans="1:7" s="15" customFormat="1">
      <c r="A128" s="27"/>
      <c r="B128" s="27"/>
      <c r="D128" s="115"/>
      <c r="E128" s="115"/>
      <c r="F128" s="12"/>
      <c r="G128" s="12"/>
    </row>
    <row r="129" spans="1:7" s="15" customFormat="1">
      <c r="A129" s="27"/>
      <c r="B129" s="27"/>
      <c r="D129" s="115"/>
      <c r="E129" s="115"/>
      <c r="F129" s="12"/>
      <c r="G129" s="12"/>
    </row>
    <row r="130" spans="1:7" s="15" customFormat="1">
      <c r="A130" s="27"/>
      <c r="B130" s="27"/>
      <c r="D130" s="115"/>
      <c r="E130" s="115"/>
      <c r="F130" s="12"/>
      <c r="G130" s="12"/>
    </row>
    <row r="131" spans="1:7" s="15" customFormat="1">
      <c r="A131" s="27"/>
      <c r="B131" s="27"/>
      <c r="D131" s="115"/>
      <c r="E131" s="115"/>
      <c r="F131" s="12"/>
      <c r="G131" s="12"/>
    </row>
    <row r="132" spans="1:7" s="15" customFormat="1">
      <c r="A132" s="27"/>
      <c r="B132" s="27"/>
      <c r="D132" s="115"/>
      <c r="E132" s="115"/>
      <c r="F132" s="12"/>
      <c r="G132" s="12"/>
    </row>
    <row r="133" spans="1:7" s="15" customFormat="1">
      <c r="A133" s="27"/>
      <c r="B133" s="27"/>
      <c r="D133" s="115"/>
      <c r="E133" s="115"/>
      <c r="F133" s="12"/>
      <c r="G133" s="12"/>
    </row>
    <row r="134" spans="1:7" s="15" customFormat="1">
      <c r="A134" s="27"/>
      <c r="B134" s="27"/>
      <c r="D134" s="115"/>
      <c r="E134" s="115"/>
      <c r="F134" s="12"/>
      <c r="G134" s="12"/>
    </row>
    <row r="135" spans="1:7" s="15" customFormat="1">
      <c r="A135" s="27"/>
      <c r="B135" s="27"/>
      <c r="D135" s="115"/>
      <c r="E135" s="115"/>
      <c r="F135" s="12"/>
      <c r="G135" s="12"/>
    </row>
    <row r="136" spans="1:7" s="15" customFormat="1">
      <c r="A136" s="27"/>
      <c r="B136" s="27"/>
      <c r="D136" s="115"/>
      <c r="E136" s="115"/>
      <c r="F136" s="12"/>
      <c r="G136" s="12"/>
    </row>
    <row r="137" spans="1:7" s="15" customFormat="1">
      <c r="A137" s="27"/>
      <c r="B137" s="27"/>
      <c r="D137" s="115"/>
      <c r="E137" s="115"/>
      <c r="F137" s="12"/>
      <c r="G137" s="12"/>
    </row>
    <row r="138" spans="1:7" s="15" customFormat="1">
      <c r="A138" s="27"/>
      <c r="B138" s="27"/>
      <c r="D138" s="115"/>
      <c r="E138" s="115"/>
      <c r="F138" s="12"/>
      <c r="G138" s="12"/>
    </row>
    <row r="139" spans="1:7" s="15" customFormat="1">
      <c r="A139" s="27"/>
      <c r="B139" s="27"/>
      <c r="D139" s="115"/>
      <c r="E139" s="115"/>
      <c r="F139" s="12"/>
      <c r="G139" s="12"/>
    </row>
    <row r="140" spans="1:7" s="15" customFormat="1">
      <c r="A140" s="27"/>
      <c r="B140" s="27"/>
      <c r="D140" s="115"/>
      <c r="E140" s="115"/>
      <c r="F140" s="12"/>
      <c r="G140" s="12"/>
    </row>
    <row r="141" spans="1:7" s="15" customFormat="1">
      <c r="A141" s="27"/>
      <c r="B141" s="27"/>
      <c r="D141" s="115"/>
      <c r="E141" s="115"/>
      <c r="F141" s="12"/>
      <c r="G141" s="12"/>
    </row>
    <row r="142" spans="1:7" s="15" customFormat="1">
      <c r="A142" s="68"/>
      <c r="B142" s="68"/>
      <c r="D142" s="115"/>
      <c r="E142" s="115"/>
      <c r="F142" s="12"/>
      <c r="G142" s="12"/>
    </row>
    <row r="143" spans="1:7" s="15" customFormat="1">
      <c r="A143" s="68"/>
      <c r="B143" s="68"/>
      <c r="D143" s="115"/>
      <c r="E143" s="115"/>
      <c r="F143" s="12"/>
      <c r="G143" s="12"/>
    </row>
    <row r="144" spans="1:7" s="15" customFormat="1">
      <c r="A144" s="27"/>
      <c r="B144" s="27"/>
      <c r="D144" s="115"/>
      <c r="E144" s="115"/>
      <c r="F144" s="12"/>
      <c r="G144" s="12"/>
    </row>
    <row r="145" spans="1:7" s="15" customFormat="1">
      <c r="A145" s="68"/>
      <c r="B145" s="68"/>
      <c r="D145" s="115"/>
      <c r="E145" s="115"/>
      <c r="F145" s="12"/>
      <c r="G145" s="12"/>
    </row>
    <row r="146" spans="1:7" s="15" customFormat="1">
      <c r="A146" s="27"/>
      <c r="B146" s="27"/>
      <c r="D146" s="115"/>
      <c r="E146" s="115"/>
      <c r="F146" s="12"/>
      <c r="G146" s="12"/>
    </row>
    <row r="147" spans="1:7" s="15" customFormat="1">
      <c r="A147" s="27"/>
      <c r="B147" s="27"/>
      <c r="D147" s="115"/>
      <c r="E147" s="115"/>
      <c r="F147" s="12"/>
      <c r="G147" s="12"/>
    </row>
    <row r="148" spans="1:7" s="15" customFormat="1">
      <c r="A148" s="27"/>
      <c r="B148" s="27"/>
      <c r="D148" s="115"/>
      <c r="E148" s="115"/>
      <c r="F148" s="12"/>
      <c r="G148" s="12"/>
    </row>
    <row r="149" spans="1:7" s="15" customFormat="1">
      <c r="A149" s="27"/>
      <c r="B149" s="27"/>
      <c r="D149" s="115"/>
      <c r="E149" s="115"/>
      <c r="F149" s="12"/>
      <c r="G149" s="12"/>
    </row>
    <row r="150" spans="1:7" s="15" customFormat="1">
      <c r="A150" s="27"/>
      <c r="B150" s="27"/>
      <c r="D150" s="115"/>
      <c r="E150" s="115"/>
      <c r="F150" s="12"/>
      <c r="G150" s="12"/>
    </row>
    <row r="151" spans="1:7" s="15" customFormat="1">
      <c r="A151" s="68"/>
      <c r="B151" s="68"/>
      <c r="D151" s="115"/>
      <c r="E151" s="115"/>
      <c r="F151" s="12"/>
      <c r="G151" s="12"/>
    </row>
    <row r="152" spans="1:7" s="15" customFormat="1">
      <c r="A152" s="68"/>
      <c r="B152" s="68"/>
      <c r="D152" s="115"/>
      <c r="E152" s="115"/>
      <c r="F152" s="12"/>
      <c r="G152" s="12"/>
    </row>
    <row r="153" spans="1:7" s="15" customFormat="1">
      <c r="A153" s="27"/>
      <c r="B153" s="27"/>
      <c r="D153" s="115"/>
      <c r="E153" s="115"/>
      <c r="F153" s="12"/>
      <c r="G153" s="12"/>
    </row>
    <row r="154" spans="1:7" s="15" customFormat="1">
      <c r="A154" s="27"/>
      <c r="B154" s="27"/>
      <c r="D154" s="115"/>
      <c r="E154" s="115"/>
      <c r="F154" s="12"/>
      <c r="G154" s="12"/>
    </row>
    <row r="155" spans="1:7" s="15" customFormat="1">
      <c r="A155" s="27"/>
      <c r="B155" s="27"/>
      <c r="D155" s="115"/>
      <c r="E155" s="115"/>
      <c r="F155" s="12"/>
      <c r="G155" s="12"/>
    </row>
    <row r="156" spans="1:7" s="15" customFormat="1">
      <c r="A156" s="27"/>
      <c r="B156" s="27"/>
      <c r="D156" s="115"/>
      <c r="E156" s="115"/>
      <c r="F156" s="12"/>
      <c r="G156" s="12"/>
    </row>
    <row r="157" spans="1:7" s="15" customFormat="1">
      <c r="A157" s="68"/>
      <c r="B157" s="68"/>
      <c r="D157" s="115"/>
      <c r="E157" s="115"/>
      <c r="F157" s="12"/>
      <c r="G157" s="12"/>
    </row>
    <row r="158" spans="1:7" s="15" customFormat="1">
      <c r="A158" s="68"/>
      <c r="B158" s="68"/>
      <c r="D158" s="115"/>
      <c r="E158" s="115"/>
      <c r="F158" s="12"/>
      <c r="G158" s="12"/>
    </row>
    <row r="159" spans="1:7" s="15" customFormat="1">
      <c r="A159" s="27"/>
      <c r="B159" s="27"/>
      <c r="D159" s="115"/>
      <c r="E159" s="115"/>
      <c r="F159" s="12"/>
      <c r="G159" s="12"/>
    </row>
    <row r="160" spans="1:7" s="15" customFormat="1">
      <c r="A160" s="27"/>
      <c r="B160" s="27"/>
      <c r="D160" s="115"/>
      <c r="E160" s="115"/>
      <c r="F160" s="12"/>
      <c r="G160" s="12"/>
    </row>
    <row r="161" spans="1:7" s="15" customFormat="1">
      <c r="A161" s="27"/>
      <c r="B161" s="27"/>
      <c r="D161" s="115"/>
      <c r="E161" s="115"/>
      <c r="F161" s="12"/>
      <c r="G161" s="12"/>
    </row>
    <row r="162" spans="1:7" s="15" customFormat="1">
      <c r="A162" s="27"/>
      <c r="B162" s="27"/>
      <c r="D162" s="115"/>
      <c r="E162" s="115"/>
      <c r="F162" s="12"/>
      <c r="G162" s="12"/>
    </row>
    <row r="163" spans="1:7" s="15" customFormat="1">
      <c r="A163" s="68"/>
      <c r="B163" s="68"/>
      <c r="D163" s="115"/>
      <c r="E163" s="115"/>
      <c r="F163" s="12"/>
      <c r="G163" s="12"/>
    </row>
    <row r="164" spans="1:7" s="15" customFormat="1">
      <c r="A164" s="27"/>
      <c r="B164" s="27"/>
      <c r="D164" s="115"/>
      <c r="E164" s="115"/>
      <c r="F164" s="12"/>
      <c r="G164" s="12"/>
    </row>
    <row r="165" spans="1:7" s="15" customFormat="1">
      <c r="A165" s="27"/>
      <c r="B165" s="27"/>
      <c r="D165" s="115"/>
      <c r="E165" s="115"/>
      <c r="F165" s="12"/>
      <c r="G165" s="12"/>
    </row>
    <row r="166" spans="1:7" s="15" customFormat="1">
      <c r="A166" s="27"/>
      <c r="B166" s="27"/>
      <c r="D166" s="115"/>
      <c r="E166" s="115"/>
      <c r="F166" s="12"/>
      <c r="G166" s="12"/>
    </row>
    <row r="167" spans="1:7" s="15" customFormat="1">
      <c r="A167" s="27"/>
      <c r="B167" s="27"/>
      <c r="D167" s="115"/>
      <c r="E167" s="115"/>
      <c r="F167" s="12"/>
      <c r="G167" s="12"/>
    </row>
    <row r="168" spans="1:7" s="15" customFormat="1">
      <c r="A168" s="68"/>
      <c r="B168" s="68"/>
      <c r="D168" s="115"/>
      <c r="E168" s="115"/>
      <c r="F168" s="12"/>
      <c r="G168" s="12"/>
    </row>
    <row r="169" spans="1:7" s="15" customFormat="1">
      <c r="A169" s="68"/>
      <c r="B169" s="68"/>
      <c r="D169" s="115"/>
      <c r="E169" s="115"/>
      <c r="F169" s="12"/>
      <c r="G169" s="12"/>
    </row>
    <row r="170" spans="1:7" s="15" customFormat="1">
      <c r="A170" s="68"/>
      <c r="B170" s="68"/>
      <c r="D170" s="115"/>
      <c r="E170" s="115"/>
      <c r="F170" s="12"/>
      <c r="G170" s="12"/>
    </row>
    <row r="171" spans="1:7" s="15" customFormat="1">
      <c r="A171" s="68"/>
      <c r="B171" s="68"/>
      <c r="D171" s="115"/>
      <c r="E171" s="115"/>
      <c r="F171" s="12"/>
      <c r="G171" s="12"/>
    </row>
    <row r="172" spans="1:7" s="15" customFormat="1">
      <c r="A172" s="68"/>
      <c r="B172" s="68"/>
      <c r="D172" s="115"/>
      <c r="E172" s="115"/>
      <c r="F172" s="12"/>
      <c r="G172" s="12"/>
    </row>
    <row r="173" spans="1:7" s="15" customFormat="1">
      <c r="A173" s="68"/>
      <c r="B173" s="68"/>
      <c r="D173" s="115"/>
      <c r="E173" s="115"/>
      <c r="F173" s="12"/>
      <c r="G173" s="12"/>
    </row>
    <row r="174" spans="1:7" s="15" customFormat="1">
      <c r="A174" s="68"/>
      <c r="B174" s="68"/>
      <c r="D174" s="81"/>
      <c r="E174" s="81"/>
      <c r="F174" s="69"/>
      <c r="G174" s="22"/>
    </row>
    <row r="175" spans="1:7" s="15" customFormat="1">
      <c r="A175" s="27"/>
      <c r="B175" s="27"/>
      <c r="D175" s="81"/>
      <c r="E175" s="81"/>
      <c r="F175" s="69"/>
      <c r="G175" s="22"/>
    </row>
    <row r="176" spans="1:7" s="15" customFormat="1">
      <c r="A176" s="27"/>
      <c r="B176" s="27"/>
      <c r="D176" s="81"/>
      <c r="E176" s="81"/>
      <c r="F176" s="69"/>
      <c r="G176" s="22"/>
    </row>
    <row r="177" spans="1:7" s="15" customFormat="1">
      <c r="A177" s="27"/>
      <c r="B177" s="27"/>
      <c r="D177" s="81"/>
      <c r="E177" s="81"/>
      <c r="F177" s="69"/>
      <c r="G177" s="22"/>
    </row>
    <row r="178" spans="1:7" s="15" customFormat="1">
      <c r="A178" s="27"/>
      <c r="B178" s="27"/>
      <c r="D178" s="81"/>
      <c r="E178" s="81"/>
      <c r="F178" s="69"/>
      <c r="G178" s="22"/>
    </row>
    <row r="179" spans="1:7" s="15" customFormat="1">
      <c r="A179" s="68"/>
      <c r="B179" s="68"/>
      <c r="D179" s="81"/>
      <c r="E179" s="81"/>
      <c r="F179" s="69"/>
      <c r="G179" s="22"/>
    </row>
    <row r="180" spans="1:7" s="15" customFormat="1">
      <c r="A180" s="68"/>
      <c r="B180" s="68"/>
      <c r="C180" s="70"/>
      <c r="D180" s="81"/>
      <c r="E180" s="81"/>
      <c r="F180" s="69"/>
      <c r="G180" s="22"/>
    </row>
    <row r="181" spans="1:7" s="15" customFormat="1">
      <c r="A181" s="68"/>
      <c r="B181" s="68"/>
      <c r="C181" s="70"/>
      <c r="D181" s="81"/>
      <c r="E181" s="81"/>
      <c r="F181" s="69"/>
      <c r="G181" s="22"/>
    </row>
    <row r="182" spans="1:7" s="15" customFormat="1">
      <c r="A182" s="27"/>
      <c r="B182" s="27"/>
      <c r="D182" s="81"/>
      <c r="E182" s="81"/>
      <c r="F182" s="69"/>
      <c r="G182" s="22"/>
    </row>
    <row r="183" spans="1:7" s="15" customFormat="1">
      <c r="A183" s="27"/>
      <c r="B183" s="27"/>
      <c r="D183" s="81"/>
      <c r="E183" s="81"/>
      <c r="F183" s="69"/>
      <c r="G183" s="22"/>
    </row>
    <row r="184" spans="1:7" s="15" customFormat="1">
      <c r="A184" s="27"/>
      <c r="B184" s="27"/>
      <c r="D184" s="81"/>
      <c r="E184" s="81"/>
      <c r="F184" s="69"/>
      <c r="G184" s="22"/>
    </row>
    <row r="185" spans="1:7" s="15" customFormat="1">
      <c r="A185" s="27"/>
      <c r="B185" s="27"/>
      <c r="D185" s="81"/>
      <c r="E185" s="81"/>
      <c r="F185" s="69"/>
      <c r="G185" s="22"/>
    </row>
    <row r="186" spans="1:7" s="15" customFormat="1">
      <c r="A186" s="27"/>
      <c r="B186" s="27"/>
      <c r="D186" s="81"/>
      <c r="E186" s="81"/>
      <c r="F186" s="69"/>
      <c r="G186" s="22"/>
    </row>
    <row r="187" spans="1:7" s="15" customFormat="1">
      <c r="A187" s="27"/>
      <c r="B187" s="27"/>
      <c r="D187" s="81"/>
      <c r="E187" s="81"/>
      <c r="F187" s="69"/>
      <c r="G187" s="22"/>
    </row>
    <row r="188" spans="1:7" s="15" customFormat="1">
      <c r="A188" s="27"/>
      <c r="B188" s="27"/>
      <c r="D188" s="81"/>
      <c r="E188" s="81"/>
      <c r="F188" s="69"/>
      <c r="G188" s="22"/>
    </row>
    <row r="189" spans="1:7" s="15" customFormat="1">
      <c r="A189" s="68"/>
      <c r="B189" s="68"/>
      <c r="D189" s="81"/>
      <c r="E189" s="81"/>
      <c r="F189" s="69"/>
    </row>
    <row r="190" spans="1:7" s="15" customFormat="1">
      <c r="A190" s="27"/>
      <c r="B190" s="27"/>
      <c r="D190" s="81"/>
      <c r="E190" s="81"/>
      <c r="F190" s="69"/>
      <c r="G190" s="22"/>
    </row>
    <row r="191" spans="1:7" s="15" customFormat="1">
      <c r="A191" s="27"/>
      <c r="B191" s="27"/>
      <c r="D191" s="81"/>
      <c r="E191" s="81"/>
      <c r="F191" s="69"/>
      <c r="G191" s="22"/>
    </row>
    <row r="192" spans="1:7" s="15" customFormat="1">
      <c r="A192" s="27"/>
      <c r="B192" s="27"/>
      <c r="D192" s="81"/>
      <c r="E192" s="81"/>
      <c r="F192" s="69"/>
      <c r="G192" s="22"/>
    </row>
    <row r="193" spans="1:7" s="15" customFormat="1">
      <c r="A193" s="27"/>
      <c r="B193" s="27"/>
      <c r="D193" s="81"/>
      <c r="E193" s="81"/>
      <c r="F193" s="69"/>
      <c r="G193" s="22"/>
    </row>
    <row r="194" spans="1:7" s="15" customFormat="1">
      <c r="A194" s="27"/>
      <c r="B194" s="27"/>
      <c r="D194" s="81"/>
      <c r="E194" s="81"/>
      <c r="F194" s="69"/>
      <c r="G194" s="22"/>
    </row>
    <row r="195" spans="1:7" s="15" customFormat="1">
      <c r="A195" s="27"/>
      <c r="B195" s="27"/>
      <c r="C195" s="71"/>
      <c r="D195" s="81"/>
      <c r="E195" s="81"/>
      <c r="F195" s="69"/>
      <c r="G195" s="22"/>
    </row>
    <row r="196" spans="1:7" s="15" customFormat="1">
      <c r="A196" s="27"/>
      <c r="B196" s="27"/>
      <c r="C196" s="72"/>
      <c r="D196" s="81"/>
      <c r="E196" s="81"/>
      <c r="F196" s="69"/>
      <c r="G196" s="22"/>
    </row>
    <row r="197" spans="1:7" s="15" customFormat="1">
      <c r="A197" s="27"/>
      <c r="B197" s="27"/>
      <c r="C197" s="71"/>
      <c r="D197" s="81"/>
      <c r="E197" s="81"/>
      <c r="F197" s="69"/>
      <c r="G197" s="22"/>
    </row>
    <row r="198" spans="1:7" s="15" customFormat="1">
      <c r="A198" s="68"/>
      <c r="B198" s="68"/>
      <c r="C198" s="71"/>
      <c r="D198" s="81"/>
      <c r="E198" s="81"/>
      <c r="F198" s="69"/>
      <c r="G198" s="22"/>
    </row>
    <row r="199" spans="1:7" s="15" customFormat="1">
      <c r="A199" s="27"/>
      <c r="B199" s="27"/>
      <c r="D199" s="81"/>
      <c r="E199" s="81"/>
      <c r="F199" s="69"/>
      <c r="G199" s="22"/>
    </row>
    <row r="200" spans="1:7" s="15" customFormat="1">
      <c r="A200" s="27"/>
      <c r="B200" s="27"/>
      <c r="D200" s="81"/>
      <c r="E200" s="81"/>
      <c r="F200" s="69"/>
      <c r="G200" s="22"/>
    </row>
    <row r="201" spans="1:7" s="15" customFormat="1">
      <c r="A201" s="27"/>
      <c r="B201" s="27"/>
      <c r="D201" s="81"/>
      <c r="E201" s="81"/>
      <c r="F201" s="69"/>
      <c r="G201" s="22"/>
    </row>
    <row r="202" spans="1:7" s="15" customFormat="1">
      <c r="A202" s="27"/>
      <c r="B202" s="27"/>
      <c r="D202" s="81"/>
      <c r="E202" s="81"/>
      <c r="F202" s="69"/>
      <c r="G202" s="22"/>
    </row>
    <row r="203" spans="1:7" s="15" customFormat="1">
      <c r="A203" s="27"/>
      <c r="B203" s="27"/>
      <c r="D203" s="81"/>
      <c r="E203" s="81"/>
      <c r="F203" s="69"/>
      <c r="G203" s="22"/>
    </row>
    <row r="204" spans="1:7" s="15" customFormat="1">
      <c r="A204" s="27"/>
      <c r="B204" s="27"/>
      <c r="D204" s="81"/>
      <c r="E204" s="81"/>
      <c r="F204" s="69"/>
      <c r="G204" s="22"/>
    </row>
    <row r="205" spans="1:7" s="15" customFormat="1">
      <c r="A205" s="27"/>
      <c r="B205" s="27"/>
      <c r="D205" s="81"/>
      <c r="E205" s="81"/>
      <c r="F205" s="23"/>
      <c r="G205" s="22"/>
    </row>
    <row r="206" spans="1:7" s="15" customFormat="1">
      <c r="A206" s="27"/>
      <c r="B206" s="27"/>
      <c r="D206" s="81"/>
      <c r="E206" s="81"/>
      <c r="F206" s="23"/>
      <c r="G206" s="22"/>
    </row>
    <row r="207" spans="1:7" s="15" customFormat="1">
      <c r="A207" s="27"/>
      <c r="B207" s="27"/>
      <c r="D207" s="81"/>
      <c r="E207" s="81"/>
      <c r="F207" s="23"/>
      <c r="G207" s="22"/>
    </row>
    <row r="208" spans="1:7" s="15" customFormat="1">
      <c r="A208" s="27"/>
      <c r="B208" s="27"/>
      <c r="D208" s="81"/>
      <c r="E208" s="81"/>
      <c r="F208" s="23"/>
      <c r="G208" s="22"/>
    </row>
    <row r="209" spans="1:7" s="15" customFormat="1">
      <c r="A209" s="68"/>
      <c r="B209" s="68"/>
      <c r="D209" s="81"/>
      <c r="E209" s="81"/>
      <c r="F209" s="23"/>
      <c r="G209" s="22"/>
    </row>
    <row r="210" spans="1:7" s="15" customFormat="1">
      <c r="A210" s="27"/>
      <c r="B210" s="27"/>
      <c r="D210" s="81"/>
      <c r="E210" s="81"/>
      <c r="F210" s="23"/>
      <c r="G210" s="22"/>
    </row>
    <row r="211" spans="1:7" s="15" customFormat="1">
      <c r="A211" s="27"/>
      <c r="B211" s="27"/>
      <c r="D211" s="81"/>
      <c r="E211" s="81"/>
      <c r="F211" s="23"/>
      <c r="G211" s="22"/>
    </row>
    <row r="212" spans="1:7" s="15" customFormat="1">
      <c r="A212" s="27"/>
      <c r="B212" s="27"/>
      <c r="D212" s="81"/>
      <c r="E212" s="81"/>
      <c r="F212" s="23"/>
      <c r="G212" s="22"/>
    </row>
    <row r="213" spans="1:7" s="15" customFormat="1">
      <c r="A213" s="27"/>
      <c r="B213" s="27"/>
      <c r="D213" s="81"/>
      <c r="E213" s="81"/>
      <c r="F213" s="23"/>
      <c r="G213" s="22"/>
    </row>
    <row r="214" spans="1:7" s="15" customFormat="1">
      <c r="A214" s="68"/>
      <c r="B214" s="68"/>
      <c r="D214" s="81"/>
      <c r="E214" s="81"/>
      <c r="F214" s="23"/>
      <c r="G214" s="22"/>
    </row>
    <row r="215" spans="1:7" s="15" customFormat="1">
      <c r="A215" s="68"/>
      <c r="B215" s="68"/>
      <c r="D215" s="81"/>
      <c r="E215" s="81"/>
      <c r="F215" s="23"/>
      <c r="G215" s="22"/>
    </row>
    <row r="216" spans="1:7" s="15" customFormat="1">
      <c r="A216" s="68"/>
      <c r="B216" s="68"/>
      <c r="D216" s="81"/>
      <c r="E216" s="81"/>
      <c r="F216" s="23"/>
      <c r="G216" s="22"/>
    </row>
    <row r="217" spans="1:7" s="15" customFormat="1">
      <c r="A217" s="68"/>
      <c r="B217" s="68"/>
      <c r="D217" s="81"/>
      <c r="E217" s="81"/>
      <c r="F217" s="23"/>
      <c r="G217" s="22"/>
    </row>
    <row r="218" spans="1:7" s="15" customFormat="1">
      <c r="A218" s="68"/>
      <c r="B218" s="68"/>
      <c r="D218" s="81"/>
      <c r="E218" s="81"/>
      <c r="F218" s="23"/>
      <c r="G218" s="22"/>
    </row>
    <row r="219" spans="1:7" s="15" customFormat="1">
      <c r="A219" s="27"/>
      <c r="B219" s="27"/>
      <c r="D219" s="81"/>
      <c r="E219" s="81"/>
      <c r="F219" s="23"/>
      <c r="G219" s="22"/>
    </row>
    <row r="220" spans="1:7" s="15" customFormat="1">
      <c r="A220" s="27"/>
      <c r="B220" s="27"/>
      <c r="D220" s="81"/>
      <c r="E220" s="81"/>
      <c r="F220" s="23"/>
      <c r="G220" s="22"/>
    </row>
    <row r="221" spans="1:7" s="15" customFormat="1">
      <c r="A221" s="27"/>
      <c r="B221" s="27"/>
      <c r="D221" s="81"/>
      <c r="E221" s="81"/>
      <c r="F221" s="23"/>
      <c r="G221" s="22"/>
    </row>
    <row r="222" spans="1:7" s="15" customFormat="1">
      <c r="A222" s="27"/>
      <c r="B222" s="27"/>
      <c r="D222" s="81"/>
      <c r="E222" s="81"/>
      <c r="F222" s="23"/>
      <c r="G222" s="22"/>
    </row>
    <row r="223" spans="1:7" s="15" customFormat="1">
      <c r="A223" s="27"/>
      <c r="B223" s="27"/>
      <c r="D223" s="81"/>
      <c r="E223" s="81"/>
      <c r="F223" s="23"/>
      <c r="G223" s="22"/>
    </row>
    <row r="224" spans="1:7" s="15" customFormat="1">
      <c r="A224" s="68"/>
      <c r="B224" s="68"/>
      <c r="D224" s="81"/>
      <c r="E224" s="81"/>
      <c r="F224" s="23"/>
      <c r="G224" s="22"/>
    </row>
    <row r="225" spans="1:7" s="15" customFormat="1">
      <c r="A225" s="68"/>
      <c r="B225" s="68"/>
      <c r="D225" s="81"/>
      <c r="E225" s="81"/>
      <c r="F225" s="23"/>
      <c r="G225" s="22"/>
    </row>
    <row r="226" spans="1:7" s="15" customFormat="1">
      <c r="A226" s="68"/>
      <c r="B226" s="68"/>
      <c r="D226" s="81"/>
      <c r="E226" s="81"/>
      <c r="F226" s="23"/>
      <c r="G226" s="22"/>
    </row>
    <row r="227" spans="1:7" s="15" customFormat="1">
      <c r="A227" s="68"/>
      <c r="B227" s="68"/>
      <c r="D227" s="81"/>
      <c r="E227" s="81"/>
      <c r="F227" s="23"/>
      <c r="G227" s="22"/>
    </row>
    <row r="228" spans="1:7" s="15" customFormat="1">
      <c r="A228" s="68"/>
      <c r="B228" s="68"/>
      <c r="D228" s="81"/>
      <c r="E228" s="81"/>
      <c r="F228" s="23"/>
      <c r="G228" s="22"/>
    </row>
    <row r="229" spans="1:7" s="15" customFormat="1">
      <c r="A229" s="27"/>
      <c r="B229" s="27"/>
      <c r="D229" s="81"/>
      <c r="E229" s="81"/>
      <c r="F229" s="23"/>
      <c r="G229" s="22"/>
    </row>
    <row r="230" spans="1:7" s="15" customFormat="1">
      <c r="A230" s="27"/>
      <c r="B230" s="27"/>
      <c r="D230" s="81"/>
      <c r="E230" s="81"/>
      <c r="F230" s="23"/>
      <c r="G230" s="22"/>
    </row>
    <row r="231" spans="1:7" s="15" customFormat="1">
      <c r="A231" s="27"/>
      <c r="B231" s="27"/>
      <c r="D231" s="81"/>
      <c r="E231" s="81"/>
      <c r="F231" s="23"/>
      <c r="G231" s="22"/>
    </row>
    <row r="232" spans="1:7" s="15" customFormat="1">
      <c r="A232" s="68"/>
      <c r="B232" s="68"/>
      <c r="D232" s="81"/>
      <c r="E232" s="81"/>
      <c r="F232" s="23"/>
      <c r="G232" s="22"/>
    </row>
    <row r="233" spans="1:7" s="15" customFormat="1">
      <c r="A233" s="68"/>
      <c r="B233" s="68"/>
      <c r="D233" s="81"/>
      <c r="E233" s="81"/>
      <c r="F233" s="23"/>
      <c r="G233" s="22"/>
    </row>
    <row r="234" spans="1:7" s="15" customFormat="1">
      <c r="A234" s="27"/>
      <c r="B234" s="27"/>
      <c r="D234" s="81"/>
      <c r="E234" s="81"/>
      <c r="F234" s="23"/>
      <c r="G234" s="22"/>
    </row>
    <row r="235" spans="1:7" s="15" customFormat="1">
      <c r="A235" s="27"/>
      <c r="B235" s="27"/>
      <c r="D235" s="81"/>
      <c r="E235" s="81"/>
      <c r="F235" s="23"/>
      <c r="G235" s="22"/>
    </row>
    <row r="236" spans="1:7" s="15" customFormat="1">
      <c r="A236" s="27"/>
      <c r="B236" s="27"/>
      <c r="D236" s="81"/>
      <c r="E236" s="81"/>
      <c r="F236" s="23"/>
      <c r="G236" s="22"/>
    </row>
    <row r="237" spans="1:7" s="15" customFormat="1">
      <c r="A237" s="68"/>
      <c r="B237" s="68"/>
      <c r="D237" s="81"/>
      <c r="E237" s="81"/>
      <c r="F237" s="23"/>
      <c r="G237" s="22"/>
    </row>
    <row r="238" spans="1:7" s="15" customFormat="1">
      <c r="A238" s="68"/>
      <c r="B238" s="68"/>
      <c r="D238" s="81"/>
      <c r="E238" s="81"/>
      <c r="F238" s="23"/>
      <c r="G238" s="22"/>
    </row>
    <row r="239" spans="1:7" s="15" customFormat="1">
      <c r="A239" s="68"/>
      <c r="B239" s="68"/>
      <c r="D239" s="81"/>
      <c r="E239" s="81"/>
      <c r="F239" s="69"/>
      <c r="G239" s="22"/>
    </row>
    <row r="240" spans="1:7" s="15" customFormat="1">
      <c r="A240" s="68"/>
      <c r="B240" s="68"/>
      <c r="D240" s="81"/>
      <c r="E240" s="81"/>
      <c r="F240" s="23"/>
      <c r="G240" s="22"/>
    </row>
    <row r="241" spans="1:7" s="15" customFormat="1">
      <c r="A241" s="68"/>
      <c r="B241" s="68"/>
      <c r="D241" s="81"/>
      <c r="E241" s="81"/>
      <c r="F241" s="23"/>
      <c r="G241" s="22"/>
    </row>
    <row r="242" spans="1:7" s="15" customFormat="1">
      <c r="A242" s="27"/>
      <c r="B242" s="27"/>
      <c r="D242" s="81"/>
      <c r="E242" s="81"/>
      <c r="F242" s="23"/>
      <c r="G242" s="22"/>
    </row>
    <row r="243" spans="1:7" s="15" customFormat="1">
      <c r="A243" s="27"/>
      <c r="B243" s="27"/>
      <c r="D243" s="81"/>
      <c r="E243" s="81"/>
      <c r="F243" s="23"/>
      <c r="G243" s="22"/>
    </row>
    <row r="244" spans="1:7" s="15" customFormat="1">
      <c r="D244" s="81"/>
      <c r="E244" s="81"/>
    </row>
    <row r="245" spans="1:7" s="15" customFormat="1">
      <c r="D245" s="81"/>
      <c r="E245" s="81"/>
    </row>
    <row r="246" spans="1:7" s="15" customFormat="1">
      <c r="D246" s="81"/>
      <c r="E246" s="81"/>
    </row>
    <row r="247" spans="1:7" s="15" customFormat="1">
      <c r="D247" s="81"/>
      <c r="E247" s="81"/>
    </row>
    <row r="248" spans="1:7" s="15" customFormat="1">
      <c r="D248" s="81"/>
      <c r="E248" s="81"/>
    </row>
    <row r="249" spans="1:7" s="15" customFormat="1">
      <c r="D249" s="81"/>
      <c r="E249" s="81"/>
    </row>
    <row r="250" spans="1:7" s="15" customFormat="1">
      <c r="D250" s="81"/>
      <c r="E250" s="81"/>
    </row>
    <row r="251" spans="1:7" s="15" customFormat="1">
      <c r="D251" s="81"/>
      <c r="E251" s="81"/>
    </row>
    <row r="252" spans="1:7" s="15" customFormat="1">
      <c r="D252" s="81"/>
      <c r="E252" s="81"/>
    </row>
    <row r="253" spans="1:7" s="15" customFormat="1">
      <c r="D253" s="81"/>
      <c r="E253" s="81"/>
    </row>
    <row r="254" spans="1:7" s="15" customFormat="1">
      <c r="D254" s="81"/>
      <c r="E254" s="81"/>
    </row>
    <row r="255" spans="1:7" s="15" customFormat="1">
      <c r="D255" s="81"/>
      <c r="E255" s="81"/>
    </row>
    <row r="256" spans="1:7" s="15" customFormat="1">
      <c r="D256" s="81"/>
      <c r="E256" s="81"/>
    </row>
    <row r="257" spans="4:5" s="15" customFormat="1">
      <c r="D257" s="81"/>
      <c r="E257" s="81"/>
    </row>
    <row r="258" spans="4:5" s="15" customFormat="1">
      <c r="D258" s="81"/>
      <c r="E258" s="81"/>
    </row>
    <row r="259" spans="4:5" s="15" customFormat="1">
      <c r="D259" s="81"/>
      <c r="E259" s="81"/>
    </row>
    <row r="260" spans="4:5" s="15" customFormat="1">
      <c r="D260" s="81"/>
      <c r="E260" s="81"/>
    </row>
    <row r="261" spans="4:5" s="15" customFormat="1">
      <c r="D261" s="81"/>
      <c r="E261" s="81"/>
    </row>
    <row r="262" spans="4:5" s="15" customFormat="1">
      <c r="D262" s="81"/>
      <c r="E262" s="81"/>
    </row>
    <row r="263" spans="4:5" s="15" customFormat="1">
      <c r="D263" s="81"/>
      <c r="E263" s="81"/>
    </row>
    <row r="264" spans="4:5" s="15" customFormat="1">
      <c r="D264" s="81"/>
      <c r="E264" s="81"/>
    </row>
    <row r="265" spans="4:5" s="15" customFormat="1">
      <c r="D265" s="81"/>
      <c r="E265" s="81"/>
    </row>
    <row r="266" spans="4:5" s="15" customFormat="1">
      <c r="D266" s="81"/>
      <c r="E266" s="81"/>
    </row>
    <row r="267" spans="4:5" s="15" customFormat="1">
      <c r="D267" s="81"/>
      <c r="E267" s="81"/>
    </row>
    <row r="268" spans="4:5" s="15" customFormat="1">
      <c r="D268" s="81"/>
      <c r="E268" s="81"/>
    </row>
    <row r="269" spans="4:5" s="15" customFormat="1">
      <c r="D269" s="81"/>
      <c r="E269" s="81"/>
    </row>
    <row r="270" spans="4:5" s="15" customFormat="1">
      <c r="D270" s="81"/>
      <c r="E270" s="81"/>
    </row>
    <row r="271" spans="4:5" s="15" customFormat="1">
      <c r="D271" s="81"/>
      <c r="E271" s="81"/>
    </row>
    <row r="272" spans="4:5" s="15" customFormat="1">
      <c r="D272" s="81"/>
      <c r="E272" s="81"/>
    </row>
    <row r="273" spans="4:5" s="15" customFormat="1">
      <c r="D273" s="81"/>
      <c r="E273" s="81"/>
    </row>
    <row r="274" spans="4:5" s="15" customFormat="1">
      <c r="D274" s="81"/>
      <c r="E274" s="81"/>
    </row>
    <row r="275" spans="4:5" s="15" customFormat="1">
      <c r="D275" s="81"/>
      <c r="E275" s="81"/>
    </row>
    <row r="276" spans="4:5" s="15" customFormat="1">
      <c r="D276" s="81"/>
      <c r="E276" s="81"/>
    </row>
    <row r="277" spans="4:5" s="15" customFormat="1">
      <c r="D277" s="81"/>
      <c r="E277" s="81"/>
    </row>
    <row r="278" spans="4:5" s="15" customFormat="1">
      <c r="D278" s="81"/>
      <c r="E278" s="81"/>
    </row>
    <row r="279" spans="4:5" s="15" customFormat="1">
      <c r="D279" s="81"/>
      <c r="E279" s="81"/>
    </row>
    <row r="280" spans="4:5" s="15" customFormat="1">
      <c r="D280" s="81"/>
      <c r="E280" s="81"/>
    </row>
    <row r="281" spans="4:5" s="15" customFormat="1">
      <c r="D281" s="81"/>
      <c r="E281" s="81"/>
    </row>
    <row r="282" spans="4:5" s="15" customFormat="1">
      <c r="D282" s="81"/>
      <c r="E282" s="81"/>
    </row>
    <row r="283" spans="4:5" s="15" customFormat="1">
      <c r="D283" s="81"/>
      <c r="E283" s="81"/>
    </row>
    <row r="284" spans="4:5" s="15" customFormat="1">
      <c r="D284" s="81"/>
      <c r="E284" s="81"/>
    </row>
    <row r="285" spans="4:5" s="15" customFormat="1">
      <c r="D285" s="81"/>
      <c r="E285" s="81"/>
    </row>
    <row r="286" spans="4:5" s="15" customFormat="1">
      <c r="D286" s="81"/>
      <c r="E286" s="81"/>
    </row>
    <row r="287" spans="4:5" s="15" customFormat="1">
      <c r="D287" s="81"/>
      <c r="E287" s="81"/>
    </row>
    <row r="288" spans="4:5" s="15" customFormat="1">
      <c r="D288" s="81"/>
      <c r="E288" s="81"/>
    </row>
    <row r="289" spans="4:5" s="15" customFormat="1">
      <c r="D289" s="81"/>
      <c r="E289" s="81"/>
    </row>
    <row r="290" spans="4:5" s="15" customFormat="1">
      <c r="D290" s="81"/>
      <c r="E290" s="81"/>
    </row>
    <row r="291" spans="4:5" s="15" customFormat="1">
      <c r="D291" s="81"/>
      <c r="E291" s="81"/>
    </row>
    <row r="292" spans="4:5" s="15" customFormat="1">
      <c r="D292" s="81"/>
      <c r="E292" s="81"/>
    </row>
    <row r="293" spans="4:5" s="15" customFormat="1">
      <c r="D293" s="81"/>
      <c r="E293" s="81"/>
    </row>
    <row r="294" spans="4:5" s="15" customFormat="1">
      <c r="D294" s="81"/>
      <c r="E294" s="81"/>
    </row>
    <row r="295" spans="4:5" s="15" customFormat="1">
      <c r="D295" s="81"/>
      <c r="E295" s="81"/>
    </row>
    <row r="296" spans="4:5" s="15" customFormat="1">
      <c r="D296" s="81"/>
      <c r="E296" s="81"/>
    </row>
    <row r="297" spans="4:5" s="15" customFormat="1">
      <c r="D297" s="81"/>
      <c r="E297" s="81"/>
    </row>
    <row r="298" spans="4:5" s="15" customFormat="1">
      <c r="D298" s="81"/>
      <c r="E298" s="81"/>
    </row>
    <row r="299" spans="4:5" s="15" customFormat="1">
      <c r="D299" s="81"/>
      <c r="E299" s="81"/>
    </row>
    <row r="300" spans="4:5" s="15" customFormat="1">
      <c r="D300" s="81"/>
      <c r="E300" s="81"/>
    </row>
    <row r="301" spans="4:5" s="15" customFormat="1">
      <c r="D301" s="81"/>
      <c r="E301" s="81"/>
    </row>
    <row r="302" spans="4:5" s="15" customFormat="1">
      <c r="D302" s="81"/>
      <c r="E302" s="81"/>
    </row>
    <row r="303" spans="4:5" s="15" customFormat="1">
      <c r="D303" s="81"/>
      <c r="E303" s="81"/>
    </row>
    <row r="304" spans="4:5" s="15" customFormat="1">
      <c r="D304" s="81"/>
      <c r="E304" s="81"/>
    </row>
    <row r="305" spans="4:5" s="15" customFormat="1">
      <c r="D305" s="81"/>
      <c r="E305" s="81"/>
    </row>
    <row r="306" spans="4:5" s="15" customFormat="1">
      <c r="D306" s="81"/>
      <c r="E306" s="81"/>
    </row>
    <row r="307" spans="4:5" s="15" customFormat="1">
      <c r="D307" s="81"/>
      <c r="E307" s="81"/>
    </row>
    <row r="308" spans="4:5" s="15" customFormat="1">
      <c r="D308" s="81"/>
      <c r="E308" s="81"/>
    </row>
    <row r="309" spans="4:5" s="15" customFormat="1">
      <c r="D309" s="81"/>
      <c r="E309" s="81"/>
    </row>
    <row r="310" spans="4:5" s="15" customFormat="1">
      <c r="D310" s="81"/>
      <c r="E310" s="81"/>
    </row>
    <row r="311" spans="4:5" s="15" customFormat="1">
      <c r="D311" s="81"/>
      <c r="E311" s="81"/>
    </row>
    <row r="312" spans="4:5" s="15" customFormat="1">
      <c r="D312" s="81"/>
      <c r="E312" s="81"/>
    </row>
    <row r="313" spans="4:5" s="15" customFormat="1">
      <c r="D313" s="81"/>
      <c r="E313" s="81"/>
    </row>
    <row r="314" spans="4:5" s="15" customFormat="1">
      <c r="D314" s="81"/>
      <c r="E314" s="81"/>
    </row>
    <row r="315" spans="4:5" s="15" customFormat="1">
      <c r="D315" s="81"/>
      <c r="E315" s="81"/>
    </row>
    <row r="316" spans="4:5" s="15" customFormat="1">
      <c r="D316" s="81"/>
      <c r="E316" s="81"/>
    </row>
    <row r="317" spans="4:5" s="15" customFormat="1">
      <c r="D317" s="81"/>
      <c r="E317" s="81"/>
    </row>
    <row r="318" spans="4:5" s="15" customFormat="1">
      <c r="D318" s="81"/>
      <c r="E318" s="81"/>
    </row>
    <row r="319" spans="4:5" s="15" customFormat="1">
      <c r="D319" s="81"/>
      <c r="E319" s="81"/>
    </row>
    <row r="320" spans="4:5" s="15" customFormat="1">
      <c r="D320" s="81"/>
      <c r="E320" s="81"/>
    </row>
    <row r="321" spans="1:7" s="15" customFormat="1">
      <c r="D321" s="81"/>
      <c r="E321" s="81"/>
    </row>
    <row r="322" spans="1:7" s="15" customFormat="1">
      <c r="D322" s="81"/>
      <c r="E322" s="81"/>
    </row>
    <row r="323" spans="1:7" s="15" customFormat="1">
      <c r="D323" s="81"/>
      <c r="E323" s="81"/>
    </row>
    <row r="324" spans="1:7" s="15" customFormat="1">
      <c r="D324" s="81"/>
      <c r="E324" s="81"/>
    </row>
    <row r="325" spans="1:7" s="15" customFormat="1">
      <c r="D325" s="81"/>
      <c r="E325" s="81"/>
    </row>
    <row r="326" spans="1:7" s="15" customFormat="1">
      <c r="D326" s="81"/>
      <c r="E326" s="81"/>
    </row>
    <row r="327" spans="1:7" s="15" customFormat="1">
      <c r="A327" s="73"/>
      <c r="B327" s="73"/>
      <c r="C327" s="74"/>
      <c r="D327" s="73"/>
      <c r="E327" s="73"/>
      <c r="F327" s="73"/>
      <c r="G327" s="73"/>
    </row>
    <row r="328" spans="1:7" s="15" customFormat="1">
      <c r="A328" s="27"/>
      <c r="B328" s="27"/>
      <c r="D328" s="81"/>
      <c r="E328" s="81"/>
      <c r="F328" s="69"/>
      <c r="G328" s="22"/>
    </row>
    <row r="329" spans="1:7" s="15" customFormat="1">
      <c r="D329" s="81"/>
      <c r="E329" s="81"/>
      <c r="F329" s="75"/>
      <c r="G329" s="22"/>
    </row>
    <row r="330" spans="1:7" s="15" customFormat="1">
      <c r="D330" s="81"/>
      <c r="E330" s="81"/>
      <c r="F330" s="75"/>
      <c r="G330" s="22"/>
    </row>
    <row r="331" spans="1:7" s="15" customFormat="1">
      <c r="D331" s="81"/>
      <c r="E331" s="81"/>
      <c r="F331" s="75"/>
      <c r="G331" s="22"/>
    </row>
    <row r="332" spans="1:7" s="15" customFormat="1">
      <c r="D332" s="81"/>
      <c r="E332" s="81"/>
    </row>
    <row r="333" spans="1:7" s="15" customFormat="1">
      <c r="D333" s="81"/>
      <c r="E333" s="81"/>
    </row>
    <row r="334" spans="1:7" s="15" customFormat="1">
      <c r="D334" s="81"/>
      <c r="E334" s="81"/>
    </row>
    <row r="335" spans="1:7" s="15" customFormat="1">
      <c r="D335" s="81"/>
      <c r="E335" s="81"/>
    </row>
    <row r="336" spans="1:7" s="15" customFormat="1">
      <c r="D336" s="81"/>
      <c r="E336" s="81"/>
    </row>
    <row r="337" spans="1:7" s="15" customFormat="1">
      <c r="D337" s="81"/>
      <c r="E337" s="81"/>
    </row>
    <row r="338" spans="1:7" s="15" customFormat="1">
      <c r="A338" s="73"/>
      <c r="B338" s="73"/>
      <c r="C338" s="74"/>
      <c r="D338" s="73"/>
      <c r="E338" s="73"/>
      <c r="F338" s="73"/>
      <c r="G338" s="73"/>
    </row>
    <row r="339" spans="1:7" s="15" customFormat="1">
      <c r="A339" s="27"/>
      <c r="B339" s="27"/>
      <c r="D339" s="81"/>
      <c r="E339" s="81"/>
      <c r="F339" s="69"/>
      <c r="G339" s="22"/>
    </row>
    <row r="340" spans="1:7" s="15" customFormat="1">
      <c r="A340" s="27"/>
      <c r="B340" s="27"/>
      <c r="D340" s="81"/>
      <c r="E340" s="81"/>
      <c r="F340" s="69"/>
      <c r="G340" s="22"/>
    </row>
    <row r="341" spans="1:7" s="15" customFormat="1">
      <c r="A341" s="27"/>
      <c r="B341" s="27"/>
      <c r="D341" s="81"/>
      <c r="E341" s="81"/>
      <c r="F341" s="69"/>
      <c r="G341" s="22"/>
    </row>
    <row r="342" spans="1:7" s="15" customFormat="1">
      <c r="A342" s="27"/>
      <c r="B342" s="27"/>
      <c r="D342" s="81"/>
      <c r="E342" s="81"/>
      <c r="F342" s="69"/>
      <c r="G342" s="22"/>
    </row>
    <row r="343" spans="1:7" s="15" customFormat="1">
      <c r="A343" s="68"/>
      <c r="B343" s="68"/>
      <c r="D343" s="81"/>
      <c r="E343" s="81"/>
      <c r="F343" s="69"/>
      <c r="G343" s="22"/>
    </row>
    <row r="344" spans="1:7" s="15" customFormat="1">
      <c r="A344" s="68"/>
      <c r="B344" s="68"/>
      <c r="D344" s="81"/>
      <c r="E344" s="81"/>
      <c r="F344" s="69"/>
      <c r="G344" s="22"/>
    </row>
    <row r="345" spans="1:7" s="15" customFormat="1">
      <c r="A345" s="68"/>
      <c r="B345" s="68"/>
      <c r="D345" s="81"/>
      <c r="E345" s="81"/>
      <c r="F345" s="69"/>
      <c r="G345" s="22"/>
    </row>
    <row r="346" spans="1:7" s="15" customFormat="1">
      <c r="A346" s="68"/>
      <c r="B346" s="68"/>
      <c r="D346" s="81"/>
      <c r="E346" s="81"/>
      <c r="F346" s="69"/>
      <c r="G346" s="22"/>
    </row>
    <row r="347" spans="1:7" s="15" customFormat="1">
      <c r="A347" s="68"/>
      <c r="B347" s="68"/>
      <c r="D347" s="81"/>
      <c r="E347" s="81"/>
      <c r="F347" s="69"/>
      <c r="G347" s="22"/>
    </row>
    <row r="348" spans="1:7" s="15" customFormat="1">
      <c r="A348" s="68"/>
      <c r="B348" s="68"/>
      <c r="D348" s="81"/>
      <c r="E348" s="81"/>
      <c r="F348" s="69"/>
      <c r="G348" s="22"/>
    </row>
    <row r="349" spans="1:7" s="15" customFormat="1">
      <c r="A349" s="68"/>
      <c r="B349" s="68"/>
      <c r="D349" s="81"/>
      <c r="E349" s="81"/>
      <c r="F349" s="69"/>
      <c r="G349" s="22"/>
    </row>
    <row r="350" spans="1:7" s="15" customFormat="1">
      <c r="A350" s="68"/>
      <c r="B350" s="68"/>
      <c r="D350" s="81"/>
      <c r="E350" s="81"/>
      <c r="F350" s="69"/>
      <c r="G350" s="22"/>
    </row>
    <row r="351" spans="1:7" s="15" customFormat="1">
      <c r="A351" s="68"/>
      <c r="B351" s="68"/>
      <c r="D351" s="81"/>
      <c r="E351" s="81"/>
      <c r="F351" s="69"/>
      <c r="G351" s="22"/>
    </row>
    <row r="352" spans="1:7" s="15" customFormat="1">
      <c r="A352" s="68"/>
      <c r="B352" s="68"/>
      <c r="D352" s="81"/>
      <c r="E352" s="81"/>
      <c r="F352" s="69"/>
      <c r="G352" s="22"/>
    </row>
    <row r="353" spans="1:7" s="15" customFormat="1">
      <c r="A353" s="68"/>
      <c r="B353" s="68"/>
      <c r="D353" s="81"/>
      <c r="E353" s="81"/>
      <c r="F353" s="69"/>
      <c r="G353" s="22"/>
    </row>
    <row r="354" spans="1:7" s="15" customFormat="1">
      <c r="A354" s="76"/>
      <c r="B354" s="76"/>
      <c r="C354" s="77"/>
      <c r="D354" s="76"/>
      <c r="E354" s="76"/>
      <c r="F354" s="75"/>
      <c r="G354" s="22"/>
    </row>
    <row r="355" spans="1:7" s="15" customFormat="1">
      <c r="A355" s="76"/>
      <c r="B355" s="76"/>
      <c r="C355" s="77"/>
      <c r="D355" s="76"/>
      <c r="E355" s="76"/>
      <c r="F355" s="75"/>
      <c r="G355" s="22"/>
    </row>
    <row r="356" spans="1:7" s="15" customFormat="1">
      <c r="A356" s="76"/>
      <c r="B356" s="76"/>
      <c r="C356" s="77"/>
      <c r="D356" s="76"/>
      <c r="E356" s="76"/>
      <c r="F356" s="75"/>
      <c r="G356" s="22"/>
    </row>
    <row r="357" spans="1:7" s="15" customFormat="1">
      <c r="D357" s="81"/>
      <c r="E357" s="81"/>
    </row>
    <row r="358" spans="1:7" s="15" customFormat="1">
      <c r="D358" s="81"/>
      <c r="E358" s="81"/>
    </row>
    <row r="359" spans="1:7" s="15" customFormat="1">
      <c r="D359" s="81"/>
      <c r="E359" s="81"/>
    </row>
    <row r="360" spans="1:7" s="15" customFormat="1">
      <c r="D360" s="81"/>
      <c r="E360" s="81"/>
    </row>
    <row r="361" spans="1:7" s="15" customFormat="1">
      <c r="D361" s="81"/>
      <c r="E361" s="81"/>
    </row>
    <row r="362" spans="1:7" s="15" customFormat="1">
      <c r="D362" s="81"/>
      <c r="E362" s="81"/>
    </row>
    <row r="363" spans="1:7" s="15" customFormat="1">
      <c r="D363" s="81"/>
      <c r="E363" s="81"/>
    </row>
    <row r="364" spans="1:7" s="15" customFormat="1">
      <c r="D364" s="81"/>
      <c r="E364" s="81"/>
    </row>
    <row r="365" spans="1:7" s="15" customFormat="1">
      <c r="D365" s="81"/>
      <c r="E365" s="81"/>
    </row>
    <row r="366" spans="1:7" s="15" customFormat="1">
      <c r="D366" s="81"/>
      <c r="E366" s="81"/>
    </row>
    <row r="367" spans="1:7" s="15" customFormat="1">
      <c r="D367" s="81"/>
      <c r="E367" s="81"/>
    </row>
    <row r="368" spans="1:7" s="15" customFormat="1">
      <c r="D368" s="81"/>
      <c r="E368" s="81"/>
    </row>
    <row r="369" spans="4:5" s="15" customFormat="1">
      <c r="D369" s="81"/>
      <c r="E369" s="81"/>
    </row>
    <row r="370" spans="4:5" s="15" customFormat="1">
      <c r="D370" s="81"/>
      <c r="E370" s="81"/>
    </row>
    <row r="371" spans="4:5" s="15" customFormat="1">
      <c r="D371" s="81"/>
      <c r="E371" s="81"/>
    </row>
    <row r="372" spans="4:5" s="15" customFormat="1">
      <c r="D372" s="81"/>
      <c r="E372" s="81"/>
    </row>
    <row r="373" spans="4:5" s="15" customFormat="1">
      <c r="D373" s="81"/>
      <c r="E373" s="81"/>
    </row>
    <row r="374" spans="4:5" s="15" customFormat="1">
      <c r="D374" s="81"/>
      <c r="E374" s="81"/>
    </row>
    <row r="375" spans="4:5" s="15" customFormat="1">
      <c r="D375" s="81"/>
      <c r="E375" s="81"/>
    </row>
    <row r="376" spans="4:5" s="15" customFormat="1">
      <c r="D376" s="81"/>
      <c r="E376" s="81"/>
    </row>
    <row r="377" spans="4:5" s="15" customFormat="1">
      <c r="D377" s="81"/>
      <c r="E377" s="81"/>
    </row>
    <row r="378" spans="4:5" s="15" customFormat="1">
      <c r="D378" s="81"/>
      <c r="E378" s="81"/>
    </row>
    <row r="379" spans="4:5" s="15" customFormat="1">
      <c r="D379" s="81"/>
      <c r="E379" s="81"/>
    </row>
    <row r="380" spans="4:5" s="15" customFormat="1">
      <c r="D380" s="81"/>
      <c r="E380" s="81"/>
    </row>
    <row r="381" spans="4:5" s="15" customFormat="1">
      <c r="D381" s="81"/>
      <c r="E381" s="81"/>
    </row>
    <row r="382" spans="4:5" s="15" customFormat="1">
      <c r="D382" s="81"/>
      <c r="E382" s="81"/>
    </row>
    <row r="383" spans="4:5" s="15" customFormat="1">
      <c r="D383" s="81"/>
      <c r="E383" s="81"/>
    </row>
    <row r="384" spans="4:5" s="15" customFormat="1">
      <c r="D384" s="81"/>
      <c r="E384" s="81"/>
    </row>
    <row r="385" spans="4:5" s="15" customFormat="1">
      <c r="D385" s="81"/>
      <c r="E385" s="81"/>
    </row>
    <row r="386" spans="4:5" s="15" customFormat="1">
      <c r="D386" s="81"/>
      <c r="E386" s="81"/>
    </row>
    <row r="387" spans="4:5" s="15" customFormat="1">
      <c r="D387" s="81"/>
      <c r="E387" s="81"/>
    </row>
    <row r="388" spans="4:5" s="15" customFormat="1">
      <c r="D388" s="81"/>
      <c r="E388" s="81"/>
    </row>
    <row r="389" spans="4:5" s="15" customFormat="1">
      <c r="D389" s="81"/>
      <c r="E389" s="81"/>
    </row>
    <row r="390" spans="4:5" s="15" customFormat="1">
      <c r="D390" s="81"/>
      <c r="E390" s="81"/>
    </row>
    <row r="391" spans="4:5" s="15" customFormat="1">
      <c r="D391" s="81"/>
      <c r="E391" s="81"/>
    </row>
    <row r="392" spans="4:5" s="15" customFormat="1">
      <c r="D392" s="81"/>
      <c r="E392" s="81"/>
    </row>
    <row r="393" spans="4:5" s="15" customFormat="1">
      <c r="D393" s="81"/>
      <c r="E393" s="81"/>
    </row>
    <row r="394" spans="4:5" s="15" customFormat="1">
      <c r="D394" s="81"/>
      <c r="E394" s="81"/>
    </row>
    <row r="395" spans="4:5" s="15" customFormat="1">
      <c r="D395" s="81"/>
      <c r="E395" s="81"/>
    </row>
    <row r="396" spans="4:5" s="15" customFormat="1">
      <c r="D396" s="81"/>
      <c r="E396" s="81"/>
    </row>
    <row r="397" spans="4:5" s="15" customFormat="1">
      <c r="D397" s="81"/>
      <c r="E397" s="81"/>
    </row>
    <row r="398" spans="4:5" s="15" customFormat="1">
      <c r="D398" s="81"/>
      <c r="E398" s="81"/>
    </row>
    <row r="399" spans="4:5" s="15" customFormat="1">
      <c r="D399" s="81"/>
      <c r="E399" s="81"/>
    </row>
    <row r="400" spans="4:5" s="15" customFormat="1">
      <c r="D400" s="81"/>
      <c r="E400" s="81"/>
    </row>
    <row r="401" spans="4:5" s="15" customFormat="1">
      <c r="D401" s="81"/>
      <c r="E401" s="81"/>
    </row>
    <row r="402" spans="4:5" s="15" customFormat="1">
      <c r="D402" s="81"/>
      <c r="E402" s="81"/>
    </row>
    <row r="403" spans="4:5" s="15" customFormat="1">
      <c r="D403" s="81"/>
      <c r="E403" s="81"/>
    </row>
    <row r="404" spans="4:5" s="15" customFormat="1">
      <c r="D404" s="81"/>
      <c r="E404" s="81"/>
    </row>
    <row r="405" spans="4:5" s="15" customFormat="1">
      <c r="D405" s="81"/>
      <c r="E405" s="81"/>
    </row>
    <row r="406" spans="4:5" s="15" customFormat="1">
      <c r="D406" s="81"/>
      <c r="E406" s="81"/>
    </row>
    <row r="407" spans="4:5" s="15" customFormat="1">
      <c r="D407" s="81"/>
      <c r="E407" s="81"/>
    </row>
    <row r="408" spans="4:5" s="15" customFormat="1">
      <c r="D408" s="81"/>
      <c r="E408" s="81"/>
    </row>
    <row r="409" spans="4:5" s="15" customFormat="1">
      <c r="D409" s="81"/>
      <c r="E409" s="81"/>
    </row>
    <row r="410" spans="4:5" s="15" customFormat="1">
      <c r="D410" s="81"/>
      <c r="E410" s="81"/>
    </row>
    <row r="411" spans="4:5" s="15" customFormat="1">
      <c r="D411" s="81"/>
      <c r="E411" s="81"/>
    </row>
    <row r="412" spans="4:5" s="15" customFormat="1">
      <c r="D412" s="81"/>
      <c r="E412" s="81"/>
    </row>
    <row r="413" spans="4:5" s="15" customFormat="1">
      <c r="D413" s="81"/>
      <c r="E413" s="81"/>
    </row>
    <row r="414" spans="4:5" s="15" customFormat="1">
      <c r="D414" s="81"/>
      <c r="E414" s="81"/>
    </row>
    <row r="415" spans="4:5" s="15" customFormat="1">
      <c r="D415" s="81"/>
      <c r="E415" s="81"/>
    </row>
    <row r="416" spans="4:5" s="15" customFormat="1">
      <c r="D416" s="81"/>
      <c r="E416" s="81"/>
    </row>
    <row r="417" spans="4:5" s="15" customFormat="1">
      <c r="D417" s="81"/>
      <c r="E417" s="81"/>
    </row>
    <row r="418" spans="4:5" s="15" customFormat="1">
      <c r="D418" s="81"/>
      <c r="E418" s="81"/>
    </row>
    <row r="419" spans="4:5" s="15" customFormat="1">
      <c r="D419" s="81"/>
      <c r="E419" s="81"/>
    </row>
    <row r="420" spans="4:5" s="15" customFormat="1">
      <c r="D420" s="81"/>
      <c r="E420" s="81"/>
    </row>
    <row r="421" spans="4:5" s="15" customFormat="1">
      <c r="D421" s="81"/>
      <c r="E421" s="81"/>
    </row>
    <row r="422" spans="4:5" s="15" customFormat="1">
      <c r="D422" s="81"/>
      <c r="E422" s="81"/>
    </row>
    <row r="423" spans="4:5" s="15" customFormat="1">
      <c r="D423" s="81"/>
      <c r="E423" s="81"/>
    </row>
    <row r="424" spans="4:5" s="15" customFormat="1">
      <c r="D424" s="81"/>
      <c r="E424" s="81"/>
    </row>
    <row r="425" spans="4:5" s="15" customFormat="1">
      <c r="D425" s="81"/>
      <c r="E425" s="81"/>
    </row>
    <row r="426" spans="4:5" s="15" customFormat="1">
      <c r="D426" s="81"/>
      <c r="E426" s="81"/>
    </row>
    <row r="427" spans="4:5" s="15" customFormat="1">
      <c r="D427" s="81"/>
      <c r="E427" s="81"/>
    </row>
    <row r="428" spans="4:5" s="15" customFormat="1">
      <c r="D428" s="81"/>
      <c r="E428" s="81"/>
    </row>
    <row r="429" spans="4:5" s="15" customFormat="1">
      <c r="D429" s="81"/>
      <c r="E429" s="81"/>
    </row>
    <row r="430" spans="4:5" s="15" customFormat="1">
      <c r="D430" s="81"/>
      <c r="E430" s="81"/>
    </row>
    <row r="431" spans="4:5" s="15" customFormat="1">
      <c r="D431" s="81"/>
      <c r="E431" s="81"/>
    </row>
    <row r="432" spans="4:5" s="15" customFormat="1">
      <c r="D432" s="81"/>
      <c r="E432" s="81"/>
    </row>
    <row r="433" spans="4:5" s="15" customFormat="1">
      <c r="D433" s="81"/>
      <c r="E433" s="81"/>
    </row>
    <row r="434" spans="4:5" s="15" customFormat="1">
      <c r="D434" s="81"/>
      <c r="E434" s="81"/>
    </row>
    <row r="435" spans="4:5" s="15" customFormat="1">
      <c r="D435" s="81"/>
      <c r="E435" s="81"/>
    </row>
    <row r="436" spans="4:5" s="15" customFormat="1">
      <c r="D436" s="81"/>
      <c r="E436" s="81"/>
    </row>
    <row r="437" spans="4:5" s="15" customFormat="1">
      <c r="D437" s="81"/>
      <c r="E437" s="81"/>
    </row>
    <row r="438" spans="4:5" s="15" customFormat="1">
      <c r="D438" s="81"/>
      <c r="E438" s="81"/>
    </row>
    <row r="439" spans="4:5" s="15" customFormat="1">
      <c r="D439" s="81"/>
      <c r="E439" s="81"/>
    </row>
    <row r="440" spans="4:5" s="15" customFormat="1">
      <c r="D440" s="81"/>
      <c r="E440" s="81"/>
    </row>
    <row r="441" spans="4:5" s="15" customFormat="1">
      <c r="D441" s="81"/>
      <c r="E441" s="81"/>
    </row>
    <row r="442" spans="4:5" s="15" customFormat="1">
      <c r="D442" s="81"/>
      <c r="E442" s="81"/>
    </row>
    <row r="443" spans="4:5" s="15" customFormat="1">
      <c r="D443" s="81"/>
      <c r="E443" s="81"/>
    </row>
    <row r="444" spans="4:5" s="15" customFormat="1">
      <c r="D444" s="81"/>
      <c r="E444" s="81"/>
    </row>
    <row r="445" spans="4:5" s="15" customFormat="1">
      <c r="D445" s="81"/>
      <c r="E445" s="81"/>
    </row>
    <row r="446" spans="4:5" s="15" customFormat="1">
      <c r="D446" s="81"/>
      <c r="E446" s="81"/>
    </row>
    <row r="447" spans="4:5" s="15" customFormat="1">
      <c r="D447" s="81"/>
      <c r="E447" s="81"/>
    </row>
    <row r="448" spans="4:5" s="15" customFormat="1">
      <c r="D448" s="81"/>
      <c r="E448" s="81"/>
    </row>
    <row r="449" spans="4:5" s="15" customFormat="1">
      <c r="D449" s="81"/>
      <c r="E449" s="81"/>
    </row>
    <row r="450" spans="4:5" s="15" customFormat="1">
      <c r="D450" s="81"/>
      <c r="E450" s="81"/>
    </row>
    <row r="451" spans="4:5" s="15" customFormat="1">
      <c r="D451" s="81"/>
      <c r="E451" s="81"/>
    </row>
    <row r="452" spans="4:5" s="15" customFormat="1">
      <c r="D452" s="81"/>
      <c r="E452" s="81"/>
    </row>
    <row r="453" spans="4:5" s="15" customFormat="1">
      <c r="D453" s="81"/>
      <c r="E453" s="81"/>
    </row>
    <row r="454" spans="4:5" s="15" customFormat="1">
      <c r="D454" s="81"/>
      <c r="E454" s="81"/>
    </row>
    <row r="455" spans="4:5" s="15" customFormat="1">
      <c r="D455" s="81"/>
      <c r="E455" s="81"/>
    </row>
    <row r="456" spans="4:5" s="15" customFormat="1">
      <c r="D456" s="81"/>
      <c r="E456" s="81"/>
    </row>
    <row r="457" spans="4:5" s="15" customFormat="1">
      <c r="D457" s="81"/>
      <c r="E457" s="81"/>
    </row>
    <row r="458" spans="4:5" s="15" customFormat="1">
      <c r="D458" s="81"/>
      <c r="E458" s="81"/>
    </row>
    <row r="459" spans="4:5" s="15" customFormat="1">
      <c r="D459" s="81"/>
      <c r="E459" s="81"/>
    </row>
    <row r="460" spans="4:5" s="15" customFormat="1">
      <c r="D460" s="81"/>
      <c r="E460" s="81"/>
    </row>
    <row r="461" spans="4:5" s="15" customFormat="1">
      <c r="D461" s="81"/>
      <c r="E461" s="81"/>
    </row>
    <row r="462" spans="4:5" s="15" customFormat="1">
      <c r="D462" s="81"/>
      <c r="E462" s="81"/>
    </row>
    <row r="463" spans="4:5" s="15" customFormat="1">
      <c r="D463" s="81"/>
      <c r="E463" s="81"/>
    </row>
    <row r="464" spans="4:5" s="15" customFormat="1">
      <c r="D464" s="81"/>
      <c r="E464" s="81"/>
    </row>
    <row r="465" spans="4:5" s="15" customFormat="1">
      <c r="D465" s="81"/>
      <c r="E465" s="81"/>
    </row>
    <row r="466" spans="4:5" s="15" customFormat="1">
      <c r="D466" s="81"/>
      <c r="E466" s="81"/>
    </row>
    <row r="467" spans="4:5" s="15" customFormat="1">
      <c r="D467" s="81"/>
      <c r="E467" s="81"/>
    </row>
    <row r="468" spans="4:5" s="15" customFormat="1">
      <c r="D468" s="81"/>
      <c r="E468" s="81"/>
    </row>
    <row r="469" spans="4:5" s="15" customFormat="1">
      <c r="D469" s="81"/>
      <c r="E469" s="81"/>
    </row>
    <row r="470" spans="4:5" s="15" customFormat="1">
      <c r="D470" s="81"/>
      <c r="E470" s="81"/>
    </row>
    <row r="471" spans="4:5" s="15" customFormat="1">
      <c r="D471" s="81"/>
      <c r="E471" s="81"/>
    </row>
    <row r="472" spans="4:5" s="15" customFormat="1">
      <c r="D472" s="81"/>
      <c r="E472" s="81"/>
    </row>
    <row r="473" spans="4:5" s="15" customFormat="1">
      <c r="D473" s="81"/>
      <c r="E473" s="81"/>
    </row>
    <row r="474" spans="4:5" s="15" customFormat="1">
      <c r="D474" s="81"/>
      <c r="E474" s="81"/>
    </row>
    <row r="475" spans="4:5" s="15" customFormat="1">
      <c r="D475" s="81"/>
      <c r="E475" s="81"/>
    </row>
    <row r="476" spans="4:5" s="15" customFormat="1">
      <c r="D476" s="81"/>
      <c r="E476" s="81"/>
    </row>
    <row r="477" spans="4:5" s="15" customFormat="1">
      <c r="D477" s="81"/>
      <c r="E477" s="81"/>
    </row>
    <row r="478" spans="4:5" s="15" customFormat="1">
      <c r="D478" s="81"/>
      <c r="E478" s="81"/>
    </row>
    <row r="479" spans="4:5" s="15" customFormat="1">
      <c r="D479" s="81"/>
      <c r="E479" s="81"/>
    </row>
    <row r="480" spans="4:5" s="15" customFormat="1">
      <c r="D480" s="81"/>
      <c r="E480" s="81"/>
    </row>
    <row r="481" spans="4:5" s="15" customFormat="1">
      <c r="D481" s="81"/>
      <c r="E481" s="81"/>
    </row>
    <row r="482" spans="4:5" s="15" customFormat="1">
      <c r="D482" s="81"/>
      <c r="E482" s="81"/>
    </row>
    <row r="483" spans="4:5" s="15" customFormat="1">
      <c r="D483" s="81"/>
      <c r="E483" s="81"/>
    </row>
    <row r="484" spans="4:5" s="15" customFormat="1">
      <c r="D484" s="81"/>
      <c r="E484" s="81"/>
    </row>
    <row r="485" spans="4:5" s="15" customFormat="1">
      <c r="D485" s="81"/>
      <c r="E485" s="81"/>
    </row>
    <row r="486" spans="4:5" s="15" customFormat="1">
      <c r="D486" s="81"/>
      <c r="E486" s="81"/>
    </row>
    <row r="487" spans="4:5" s="15" customFormat="1">
      <c r="D487" s="81"/>
      <c r="E487" s="81"/>
    </row>
    <row r="488" spans="4:5" s="15" customFormat="1">
      <c r="D488" s="81"/>
      <c r="E488" s="81"/>
    </row>
    <row r="489" spans="4:5" s="15" customFormat="1">
      <c r="D489" s="81"/>
      <c r="E489" s="81"/>
    </row>
    <row r="490" spans="4:5" s="15" customFormat="1">
      <c r="D490" s="81"/>
      <c r="E490" s="81"/>
    </row>
    <row r="491" spans="4:5" s="15" customFormat="1">
      <c r="D491" s="81"/>
      <c r="E491" s="81"/>
    </row>
    <row r="492" spans="4:5" s="15" customFormat="1">
      <c r="D492" s="81"/>
      <c r="E492" s="81"/>
    </row>
    <row r="493" spans="4:5" s="15" customFormat="1">
      <c r="D493" s="81"/>
      <c r="E493" s="81"/>
    </row>
    <row r="494" spans="4:5" s="15" customFormat="1">
      <c r="D494" s="81"/>
      <c r="E494" s="81"/>
    </row>
    <row r="495" spans="4:5" s="15" customFormat="1">
      <c r="D495" s="81"/>
      <c r="E495" s="81"/>
    </row>
    <row r="496" spans="4:5" s="15" customFormat="1">
      <c r="D496" s="81"/>
      <c r="E496" s="81"/>
    </row>
    <row r="497" spans="4:5" s="15" customFormat="1">
      <c r="D497" s="81"/>
      <c r="E497" s="81"/>
    </row>
    <row r="498" spans="4:5" s="15" customFormat="1">
      <c r="D498" s="81"/>
      <c r="E498" s="81"/>
    </row>
    <row r="499" spans="4:5" s="15" customFormat="1">
      <c r="D499" s="81"/>
      <c r="E499" s="81"/>
    </row>
    <row r="500" spans="4:5" s="15" customFormat="1">
      <c r="D500" s="81"/>
      <c r="E500" s="81"/>
    </row>
    <row r="501" spans="4:5" s="15" customFormat="1">
      <c r="D501" s="81"/>
      <c r="E501" s="81"/>
    </row>
    <row r="502" spans="4:5" s="15" customFormat="1">
      <c r="D502" s="81"/>
      <c r="E502" s="81"/>
    </row>
    <row r="503" spans="4:5" s="15" customFormat="1">
      <c r="D503" s="81"/>
      <c r="E503" s="81"/>
    </row>
    <row r="504" spans="4:5" s="15" customFormat="1">
      <c r="D504" s="81"/>
      <c r="E504" s="81"/>
    </row>
    <row r="505" spans="4:5" s="15" customFormat="1">
      <c r="D505" s="81"/>
      <c r="E505" s="81"/>
    </row>
    <row r="506" spans="4:5" s="15" customFormat="1">
      <c r="D506" s="81"/>
      <c r="E506" s="81"/>
    </row>
    <row r="507" spans="4:5" s="15" customFormat="1">
      <c r="D507" s="81"/>
      <c r="E507" s="81"/>
    </row>
    <row r="508" spans="4:5" s="15" customFormat="1">
      <c r="D508" s="81"/>
      <c r="E508" s="81"/>
    </row>
    <row r="509" spans="4:5" s="15" customFormat="1">
      <c r="D509" s="81"/>
      <c r="E509" s="81"/>
    </row>
    <row r="510" spans="4:5" s="15" customFormat="1">
      <c r="D510" s="81"/>
      <c r="E510" s="81"/>
    </row>
    <row r="511" spans="4:5" s="15" customFormat="1">
      <c r="D511" s="81"/>
      <c r="E511" s="81"/>
    </row>
    <row r="512" spans="4:5" s="15" customFormat="1">
      <c r="D512" s="81"/>
      <c r="E512" s="81"/>
    </row>
    <row r="513" spans="4:5" s="15" customFormat="1">
      <c r="D513" s="81"/>
      <c r="E513" s="81"/>
    </row>
    <row r="514" spans="4:5" s="15" customFormat="1">
      <c r="D514" s="81"/>
      <c r="E514" s="81"/>
    </row>
    <row r="515" spans="4:5" s="15" customFormat="1">
      <c r="D515" s="81"/>
      <c r="E515" s="81"/>
    </row>
    <row r="516" spans="4:5" s="15" customFormat="1">
      <c r="D516" s="81"/>
      <c r="E516" s="81"/>
    </row>
    <row r="517" spans="4:5" s="15" customFormat="1">
      <c r="D517" s="81"/>
      <c r="E517" s="81"/>
    </row>
    <row r="518" spans="4:5" s="15" customFormat="1">
      <c r="D518" s="81"/>
      <c r="E518" s="81"/>
    </row>
    <row r="519" spans="4:5" s="15" customFormat="1">
      <c r="D519" s="81"/>
      <c r="E519" s="81"/>
    </row>
    <row r="520" spans="4:5" s="15" customFormat="1">
      <c r="D520" s="81"/>
      <c r="E520" s="81"/>
    </row>
    <row r="521" spans="4:5" s="15" customFormat="1">
      <c r="D521" s="81"/>
      <c r="E521" s="81"/>
    </row>
    <row r="522" spans="4:5" s="15" customFormat="1">
      <c r="D522" s="81"/>
      <c r="E522" s="81"/>
    </row>
    <row r="523" spans="4:5" s="15" customFormat="1">
      <c r="D523" s="81"/>
      <c r="E523" s="81"/>
    </row>
    <row r="524" spans="4:5" s="15" customFormat="1">
      <c r="D524" s="81"/>
      <c r="E524" s="81"/>
    </row>
    <row r="525" spans="4:5" s="15" customFormat="1">
      <c r="D525" s="81"/>
      <c r="E525" s="81"/>
    </row>
    <row r="526" spans="4:5" s="15" customFormat="1">
      <c r="D526" s="81"/>
      <c r="E526" s="81"/>
    </row>
    <row r="527" spans="4:5" s="15" customFormat="1">
      <c r="D527" s="81"/>
      <c r="E527" s="81"/>
    </row>
    <row r="528" spans="4:5" s="15" customFormat="1">
      <c r="D528" s="81"/>
      <c r="E528" s="81"/>
    </row>
    <row r="529" spans="4:5" s="15" customFormat="1">
      <c r="D529" s="81"/>
      <c r="E529" s="81"/>
    </row>
    <row r="530" spans="4:5" s="15" customFormat="1">
      <c r="D530" s="81"/>
      <c r="E530" s="81"/>
    </row>
    <row r="531" spans="4:5" s="15" customFormat="1">
      <c r="D531" s="81"/>
      <c r="E531" s="81"/>
    </row>
    <row r="532" spans="4:5" s="15" customFormat="1">
      <c r="D532" s="81"/>
      <c r="E532" s="81"/>
    </row>
    <row r="533" spans="4:5" s="15" customFormat="1">
      <c r="D533" s="81"/>
      <c r="E533" s="81"/>
    </row>
    <row r="534" spans="4:5" s="15" customFormat="1">
      <c r="D534" s="81"/>
      <c r="E534" s="81"/>
    </row>
    <row r="535" spans="4:5" s="15" customFormat="1">
      <c r="D535" s="81"/>
      <c r="E535" s="81"/>
    </row>
    <row r="536" spans="4:5" s="15" customFormat="1">
      <c r="D536" s="81"/>
      <c r="E536" s="81"/>
    </row>
    <row r="537" spans="4:5" s="15" customFormat="1">
      <c r="D537" s="81"/>
      <c r="E537" s="81"/>
    </row>
    <row r="538" spans="4:5" s="15" customFormat="1">
      <c r="D538" s="81"/>
      <c r="E538" s="81"/>
    </row>
    <row r="539" spans="4:5" s="15" customFormat="1">
      <c r="D539" s="81"/>
      <c r="E539" s="81"/>
    </row>
    <row r="540" spans="4:5" s="15" customFormat="1">
      <c r="D540" s="81"/>
      <c r="E540" s="81"/>
    </row>
    <row r="541" spans="4:5" s="15" customFormat="1">
      <c r="D541" s="81"/>
      <c r="E541" s="81"/>
    </row>
    <row r="542" spans="4:5" s="15" customFormat="1">
      <c r="D542" s="81"/>
      <c r="E542" s="81"/>
    </row>
    <row r="543" spans="4:5" s="15" customFormat="1">
      <c r="D543" s="81"/>
      <c r="E543" s="81"/>
    </row>
    <row r="544" spans="4:5" s="15" customFormat="1">
      <c r="D544" s="81"/>
      <c r="E544" s="81"/>
    </row>
    <row r="545" spans="4:5" s="15" customFormat="1">
      <c r="D545" s="81"/>
      <c r="E545" s="81"/>
    </row>
    <row r="546" spans="4:5" s="15" customFormat="1">
      <c r="D546" s="81"/>
      <c r="E546" s="81"/>
    </row>
    <row r="547" spans="4:5" s="15" customFormat="1">
      <c r="D547" s="81"/>
      <c r="E547" s="81"/>
    </row>
    <row r="548" spans="4:5" s="15" customFormat="1">
      <c r="D548" s="81"/>
      <c r="E548" s="81"/>
    </row>
    <row r="549" spans="4:5" s="15" customFormat="1">
      <c r="D549" s="81"/>
      <c r="E549" s="81"/>
    </row>
    <row r="550" spans="4:5" s="15" customFormat="1">
      <c r="D550" s="81"/>
      <c r="E550" s="81"/>
    </row>
    <row r="551" spans="4:5" s="15" customFormat="1">
      <c r="D551" s="81"/>
      <c r="E551" s="81"/>
    </row>
    <row r="552" spans="4:5" s="15" customFormat="1">
      <c r="D552" s="81"/>
      <c r="E552" s="81"/>
    </row>
    <row r="553" spans="4:5" s="15" customFormat="1">
      <c r="D553" s="81"/>
      <c r="E553" s="81"/>
    </row>
    <row r="554" spans="4:5" s="15" customFormat="1">
      <c r="D554" s="81"/>
      <c r="E554" s="81"/>
    </row>
    <row r="555" spans="4:5" s="15" customFormat="1">
      <c r="D555" s="81"/>
      <c r="E555" s="81"/>
    </row>
    <row r="556" spans="4:5" s="15" customFormat="1">
      <c r="D556" s="81"/>
      <c r="E556" s="81"/>
    </row>
    <row r="557" spans="4:5" s="15" customFormat="1">
      <c r="D557" s="81"/>
      <c r="E557" s="81"/>
    </row>
    <row r="558" spans="4:5" s="15" customFormat="1">
      <c r="D558" s="81"/>
      <c r="E558" s="81"/>
    </row>
    <row r="559" spans="4:5" s="15" customFormat="1">
      <c r="D559" s="81"/>
      <c r="E559" s="81"/>
    </row>
    <row r="560" spans="4:5" s="15" customFormat="1">
      <c r="D560" s="81"/>
      <c r="E560" s="81"/>
    </row>
    <row r="561" spans="4:5" s="15" customFormat="1">
      <c r="D561" s="81"/>
      <c r="E561" s="81"/>
    </row>
    <row r="562" spans="4:5" s="15" customFormat="1">
      <c r="D562" s="81"/>
      <c r="E562" s="81"/>
    </row>
    <row r="563" spans="4:5" s="15" customFormat="1">
      <c r="D563" s="81"/>
      <c r="E563" s="81"/>
    </row>
    <row r="564" spans="4:5" s="15" customFormat="1">
      <c r="D564" s="81"/>
      <c r="E564" s="81"/>
    </row>
    <row r="565" spans="4:5" s="15" customFormat="1">
      <c r="D565" s="81"/>
      <c r="E565" s="81"/>
    </row>
    <row r="566" spans="4:5" s="15" customFormat="1">
      <c r="D566" s="81"/>
      <c r="E566" s="81"/>
    </row>
    <row r="567" spans="4:5" s="15" customFormat="1">
      <c r="D567" s="81"/>
      <c r="E567" s="81"/>
    </row>
    <row r="568" spans="4:5" s="15" customFormat="1">
      <c r="D568" s="81"/>
      <c r="E568" s="81"/>
    </row>
    <row r="569" spans="4:5" s="15" customFormat="1">
      <c r="D569" s="81"/>
      <c r="E569" s="81"/>
    </row>
    <row r="570" spans="4:5" s="15" customFormat="1">
      <c r="D570" s="81"/>
      <c r="E570" s="81"/>
    </row>
    <row r="571" spans="4:5" s="15" customFormat="1">
      <c r="D571" s="81"/>
      <c r="E571" s="81"/>
    </row>
    <row r="572" spans="4:5" s="15" customFormat="1">
      <c r="D572" s="81"/>
      <c r="E572" s="81"/>
    </row>
    <row r="573" spans="4:5" s="15" customFormat="1">
      <c r="D573" s="81"/>
      <c r="E573" s="81"/>
    </row>
    <row r="574" spans="4:5" s="15" customFormat="1">
      <c r="D574" s="81"/>
      <c r="E574" s="81"/>
    </row>
    <row r="575" spans="4:5" s="15" customFormat="1">
      <c r="D575" s="81"/>
      <c r="E575" s="81"/>
    </row>
    <row r="576" spans="4:5" s="15" customFormat="1">
      <c r="D576" s="81"/>
      <c r="E576" s="81"/>
    </row>
    <row r="577" spans="4:5" s="15" customFormat="1">
      <c r="D577" s="81"/>
      <c r="E577" s="81"/>
    </row>
    <row r="578" spans="4:5" s="15" customFormat="1">
      <c r="D578" s="81"/>
      <c r="E578" s="81"/>
    </row>
    <row r="579" spans="4:5" s="15" customFormat="1">
      <c r="D579" s="81"/>
      <c r="E579" s="81"/>
    </row>
    <row r="580" spans="4:5" s="15" customFormat="1">
      <c r="D580" s="81"/>
      <c r="E580" s="81"/>
    </row>
    <row r="581" spans="4:5" s="15" customFormat="1">
      <c r="D581" s="81"/>
      <c r="E581" s="81"/>
    </row>
    <row r="582" spans="4:5" s="15" customFormat="1">
      <c r="D582" s="81"/>
      <c r="E582" s="81"/>
    </row>
    <row r="583" spans="4:5" s="15" customFormat="1">
      <c r="D583" s="81"/>
      <c r="E583" s="81"/>
    </row>
    <row r="584" spans="4:5" s="15" customFormat="1">
      <c r="D584" s="81"/>
      <c r="E584" s="81"/>
    </row>
    <row r="585" spans="4:5" s="15" customFormat="1">
      <c r="D585" s="81"/>
      <c r="E585" s="81"/>
    </row>
    <row r="586" spans="4:5" s="15" customFormat="1">
      <c r="D586" s="81"/>
      <c r="E586" s="81"/>
    </row>
    <row r="587" spans="4:5" s="15" customFormat="1">
      <c r="D587" s="81"/>
      <c r="E587" s="81"/>
    </row>
    <row r="588" spans="4:5" s="15" customFormat="1">
      <c r="D588" s="81"/>
      <c r="E588" s="81"/>
    </row>
    <row r="589" spans="4:5" s="15" customFormat="1">
      <c r="D589" s="81"/>
      <c r="E589" s="81"/>
    </row>
    <row r="590" spans="4:5" s="15" customFormat="1">
      <c r="D590" s="81"/>
      <c r="E590" s="81"/>
    </row>
    <row r="591" spans="4:5" s="15" customFormat="1">
      <c r="D591" s="81"/>
      <c r="E591" s="81"/>
    </row>
    <row r="592" spans="4:5" s="15" customFormat="1">
      <c r="D592" s="81"/>
      <c r="E592" s="81"/>
    </row>
    <row r="593" spans="4:5" s="15" customFormat="1">
      <c r="D593" s="81"/>
      <c r="E593" s="81"/>
    </row>
    <row r="594" spans="4:5" s="15" customFormat="1">
      <c r="D594" s="81"/>
      <c r="E594" s="81"/>
    </row>
    <row r="595" spans="4:5" s="15" customFormat="1">
      <c r="D595" s="81"/>
      <c r="E595" s="81"/>
    </row>
    <row r="596" spans="4:5" s="15" customFormat="1">
      <c r="D596" s="81"/>
      <c r="E596" s="81"/>
    </row>
    <row r="597" spans="4:5" s="15" customFormat="1">
      <c r="D597" s="81"/>
      <c r="E597" s="81"/>
    </row>
    <row r="598" spans="4:5" s="15" customFormat="1">
      <c r="D598" s="81"/>
      <c r="E598" s="81"/>
    </row>
    <row r="599" spans="4:5" s="15" customFormat="1">
      <c r="D599" s="81"/>
      <c r="E599" s="81"/>
    </row>
    <row r="600" spans="4:5" s="15" customFormat="1">
      <c r="D600" s="81"/>
      <c r="E600" s="81"/>
    </row>
    <row r="601" spans="4:5" s="15" customFormat="1">
      <c r="D601" s="81"/>
      <c r="E601" s="81"/>
    </row>
    <row r="602" spans="4:5" s="15" customFormat="1">
      <c r="D602" s="81"/>
      <c r="E602" s="81"/>
    </row>
    <row r="603" spans="4:5" s="15" customFormat="1">
      <c r="D603" s="81"/>
      <c r="E603" s="81"/>
    </row>
    <row r="604" spans="4:5" s="15" customFormat="1">
      <c r="D604" s="81"/>
      <c r="E604" s="81"/>
    </row>
    <row r="605" spans="4:5" s="15" customFormat="1">
      <c r="D605" s="81"/>
      <c r="E605" s="81"/>
    </row>
    <row r="606" spans="4:5" s="15" customFormat="1">
      <c r="D606" s="81"/>
      <c r="E606" s="81"/>
    </row>
    <row r="607" spans="4:5" s="15" customFormat="1">
      <c r="D607" s="81"/>
      <c r="E607" s="81"/>
    </row>
    <row r="608" spans="4:5" s="15" customFormat="1">
      <c r="D608" s="81"/>
      <c r="E608" s="81"/>
    </row>
    <row r="609" spans="4:5" s="15" customFormat="1">
      <c r="D609" s="81"/>
      <c r="E609" s="81"/>
    </row>
    <row r="610" spans="4:5" s="15" customFormat="1">
      <c r="D610" s="81"/>
      <c r="E610" s="81"/>
    </row>
    <row r="611" spans="4:5" s="15" customFormat="1">
      <c r="D611" s="81"/>
      <c r="E611" s="81"/>
    </row>
    <row r="612" spans="4:5" s="15" customFormat="1">
      <c r="D612" s="81"/>
      <c r="E612" s="81"/>
    </row>
    <row r="613" spans="4:5" s="15" customFormat="1">
      <c r="D613" s="81"/>
      <c r="E613" s="81"/>
    </row>
    <row r="614" spans="4:5" s="15" customFormat="1">
      <c r="D614" s="81"/>
      <c r="E614" s="81"/>
    </row>
    <row r="615" spans="4:5" s="15" customFormat="1">
      <c r="D615" s="81"/>
      <c r="E615" s="81"/>
    </row>
    <row r="616" spans="4:5" s="15" customFormat="1">
      <c r="D616" s="81"/>
      <c r="E616" s="81"/>
    </row>
    <row r="617" spans="4:5" s="15" customFormat="1">
      <c r="D617" s="81"/>
      <c r="E617" s="81"/>
    </row>
    <row r="618" spans="4:5" s="15" customFormat="1">
      <c r="D618" s="81"/>
      <c r="E618" s="81"/>
    </row>
    <row r="619" spans="4:5" s="15" customFormat="1">
      <c r="D619" s="81"/>
      <c r="E619" s="81"/>
    </row>
    <row r="620" spans="4:5" s="15" customFormat="1">
      <c r="D620" s="81"/>
      <c r="E620" s="81"/>
    </row>
    <row r="621" spans="4:5" s="15" customFormat="1">
      <c r="D621" s="81"/>
      <c r="E621" s="81"/>
    </row>
    <row r="622" spans="4:5" s="15" customFormat="1">
      <c r="D622" s="81"/>
      <c r="E622" s="81"/>
    </row>
    <row r="623" spans="4:5" s="15" customFormat="1">
      <c r="D623" s="81"/>
      <c r="E623" s="81"/>
    </row>
    <row r="624" spans="4:5" s="15" customFormat="1">
      <c r="D624" s="81"/>
      <c r="E624" s="81"/>
    </row>
    <row r="625" spans="4:5" s="15" customFormat="1">
      <c r="D625" s="81"/>
      <c r="E625" s="81"/>
    </row>
    <row r="626" spans="4:5" s="15" customFormat="1">
      <c r="D626" s="81"/>
      <c r="E626" s="81"/>
    </row>
    <row r="627" spans="4:5" s="15" customFormat="1">
      <c r="D627" s="81"/>
      <c r="E627" s="81"/>
    </row>
    <row r="628" spans="4:5" s="15" customFormat="1">
      <c r="D628" s="81"/>
      <c r="E628" s="81"/>
    </row>
    <row r="629" spans="4:5" s="15" customFormat="1">
      <c r="D629" s="81"/>
      <c r="E629" s="81"/>
    </row>
    <row r="630" spans="4:5" s="15" customFormat="1">
      <c r="D630" s="81"/>
      <c r="E630" s="81"/>
    </row>
    <row r="631" spans="4:5" s="15" customFormat="1">
      <c r="D631" s="81"/>
      <c r="E631" s="81"/>
    </row>
    <row r="632" spans="4:5" s="15" customFormat="1">
      <c r="D632" s="81"/>
      <c r="E632" s="81"/>
    </row>
    <row r="633" spans="4:5" s="15" customFormat="1">
      <c r="D633" s="81"/>
      <c r="E633" s="81"/>
    </row>
    <row r="634" spans="4:5" s="15" customFormat="1">
      <c r="D634" s="81"/>
      <c r="E634" s="81"/>
    </row>
    <row r="635" spans="4:5" s="15" customFormat="1">
      <c r="D635" s="81"/>
      <c r="E635" s="81"/>
    </row>
    <row r="636" spans="4:5" s="15" customFormat="1">
      <c r="D636" s="81"/>
      <c r="E636" s="81"/>
    </row>
    <row r="637" spans="4:5" s="15" customFormat="1">
      <c r="D637" s="81"/>
      <c r="E637" s="81"/>
    </row>
    <row r="638" spans="4:5" s="15" customFormat="1">
      <c r="D638" s="81"/>
      <c r="E638" s="81"/>
    </row>
    <row r="639" spans="4:5" s="15" customFormat="1">
      <c r="D639" s="81"/>
      <c r="E639" s="81"/>
    </row>
    <row r="640" spans="4:5" s="15" customFormat="1">
      <c r="D640" s="81"/>
      <c r="E640" s="81"/>
    </row>
    <row r="641" spans="4:5" s="15" customFormat="1">
      <c r="D641" s="81"/>
      <c r="E641" s="81"/>
    </row>
    <row r="642" spans="4:5" s="15" customFormat="1">
      <c r="D642" s="81"/>
      <c r="E642" s="81"/>
    </row>
    <row r="643" spans="4:5" s="15" customFormat="1">
      <c r="D643" s="81"/>
      <c r="E643" s="81"/>
    </row>
    <row r="644" spans="4:5" s="15" customFormat="1">
      <c r="D644" s="81"/>
      <c r="E644" s="81"/>
    </row>
    <row r="645" spans="4:5" s="15" customFormat="1">
      <c r="D645" s="81"/>
      <c r="E645" s="81"/>
    </row>
    <row r="646" spans="4:5" s="15" customFormat="1">
      <c r="D646" s="81"/>
      <c r="E646" s="81"/>
    </row>
    <row r="647" spans="4:5" s="15" customFormat="1">
      <c r="D647" s="81"/>
      <c r="E647" s="81"/>
    </row>
    <row r="648" spans="4:5" s="15" customFormat="1">
      <c r="D648" s="81"/>
      <c r="E648" s="81"/>
    </row>
    <row r="649" spans="4:5" s="15" customFormat="1">
      <c r="D649" s="81"/>
      <c r="E649" s="81"/>
    </row>
    <row r="650" spans="4:5" s="15" customFormat="1">
      <c r="D650" s="81"/>
      <c r="E650" s="81"/>
    </row>
    <row r="651" spans="4:5" s="15" customFormat="1">
      <c r="D651" s="81"/>
      <c r="E651" s="81"/>
    </row>
    <row r="652" spans="4:5" s="15" customFormat="1">
      <c r="D652" s="81"/>
      <c r="E652" s="81"/>
    </row>
    <row r="653" spans="4:5" s="15" customFormat="1">
      <c r="D653" s="81"/>
      <c r="E653" s="81"/>
    </row>
    <row r="654" spans="4:5" s="15" customFormat="1">
      <c r="D654" s="81"/>
      <c r="E654" s="81"/>
    </row>
    <row r="655" spans="4:5" s="15" customFormat="1">
      <c r="D655" s="81"/>
      <c r="E655" s="81"/>
    </row>
    <row r="656" spans="4:5" s="15" customFormat="1">
      <c r="D656" s="81"/>
      <c r="E656" s="81"/>
    </row>
    <row r="657" spans="4:5" s="15" customFormat="1">
      <c r="D657" s="81"/>
      <c r="E657" s="81"/>
    </row>
    <row r="658" spans="4:5" s="15" customFormat="1">
      <c r="D658" s="81"/>
      <c r="E658" s="81"/>
    </row>
    <row r="659" spans="4:5" s="15" customFormat="1">
      <c r="D659" s="81"/>
      <c r="E659" s="81"/>
    </row>
    <row r="660" spans="4:5" s="15" customFormat="1">
      <c r="D660" s="81"/>
      <c r="E660" s="81"/>
    </row>
    <row r="661" spans="4:5" s="15" customFormat="1">
      <c r="D661" s="81"/>
      <c r="E661" s="81"/>
    </row>
    <row r="662" spans="4:5" s="15" customFormat="1">
      <c r="D662" s="81"/>
      <c r="E662" s="81"/>
    </row>
    <row r="663" spans="4:5" s="15" customFormat="1">
      <c r="D663" s="81"/>
      <c r="E663" s="81"/>
    </row>
    <row r="664" spans="4:5" s="15" customFormat="1">
      <c r="D664" s="81"/>
      <c r="E664" s="81"/>
    </row>
    <row r="665" spans="4:5" s="15" customFormat="1">
      <c r="D665" s="81"/>
      <c r="E665" s="81"/>
    </row>
    <row r="666" spans="4:5" s="15" customFormat="1">
      <c r="D666" s="81"/>
      <c r="E666" s="81"/>
    </row>
    <row r="667" spans="4:5" s="15" customFormat="1">
      <c r="D667" s="81"/>
      <c r="E667" s="81"/>
    </row>
    <row r="668" spans="4:5" s="15" customFormat="1">
      <c r="D668" s="81"/>
      <c r="E668" s="81"/>
    </row>
    <row r="669" spans="4:5" s="15" customFormat="1">
      <c r="D669" s="81"/>
      <c r="E669" s="81"/>
    </row>
    <row r="670" spans="4:5" s="15" customFormat="1">
      <c r="D670" s="81"/>
      <c r="E670" s="81"/>
    </row>
    <row r="671" spans="4:5" s="15" customFormat="1">
      <c r="D671" s="81"/>
      <c r="E671" s="81"/>
    </row>
    <row r="672" spans="4:5" s="15" customFormat="1">
      <c r="D672" s="81"/>
      <c r="E672" s="81"/>
    </row>
    <row r="673" spans="4:5" s="15" customFormat="1">
      <c r="D673" s="81"/>
      <c r="E673" s="81"/>
    </row>
    <row r="674" spans="4:5" s="15" customFormat="1">
      <c r="D674" s="81"/>
      <c r="E674" s="81"/>
    </row>
    <row r="675" spans="4:5" s="15" customFormat="1">
      <c r="D675" s="81"/>
      <c r="E675" s="81"/>
    </row>
    <row r="676" spans="4:5" s="15" customFormat="1">
      <c r="D676" s="81"/>
      <c r="E676" s="81"/>
    </row>
    <row r="677" spans="4:5" s="15" customFormat="1">
      <c r="D677" s="81"/>
      <c r="E677" s="81"/>
    </row>
    <row r="678" spans="4:5" s="15" customFormat="1">
      <c r="D678" s="81"/>
      <c r="E678" s="81"/>
    </row>
    <row r="679" spans="4:5" s="15" customFormat="1">
      <c r="D679" s="81"/>
      <c r="E679" s="81"/>
    </row>
    <row r="680" spans="4:5" s="15" customFormat="1">
      <c r="D680" s="81"/>
      <c r="E680" s="81"/>
    </row>
    <row r="681" spans="4:5" s="15" customFormat="1">
      <c r="D681" s="81"/>
      <c r="E681" s="81"/>
    </row>
    <row r="682" spans="4:5" s="15" customFormat="1">
      <c r="D682" s="81"/>
      <c r="E682" s="81"/>
    </row>
    <row r="683" spans="4:5" s="15" customFormat="1">
      <c r="D683" s="81"/>
      <c r="E683" s="81"/>
    </row>
    <row r="684" spans="4:5" s="15" customFormat="1">
      <c r="D684" s="81"/>
      <c r="E684" s="81"/>
    </row>
    <row r="685" spans="4:5" s="15" customFormat="1">
      <c r="D685" s="81"/>
      <c r="E685" s="81"/>
    </row>
    <row r="686" spans="4:5" s="15" customFormat="1">
      <c r="D686" s="81"/>
      <c r="E686" s="81"/>
    </row>
    <row r="687" spans="4:5" s="15" customFormat="1">
      <c r="D687" s="81"/>
      <c r="E687" s="81"/>
    </row>
    <row r="688" spans="4:5" s="15" customFormat="1">
      <c r="D688" s="81"/>
      <c r="E688" s="81"/>
    </row>
    <row r="689" spans="4:5" s="15" customFormat="1">
      <c r="D689" s="81"/>
      <c r="E689" s="81"/>
    </row>
    <row r="690" spans="4:5" s="15" customFormat="1">
      <c r="D690" s="81"/>
      <c r="E690" s="81"/>
    </row>
    <row r="691" spans="4:5" s="15" customFormat="1">
      <c r="D691" s="81"/>
      <c r="E691" s="81"/>
    </row>
    <row r="692" spans="4:5" s="15" customFormat="1">
      <c r="D692" s="81"/>
      <c r="E692" s="81"/>
    </row>
    <row r="693" spans="4:5" s="15" customFormat="1">
      <c r="D693" s="81"/>
      <c r="E693" s="81"/>
    </row>
    <row r="694" spans="4:5" s="15" customFormat="1">
      <c r="D694" s="81"/>
      <c r="E694" s="81"/>
    </row>
    <row r="695" spans="4:5" s="15" customFormat="1">
      <c r="D695" s="81"/>
      <c r="E695" s="81"/>
    </row>
    <row r="696" spans="4:5" s="15" customFormat="1">
      <c r="D696" s="81"/>
      <c r="E696" s="81"/>
    </row>
    <row r="697" spans="4:5" s="15" customFormat="1">
      <c r="D697" s="81"/>
      <c r="E697" s="81"/>
    </row>
    <row r="698" spans="4:5" s="15" customFormat="1">
      <c r="D698" s="81"/>
      <c r="E698" s="81"/>
    </row>
    <row r="699" spans="4:5" s="15" customFormat="1">
      <c r="D699" s="81"/>
      <c r="E699" s="81"/>
    </row>
    <row r="700" spans="4:5" s="15" customFormat="1">
      <c r="D700" s="81"/>
      <c r="E700" s="81"/>
    </row>
    <row r="701" spans="4:5" s="15" customFormat="1">
      <c r="D701" s="81"/>
      <c r="E701" s="81"/>
    </row>
    <row r="702" spans="4:5" s="15" customFormat="1">
      <c r="D702" s="81"/>
      <c r="E702" s="81"/>
    </row>
    <row r="703" spans="4:5" s="15" customFormat="1">
      <c r="D703" s="81"/>
      <c r="E703" s="81"/>
    </row>
    <row r="704" spans="4:5" s="15" customFormat="1">
      <c r="D704" s="81"/>
      <c r="E704" s="81"/>
    </row>
    <row r="705" spans="4:5" s="15" customFormat="1">
      <c r="D705" s="81"/>
      <c r="E705" s="81"/>
    </row>
    <row r="706" spans="4:5" s="15" customFormat="1">
      <c r="D706" s="81"/>
      <c r="E706" s="81"/>
    </row>
    <row r="707" spans="4:5" s="15" customFormat="1">
      <c r="D707" s="81"/>
      <c r="E707" s="81"/>
    </row>
    <row r="708" spans="4:5" s="15" customFormat="1">
      <c r="D708" s="81"/>
      <c r="E708" s="81"/>
    </row>
    <row r="709" spans="4:5" s="15" customFormat="1">
      <c r="D709" s="81"/>
      <c r="E709" s="81"/>
    </row>
    <row r="710" spans="4:5" s="15" customFormat="1">
      <c r="D710" s="81"/>
      <c r="E710" s="81"/>
    </row>
    <row r="711" spans="4:5" s="15" customFormat="1">
      <c r="D711" s="81"/>
      <c r="E711" s="81"/>
    </row>
    <row r="712" spans="4:5" s="15" customFormat="1">
      <c r="D712" s="81"/>
      <c r="E712" s="81"/>
    </row>
    <row r="713" spans="4:5" s="15" customFormat="1">
      <c r="D713" s="81"/>
      <c r="E713" s="81"/>
    </row>
    <row r="714" spans="4:5" s="15" customFormat="1">
      <c r="D714" s="81"/>
      <c r="E714" s="81"/>
    </row>
    <row r="715" spans="4:5" s="15" customFormat="1">
      <c r="D715" s="81"/>
      <c r="E715" s="81"/>
    </row>
    <row r="716" spans="4:5" s="15" customFormat="1">
      <c r="D716" s="81"/>
      <c r="E716" s="81"/>
    </row>
    <row r="717" spans="4:5" s="15" customFormat="1">
      <c r="D717" s="81"/>
      <c r="E717" s="81"/>
    </row>
    <row r="718" spans="4:5" s="15" customFormat="1">
      <c r="D718" s="81"/>
      <c r="E718" s="81"/>
    </row>
    <row r="719" spans="4:5" s="15" customFormat="1">
      <c r="D719" s="81"/>
      <c r="E719" s="81"/>
    </row>
    <row r="720" spans="4:5" s="15" customFormat="1">
      <c r="D720" s="81"/>
      <c r="E720" s="81"/>
    </row>
    <row r="721" spans="4:5" s="15" customFormat="1">
      <c r="D721" s="81"/>
      <c r="E721" s="81"/>
    </row>
    <row r="722" spans="4:5" s="15" customFormat="1">
      <c r="D722" s="81"/>
      <c r="E722" s="81"/>
    </row>
    <row r="723" spans="4:5" s="15" customFormat="1">
      <c r="D723" s="81"/>
      <c r="E723" s="81"/>
    </row>
    <row r="724" spans="4:5" s="15" customFormat="1">
      <c r="D724" s="81"/>
      <c r="E724" s="81"/>
    </row>
    <row r="725" spans="4:5" s="15" customFormat="1">
      <c r="D725" s="81"/>
      <c r="E725" s="81"/>
    </row>
    <row r="726" spans="4:5" s="15" customFormat="1">
      <c r="D726" s="81"/>
      <c r="E726" s="81"/>
    </row>
    <row r="727" spans="4:5" s="15" customFormat="1">
      <c r="D727" s="81"/>
      <c r="E727" s="81"/>
    </row>
    <row r="728" spans="4:5" s="15" customFormat="1">
      <c r="D728" s="81"/>
      <c r="E728" s="81"/>
    </row>
    <row r="729" spans="4:5" s="15" customFormat="1">
      <c r="D729" s="81"/>
      <c r="E729" s="81"/>
    </row>
    <row r="730" spans="4:5" s="15" customFormat="1">
      <c r="D730" s="81"/>
      <c r="E730" s="81"/>
    </row>
    <row r="731" spans="4:5" s="15" customFormat="1">
      <c r="D731" s="81"/>
      <c r="E731" s="81"/>
    </row>
    <row r="732" spans="4:5" s="15" customFormat="1">
      <c r="D732" s="81"/>
      <c r="E732" s="81"/>
    </row>
    <row r="733" spans="4:5" s="15" customFormat="1">
      <c r="D733" s="81"/>
      <c r="E733" s="81"/>
    </row>
    <row r="734" spans="4:5" s="15" customFormat="1">
      <c r="D734" s="81"/>
      <c r="E734" s="81"/>
    </row>
    <row r="735" spans="4:5" s="15" customFormat="1">
      <c r="D735" s="81"/>
      <c r="E735" s="81"/>
    </row>
    <row r="736" spans="4:5" s="15" customFormat="1">
      <c r="D736" s="81"/>
      <c r="E736" s="81"/>
    </row>
    <row r="737" spans="4:5" s="15" customFormat="1">
      <c r="D737" s="81"/>
      <c r="E737" s="81"/>
    </row>
    <row r="738" spans="4:5" s="15" customFormat="1">
      <c r="D738" s="81"/>
      <c r="E738" s="81"/>
    </row>
    <row r="739" spans="4:5" s="15" customFormat="1">
      <c r="D739" s="81"/>
      <c r="E739" s="81"/>
    </row>
    <row r="740" spans="4:5" s="15" customFormat="1">
      <c r="D740" s="81"/>
      <c r="E740" s="81"/>
    </row>
    <row r="741" spans="4:5" s="15" customFormat="1">
      <c r="D741" s="81"/>
      <c r="E741" s="81"/>
    </row>
    <row r="742" spans="4:5" s="15" customFormat="1">
      <c r="D742" s="81"/>
      <c r="E742" s="81"/>
    </row>
    <row r="743" spans="4:5" s="15" customFormat="1">
      <c r="D743" s="81"/>
      <c r="E743" s="81"/>
    </row>
    <row r="744" spans="4:5" s="15" customFormat="1">
      <c r="D744" s="81"/>
      <c r="E744" s="81"/>
    </row>
    <row r="745" spans="4:5" s="15" customFormat="1">
      <c r="D745" s="81"/>
      <c r="E745" s="81"/>
    </row>
    <row r="746" spans="4:5" s="15" customFormat="1">
      <c r="D746" s="81"/>
      <c r="E746" s="81"/>
    </row>
    <row r="747" spans="4:5" s="15" customFormat="1">
      <c r="D747" s="81"/>
      <c r="E747" s="81"/>
    </row>
    <row r="748" spans="4:5" s="15" customFormat="1">
      <c r="D748" s="81"/>
      <c r="E748" s="81"/>
    </row>
    <row r="749" spans="4:5" s="15" customFormat="1">
      <c r="D749" s="81"/>
      <c r="E749" s="81"/>
    </row>
    <row r="750" spans="4:5" s="15" customFormat="1">
      <c r="D750" s="81"/>
      <c r="E750" s="81"/>
    </row>
    <row r="751" spans="4:5" s="15" customFormat="1">
      <c r="D751" s="81"/>
      <c r="E751" s="81"/>
    </row>
    <row r="752" spans="4:5" s="15" customFormat="1">
      <c r="D752" s="81"/>
      <c r="E752" s="81"/>
    </row>
    <row r="753" spans="4:5" s="15" customFormat="1">
      <c r="D753" s="81"/>
      <c r="E753" s="81"/>
    </row>
    <row r="754" spans="4:5" s="15" customFormat="1">
      <c r="D754" s="81"/>
      <c r="E754" s="81"/>
    </row>
    <row r="755" spans="4:5" s="15" customFormat="1">
      <c r="D755" s="81"/>
      <c r="E755" s="81"/>
    </row>
    <row r="756" spans="4:5" s="15" customFormat="1">
      <c r="D756" s="81"/>
      <c r="E756" s="81"/>
    </row>
    <row r="757" spans="4:5" s="15" customFormat="1">
      <c r="D757" s="81"/>
      <c r="E757" s="81"/>
    </row>
    <row r="758" spans="4:5" s="15" customFormat="1">
      <c r="D758" s="81"/>
      <c r="E758" s="81"/>
    </row>
    <row r="759" spans="4:5" s="15" customFormat="1">
      <c r="D759" s="81"/>
      <c r="E759" s="81"/>
    </row>
    <row r="760" spans="4:5" s="15" customFormat="1">
      <c r="D760" s="81"/>
      <c r="E760" s="81"/>
    </row>
    <row r="761" spans="4:5" s="15" customFormat="1">
      <c r="D761" s="81"/>
      <c r="E761" s="81"/>
    </row>
    <row r="762" spans="4:5" s="15" customFormat="1">
      <c r="D762" s="81"/>
      <c r="E762" s="81"/>
    </row>
    <row r="763" spans="4:5" s="15" customFormat="1">
      <c r="D763" s="81"/>
      <c r="E763" s="81"/>
    </row>
    <row r="764" spans="4:5" s="15" customFormat="1">
      <c r="D764" s="81"/>
      <c r="E764" s="81"/>
    </row>
    <row r="765" spans="4:5" s="15" customFormat="1">
      <c r="D765" s="81"/>
      <c r="E765" s="81"/>
    </row>
    <row r="766" spans="4:5" s="15" customFormat="1">
      <c r="D766" s="81"/>
      <c r="E766" s="81"/>
    </row>
    <row r="767" spans="4:5" s="15" customFormat="1">
      <c r="D767" s="81"/>
      <c r="E767" s="81"/>
    </row>
    <row r="768" spans="4:5" s="15" customFormat="1">
      <c r="D768" s="81"/>
      <c r="E768" s="81"/>
    </row>
    <row r="769" spans="4:5" s="15" customFormat="1">
      <c r="D769" s="81"/>
      <c r="E769" s="81"/>
    </row>
    <row r="770" spans="4:5" s="15" customFormat="1">
      <c r="D770" s="81"/>
      <c r="E770" s="81"/>
    </row>
    <row r="771" spans="4:5" s="15" customFormat="1">
      <c r="D771" s="81"/>
      <c r="E771" s="81"/>
    </row>
    <row r="772" spans="4:5" s="15" customFormat="1">
      <c r="D772" s="81"/>
      <c r="E772" s="81"/>
    </row>
    <row r="773" spans="4:5" s="15" customFormat="1">
      <c r="D773" s="81"/>
      <c r="E773" s="81"/>
    </row>
    <row r="774" spans="4:5" s="15" customFormat="1">
      <c r="D774" s="81"/>
      <c r="E774" s="81"/>
    </row>
    <row r="775" spans="4:5" s="15" customFormat="1">
      <c r="D775" s="81"/>
      <c r="E775" s="81"/>
    </row>
    <row r="776" spans="4:5" s="15" customFormat="1">
      <c r="D776" s="81"/>
      <c r="E776" s="81"/>
    </row>
    <row r="777" spans="4:5" s="15" customFormat="1">
      <c r="D777" s="81"/>
      <c r="E777" s="81"/>
    </row>
    <row r="778" spans="4:5" s="15" customFormat="1">
      <c r="D778" s="81"/>
      <c r="E778" s="81"/>
    </row>
    <row r="779" spans="4:5" s="15" customFormat="1">
      <c r="D779" s="81"/>
      <c r="E779" s="81"/>
    </row>
    <row r="780" spans="4:5" s="15" customFormat="1">
      <c r="D780" s="81"/>
      <c r="E780" s="81"/>
    </row>
    <row r="781" spans="4:5" s="15" customFormat="1">
      <c r="D781" s="81"/>
      <c r="E781" s="81"/>
    </row>
    <row r="782" spans="4:5" s="15" customFormat="1">
      <c r="D782" s="81"/>
      <c r="E782" s="81"/>
    </row>
    <row r="783" spans="4:5" s="15" customFormat="1">
      <c r="D783" s="81"/>
      <c r="E783" s="81"/>
    </row>
    <row r="784" spans="4:5" s="15" customFormat="1">
      <c r="D784" s="81"/>
      <c r="E784" s="81"/>
    </row>
    <row r="785" spans="4:5" s="15" customFormat="1">
      <c r="D785" s="81"/>
      <c r="E785" s="81"/>
    </row>
    <row r="786" spans="4:5" s="15" customFormat="1">
      <c r="D786" s="81"/>
      <c r="E786" s="81"/>
    </row>
    <row r="787" spans="4:5" s="15" customFormat="1">
      <c r="D787" s="81"/>
      <c r="E787" s="81"/>
    </row>
    <row r="788" spans="4:5" s="15" customFormat="1">
      <c r="D788" s="81"/>
      <c r="E788" s="81"/>
    </row>
    <row r="789" spans="4:5" s="15" customFormat="1">
      <c r="D789" s="81"/>
      <c r="E789" s="81"/>
    </row>
    <row r="790" spans="4:5" s="15" customFormat="1">
      <c r="D790" s="81"/>
      <c r="E790" s="81"/>
    </row>
    <row r="791" spans="4:5" s="15" customFormat="1">
      <c r="D791" s="81"/>
      <c r="E791" s="81"/>
    </row>
    <row r="792" spans="4:5" s="15" customFormat="1">
      <c r="D792" s="81"/>
      <c r="E792" s="81"/>
    </row>
    <row r="793" spans="4:5" s="15" customFormat="1">
      <c r="D793" s="81"/>
      <c r="E793" s="81"/>
    </row>
    <row r="794" spans="4:5" s="15" customFormat="1">
      <c r="D794" s="81"/>
      <c r="E794" s="81"/>
    </row>
    <row r="795" spans="4:5" s="15" customFormat="1">
      <c r="D795" s="81"/>
      <c r="E795" s="81"/>
    </row>
    <row r="796" spans="4:5" s="15" customFormat="1">
      <c r="D796" s="81"/>
      <c r="E796" s="81"/>
    </row>
    <row r="797" spans="4:5" s="15" customFormat="1">
      <c r="D797" s="81"/>
      <c r="E797" s="81"/>
    </row>
    <row r="798" spans="4:5" s="15" customFormat="1">
      <c r="D798" s="81"/>
      <c r="E798" s="81"/>
    </row>
    <row r="799" spans="4:5" s="15" customFormat="1">
      <c r="D799" s="81"/>
      <c r="E799" s="81"/>
    </row>
    <row r="800" spans="4:5" s="15" customFormat="1">
      <c r="D800" s="81"/>
      <c r="E800" s="81"/>
    </row>
    <row r="801" spans="4:5" s="15" customFormat="1">
      <c r="D801" s="81"/>
      <c r="E801" s="81"/>
    </row>
    <row r="802" spans="4:5" s="15" customFormat="1">
      <c r="D802" s="81"/>
      <c r="E802" s="81"/>
    </row>
    <row r="803" spans="4:5" s="15" customFormat="1">
      <c r="D803" s="81"/>
      <c r="E803" s="81"/>
    </row>
    <row r="804" spans="4:5" s="15" customFormat="1">
      <c r="D804" s="81"/>
      <c r="E804" s="81"/>
    </row>
    <row r="805" spans="4:5" s="15" customFormat="1">
      <c r="D805" s="81"/>
      <c r="E805" s="81"/>
    </row>
    <row r="806" spans="4:5" s="15" customFormat="1">
      <c r="D806" s="81"/>
      <c r="E806" s="81"/>
    </row>
    <row r="807" spans="4:5" s="15" customFormat="1">
      <c r="D807" s="81"/>
      <c r="E807" s="81"/>
    </row>
    <row r="808" spans="4:5" s="15" customFormat="1">
      <c r="D808" s="81"/>
      <c r="E808" s="81"/>
    </row>
    <row r="809" spans="4:5" s="15" customFormat="1">
      <c r="D809" s="81"/>
      <c r="E809" s="81"/>
    </row>
    <row r="810" spans="4:5" s="15" customFormat="1">
      <c r="D810" s="81"/>
      <c r="E810" s="81"/>
    </row>
    <row r="811" spans="4:5" s="15" customFormat="1">
      <c r="D811" s="81"/>
      <c r="E811" s="81"/>
    </row>
    <row r="812" spans="4:5" s="15" customFormat="1">
      <c r="D812" s="81"/>
      <c r="E812" s="81"/>
    </row>
    <row r="813" spans="4:5" s="15" customFormat="1">
      <c r="D813" s="81"/>
      <c r="E813" s="81"/>
    </row>
    <row r="814" spans="4:5" s="15" customFormat="1">
      <c r="D814" s="81"/>
      <c r="E814" s="81"/>
    </row>
    <row r="815" spans="4:5" s="15" customFormat="1">
      <c r="D815" s="81"/>
      <c r="E815" s="81"/>
    </row>
    <row r="816" spans="4:5" s="15" customFormat="1">
      <c r="D816" s="81"/>
      <c r="E816" s="81"/>
    </row>
    <row r="817" spans="4:5" s="15" customFormat="1">
      <c r="D817" s="81"/>
      <c r="E817" s="81"/>
    </row>
    <row r="818" spans="4:5" s="15" customFormat="1">
      <c r="D818" s="81"/>
      <c r="E818" s="81"/>
    </row>
    <row r="819" spans="4:5" s="15" customFormat="1">
      <c r="D819" s="81"/>
      <c r="E819" s="81"/>
    </row>
    <row r="820" spans="4:5" s="15" customFormat="1">
      <c r="D820" s="81"/>
      <c r="E820" s="81"/>
    </row>
    <row r="821" spans="4:5" s="15" customFormat="1">
      <c r="D821" s="81"/>
      <c r="E821" s="81"/>
    </row>
    <row r="822" spans="4:5" s="15" customFormat="1">
      <c r="D822" s="81"/>
      <c r="E822" s="81"/>
    </row>
    <row r="823" spans="4:5" s="15" customFormat="1">
      <c r="D823" s="81"/>
      <c r="E823" s="81"/>
    </row>
    <row r="824" spans="4:5" s="15" customFormat="1">
      <c r="D824" s="81"/>
      <c r="E824" s="81"/>
    </row>
    <row r="825" spans="4:5" s="15" customFormat="1">
      <c r="D825" s="81"/>
      <c r="E825" s="81"/>
    </row>
    <row r="826" spans="4:5" s="15" customFormat="1">
      <c r="D826" s="81"/>
      <c r="E826" s="81"/>
    </row>
    <row r="827" spans="4:5" s="15" customFormat="1">
      <c r="D827" s="81"/>
      <c r="E827" s="81"/>
    </row>
    <row r="828" spans="4:5" s="15" customFormat="1">
      <c r="D828" s="81"/>
      <c r="E828" s="81"/>
    </row>
    <row r="829" spans="4:5" s="15" customFormat="1">
      <c r="D829" s="81"/>
      <c r="E829" s="81"/>
    </row>
    <row r="830" spans="4:5" s="15" customFormat="1">
      <c r="D830" s="81"/>
      <c r="E830" s="81"/>
    </row>
    <row r="831" spans="4:5" s="15" customFormat="1">
      <c r="D831" s="81"/>
      <c r="E831" s="81"/>
    </row>
    <row r="832" spans="4:5" s="15" customFormat="1">
      <c r="D832" s="81"/>
      <c r="E832" s="81"/>
    </row>
    <row r="833" spans="4:5" s="15" customFormat="1">
      <c r="D833" s="81"/>
      <c r="E833" s="81"/>
    </row>
    <row r="834" spans="4:5" s="15" customFormat="1">
      <c r="D834" s="81"/>
      <c r="E834" s="81"/>
    </row>
    <row r="835" spans="4:5" s="15" customFormat="1">
      <c r="D835" s="81"/>
      <c r="E835" s="81"/>
    </row>
    <row r="836" spans="4:5" s="15" customFormat="1">
      <c r="D836" s="81"/>
      <c r="E836" s="81"/>
    </row>
    <row r="837" spans="4:5" s="15" customFormat="1">
      <c r="D837" s="81"/>
      <c r="E837" s="81"/>
    </row>
    <row r="838" spans="4:5" s="15" customFormat="1">
      <c r="D838" s="81"/>
      <c r="E838" s="81"/>
    </row>
    <row r="839" spans="4:5" s="15" customFormat="1">
      <c r="D839" s="81"/>
      <c r="E839" s="81"/>
    </row>
    <row r="840" spans="4:5" s="15" customFormat="1">
      <c r="D840" s="81"/>
      <c r="E840" s="81"/>
    </row>
    <row r="841" spans="4:5" s="15" customFormat="1">
      <c r="D841" s="81"/>
      <c r="E841" s="81"/>
    </row>
    <row r="842" spans="4:5" s="15" customFormat="1">
      <c r="D842" s="81"/>
      <c r="E842" s="81"/>
    </row>
    <row r="843" spans="4:5" s="15" customFormat="1">
      <c r="D843" s="81"/>
      <c r="E843" s="81"/>
    </row>
    <row r="844" spans="4:5" s="15" customFormat="1">
      <c r="D844" s="81"/>
      <c r="E844" s="81"/>
    </row>
    <row r="845" spans="4:5" s="15" customFormat="1">
      <c r="D845" s="81"/>
      <c r="E845" s="81"/>
    </row>
    <row r="846" spans="4:5" s="15" customFormat="1">
      <c r="D846" s="81"/>
      <c r="E846" s="81"/>
    </row>
    <row r="847" spans="4:5" s="15" customFormat="1">
      <c r="D847" s="81"/>
      <c r="E847" s="81"/>
    </row>
    <row r="848" spans="4:5" s="15" customFormat="1">
      <c r="D848" s="81"/>
      <c r="E848" s="81"/>
    </row>
    <row r="849" spans="4:5" s="15" customFormat="1">
      <c r="D849" s="81"/>
      <c r="E849" s="81"/>
    </row>
    <row r="850" spans="4:5" s="15" customFormat="1">
      <c r="D850" s="81"/>
      <c r="E850" s="81"/>
    </row>
    <row r="851" spans="4:5" s="15" customFormat="1">
      <c r="D851" s="81"/>
      <c r="E851" s="81"/>
    </row>
    <row r="852" spans="4:5" s="15" customFormat="1">
      <c r="D852" s="81"/>
      <c r="E852" s="81"/>
    </row>
    <row r="853" spans="4:5" s="15" customFormat="1">
      <c r="D853" s="81"/>
      <c r="E853" s="81"/>
    </row>
    <row r="854" spans="4:5" s="15" customFormat="1">
      <c r="D854" s="81"/>
      <c r="E854" s="81"/>
    </row>
    <row r="855" spans="4:5" s="15" customFormat="1">
      <c r="D855" s="81"/>
      <c r="E855" s="81"/>
    </row>
    <row r="856" spans="4:5" s="15" customFormat="1">
      <c r="D856" s="81"/>
      <c r="E856" s="81"/>
    </row>
    <row r="857" spans="4:5" s="15" customFormat="1">
      <c r="D857" s="81"/>
      <c r="E857" s="81"/>
    </row>
    <row r="858" spans="4:5" s="15" customFormat="1">
      <c r="D858" s="81"/>
      <c r="E858" s="81"/>
    </row>
    <row r="859" spans="4:5" s="15" customFormat="1">
      <c r="D859" s="81"/>
      <c r="E859" s="81"/>
    </row>
    <row r="860" spans="4:5" s="15" customFormat="1">
      <c r="D860" s="81"/>
      <c r="E860" s="81"/>
    </row>
    <row r="861" spans="4:5" s="15" customFormat="1">
      <c r="D861" s="81"/>
      <c r="E861" s="81"/>
    </row>
    <row r="862" spans="4:5" s="15" customFormat="1">
      <c r="D862" s="81"/>
      <c r="E862" s="81"/>
    </row>
    <row r="863" spans="4:5" s="15" customFormat="1">
      <c r="D863" s="81"/>
      <c r="E863" s="81"/>
    </row>
    <row r="864" spans="4:5" s="15" customFormat="1">
      <c r="D864" s="81"/>
      <c r="E864" s="81"/>
    </row>
    <row r="865" spans="4:5" s="15" customFormat="1">
      <c r="D865" s="81"/>
      <c r="E865" s="81"/>
    </row>
    <row r="866" spans="4:5" s="15" customFormat="1">
      <c r="D866" s="81"/>
      <c r="E866" s="81"/>
    </row>
    <row r="867" spans="4:5" s="15" customFormat="1">
      <c r="D867" s="81"/>
      <c r="E867" s="81"/>
    </row>
    <row r="868" spans="4:5" s="15" customFormat="1">
      <c r="D868" s="81"/>
      <c r="E868" s="81"/>
    </row>
    <row r="869" spans="4:5" s="15" customFormat="1">
      <c r="D869" s="81"/>
      <c r="E869" s="81"/>
    </row>
    <row r="870" spans="4:5" s="15" customFormat="1">
      <c r="D870" s="81"/>
      <c r="E870" s="81"/>
    </row>
    <row r="871" spans="4:5" s="15" customFormat="1">
      <c r="D871" s="81"/>
      <c r="E871" s="81"/>
    </row>
    <row r="872" spans="4:5" s="15" customFormat="1">
      <c r="D872" s="81"/>
      <c r="E872" s="81"/>
    </row>
    <row r="873" spans="4:5" s="15" customFormat="1">
      <c r="D873" s="81"/>
      <c r="E873" s="81"/>
    </row>
    <row r="874" spans="4:5" s="15" customFormat="1">
      <c r="D874" s="81"/>
      <c r="E874" s="81"/>
    </row>
    <row r="875" spans="4:5" s="15" customFormat="1">
      <c r="D875" s="81"/>
      <c r="E875" s="81"/>
    </row>
    <row r="876" spans="4:5" s="15" customFormat="1">
      <c r="D876" s="81"/>
      <c r="E876" s="81"/>
    </row>
    <row r="877" spans="4:5" s="15" customFormat="1">
      <c r="D877" s="81"/>
      <c r="E877" s="81"/>
    </row>
    <row r="878" spans="4:5" s="15" customFormat="1">
      <c r="D878" s="81"/>
      <c r="E878" s="81"/>
    </row>
    <row r="879" spans="4:5" s="15" customFormat="1">
      <c r="D879" s="81"/>
      <c r="E879" s="81"/>
    </row>
    <row r="880" spans="4:5" s="15" customFormat="1">
      <c r="D880" s="81"/>
      <c r="E880" s="81"/>
    </row>
    <row r="881" spans="4:5" s="15" customFormat="1">
      <c r="D881" s="81"/>
      <c r="E881" s="81"/>
    </row>
    <row r="882" spans="4:5" s="15" customFormat="1">
      <c r="D882" s="81"/>
      <c r="E882" s="81"/>
    </row>
    <row r="883" spans="4:5" s="15" customFormat="1">
      <c r="D883" s="81"/>
      <c r="E883" s="81"/>
    </row>
    <row r="884" spans="4:5" s="15" customFormat="1">
      <c r="D884" s="81"/>
      <c r="E884" s="81"/>
    </row>
    <row r="885" spans="4:5" s="15" customFormat="1">
      <c r="D885" s="81"/>
      <c r="E885" s="81"/>
    </row>
    <row r="886" spans="4:5" s="15" customFormat="1">
      <c r="D886" s="81"/>
      <c r="E886" s="81"/>
    </row>
    <row r="887" spans="4:5" s="15" customFormat="1">
      <c r="D887" s="81"/>
      <c r="E887" s="81"/>
    </row>
    <row r="888" spans="4:5" s="15" customFormat="1">
      <c r="D888" s="81"/>
      <c r="E888" s="81"/>
    </row>
    <row r="889" spans="4:5" s="15" customFormat="1">
      <c r="D889" s="81"/>
      <c r="E889" s="81"/>
    </row>
    <row r="890" spans="4:5" s="15" customFormat="1">
      <c r="D890" s="81"/>
      <c r="E890" s="81"/>
    </row>
    <row r="891" spans="4:5" s="15" customFormat="1">
      <c r="D891" s="81"/>
      <c r="E891" s="81"/>
    </row>
    <row r="892" spans="4:5" s="15" customFormat="1">
      <c r="D892" s="81"/>
      <c r="E892" s="81"/>
    </row>
    <row r="893" spans="4:5" s="15" customFormat="1">
      <c r="D893" s="81"/>
      <c r="E893" s="81"/>
    </row>
    <row r="894" spans="4:5" s="15" customFormat="1">
      <c r="D894" s="81"/>
      <c r="E894" s="81"/>
    </row>
    <row r="895" spans="4:5" s="15" customFormat="1">
      <c r="D895" s="81"/>
      <c r="E895" s="81"/>
    </row>
    <row r="896" spans="4:5" s="15" customFormat="1">
      <c r="D896" s="81"/>
      <c r="E896" s="81"/>
    </row>
    <row r="897" spans="4:5" s="15" customFormat="1">
      <c r="D897" s="81"/>
      <c r="E897" s="81"/>
    </row>
    <row r="898" spans="4:5" s="15" customFormat="1">
      <c r="D898" s="81"/>
      <c r="E898" s="81"/>
    </row>
    <row r="899" spans="4:5" s="15" customFormat="1">
      <c r="D899" s="81"/>
      <c r="E899" s="81"/>
    </row>
    <row r="900" spans="4:5" s="15" customFormat="1">
      <c r="D900" s="81"/>
      <c r="E900" s="81"/>
    </row>
    <row r="901" spans="4:5" s="15" customFormat="1">
      <c r="D901" s="81"/>
      <c r="E901" s="81"/>
    </row>
    <row r="902" spans="4:5" s="15" customFormat="1">
      <c r="D902" s="81"/>
      <c r="E902" s="81"/>
    </row>
    <row r="903" spans="4:5" s="15" customFormat="1">
      <c r="D903" s="81"/>
      <c r="E903" s="81"/>
    </row>
    <row r="904" spans="4:5" s="15" customFormat="1">
      <c r="D904" s="81"/>
      <c r="E904" s="81"/>
    </row>
    <row r="905" spans="4:5" s="15" customFormat="1">
      <c r="D905" s="81"/>
      <c r="E905" s="81"/>
    </row>
    <row r="906" spans="4:5" s="15" customFormat="1">
      <c r="D906" s="81"/>
      <c r="E906" s="81"/>
    </row>
    <row r="907" spans="4:5" s="15" customFormat="1">
      <c r="D907" s="81"/>
      <c r="E907" s="81"/>
    </row>
    <row r="908" spans="4:5" s="15" customFormat="1">
      <c r="D908" s="81"/>
      <c r="E908" s="81"/>
    </row>
    <row r="909" spans="4:5" s="15" customFormat="1">
      <c r="D909" s="81"/>
      <c r="E909" s="81"/>
    </row>
    <row r="910" spans="4:5" s="15" customFormat="1">
      <c r="D910" s="81"/>
      <c r="E910" s="81"/>
    </row>
    <row r="911" spans="4:5" s="15" customFormat="1">
      <c r="D911" s="81"/>
      <c r="E911" s="81"/>
    </row>
    <row r="912" spans="4:5" s="15" customFormat="1">
      <c r="D912" s="81"/>
      <c r="E912" s="81"/>
    </row>
    <row r="913" spans="4:5" s="15" customFormat="1">
      <c r="D913" s="81"/>
      <c r="E913" s="81"/>
    </row>
    <row r="914" spans="4:5" s="15" customFormat="1">
      <c r="D914" s="81"/>
      <c r="E914" s="81"/>
    </row>
    <row r="915" spans="4:5" s="15" customFormat="1">
      <c r="D915" s="81"/>
      <c r="E915" s="81"/>
    </row>
    <row r="916" spans="4:5" s="15" customFormat="1">
      <c r="D916" s="81"/>
      <c r="E916" s="81"/>
    </row>
    <row r="917" spans="4:5" s="15" customFormat="1">
      <c r="D917" s="81"/>
      <c r="E917" s="81"/>
    </row>
    <row r="918" spans="4:5" s="15" customFormat="1">
      <c r="D918" s="81"/>
      <c r="E918" s="81"/>
    </row>
    <row r="919" spans="4:5" s="15" customFormat="1">
      <c r="D919" s="81"/>
      <c r="E919" s="81"/>
    </row>
    <row r="920" spans="4:5" s="15" customFormat="1">
      <c r="D920" s="81"/>
      <c r="E920" s="81"/>
    </row>
    <row r="921" spans="4:5" s="15" customFormat="1">
      <c r="D921" s="81"/>
      <c r="E921" s="81"/>
    </row>
    <row r="922" spans="4:5" s="15" customFormat="1">
      <c r="D922" s="81"/>
      <c r="E922" s="81"/>
    </row>
    <row r="923" spans="4:5" s="15" customFormat="1">
      <c r="D923" s="81"/>
      <c r="E923" s="81"/>
    </row>
    <row r="924" spans="4:5" s="15" customFormat="1">
      <c r="D924" s="81"/>
      <c r="E924" s="81"/>
    </row>
    <row r="925" spans="4:5" s="15" customFormat="1">
      <c r="D925" s="81"/>
      <c r="E925" s="81"/>
    </row>
    <row r="926" spans="4:5" s="15" customFormat="1">
      <c r="D926" s="81"/>
      <c r="E926" s="81"/>
    </row>
    <row r="927" spans="4:5" s="15" customFormat="1">
      <c r="D927" s="81"/>
      <c r="E927" s="81"/>
    </row>
    <row r="928" spans="4:5" s="15" customFormat="1">
      <c r="D928" s="81"/>
      <c r="E928" s="81"/>
    </row>
    <row r="929" spans="4:5" s="15" customFormat="1">
      <c r="D929" s="81"/>
      <c r="E929" s="81"/>
    </row>
    <row r="930" spans="4:5" s="15" customFormat="1">
      <c r="D930" s="81"/>
      <c r="E930" s="81"/>
    </row>
    <row r="931" spans="4:5" s="15" customFormat="1">
      <c r="D931" s="81"/>
      <c r="E931" s="81"/>
    </row>
    <row r="932" spans="4:5" s="15" customFormat="1">
      <c r="D932" s="81"/>
      <c r="E932" s="81"/>
    </row>
    <row r="933" spans="4:5" s="15" customFormat="1">
      <c r="D933" s="81"/>
      <c r="E933" s="81"/>
    </row>
    <row r="934" spans="4:5" s="15" customFormat="1">
      <c r="D934" s="81"/>
      <c r="E934" s="81"/>
    </row>
    <row r="935" spans="4:5" s="15" customFormat="1">
      <c r="D935" s="81"/>
      <c r="E935" s="81"/>
    </row>
    <row r="936" spans="4:5" s="15" customFormat="1">
      <c r="D936" s="81"/>
      <c r="E936" s="81"/>
    </row>
    <row r="937" spans="4:5" s="15" customFormat="1">
      <c r="D937" s="81"/>
      <c r="E937" s="81"/>
    </row>
    <row r="938" spans="4:5" s="15" customFormat="1">
      <c r="D938" s="81"/>
      <c r="E938" s="81"/>
    </row>
    <row r="939" spans="4:5" s="15" customFormat="1">
      <c r="D939" s="81"/>
      <c r="E939" s="81"/>
    </row>
    <row r="940" spans="4:5" s="15" customFormat="1">
      <c r="D940" s="81"/>
      <c r="E940" s="81"/>
    </row>
    <row r="941" spans="4:5" s="15" customFormat="1">
      <c r="D941" s="81"/>
      <c r="E941" s="81"/>
    </row>
    <row r="942" spans="4:5" s="15" customFormat="1">
      <c r="D942" s="81"/>
      <c r="E942" s="81"/>
    </row>
    <row r="943" spans="4:5" s="15" customFormat="1">
      <c r="D943" s="81"/>
      <c r="E943" s="81"/>
    </row>
    <row r="944" spans="4:5" s="15" customFormat="1">
      <c r="D944" s="81"/>
      <c r="E944" s="81"/>
    </row>
    <row r="945" spans="4:5" s="15" customFormat="1">
      <c r="D945" s="81"/>
      <c r="E945" s="81"/>
    </row>
    <row r="946" spans="4:5" s="15" customFormat="1">
      <c r="D946" s="81"/>
      <c r="E946" s="81"/>
    </row>
    <row r="947" spans="4:5" s="15" customFormat="1">
      <c r="D947" s="81"/>
      <c r="E947" s="81"/>
    </row>
    <row r="948" spans="4:5" s="15" customFormat="1">
      <c r="D948" s="81"/>
      <c r="E948" s="81"/>
    </row>
    <row r="949" spans="4:5" s="15" customFormat="1">
      <c r="D949" s="81"/>
      <c r="E949" s="81"/>
    </row>
    <row r="950" spans="4:5" s="15" customFormat="1">
      <c r="D950" s="81"/>
      <c r="E950" s="81"/>
    </row>
    <row r="951" spans="4:5" s="15" customFormat="1">
      <c r="D951" s="81"/>
      <c r="E951" s="81"/>
    </row>
    <row r="952" spans="4:5" s="15" customFormat="1">
      <c r="D952" s="81"/>
      <c r="E952" s="81"/>
    </row>
    <row r="953" spans="4:5" s="15" customFormat="1">
      <c r="D953" s="81"/>
      <c r="E953" s="81"/>
    </row>
    <row r="954" spans="4:5" s="15" customFormat="1">
      <c r="D954" s="81"/>
      <c r="E954" s="81"/>
    </row>
    <row r="955" spans="4:5" s="15" customFormat="1">
      <c r="D955" s="81"/>
      <c r="E955" s="81"/>
    </row>
    <row r="956" spans="4:5" s="15" customFormat="1">
      <c r="D956" s="81"/>
      <c r="E956" s="81"/>
    </row>
    <row r="957" spans="4:5" s="15" customFormat="1">
      <c r="D957" s="81"/>
      <c r="E957" s="81"/>
    </row>
    <row r="958" spans="4:5" s="15" customFormat="1">
      <c r="D958" s="81"/>
      <c r="E958" s="81"/>
    </row>
    <row r="959" spans="4:5" s="15" customFormat="1">
      <c r="D959" s="81"/>
      <c r="E959" s="81"/>
    </row>
    <row r="960" spans="4:5" s="15" customFormat="1">
      <c r="D960" s="81"/>
      <c r="E960" s="81"/>
    </row>
    <row r="961" spans="4:5" s="15" customFormat="1">
      <c r="D961" s="81"/>
      <c r="E961" s="81"/>
    </row>
    <row r="962" spans="4:5" s="15" customFormat="1">
      <c r="D962" s="81"/>
      <c r="E962" s="81"/>
    </row>
    <row r="963" spans="4:5" s="15" customFormat="1">
      <c r="D963" s="81"/>
      <c r="E963" s="81"/>
    </row>
    <row r="964" spans="4:5" s="15" customFormat="1">
      <c r="D964" s="81"/>
      <c r="E964" s="81"/>
    </row>
    <row r="965" spans="4:5" s="15" customFormat="1">
      <c r="D965" s="81"/>
      <c r="E965" s="81"/>
    </row>
    <row r="966" spans="4:5" s="15" customFormat="1">
      <c r="D966" s="81"/>
      <c r="E966" s="81"/>
    </row>
    <row r="967" spans="4:5" s="15" customFormat="1">
      <c r="D967" s="81"/>
      <c r="E967" s="81"/>
    </row>
    <row r="968" spans="4:5" s="15" customFormat="1">
      <c r="D968" s="81"/>
      <c r="E968" s="81"/>
    </row>
    <row r="969" spans="4:5" s="15" customFormat="1">
      <c r="D969" s="81"/>
      <c r="E969" s="81"/>
    </row>
    <row r="970" spans="4:5" s="15" customFormat="1">
      <c r="D970" s="81"/>
      <c r="E970" s="81"/>
    </row>
    <row r="971" spans="4:5" s="15" customFormat="1">
      <c r="D971" s="81"/>
      <c r="E971" s="81"/>
    </row>
    <row r="972" spans="4:5" s="15" customFormat="1">
      <c r="D972" s="81"/>
      <c r="E972" s="81"/>
    </row>
    <row r="973" spans="4:5" s="15" customFormat="1">
      <c r="D973" s="81"/>
      <c r="E973" s="81"/>
    </row>
    <row r="974" spans="4:5" s="15" customFormat="1">
      <c r="D974" s="81"/>
      <c r="E974" s="81"/>
    </row>
    <row r="975" spans="4:5" s="15" customFormat="1">
      <c r="D975" s="81"/>
      <c r="E975" s="81"/>
    </row>
    <row r="976" spans="4:5" s="15" customFormat="1">
      <c r="D976" s="81"/>
      <c r="E976" s="81"/>
    </row>
    <row r="977" spans="4:5" s="15" customFormat="1">
      <c r="D977" s="81"/>
      <c r="E977" s="81"/>
    </row>
    <row r="978" spans="4:5" s="15" customFormat="1">
      <c r="D978" s="81"/>
      <c r="E978" s="81"/>
    </row>
    <row r="979" spans="4:5" s="15" customFormat="1">
      <c r="D979" s="81"/>
      <c r="E979" s="81"/>
    </row>
    <row r="980" spans="4:5" s="15" customFormat="1">
      <c r="D980" s="81"/>
      <c r="E980" s="81"/>
    </row>
    <row r="981" spans="4:5" s="15" customFormat="1">
      <c r="D981" s="81"/>
      <c r="E981" s="81"/>
    </row>
    <row r="982" spans="4:5" s="15" customFormat="1">
      <c r="D982" s="81"/>
      <c r="E982" s="81"/>
    </row>
    <row r="983" spans="4:5" s="15" customFormat="1">
      <c r="D983" s="81"/>
      <c r="E983" s="81"/>
    </row>
    <row r="984" spans="4:5" s="15" customFormat="1">
      <c r="D984" s="81"/>
      <c r="E984" s="81"/>
    </row>
    <row r="985" spans="4:5" s="15" customFormat="1">
      <c r="D985" s="81"/>
      <c r="E985" s="81"/>
    </row>
    <row r="986" spans="4:5" s="15" customFormat="1">
      <c r="D986" s="81"/>
      <c r="E986" s="81"/>
    </row>
    <row r="987" spans="4:5" s="15" customFormat="1">
      <c r="D987" s="81"/>
      <c r="E987" s="81"/>
    </row>
    <row r="988" spans="4:5" s="15" customFormat="1">
      <c r="D988" s="81"/>
      <c r="E988" s="81"/>
    </row>
    <row r="989" spans="4:5" s="15" customFormat="1">
      <c r="D989" s="81"/>
      <c r="E989" s="81"/>
    </row>
    <row r="990" spans="4:5" s="15" customFormat="1">
      <c r="D990" s="81"/>
      <c r="E990" s="81"/>
    </row>
    <row r="991" spans="4:5" s="15" customFormat="1">
      <c r="D991" s="81"/>
      <c r="E991" s="81"/>
    </row>
    <row r="992" spans="4:5" s="15" customFormat="1">
      <c r="D992" s="81"/>
      <c r="E992" s="81"/>
    </row>
    <row r="993" spans="4:5" s="15" customFormat="1">
      <c r="D993" s="81"/>
      <c r="E993" s="81"/>
    </row>
    <row r="994" spans="4:5" s="15" customFormat="1">
      <c r="D994" s="81"/>
      <c r="E994" s="81"/>
    </row>
    <row r="995" spans="4:5" s="15" customFormat="1">
      <c r="D995" s="81"/>
      <c r="E995" s="81"/>
    </row>
    <row r="996" spans="4:5" s="15" customFormat="1">
      <c r="D996" s="81"/>
      <c r="E996" s="81"/>
    </row>
    <row r="997" spans="4:5" s="15" customFormat="1">
      <c r="D997" s="81"/>
      <c r="E997" s="81"/>
    </row>
    <row r="998" spans="4:5" s="15" customFormat="1">
      <c r="D998" s="81"/>
      <c r="E998" s="81"/>
    </row>
    <row r="999" spans="4:5" s="15" customFormat="1">
      <c r="D999" s="81"/>
      <c r="E999" s="81"/>
    </row>
    <row r="1000" spans="4:5" s="15" customFormat="1">
      <c r="D1000" s="81"/>
      <c r="E1000" s="81"/>
    </row>
    <row r="1001" spans="4:5" s="15" customFormat="1">
      <c r="D1001" s="81"/>
      <c r="E1001" s="81"/>
    </row>
    <row r="1002" spans="4:5" s="15" customFormat="1">
      <c r="D1002" s="81"/>
      <c r="E1002" s="81"/>
    </row>
    <row r="1003" spans="4:5" s="15" customFormat="1">
      <c r="D1003" s="81"/>
      <c r="E1003" s="81"/>
    </row>
    <row r="1004" spans="4:5" s="15" customFormat="1">
      <c r="D1004" s="81"/>
      <c r="E1004" s="81"/>
    </row>
    <row r="1005" spans="4:5" s="15" customFormat="1">
      <c r="D1005" s="81"/>
      <c r="E1005" s="81"/>
    </row>
    <row r="1006" spans="4:5" s="15" customFormat="1">
      <c r="D1006" s="81"/>
      <c r="E1006" s="81"/>
    </row>
    <row r="1007" spans="4:5" s="15" customFormat="1">
      <c r="D1007" s="81"/>
      <c r="E1007" s="81"/>
    </row>
    <row r="1008" spans="4:5" s="15" customFormat="1">
      <c r="D1008" s="81"/>
      <c r="E1008" s="81"/>
    </row>
    <row r="1009" spans="4:5" s="15" customFormat="1">
      <c r="D1009" s="81"/>
      <c r="E1009" s="81"/>
    </row>
    <row r="1010" spans="4:5" s="15" customFormat="1">
      <c r="D1010" s="81"/>
      <c r="E1010" s="81"/>
    </row>
    <row r="1011" spans="4:5" s="15" customFormat="1">
      <c r="D1011" s="81"/>
      <c r="E1011" s="81"/>
    </row>
    <row r="1012" spans="4:5" s="15" customFormat="1">
      <c r="D1012" s="81"/>
      <c r="E1012" s="81"/>
    </row>
    <row r="1013" spans="4:5" s="15" customFormat="1">
      <c r="D1013" s="81"/>
      <c r="E1013" s="81"/>
    </row>
    <row r="1014" spans="4:5" s="15" customFormat="1">
      <c r="D1014" s="81"/>
      <c r="E1014" s="81"/>
    </row>
    <row r="1015" spans="4:5" s="15" customFormat="1">
      <c r="D1015" s="81"/>
      <c r="E1015" s="81"/>
    </row>
    <row r="1016" spans="4:5" s="15" customFormat="1">
      <c r="D1016" s="81"/>
      <c r="E1016" s="81"/>
    </row>
    <row r="1017" spans="4:5" s="15" customFormat="1">
      <c r="D1017" s="81"/>
      <c r="E1017" s="81"/>
    </row>
    <row r="1018" spans="4:5" s="15" customFormat="1">
      <c r="D1018" s="81"/>
      <c r="E1018" s="81"/>
    </row>
    <row r="1019" spans="4:5" s="15" customFormat="1">
      <c r="D1019" s="81"/>
      <c r="E1019" s="81"/>
    </row>
    <row r="1020" spans="4:5" s="15" customFormat="1">
      <c r="D1020" s="81"/>
      <c r="E1020" s="81"/>
    </row>
    <row r="1021" spans="4:5" s="15" customFormat="1">
      <c r="D1021" s="81"/>
      <c r="E1021" s="81"/>
    </row>
    <row r="1022" spans="4:5" s="15" customFormat="1">
      <c r="D1022" s="81"/>
      <c r="E1022" s="81"/>
    </row>
    <row r="1023" spans="4:5" s="15" customFormat="1">
      <c r="D1023" s="81"/>
      <c r="E1023" s="81"/>
    </row>
    <row r="1024" spans="4:5" s="15" customFormat="1">
      <c r="D1024" s="81"/>
      <c r="E1024" s="81"/>
    </row>
    <row r="1025" spans="4:5" s="15" customFormat="1">
      <c r="D1025" s="81"/>
      <c r="E1025" s="81"/>
    </row>
    <row r="1026" spans="4:5" s="15" customFormat="1">
      <c r="D1026" s="81"/>
      <c r="E1026" s="81"/>
    </row>
    <row r="1027" spans="4:5" s="15" customFormat="1">
      <c r="D1027" s="81"/>
      <c r="E1027" s="81"/>
    </row>
    <row r="1028" spans="4:5" s="15" customFormat="1">
      <c r="D1028" s="81"/>
      <c r="E1028" s="81"/>
    </row>
    <row r="1029" spans="4:5" s="15" customFormat="1">
      <c r="D1029" s="81"/>
      <c r="E1029" s="81"/>
    </row>
    <row r="1030" spans="4:5" s="15" customFormat="1">
      <c r="D1030" s="81"/>
      <c r="E1030" s="81"/>
    </row>
    <row r="1031" spans="4:5" s="15" customFormat="1">
      <c r="D1031" s="81"/>
      <c r="E1031" s="81"/>
    </row>
    <row r="1032" spans="4:5" s="15" customFormat="1">
      <c r="D1032" s="81"/>
      <c r="E1032" s="81"/>
    </row>
    <row r="1033" spans="4:5" s="15" customFormat="1">
      <c r="D1033" s="81"/>
      <c r="E1033" s="81"/>
    </row>
    <row r="1034" spans="4:5" s="15" customFormat="1">
      <c r="D1034" s="81"/>
      <c r="E1034" s="81"/>
    </row>
    <row r="1035" spans="4:5" s="15" customFormat="1">
      <c r="D1035" s="81"/>
      <c r="E1035" s="81"/>
    </row>
    <row r="1036" spans="4:5" s="15" customFormat="1">
      <c r="D1036" s="81"/>
      <c r="E1036" s="81"/>
    </row>
    <row r="1037" spans="4:5" s="15" customFormat="1">
      <c r="D1037" s="81"/>
      <c r="E1037" s="81"/>
    </row>
    <row r="1038" spans="4:5" s="15" customFormat="1">
      <c r="D1038" s="81"/>
      <c r="E1038" s="81"/>
    </row>
    <row r="1039" spans="4:5" s="15" customFormat="1">
      <c r="D1039" s="81"/>
      <c r="E1039" s="81"/>
    </row>
    <row r="1040" spans="4:5" s="15" customFormat="1">
      <c r="D1040" s="81"/>
      <c r="E1040" s="81"/>
    </row>
    <row r="1041" spans="4:5" s="15" customFormat="1">
      <c r="D1041" s="81"/>
      <c r="E1041" s="81"/>
    </row>
    <row r="1042" spans="4:5" s="15" customFormat="1">
      <c r="D1042" s="81"/>
      <c r="E1042" s="81"/>
    </row>
    <row r="1043" spans="4:5" s="15" customFormat="1">
      <c r="D1043" s="81"/>
      <c r="E1043" s="81"/>
    </row>
    <row r="1044" spans="4:5" s="15" customFormat="1">
      <c r="D1044" s="81"/>
      <c r="E1044" s="81"/>
    </row>
    <row r="1045" spans="4:5" s="15" customFormat="1">
      <c r="D1045" s="81"/>
      <c r="E1045" s="81"/>
    </row>
    <row r="1046" spans="4:5" s="15" customFormat="1">
      <c r="D1046" s="81"/>
      <c r="E1046" s="81"/>
    </row>
    <row r="1047" spans="4:5" s="15" customFormat="1">
      <c r="D1047" s="81"/>
      <c r="E1047" s="81"/>
    </row>
    <row r="1048" spans="4:5" s="15" customFormat="1">
      <c r="D1048" s="81"/>
      <c r="E1048" s="81"/>
    </row>
    <row r="1049" spans="4:5" s="15" customFormat="1">
      <c r="D1049" s="81"/>
      <c r="E1049" s="81"/>
    </row>
    <row r="1050" spans="4:5" s="15" customFormat="1">
      <c r="D1050" s="81"/>
      <c r="E1050" s="81"/>
    </row>
    <row r="1051" spans="4:5" s="15" customFormat="1">
      <c r="D1051" s="81"/>
      <c r="E1051" s="81"/>
    </row>
    <row r="1052" spans="4:5" s="15" customFormat="1">
      <c r="D1052" s="81"/>
      <c r="E1052" s="81"/>
    </row>
    <row r="1053" spans="4:5" s="15" customFormat="1">
      <c r="D1053" s="81"/>
      <c r="E1053" s="81"/>
    </row>
    <row r="1054" spans="4:5" s="15" customFormat="1">
      <c r="D1054" s="81"/>
      <c r="E1054" s="81"/>
    </row>
    <row r="1055" spans="4:5" s="15" customFormat="1">
      <c r="D1055" s="81"/>
      <c r="E1055" s="81"/>
    </row>
    <row r="1056" spans="4:5" s="15" customFormat="1">
      <c r="D1056" s="81"/>
      <c r="E1056" s="81"/>
    </row>
    <row r="1057" spans="4:5" s="15" customFormat="1">
      <c r="D1057" s="81"/>
      <c r="E1057" s="81"/>
    </row>
    <row r="1058" spans="4:5" s="15" customFormat="1">
      <c r="D1058" s="81"/>
      <c r="E1058" s="81"/>
    </row>
    <row r="1059" spans="4:5" s="15" customFormat="1">
      <c r="D1059" s="81"/>
      <c r="E1059" s="81"/>
    </row>
    <row r="1060" spans="4:5" s="15" customFormat="1">
      <c r="D1060" s="81"/>
      <c r="E1060" s="81"/>
    </row>
    <row r="1061" spans="4:5" s="15" customFormat="1">
      <c r="D1061" s="81"/>
      <c r="E1061" s="81"/>
    </row>
    <row r="1062" spans="4:5" s="15" customFormat="1">
      <c r="D1062" s="81"/>
      <c r="E1062" s="81"/>
    </row>
    <row r="1063" spans="4:5" s="15" customFormat="1">
      <c r="D1063" s="81"/>
      <c r="E1063" s="81"/>
    </row>
    <row r="1064" spans="4:5" s="15" customFormat="1">
      <c r="D1064" s="81"/>
      <c r="E1064" s="81"/>
    </row>
    <row r="1065" spans="4:5" s="15" customFormat="1">
      <c r="D1065" s="81"/>
      <c r="E1065" s="81"/>
    </row>
    <row r="1066" spans="4:5" s="15" customFormat="1">
      <c r="D1066" s="81"/>
      <c r="E1066" s="81"/>
    </row>
    <row r="1067" spans="4:5" s="15" customFormat="1">
      <c r="D1067" s="81"/>
      <c r="E1067" s="81"/>
    </row>
    <row r="1068" spans="4:5" s="15" customFormat="1">
      <c r="D1068" s="81"/>
      <c r="E1068" s="81"/>
    </row>
    <row r="1069" spans="4:5" s="15" customFormat="1">
      <c r="D1069" s="81"/>
      <c r="E1069" s="81"/>
    </row>
    <row r="1070" spans="4:5" s="15" customFormat="1">
      <c r="D1070" s="81"/>
      <c r="E1070" s="81"/>
    </row>
    <row r="1071" spans="4:5" s="15" customFormat="1">
      <c r="D1071" s="81"/>
      <c r="E1071" s="81"/>
    </row>
    <row r="1072" spans="4:5" s="15" customFormat="1">
      <c r="D1072" s="81"/>
      <c r="E1072" s="81"/>
    </row>
    <row r="1073" spans="4:5" s="15" customFormat="1">
      <c r="D1073" s="81"/>
      <c r="E1073" s="81"/>
    </row>
    <row r="1074" spans="4:5" s="15" customFormat="1">
      <c r="D1074" s="81"/>
      <c r="E1074" s="81"/>
    </row>
    <row r="1075" spans="4:5" s="15" customFormat="1">
      <c r="D1075" s="81"/>
      <c r="E1075" s="81"/>
    </row>
    <row r="1076" spans="4:5" s="15" customFormat="1">
      <c r="D1076" s="81"/>
      <c r="E1076" s="81"/>
    </row>
    <row r="1077" spans="4:5" s="15" customFormat="1">
      <c r="D1077" s="81"/>
      <c r="E1077" s="81"/>
    </row>
    <row r="1078" spans="4:5" s="15" customFormat="1">
      <c r="D1078" s="81"/>
      <c r="E1078" s="81"/>
    </row>
    <row r="1079" spans="4:5" s="15" customFormat="1">
      <c r="D1079" s="81"/>
      <c r="E1079" s="81"/>
    </row>
    <row r="1080" spans="4:5" s="15" customFormat="1">
      <c r="D1080" s="81"/>
      <c r="E1080" s="81"/>
    </row>
    <row r="1081" spans="4:5" s="15" customFormat="1">
      <c r="D1081" s="81"/>
      <c r="E1081" s="81"/>
    </row>
    <row r="1082" spans="4:5" s="15" customFormat="1">
      <c r="D1082" s="81"/>
      <c r="E1082" s="81"/>
    </row>
    <row r="1083" spans="4:5" s="15" customFormat="1">
      <c r="D1083" s="81"/>
      <c r="E1083" s="81"/>
    </row>
    <row r="1084" spans="4:5" s="15" customFormat="1">
      <c r="D1084" s="81"/>
      <c r="E1084" s="81"/>
    </row>
    <row r="1085" spans="4:5" s="15" customFormat="1">
      <c r="D1085" s="81"/>
      <c r="E1085" s="81"/>
    </row>
    <row r="1086" spans="4:5" s="15" customFormat="1">
      <c r="D1086" s="81"/>
      <c r="E1086" s="81"/>
    </row>
    <row r="1087" spans="4:5" s="15" customFormat="1">
      <c r="D1087" s="81"/>
      <c r="E1087" s="81"/>
    </row>
    <row r="1088" spans="4:5" s="15" customFormat="1">
      <c r="D1088" s="81"/>
      <c r="E1088" s="81"/>
    </row>
    <row r="1089" spans="4:5" s="15" customFormat="1">
      <c r="D1089" s="81"/>
      <c r="E1089" s="81"/>
    </row>
    <row r="1090" spans="4:5" s="15" customFormat="1">
      <c r="D1090" s="81"/>
      <c r="E1090" s="81"/>
    </row>
    <row r="1091" spans="4:5" s="15" customFormat="1">
      <c r="D1091" s="81"/>
      <c r="E1091" s="81"/>
    </row>
    <row r="1092" spans="4:5" s="15" customFormat="1">
      <c r="D1092" s="81"/>
      <c r="E1092" s="81"/>
    </row>
    <row r="1093" spans="4:5" s="15" customFormat="1">
      <c r="D1093" s="81"/>
      <c r="E1093" s="81"/>
    </row>
    <row r="1094" spans="4:5" s="15" customFormat="1">
      <c r="D1094" s="81"/>
      <c r="E1094" s="81"/>
    </row>
    <row r="1095" spans="4:5" s="15" customFormat="1">
      <c r="D1095" s="81"/>
      <c r="E1095" s="81"/>
    </row>
    <row r="1096" spans="4:5" s="15" customFormat="1">
      <c r="D1096" s="81"/>
      <c r="E1096" s="81"/>
    </row>
    <row r="1097" spans="4:5" s="15" customFormat="1">
      <c r="D1097" s="81"/>
      <c r="E1097" s="81"/>
    </row>
    <row r="1098" spans="4:5" s="15" customFormat="1">
      <c r="D1098" s="81"/>
      <c r="E1098" s="81"/>
    </row>
    <row r="1099" spans="4:5" s="15" customFormat="1">
      <c r="D1099" s="81"/>
      <c r="E1099" s="81"/>
    </row>
    <row r="1100" spans="4:5" s="15" customFormat="1">
      <c r="D1100" s="81"/>
      <c r="E1100" s="81"/>
    </row>
    <row r="1101" spans="4:5" s="15" customFormat="1">
      <c r="D1101" s="81"/>
      <c r="E1101" s="81"/>
    </row>
    <row r="1102" spans="4:5" s="15" customFormat="1">
      <c r="D1102" s="81"/>
      <c r="E1102" s="81"/>
    </row>
    <row r="1103" spans="4:5" s="15" customFormat="1">
      <c r="D1103" s="81"/>
      <c r="E1103" s="81"/>
    </row>
    <row r="1104" spans="4:5" s="15" customFormat="1">
      <c r="D1104" s="81"/>
      <c r="E1104" s="81"/>
    </row>
    <row r="1105" spans="4:5" s="15" customFormat="1">
      <c r="D1105" s="81"/>
      <c r="E1105" s="81"/>
    </row>
    <row r="1106" spans="4:5" s="15" customFormat="1">
      <c r="D1106" s="81"/>
      <c r="E1106" s="81"/>
    </row>
    <row r="1107" spans="4:5" s="15" customFormat="1">
      <c r="D1107" s="81"/>
      <c r="E1107" s="81"/>
    </row>
    <row r="1108" spans="4:5" s="15" customFormat="1">
      <c r="D1108" s="81"/>
      <c r="E1108" s="81"/>
    </row>
    <row r="1109" spans="4:5" s="15" customFormat="1">
      <c r="D1109" s="81"/>
      <c r="E1109" s="81"/>
    </row>
    <row r="1110" spans="4:5" s="15" customFormat="1">
      <c r="D1110" s="81"/>
      <c r="E1110" s="81"/>
    </row>
    <row r="1111" spans="4:5" s="15" customFormat="1">
      <c r="D1111" s="81"/>
      <c r="E1111" s="81"/>
    </row>
    <row r="1112" spans="4:5" s="15" customFormat="1">
      <c r="D1112" s="81"/>
      <c r="E1112" s="81"/>
    </row>
    <row r="1113" spans="4:5" s="15" customFormat="1">
      <c r="D1113" s="81"/>
      <c r="E1113" s="81"/>
    </row>
    <row r="1114" spans="4:5" s="15" customFormat="1">
      <c r="D1114" s="81"/>
      <c r="E1114" s="81"/>
    </row>
    <row r="1115" spans="4:5" s="15" customFormat="1">
      <c r="D1115" s="81"/>
      <c r="E1115" s="81"/>
    </row>
    <row r="1116" spans="4:5" s="15" customFormat="1">
      <c r="D1116" s="81"/>
      <c r="E1116" s="81"/>
    </row>
    <row r="1117" spans="4:5" s="15" customFormat="1">
      <c r="D1117" s="81"/>
      <c r="E1117" s="81"/>
    </row>
    <row r="1118" spans="4:5" s="15" customFormat="1">
      <c r="D1118" s="81"/>
      <c r="E1118" s="81"/>
    </row>
    <row r="1119" spans="4:5" s="15" customFormat="1">
      <c r="D1119" s="81"/>
      <c r="E1119" s="81"/>
    </row>
    <row r="1120" spans="4:5" s="15" customFormat="1">
      <c r="D1120" s="81"/>
      <c r="E1120" s="81"/>
    </row>
    <row r="1121" spans="4:5" s="15" customFormat="1">
      <c r="D1121" s="81"/>
      <c r="E1121" s="81"/>
    </row>
    <row r="1122" spans="4:5" s="15" customFormat="1">
      <c r="D1122" s="81"/>
      <c r="E1122" s="81"/>
    </row>
    <row r="1123" spans="4:5" s="15" customFormat="1">
      <c r="D1123" s="81"/>
      <c r="E1123" s="81"/>
    </row>
    <row r="1124" spans="4:5" s="15" customFormat="1">
      <c r="D1124" s="81"/>
      <c r="E1124" s="81"/>
    </row>
    <row r="1125" spans="4:5" s="15" customFormat="1">
      <c r="D1125" s="81"/>
      <c r="E1125" s="81"/>
    </row>
    <row r="1126" spans="4:5" s="15" customFormat="1">
      <c r="D1126" s="81"/>
      <c r="E1126" s="81"/>
    </row>
    <row r="1127" spans="4:5" s="15" customFormat="1">
      <c r="D1127" s="81"/>
      <c r="E1127" s="81"/>
    </row>
    <row r="1128" spans="4:5" s="15" customFormat="1">
      <c r="D1128" s="81"/>
      <c r="E1128" s="81"/>
    </row>
    <row r="1129" spans="4:5" s="15" customFormat="1">
      <c r="D1129" s="81"/>
      <c r="E1129" s="81"/>
    </row>
    <row r="1130" spans="4:5" s="15" customFormat="1">
      <c r="D1130" s="81"/>
      <c r="E1130" s="81"/>
    </row>
    <row r="1131" spans="4:5" s="15" customFormat="1">
      <c r="D1131" s="81"/>
      <c r="E1131" s="81"/>
    </row>
    <row r="1132" spans="4:5" s="15" customFormat="1">
      <c r="D1132" s="81"/>
      <c r="E1132" s="81"/>
    </row>
    <row r="1133" spans="4:5" s="15" customFormat="1">
      <c r="D1133" s="81"/>
      <c r="E1133" s="81"/>
    </row>
    <row r="1134" spans="4:5" s="15" customFormat="1">
      <c r="D1134" s="81"/>
      <c r="E1134" s="81"/>
    </row>
    <row r="1135" spans="4:5" s="15" customFormat="1">
      <c r="D1135" s="81"/>
      <c r="E1135" s="81"/>
    </row>
    <row r="1136" spans="4:5" s="15" customFormat="1">
      <c r="D1136" s="81"/>
      <c r="E1136" s="81"/>
    </row>
    <row r="1137" spans="4:5" s="15" customFormat="1">
      <c r="D1137" s="81"/>
      <c r="E1137" s="81"/>
    </row>
    <row r="1138" spans="4:5" s="15" customFormat="1">
      <c r="D1138" s="81"/>
      <c r="E1138" s="81"/>
    </row>
    <row r="1139" spans="4:5" s="15" customFormat="1">
      <c r="D1139" s="81"/>
      <c r="E1139" s="81"/>
    </row>
    <row r="1140" spans="4:5" s="15" customFormat="1">
      <c r="D1140" s="81"/>
      <c r="E1140" s="81"/>
    </row>
    <row r="1141" spans="4:5" s="15" customFormat="1">
      <c r="D1141" s="81"/>
      <c r="E1141" s="81"/>
    </row>
    <row r="1142" spans="4:5" s="15" customFormat="1">
      <c r="D1142" s="81"/>
      <c r="E1142" s="81"/>
    </row>
    <row r="1143" spans="4:5" s="15" customFormat="1">
      <c r="D1143" s="81"/>
      <c r="E1143" s="81"/>
    </row>
    <row r="1144" spans="4:5" s="15" customFormat="1">
      <c r="D1144" s="81"/>
      <c r="E1144" s="81"/>
    </row>
    <row r="1145" spans="4:5" s="15" customFormat="1">
      <c r="D1145" s="81"/>
      <c r="E1145" s="81"/>
    </row>
    <row r="1146" spans="4:5" s="15" customFormat="1">
      <c r="D1146" s="81"/>
      <c r="E1146" s="81"/>
    </row>
    <row r="1147" spans="4:5" s="15" customFormat="1">
      <c r="D1147" s="81"/>
      <c r="E1147" s="81"/>
    </row>
    <row r="1148" spans="4:5" s="15" customFormat="1">
      <c r="D1148" s="81"/>
      <c r="E1148" s="81"/>
    </row>
    <row r="1149" spans="4:5" s="15" customFormat="1">
      <c r="D1149" s="81"/>
      <c r="E1149" s="81"/>
    </row>
    <row r="1150" spans="4:5" s="15" customFormat="1">
      <c r="D1150" s="81"/>
      <c r="E1150" s="81"/>
    </row>
    <row r="1151" spans="4:5" s="15" customFormat="1">
      <c r="D1151" s="81"/>
      <c r="E1151" s="81"/>
    </row>
    <row r="1152" spans="4:5" s="15" customFormat="1">
      <c r="D1152" s="81"/>
      <c r="E1152" s="81"/>
    </row>
    <row r="1153" spans="4:5" s="15" customFormat="1">
      <c r="D1153" s="81"/>
      <c r="E1153" s="81"/>
    </row>
    <row r="1154" spans="4:5" s="15" customFormat="1">
      <c r="D1154" s="81"/>
      <c r="E1154" s="81"/>
    </row>
    <row r="1155" spans="4:5" s="15" customFormat="1">
      <c r="D1155" s="81"/>
      <c r="E1155" s="81"/>
    </row>
    <row r="1156" spans="4:5" s="15" customFormat="1">
      <c r="D1156" s="81"/>
      <c r="E1156" s="81"/>
    </row>
    <row r="1157" spans="4:5" s="15" customFormat="1">
      <c r="D1157" s="81"/>
      <c r="E1157" s="81"/>
    </row>
    <row r="1158" spans="4:5" s="15" customFormat="1">
      <c r="D1158" s="81"/>
      <c r="E1158" s="81"/>
    </row>
    <row r="1159" spans="4:5" s="15" customFormat="1">
      <c r="D1159" s="81"/>
      <c r="E1159" s="81"/>
    </row>
    <row r="1160" spans="4:5" s="15" customFormat="1">
      <c r="D1160" s="81"/>
      <c r="E1160" s="81"/>
    </row>
    <row r="1161" spans="4:5" s="15" customFormat="1">
      <c r="D1161" s="81"/>
      <c r="E1161" s="81"/>
    </row>
    <row r="1162" spans="4:5" s="15" customFormat="1">
      <c r="D1162" s="81"/>
      <c r="E1162" s="81"/>
    </row>
    <row r="1163" spans="4:5" s="15" customFormat="1">
      <c r="D1163" s="81"/>
      <c r="E1163" s="81"/>
    </row>
    <row r="1164" spans="4:5" s="15" customFormat="1">
      <c r="D1164" s="81"/>
      <c r="E1164" s="81"/>
    </row>
    <row r="1165" spans="4:5" s="15" customFormat="1">
      <c r="D1165" s="81"/>
      <c r="E1165" s="81"/>
    </row>
    <row r="1166" spans="4:5" s="15" customFormat="1">
      <c r="D1166" s="81"/>
      <c r="E1166" s="81"/>
    </row>
    <row r="1167" spans="4:5" s="15" customFormat="1">
      <c r="D1167" s="81"/>
      <c r="E1167" s="81"/>
    </row>
    <row r="1168" spans="4:5" s="15" customFormat="1">
      <c r="D1168" s="81"/>
      <c r="E1168" s="81"/>
    </row>
    <row r="1169" spans="4:5" s="15" customFormat="1">
      <c r="D1169" s="81"/>
      <c r="E1169" s="81"/>
    </row>
    <row r="1170" spans="4:5" s="15" customFormat="1">
      <c r="D1170" s="81"/>
      <c r="E1170" s="81"/>
    </row>
    <row r="1171" spans="4:5" s="15" customFormat="1">
      <c r="D1171" s="81"/>
      <c r="E1171" s="81"/>
    </row>
    <row r="1172" spans="4:5" s="15" customFormat="1">
      <c r="D1172" s="81"/>
      <c r="E1172" s="81"/>
    </row>
    <row r="1173" spans="4:5" s="15" customFormat="1">
      <c r="D1173" s="81"/>
      <c r="E1173" s="81"/>
    </row>
    <row r="1174" spans="4:5" s="15" customFormat="1">
      <c r="D1174" s="81"/>
      <c r="E1174" s="81"/>
    </row>
    <row r="1175" spans="4:5" s="15" customFormat="1">
      <c r="D1175" s="81"/>
      <c r="E1175" s="81"/>
    </row>
    <row r="1176" spans="4:5" s="15" customFormat="1">
      <c r="D1176" s="81"/>
      <c r="E1176" s="81"/>
    </row>
    <row r="1177" spans="4:5" s="15" customFormat="1">
      <c r="D1177" s="81"/>
      <c r="E1177" s="81"/>
    </row>
    <row r="1178" spans="4:5" s="15" customFormat="1">
      <c r="D1178" s="81"/>
      <c r="E1178" s="81"/>
    </row>
    <row r="1179" spans="4:5" s="15" customFormat="1">
      <c r="D1179" s="81"/>
      <c r="E1179" s="81"/>
    </row>
    <row r="1180" spans="4:5" s="15" customFormat="1">
      <c r="D1180" s="81"/>
      <c r="E1180" s="81"/>
    </row>
    <row r="1181" spans="4:5" s="15" customFormat="1">
      <c r="D1181" s="81"/>
      <c r="E1181" s="81"/>
    </row>
    <row r="1182" spans="4:5" s="15" customFormat="1">
      <c r="D1182" s="81"/>
      <c r="E1182" s="81"/>
    </row>
    <row r="1183" spans="4:5" s="15" customFormat="1">
      <c r="D1183" s="81"/>
      <c r="E1183" s="81"/>
    </row>
    <row r="1184" spans="4:5" s="15" customFormat="1">
      <c r="D1184" s="81"/>
      <c r="E1184" s="81"/>
    </row>
    <row r="1185" spans="4:5" s="15" customFormat="1">
      <c r="D1185" s="81"/>
      <c r="E1185" s="81"/>
    </row>
    <row r="1186" spans="4:5" s="15" customFormat="1">
      <c r="D1186" s="81"/>
      <c r="E1186" s="81"/>
    </row>
    <row r="1187" spans="4:5" s="15" customFormat="1">
      <c r="D1187" s="81"/>
      <c r="E1187" s="81"/>
    </row>
    <row r="1188" spans="4:5" s="15" customFormat="1">
      <c r="D1188" s="81"/>
      <c r="E1188" s="81"/>
    </row>
    <row r="1189" spans="4:5" s="15" customFormat="1">
      <c r="D1189" s="81"/>
      <c r="E1189" s="81"/>
    </row>
    <row r="1190" spans="4:5" s="15" customFormat="1">
      <c r="D1190" s="81"/>
      <c r="E1190" s="81"/>
    </row>
    <row r="1191" spans="4:5" s="15" customFormat="1">
      <c r="D1191" s="81"/>
      <c r="E1191" s="81"/>
    </row>
    <row r="1192" spans="4:5" s="15" customFormat="1">
      <c r="D1192" s="81"/>
      <c r="E1192" s="81"/>
    </row>
    <row r="1193" spans="4:5" s="15" customFormat="1">
      <c r="D1193" s="81"/>
      <c r="E1193" s="81"/>
    </row>
    <row r="1194" spans="4:5" s="15" customFormat="1">
      <c r="D1194" s="81"/>
      <c r="E1194" s="81"/>
    </row>
    <row r="1195" spans="4:5" s="15" customFormat="1">
      <c r="D1195" s="81"/>
      <c r="E1195" s="81"/>
    </row>
    <row r="1196" spans="4:5" s="15" customFormat="1">
      <c r="D1196" s="81"/>
      <c r="E1196" s="81"/>
    </row>
    <row r="1197" spans="4:5" s="15" customFormat="1">
      <c r="D1197" s="81"/>
      <c r="E1197" s="81"/>
    </row>
    <row r="1198" spans="4:5" s="15" customFormat="1">
      <c r="D1198" s="81"/>
      <c r="E1198" s="81"/>
    </row>
    <row r="1199" spans="4:5" s="15" customFormat="1">
      <c r="D1199" s="81"/>
      <c r="E1199" s="81"/>
    </row>
    <row r="1200" spans="4:5" s="15" customFormat="1">
      <c r="D1200" s="81"/>
      <c r="E1200" s="81"/>
    </row>
    <row r="1201" spans="4:5" s="15" customFormat="1">
      <c r="D1201" s="81"/>
      <c r="E1201" s="81"/>
    </row>
    <row r="1202" spans="4:5" s="15" customFormat="1">
      <c r="D1202" s="81"/>
      <c r="E1202" s="81"/>
    </row>
    <row r="1203" spans="4:5" s="15" customFormat="1">
      <c r="D1203" s="81"/>
      <c r="E1203" s="81"/>
    </row>
    <row r="1204" spans="4:5" s="15" customFormat="1">
      <c r="D1204" s="81"/>
      <c r="E1204" s="81"/>
    </row>
    <row r="1205" spans="4:5" s="15" customFormat="1">
      <c r="D1205" s="81"/>
      <c r="E1205" s="81"/>
    </row>
    <row r="1206" spans="4:5" s="15" customFormat="1">
      <c r="D1206" s="81"/>
      <c r="E1206" s="81"/>
    </row>
    <row r="1207" spans="4:5" s="15" customFormat="1">
      <c r="D1207" s="81"/>
      <c r="E1207" s="81"/>
    </row>
    <row r="1208" spans="4:5" s="15" customFormat="1">
      <c r="D1208" s="81"/>
      <c r="E1208" s="81"/>
    </row>
    <row r="1209" spans="4:5" s="15" customFormat="1">
      <c r="D1209" s="81"/>
      <c r="E1209" s="81"/>
    </row>
    <row r="1210" spans="4:5" s="15" customFormat="1">
      <c r="D1210" s="81"/>
      <c r="E1210" s="81"/>
    </row>
    <row r="1211" spans="4:5" s="15" customFormat="1">
      <c r="D1211" s="81"/>
      <c r="E1211" s="81"/>
    </row>
    <row r="1212" spans="4:5" s="15" customFormat="1">
      <c r="D1212" s="81"/>
      <c r="E1212" s="81"/>
    </row>
    <row r="1213" spans="4:5" s="15" customFormat="1">
      <c r="D1213" s="81"/>
      <c r="E1213" s="81"/>
    </row>
    <row r="1214" spans="4:5" s="15" customFormat="1">
      <c r="D1214" s="81"/>
      <c r="E1214" s="81"/>
    </row>
    <row r="1215" spans="4:5" s="15" customFormat="1">
      <c r="D1215" s="81"/>
      <c r="E1215" s="81"/>
    </row>
    <row r="1216" spans="4:5" s="15" customFormat="1">
      <c r="D1216" s="81"/>
      <c r="E1216" s="81"/>
    </row>
    <row r="1217" spans="4:5" s="15" customFormat="1">
      <c r="D1217" s="81"/>
      <c r="E1217" s="81"/>
    </row>
    <row r="1218" spans="4:5" s="15" customFormat="1">
      <c r="D1218" s="81"/>
      <c r="E1218" s="81"/>
    </row>
    <row r="1219" spans="4:5" s="15" customFormat="1">
      <c r="D1219" s="81"/>
      <c r="E1219" s="81"/>
    </row>
    <row r="1220" spans="4:5" s="15" customFormat="1">
      <c r="D1220" s="81"/>
      <c r="E1220" s="81"/>
    </row>
    <row r="1221" spans="4:5" s="15" customFormat="1">
      <c r="D1221" s="81"/>
      <c r="E1221" s="81"/>
    </row>
    <row r="1222" spans="4:5" s="15" customFormat="1">
      <c r="D1222" s="81"/>
      <c r="E1222" s="81"/>
    </row>
    <row r="1223" spans="4:5" s="15" customFormat="1">
      <c r="D1223" s="81"/>
      <c r="E1223" s="81"/>
    </row>
    <row r="1224" spans="4:5" s="15" customFormat="1">
      <c r="D1224" s="81"/>
      <c r="E1224" s="81"/>
    </row>
    <row r="1225" spans="4:5" s="15" customFormat="1">
      <c r="D1225" s="81"/>
      <c r="E1225" s="81"/>
    </row>
    <row r="1226" spans="4:5" s="15" customFormat="1">
      <c r="D1226" s="81"/>
      <c r="E1226" s="81"/>
    </row>
    <row r="1227" spans="4:5" s="15" customFormat="1">
      <c r="D1227" s="81"/>
      <c r="E1227" s="81"/>
    </row>
    <row r="1228" spans="4:5" s="15" customFormat="1">
      <c r="D1228" s="81"/>
      <c r="E1228" s="81"/>
    </row>
    <row r="1229" spans="4:5" s="15" customFormat="1">
      <c r="D1229" s="81"/>
      <c r="E1229" s="81"/>
    </row>
    <row r="1230" spans="4:5" s="15" customFormat="1">
      <c r="D1230" s="81"/>
      <c r="E1230" s="81"/>
    </row>
    <row r="1231" spans="4:5" s="15" customFormat="1">
      <c r="D1231" s="81"/>
      <c r="E1231" s="81"/>
    </row>
    <row r="1232" spans="4:5" s="15" customFormat="1">
      <c r="D1232" s="81"/>
      <c r="E1232" s="81"/>
    </row>
    <row r="1233" spans="4:5" s="15" customFormat="1">
      <c r="D1233" s="81"/>
      <c r="E1233" s="81"/>
    </row>
    <row r="1234" spans="4:5" s="15" customFormat="1">
      <c r="D1234" s="81"/>
      <c r="E1234" s="81"/>
    </row>
    <row r="1235" spans="4:5" s="15" customFormat="1">
      <c r="D1235" s="81"/>
      <c r="E1235" s="81"/>
    </row>
    <row r="1236" spans="4:5" s="15" customFormat="1">
      <c r="D1236" s="81"/>
      <c r="E1236" s="81"/>
    </row>
    <row r="1237" spans="4:5" s="15" customFormat="1">
      <c r="D1237" s="81"/>
      <c r="E1237" s="81"/>
    </row>
    <row r="1238" spans="4:5" s="15" customFormat="1">
      <c r="D1238" s="81"/>
      <c r="E1238" s="81"/>
    </row>
    <row r="1239" spans="4:5" s="15" customFormat="1">
      <c r="D1239" s="81"/>
      <c r="E1239" s="81"/>
    </row>
    <row r="1240" spans="4:5" s="15" customFormat="1">
      <c r="D1240" s="81"/>
      <c r="E1240" s="81"/>
    </row>
    <row r="1241" spans="4:5" s="15" customFormat="1">
      <c r="D1241" s="81"/>
      <c r="E1241" s="81"/>
    </row>
    <row r="1242" spans="4:5" s="15" customFormat="1">
      <c r="D1242" s="81"/>
      <c r="E1242" s="81"/>
    </row>
    <row r="1243" spans="4:5" s="15" customFormat="1">
      <c r="D1243" s="81"/>
      <c r="E1243" s="81"/>
    </row>
    <row r="1244" spans="4:5" s="15" customFormat="1">
      <c r="D1244" s="81"/>
      <c r="E1244" s="81"/>
    </row>
    <row r="1245" spans="4:5" s="15" customFormat="1">
      <c r="D1245" s="81"/>
      <c r="E1245" s="81"/>
    </row>
    <row r="1246" spans="4:5" s="15" customFormat="1">
      <c r="D1246" s="81"/>
      <c r="E1246" s="81"/>
    </row>
    <row r="1247" spans="4:5" s="15" customFormat="1">
      <c r="D1247" s="81"/>
      <c r="E1247" s="81"/>
    </row>
    <row r="1248" spans="4:5" s="15" customFormat="1">
      <c r="D1248" s="81"/>
      <c r="E1248" s="81"/>
    </row>
    <row r="1249" spans="4:5" s="15" customFormat="1">
      <c r="D1249" s="81"/>
      <c r="E1249" s="81"/>
    </row>
    <row r="1250" spans="4:5" s="15" customFormat="1">
      <c r="D1250" s="81"/>
      <c r="E1250" s="81"/>
    </row>
    <row r="1251" spans="4:5" s="15" customFormat="1">
      <c r="D1251" s="81"/>
      <c r="E1251" s="81"/>
    </row>
    <row r="1252" spans="4:5" s="15" customFormat="1">
      <c r="D1252" s="81"/>
      <c r="E1252" s="81"/>
    </row>
    <row r="1253" spans="4:5" s="15" customFormat="1">
      <c r="D1253" s="81"/>
      <c r="E1253" s="81"/>
    </row>
    <row r="1254" spans="4:5" s="15" customFormat="1">
      <c r="D1254" s="81"/>
      <c r="E1254" s="81"/>
    </row>
    <row r="1255" spans="4:5" s="15" customFormat="1">
      <c r="D1255" s="81"/>
      <c r="E1255" s="81"/>
    </row>
    <row r="1256" spans="4:5" s="15" customFormat="1">
      <c r="D1256" s="81"/>
      <c r="E1256" s="81"/>
    </row>
    <row r="1257" spans="4:5" s="15" customFormat="1">
      <c r="D1257" s="81"/>
      <c r="E1257" s="81"/>
    </row>
    <row r="1258" spans="4:5" s="15" customFormat="1">
      <c r="D1258" s="81"/>
      <c r="E1258" s="81"/>
    </row>
    <row r="1259" spans="4:5" s="15" customFormat="1">
      <c r="D1259" s="81"/>
      <c r="E1259" s="81"/>
    </row>
    <row r="1260" spans="4:5" s="15" customFormat="1">
      <c r="D1260" s="81"/>
      <c r="E1260" s="81"/>
    </row>
    <row r="1261" spans="4:5" s="15" customFormat="1">
      <c r="D1261" s="81"/>
      <c r="E1261" s="81"/>
    </row>
    <row r="1262" spans="4:5" s="15" customFormat="1">
      <c r="D1262" s="81"/>
      <c r="E1262" s="81"/>
    </row>
    <row r="1263" spans="4:5" s="15" customFormat="1">
      <c r="D1263" s="81"/>
      <c r="E1263" s="81"/>
    </row>
    <row r="1264" spans="4:5" s="15" customFormat="1">
      <c r="D1264" s="81"/>
      <c r="E1264" s="81"/>
    </row>
    <row r="1265" spans="4:5" s="15" customFormat="1">
      <c r="D1265" s="81"/>
      <c r="E1265" s="81"/>
    </row>
    <row r="1266" spans="4:5" s="15" customFormat="1">
      <c r="D1266" s="81"/>
      <c r="E1266" s="81"/>
    </row>
    <row r="1267" spans="4:5" s="15" customFormat="1">
      <c r="D1267" s="81"/>
      <c r="E1267" s="81"/>
    </row>
    <row r="1268" spans="4:5" s="15" customFormat="1">
      <c r="D1268" s="81"/>
      <c r="E1268" s="81"/>
    </row>
    <row r="1269" spans="4:5" s="15" customFormat="1">
      <c r="D1269" s="81"/>
      <c r="E1269" s="81"/>
    </row>
    <row r="1270" spans="4:5" s="15" customFormat="1">
      <c r="D1270" s="81"/>
      <c r="E1270" s="81"/>
    </row>
    <row r="1271" spans="4:5" s="15" customFormat="1">
      <c r="D1271" s="81"/>
      <c r="E1271" s="81"/>
    </row>
    <row r="1272" spans="4:5" s="15" customFormat="1">
      <c r="D1272" s="81"/>
      <c r="E1272" s="81"/>
    </row>
    <row r="1273" spans="4:5" s="15" customFormat="1">
      <c r="D1273" s="81"/>
      <c r="E1273" s="81"/>
    </row>
    <row r="1274" spans="4:5" s="15" customFormat="1">
      <c r="D1274" s="81"/>
      <c r="E1274" s="81"/>
    </row>
    <row r="1275" spans="4:5" s="15" customFormat="1">
      <c r="D1275" s="81"/>
      <c r="E1275" s="81"/>
    </row>
    <row r="1276" spans="4:5" s="15" customFormat="1">
      <c r="D1276" s="81"/>
      <c r="E1276" s="81"/>
    </row>
    <row r="1277" spans="4:5" s="15" customFormat="1">
      <c r="D1277" s="81"/>
      <c r="E1277" s="81"/>
    </row>
    <row r="1278" spans="4:5" s="15" customFormat="1">
      <c r="D1278" s="81"/>
      <c r="E1278" s="81"/>
    </row>
    <row r="1279" spans="4:5" s="15" customFormat="1">
      <c r="D1279" s="81"/>
      <c r="E1279" s="81"/>
    </row>
    <row r="1280" spans="4:5" s="15" customFormat="1">
      <c r="D1280" s="81"/>
      <c r="E1280" s="81"/>
    </row>
    <row r="1281" spans="4:5" s="15" customFormat="1">
      <c r="D1281" s="81"/>
      <c r="E1281" s="81"/>
    </row>
    <row r="1282" spans="4:5" s="15" customFormat="1">
      <c r="D1282" s="81"/>
      <c r="E1282" s="81"/>
    </row>
    <row r="1283" spans="4:5" s="15" customFormat="1">
      <c r="D1283" s="81"/>
      <c r="E1283" s="81"/>
    </row>
    <row r="1284" spans="4:5" s="15" customFormat="1">
      <c r="D1284" s="81"/>
      <c r="E1284" s="81"/>
    </row>
    <row r="1285" spans="4:5" s="15" customFormat="1">
      <c r="D1285" s="81"/>
      <c r="E1285" s="81"/>
    </row>
    <row r="1286" spans="4:5" s="15" customFormat="1">
      <c r="D1286" s="81"/>
      <c r="E1286" s="81"/>
    </row>
    <row r="1287" spans="4:5" s="15" customFormat="1">
      <c r="D1287" s="81"/>
      <c r="E1287" s="81"/>
    </row>
    <row r="1288" spans="4:5" s="15" customFormat="1">
      <c r="D1288" s="81"/>
      <c r="E1288" s="81"/>
    </row>
    <row r="1289" spans="4:5" s="15" customFormat="1">
      <c r="D1289" s="81"/>
      <c r="E1289" s="81"/>
    </row>
    <row r="1290" spans="4:5" s="15" customFormat="1">
      <c r="D1290" s="81"/>
      <c r="E1290" s="81"/>
    </row>
    <row r="1291" spans="4:5" s="15" customFormat="1">
      <c r="D1291" s="81"/>
      <c r="E1291" s="81"/>
    </row>
    <row r="1292" spans="4:5" s="15" customFormat="1">
      <c r="D1292" s="81"/>
      <c r="E1292" s="81"/>
    </row>
    <row r="1293" spans="4:5" s="15" customFormat="1">
      <c r="D1293" s="81"/>
      <c r="E1293" s="81"/>
    </row>
    <row r="1294" spans="4:5" s="15" customFormat="1">
      <c r="D1294" s="81"/>
      <c r="E1294" s="81"/>
    </row>
    <row r="1295" spans="4:5" s="15" customFormat="1">
      <c r="D1295" s="81"/>
      <c r="E1295" s="81"/>
    </row>
    <row r="1296" spans="4:5" s="15" customFormat="1">
      <c r="D1296" s="81"/>
      <c r="E1296" s="81"/>
    </row>
    <row r="1297" spans="4:5" s="15" customFormat="1">
      <c r="D1297" s="81"/>
      <c r="E1297" s="81"/>
    </row>
    <row r="1298" spans="4:5" s="15" customFormat="1">
      <c r="D1298" s="81"/>
      <c r="E1298" s="81"/>
    </row>
    <row r="1299" spans="4:5" s="15" customFormat="1">
      <c r="D1299" s="81"/>
      <c r="E1299" s="81"/>
    </row>
    <row r="1300" spans="4:5" s="15" customFormat="1">
      <c r="D1300" s="81"/>
      <c r="E1300" s="81"/>
    </row>
    <row r="1301" spans="4:5" s="15" customFormat="1">
      <c r="D1301" s="81"/>
      <c r="E1301" s="81"/>
    </row>
    <row r="1302" spans="4:5" s="15" customFormat="1">
      <c r="D1302" s="81"/>
      <c r="E1302" s="81"/>
    </row>
    <row r="1303" spans="4:5" s="15" customFormat="1">
      <c r="D1303" s="81"/>
      <c r="E1303" s="81"/>
    </row>
    <row r="1304" spans="4:5" s="15" customFormat="1">
      <c r="D1304" s="81"/>
      <c r="E1304" s="81"/>
    </row>
    <row r="1305" spans="4:5" s="15" customFormat="1">
      <c r="D1305" s="81"/>
      <c r="E1305" s="81"/>
    </row>
    <row r="1306" spans="4:5" s="15" customFormat="1">
      <c r="D1306" s="81"/>
      <c r="E1306" s="81"/>
    </row>
    <row r="1307" spans="4:5" s="15" customFormat="1">
      <c r="D1307" s="81"/>
      <c r="E1307" s="81"/>
    </row>
    <row r="1308" spans="4:5" s="15" customFormat="1">
      <c r="D1308" s="81"/>
      <c r="E1308" s="81"/>
    </row>
    <row r="1309" spans="4:5" s="15" customFormat="1">
      <c r="D1309" s="81"/>
      <c r="E1309" s="81"/>
    </row>
    <row r="1310" spans="4:5" s="15" customFormat="1">
      <c r="D1310" s="81"/>
      <c r="E1310" s="81"/>
    </row>
    <row r="1311" spans="4:5" s="15" customFormat="1">
      <c r="D1311" s="81"/>
      <c r="E1311" s="81"/>
    </row>
    <row r="1312" spans="4:5" s="15" customFormat="1">
      <c r="D1312" s="81"/>
      <c r="E1312" s="81"/>
    </row>
    <row r="1313" spans="4:5" s="15" customFormat="1">
      <c r="D1313" s="81"/>
      <c r="E1313" s="81"/>
    </row>
    <row r="1314" spans="4:5" s="15" customFormat="1">
      <c r="D1314" s="81"/>
      <c r="E1314" s="81"/>
    </row>
    <row r="1315" spans="4:5" s="15" customFormat="1">
      <c r="D1315" s="81"/>
      <c r="E1315" s="81"/>
    </row>
    <row r="1316" spans="4:5" s="15" customFormat="1">
      <c r="D1316" s="81"/>
      <c r="E1316" s="81"/>
    </row>
    <row r="1317" spans="4:5" s="15" customFormat="1">
      <c r="D1317" s="81"/>
      <c r="E1317" s="81"/>
    </row>
    <row r="1318" spans="4:5" s="15" customFormat="1">
      <c r="D1318" s="81"/>
      <c r="E1318" s="81"/>
    </row>
    <row r="1319" spans="4:5" s="15" customFormat="1">
      <c r="D1319" s="81"/>
      <c r="E1319" s="81"/>
    </row>
    <row r="1320" spans="4:5" s="15" customFormat="1">
      <c r="D1320" s="81"/>
      <c r="E1320" s="81"/>
    </row>
    <row r="1321" spans="4:5" s="15" customFormat="1">
      <c r="D1321" s="81"/>
      <c r="E1321" s="81"/>
    </row>
    <row r="1322" spans="4:5" s="15" customFormat="1">
      <c r="D1322" s="81"/>
      <c r="E1322" s="81"/>
    </row>
    <row r="1323" spans="4:5" s="15" customFormat="1">
      <c r="D1323" s="81"/>
      <c r="E1323" s="81"/>
    </row>
    <row r="1324" spans="4:5" s="15" customFormat="1">
      <c r="D1324" s="81"/>
      <c r="E1324" s="81"/>
    </row>
    <row r="1325" spans="4:5" s="15" customFormat="1">
      <c r="D1325" s="81"/>
      <c r="E1325" s="81"/>
    </row>
    <row r="1326" spans="4:5" s="15" customFormat="1">
      <c r="D1326" s="81"/>
      <c r="E1326" s="81"/>
    </row>
    <row r="1327" spans="4:5" s="15" customFormat="1">
      <c r="D1327" s="81"/>
      <c r="E1327" s="81"/>
    </row>
    <row r="1328" spans="4:5" s="15" customFormat="1">
      <c r="D1328" s="81"/>
      <c r="E1328" s="81"/>
    </row>
    <row r="1329" spans="4:5" s="15" customFormat="1">
      <c r="D1329" s="81"/>
      <c r="E1329" s="81"/>
    </row>
    <row r="1330" spans="4:5" s="15" customFormat="1">
      <c r="D1330" s="81"/>
      <c r="E1330" s="81"/>
    </row>
    <row r="1331" spans="4:5" s="15" customFormat="1">
      <c r="D1331" s="81"/>
      <c r="E1331" s="81"/>
    </row>
    <row r="1332" spans="4:5" s="15" customFormat="1">
      <c r="D1332" s="81"/>
      <c r="E1332" s="81"/>
    </row>
    <row r="1333" spans="4:5" s="15" customFormat="1">
      <c r="D1333" s="81"/>
      <c r="E1333" s="81"/>
    </row>
    <row r="1334" spans="4:5" s="15" customFormat="1">
      <c r="D1334" s="81"/>
      <c r="E1334" s="81"/>
    </row>
    <row r="1335" spans="4:5" s="15" customFormat="1">
      <c r="D1335" s="81"/>
      <c r="E1335" s="81"/>
    </row>
    <row r="1336" spans="4:5" s="15" customFormat="1">
      <c r="D1336" s="81"/>
      <c r="E1336" s="81"/>
    </row>
    <row r="1337" spans="4:5" s="15" customFormat="1">
      <c r="D1337" s="81"/>
      <c r="E1337" s="81"/>
    </row>
    <row r="1338" spans="4:5" s="15" customFormat="1">
      <c r="D1338" s="81"/>
      <c r="E1338" s="81"/>
    </row>
    <row r="1339" spans="4:5" s="15" customFormat="1">
      <c r="D1339" s="81"/>
      <c r="E1339" s="81"/>
    </row>
    <row r="1340" spans="4:5" s="15" customFormat="1">
      <c r="D1340" s="81"/>
      <c r="E1340" s="81"/>
    </row>
    <row r="1341" spans="4:5" s="15" customFormat="1">
      <c r="D1341" s="81"/>
      <c r="E1341" s="81"/>
    </row>
    <row r="1342" spans="4:5" s="15" customFormat="1">
      <c r="D1342" s="81"/>
      <c r="E1342" s="81"/>
    </row>
    <row r="1343" spans="4:5" s="15" customFormat="1">
      <c r="D1343" s="81"/>
      <c r="E1343" s="81"/>
    </row>
    <row r="1344" spans="4:5" s="15" customFormat="1">
      <c r="D1344" s="81"/>
      <c r="E1344" s="81"/>
    </row>
    <row r="1345" spans="4:5" s="15" customFormat="1">
      <c r="D1345" s="81"/>
      <c r="E1345" s="81"/>
    </row>
    <row r="1346" spans="4:5" s="15" customFormat="1">
      <c r="D1346" s="81"/>
      <c r="E1346" s="81"/>
    </row>
    <row r="1347" spans="4:5" s="15" customFormat="1">
      <c r="D1347" s="81"/>
      <c r="E1347" s="81"/>
    </row>
    <row r="1348" spans="4:5" s="15" customFormat="1">
      <c r="D1348" s="81"/>
      <c r="E1348" s="81"/>
    </row>
    <row r="1349" spans="4:5" s="15" customFormat="1">
      <c r="D1349" s="81"/>
      <c r="E1349" s="81"/>
    </row>
    <row r="1350" spans="4:5" s="15" customFormat="1">
      <c r="D1350" s="81"/>
      <c r="E1350" s="81"/>
    </row>
    <row r="1351" spans="4:5" s="15" customFormat="1">
      <c r="D1351" s="81"/>
      <c r="E1351" s="81"/>
    </row>
    <row r="1352" spans="4:5" s="15" customFormat="1">
      <c r="D1352" s="81"/>
      <c r="E1352" s="81"/>
    </row>
    <row r="1353" spans="4:5" s="15" customFormat="1">
      <c r="D1353" s="81"/>
      <c r="E1353" s="81"/>
    </row>
    <row r="1354" spans="4:5" s="15" customFormat="1">
      <c r="D1354" s="81"/>
      <c r="E1354" s="81"/>
    </row>
    <row r="1355" spans="4:5" s="15" customFormat="1">
      <c r="D1355" s="81"/>
      <c r="E1355" s="81"/>
    </row>
    <row r="1356" spans="4:5" s="15" customFormat="1">
      <c r="D1356" s="81"/>
      <c r="E1356" s="81"/>
    </row>
    <row r="1357" spans="4:5" s="15" customFormat="1">
      <c r="D1357" s="81"/>
      <c r="E1357" s="81"/>
    </row>
    <row r="1358" spans="4:5" s="15" customFormat="1">
      <c r="D1358" s="81"/>
      <c r="E1358" s="81"/>
    </row>
    <row r="1359" spans="4:5" s="15" customFormat="1">
      <c r="D1359" s="81"/>
      <c r="E1359" s="81"/>
    </row>
    <row r="1360" spans="4:5" s="15" customFormat="1">
      <c r="D1360" s="81"/>
      <c r="E1360" s="81"/>
    </row>
    <row r="1361" spans="4:5" s="15" customFormat="1">
      <c r="D1361" s="81"/>
      <c r="E1361" s="81"/>
    </row>
    <row r="1362" spans="4:5" s="15" customFormat="1">
      <c r="D1362" s="81"/>
      <c r="E1362" s="81"/>
    </row>
    <row r="1363" spans="4:5" s="15" customFormat="1">
      <c r="D1363" s="81"/>
      <c r="E1363" s="81"/>
    </row>
    <row r="1364" spans="4:5" s="15" customFormat="1">
      <c r="D1364" s="81"/>
      <c r="E1364" s="81"/>
    </row>
    <row r="1365" spans="4:5" s="15" customFormat="1">
      <c r="D1365" s="81"/>
      <c r="E1365" s="81"/>
    </row>
    <row r="1366" spans="4:5" s="15" customFormat="1">
      <c r="D1366" s="81"/>
      <c r="E1366" s="81"/>
    </row>
    <row r="1367" spans="4:5" s="15" customFormat="1">
      <c r="D1367" s="81"/>
      <c r="E1367" s="81"/>
    </row>
    <row r="1368" spans="4:5" s="15" customFormat="1">
      <c r="D1368" s="81"/>
      <c r="E1368" s="81"/>
    </row>
    <row r="1369" spans="4:5" s="15" customFormat="1">
      <c r="D1369" s="81"/>
      <c r="E1369" s="81"/>
    </row>
    <row r="1370" spans="4:5" s="15" customFormat="1">
      <c r="D1370" s="81"/>
      <c r="E1370" s="81"/>
    </row>
    <row r="1371" spans="4:5" s="15" customFormat="1">
      <c r="D1371" s="81"/>
      <c r="E1371" s="81"/>
    </row>
    <row r="1372" spans="4:5" s="15" customFormat="1">
      <c r="D1372" s="81"/>
      <c r="E1372" s="81"/>
    </row>
    <row r="1373" spans="4:5" s="15" customFormat="1">
      <c r="D1373" s="81"/>
      <c r="E1373" s="81"/>
    </row>
    <row r="1374" spans="4:5" s="15" customFormat="1">
      <c r="D1374" s="81"/>
      <c r="E1374" s="81"/>
    </row>
    <row r="1375" spans="4:5" s="15" customFormat="1">
      <c r="D1375" s="81"/>
      <c r="E1375" s="81"/>
    </row>
    <row r="1376" spans="4:5" s="15" customFormat="1">
      <c r="D1376" s="81"/>
      <c r="E1376" s="81"/>
    </row>
    <row r="1377" spans="4:5" s="15" customFormat="1">
      <c r="D1377" s="81"/>
      <c r="E1377" s="81"/>
    </row>
    <row r="1378" spans="4:5" s="15" customFormat="1">
      <c r="D1378" s="81"/>
      <c r="E1378" s="81"/>
    </row>
    <row r="1379" spans="4:5" s="15" customFormat="1">
      <c r="D1379" s="81"/>
      <c r="E1379" s="81"/>
    </row>
    <row r="1380" spans="4:5" s="15" customFormat="1">
      <c r="D1380" s="81"/>
      <c r="E1380" s="81"/>
    </row>
    <row r="1381" spans="4:5" s="15" customFormat="1">
      <c r="D1381" s="81"/>
      <c r="E1381" s="81"/>
    </row>
    <row r="1382" spans="4:5" s="15" customFormat="1">
      <c r="D1382" s="81"/>
      <c r="E1382" s="81"/>
    </row>
    <row r="1383" spans="4:5" s="15" customFormat="1">
      <c r="D1383" s="81"/>
      <c r="E1383" s="81"/>
    </row>
    <row r="1384" spans="4:5" s="15" customFormat="1">
      <c r="D1384" s="81"/>
      <c r="E1384" s="81"/>
    </row>
    <row r="1385" spans="4:5" s="15" customFormat="1">
      <c r="D1385" s="81"/>
      <c r="E1385" s="81"/>
    </row>
    <row r="1386" spans="4:5" s="15" customFormat="1">
      <c r="D1386" s="81"/>
      <c r="E1386" s="81"/>
    </row>
    <row r="1387" spans="4:5" s="15" customFormat="1">
      <c r="D1387" s="81"/>
      <c r="E1387" s="81"/>
    </row>
    <row r="1388" spans="4:5" s="15" customFormat="1">
      <c r="D1388" s="81"/>
      <c r="E1388" s="81"/>
    </row>
    <row r="1389" spans="4:5" s="15" customFormat="1">
      <c r="D1389" s="81"/>
      <c r="E1389" s="81"/>
    </row>
    <row r="1390" spans="4:5" s="15" customFormat="1">
      <c r="D1390" s="81"/>
      <c r="E1390" s="81"/>
    </row>
    <row r="1391" spans="4:5" s="15" customFormat="1">
      <c r="D1391" s="81"/>
      <c r="E1391" s="81"/>
    </row>
    <row r="1392" spans="4:5" s="15" customFormat="1">
      <c r="D1392" s="81"/>
      <c r="E1392" s="81"/>
    </row>
    <row r="1393" spans="4:5" s="15" customFormat="1">
      <c r="D1393" s="81"/>
      <c r="E1393" s="81"/>
    </row>
    <row r="1394" spans="4:5" s="15" customFormat="1">
      <c r="D1394" s="81"/>
      <c r="E1394" s="81"/>
    </row>
    <row r="1395" spans="4:5" s="15" customFormat="1">
      <c r="D1395" s="81"/>
      <c r="E1395" s="81"/>
    </row>
    <row r="1396" spans="4:5" s="15" customFormat="1">
      <c r="D1396" s="81"/>
      <c r="E1396" s="81"/>
    </row>
    <row r="1397" spans="4:5" s="15" customFormat="1">
      <c r="D1397" s="81"/>
      <c r="E1397" s="81"/>
    </row>
    <row r="1398" spans="4:5" s="15" customFormat="1">
      <c r="D1398" s="81"/>
      <c r="E1398" s="81"/>
    </row>
    <row r="1399" spans="4:5" s="15" customFormat="1">
      <c r="D1399" s="81"/>
      <c r="E1399" s="81"/>
    </row>
    <row r="1400" spans="4:5" s="15" customFormat="1">
      <c r="D1400" s="81"/>
      <c r="E1400" s="81"/>
    </row>
    <row r="1401" spans="4:5" s="15" customFormat="1">
      <c r="D1401" s="81"/>
      <c r="E1401" s="81"/>
    </row>
    <row r="1402" spans="4:5" s="15" customFormat="1">
      <c r="D1402" s="81"/>
      <c r="E1402" s="81"/>
    </row>
    <row r="1403" spans="4:5" s="15" customFormat="1">
      <c r="D1403" s="81"/>
      <c r="E1403" s="81"/>
    </row>
    <row r="1404" spans="4:5" s="15" customFormat="1">
      <c r="D1404" s="81"/>
      <c r="E1404" s="81"/>
    </row>
    <row r="1405" spans="4:5" s="15" customFormat="1">
      <c r="D1405" s="81"/>
      <c r="E1405" s="81"/>
    </row>
    <row r="1406" spans="4:5" s="15" customFormat="1">
      <c r="D1406" s="81"/>
      <c r="E1406" s="81"/>
    </row>
    <row r="1407" spans="4:5" s="15" customFormat="1">
      <c r="D1407" s="81"/>
      <c r="E1407" s="81"/>
    </row>
    <row r="1408" spans="4:5" s="15" customFormat="1">
      <c r="D1408" s="81"/>
      <c r="E1408" s="81"/>
    </row>
    <row r="1409" spans="4:5" s="15" customFormat="1">
      <c r="D1409" s="81"/>
      <c r="E1409" s="81"/>
    </row>
    <row r="1410" spans="4:5" s="15" customFormat="1">
      <c r="D1410" s="81"/>
      <c r="E1410" s="81"/>
    </row>
    <row r="1411" spans="4:5" s="15" customFormat="1">
      <c r="D1411" s="81"/>
      <c r="E1411" s="81"/>
    </row>
    <row r="1412" spans="4:5" s="15" customFormat="1">
      <c r="D1412" s="81"/>
      <c r="E1412" s="81"/>
    </row>
    <row r="1413" spans="4:5" s="15" customFormat="1">
      <c r="D1413" s="81"/>
      <c r="E1413" s="81"/>
    </row>
    <row r="1414" spans="4:5" s="15" customFormat="1">
      <c r="D1414" s="81"/>
      <c r="E1414" s="81"/>
    </row>
    <row r="1415" spans="4:5" s="15" customFormat="1">
      <c r="D1415" s="81"/>
      <c r="E1415" s="81"/>
    </row>
    <row r="1416" spans="4:5" s="15" customFormat="1">
      <c r="D1416" s="81"/>
      <c r="E1416" s="81"/>
    </row>
    <row r="1417" spans="4:5" s="15" customFormat="1">
      <c r="D1417" s="81"/>
      <c r="E1417" s="81"/>
    </row>
    <row r="1418" spans="4:5" s="15" customFormat="1">
      <c r="D1418" s="81"/>
      <c r="E1418" s="81"/>
    </row>
    <row r="1419" spans="4:5" s="15" customFormat="1">
      <c r="D1419" s="81"/>
      <c r="E1419" s="81"/>
    </row>
    <row r="1420" spans="4:5" s="15" customFormat="1">
      <c r="D1420" s="81"/>
      <c r="E1420" s="81"/>
    </row>
    <row r="1421" spans="4:5" s="15" customFormat="1">
      <c r="D1421" s="81"/>
      <c r="E1421" s="81"/>
    </row>
    <row r="1422" spans="4:5" s="15" customFormat="1">
      <c r="D1422" s="81"/>
      <c r="E1422" s="81"/>
    </row>
    <row r="1423" spans="4:5" s="15" customFormat="1">
      <c r="D1423" s="81"/>
      <c r="E1423" s="81"/>
    </row>
    <row r="1424" spans="4:5" s="15" customFormat="1">
      <c r="D1424" s="81"/>
      <c r="E1424" s="81"/>
    </row>
    <row r="1425" spans="4:5" s="15" customFormat="1">
      <c r="D1425" s="81"/>
      <c r="E1425" s="81"/>
    </row>
    <row r="1426" spans="4:5" s="15" customFormat="1">
      <c r="D1426" s="81"/>
      <c r="E1426" s="81"/>
    </row>
    <row r="1427" spans="4:5" s="15" customFormat="1">
      <c r="D1427" s="81"/>
      <c r="E1427" s="81"/>
    </row>
    <row r="1428" spans="4:5" s="15" customFormat="1">
      <c r="D1428" s="81"/>
      <c r="E1428" s="81"/>
    </row>
    <row r="1429" spans="4:5" s="15" customFormat="1">
      <c r="D1429" s="81"/>
      <c r="E1429" s="81"/>
    </row>
    <row r="1430" spans="4:5" s="15" customFormat="1">
      <c r="D1430" s="81"/>
      <c r="E1430" s="81"/>
    </row>
    <row r="1431" spans="4:5" s="15" customFormat="1">
      <c r="D1431" s="81"/>
      <c r="E1431" s="81"/>
    </row>
    <row r="1432" spans="4:5" s="15" customFormat="1">
      <c r="D1432" s="81"/>
      <c r="E1432" s="81"/>
    </row>
    <row r="1433" spans="4:5" s="15" customFormat="1">
      <c r="D1433" s="81"/>
      <c r="E1433" s="81"/>
    </row>
    <row r="1434" spans="4:5" s="15" customFormat="1">
      <c r="D1434" s="81"/>
      <c r="E1434" s="81"/>
    </row>
    <row r="1435" spans="4:5" s="15" customFormat="1">
      <c r="D1435" s="81"/>
      <c r="E1435" s="81"/>
    </row>
    <row r="1436" spans="4:5" s="15" customFormat="1">
      <c r="D1436" s="81"/>
      <c r="E1436" s="81"/>
    </row>
    <row r="1437" spans="4:5" s="15" customFormat="1">
      <c r="D1437" s="81"/>
      <c r="E1437" s="81"/>
    </row>
    <row r="1438" spans="4:5" s="15" customFormat="1">
      <c r="D1438" s="81"/>
      <c r="E1438" s="81"/>
    </row>
    <row r="1439" spans="4:5" s="15" customFormat="1">
      <c r="D1439" s="81"/>
      <c r="E1439" s="81"/>
    </row>
    <row r="1440" spans="4:5" s="15" customFormat="1">
      <c r="D1440" s="81"/>
      <c r="E1440" s="81"/>
    </row>
    <row r="1441" spans="4:5" s="15" customFormat="1">
      <c r="D1441" s="81"/>
      <c r="E1441" s="81"/>
    </row>
    <row r="1442" spans="4:5" s="15" customFormat="1">
      <c r="D1442" s="81"/>
      <c r="E1442" s="81"/>
    </row>
    <row r="1443" spans="4:5" s="15" customFormat="1">
      <c r="D1443" s="81"/>
      <c r="E1443" s="81"/>
    </row>
    <row r="1444" spans="4:5" s="15" customFormat="1">
      <c r="D1444" s="81"/>
      <c r="E1444" s="81"/>
    </row>
    <row r="1445" spans="4:5" s="15" customFormat="1">
      <c r="D1445" s="81"/>
      <c r="E1445" s="81"/>
    </row>
    <row r="1446" spans="4:5" s="15" customFormat="1">
      <c r="D1446" s="81"/>
      <c r="E1446" s="81"/>
    </row>
    <row r="1447" spans="4:5" s="15" customFormat="1">
      <c r="D1447" s="81"/>
      <c r="E1447" s="81"/>
    </row>
    <row r="1448" spans="4:5" s="15" customFormat="1">
      <c r="D1448" s="81"/>
      <c r="E1448" s="81"/>
    </row>
    <row r="1449" spans="4:5" s="15" customFormat="1">
      <c r="D1449" s="81"/>
      <c r="E1449" s="81"/>
    </row>
    <row r="1450" spans="4:5" s="15" customFormat="1">
      <c r="D1450" s="81"/>
      <c r="E1450" s="81"/>
    </row>
    <row r="1451" spans="4:5" s="15" customFormat="1">
      <c r="D1451" s="81"/>
      <c r="E1451" s="81"/>
    </row>
    <row r="1452" spans="4:5" s="15" customFormat="1">
      <c r="D1452" s="81"/>
      <c r="E1452" s="81"/>
    </row>
    <row r="1453" spans="4:5" s="15" customFormat="1">
      <c r="D1453" s="81"/>
      <c r="E1453" s="81"/>
    </row>
    <row r="1454" spans="4:5" s="15" customFormat="1">
      <c r="D1454" s="81"/>
      <c r="E1454" s="81"/>
    </row>
    <row r="1455" spans="4:5" s="15" customFormat="1">
      <c r="D1455" s="81"/>
      <c r="E1455" s="81"/>
    </row>
    <row r="1456" spans="4:5" s="15" customFormat="1">
      <c r="D1456" s="81"/>
      <c r="E1456" s="81"/>
    </row>
    <row r="1457" spans="4:5" s="15" customFormat="1">
      <c r="D1457" s="81"/>
      <c r="E1457" s="81"/>
    </row>
    <row r="1458" spans="4:5" s="15" customFormat="1">
      <c r="D1458" s="81"/>
      <c r="E1458" s="81"/>
    </row>
    <row r="1459" spans="4:5" s="15" customFormat="1">
      <c r="D1459" s="81"/>
      <c r="E1459" s="81"/>
    </row>
    <row r="1460" spans="4:5" s="15" customFormat="1">
      <c r="D1460" s="81"/>
      <c r="E1460" s="81"/>
    </row>
    <row r="1461" spans="4:5" s="15" customFormat="1">
      <c r="D1461" s="81"/>
      <c r="E1461" s="81"/>
    </row>
    <row r="1462" spans="4:5" s="15" customFormat="1">
      <c r="D1462" s="81"/>
      <c r="E1462" s="81"/>
    </row>
    <row r="1463" spans="4:5" s="15" customFormat="1">
      <c r="D1463" s="81"/>
      <c r="E1463" s="81"/>
    </row>
    <row r="1464" spans="4:5" s="15" customFormat="1">
      <c r="D1464" s="81"/>
      <c r="E1464" s="81"/>
    </row>
    <row r="1465" spans="4:5" s="15" customFormat="1">
      <c r="D1465" s="81"/>
      <c r="E1465" s="81"/>
    </row>
    <row r="1466" spans="4:5" s="15" customFormat="1">
      <c r="D1466" s="81"/>
      <c r="E1466" s="81"/>
    </row>
    <row r="1467" spans="4:5" s="15" customFormat="1">
      <c r="D1467" s="81"/>
      <c r="E1467" s="81"/>
    </row>
    <row r="1468" spans="4:5" s="15" customFormat="1">
      <c r="D1468" s="81"/>
      <c r="E1468" s="81"/>
    </row>
    <row r="1469" spans="4:5" s="15" customFormat="1">
      <c r="D1469" s="81"/>
      <c r="E1469" s="81"/>
    </row>
    <row r="1470" spans="4:5" s="15" customFormat="1">
      <c r="D1470" s="81"/>
      <c r="E1470" s="81"/>
    </row>
    <row r="1471" spans="4:5" s="15" customFormat="1">
      <c r="D1471" s="81"/>
      <c r="E1471" s="81"/>
    </row>
    <row r="1472" spans="4:5" s="15" customFormat="1">
      <c r="D1472" s="81"/>
      <c r="E1472" s="81"/>
    </row>
    <row r="1473" spans="4:5" s="15" customFormat="1">
      <c r="D1473" s="81"/>
      <c r="E1473" s="81"/>
    </row>
    <row r="1474" spans="4:5" s="15" customFormat="1">
      <c r="D1474" s="81"/>
      <c r="E1474" s="81"/>
    </row>
    <row r="1475" spans="4:5" s="15" customFormat="1">
      <c r="D1475" s="81"/>
      <c r="E1475" s="81"/>
    </row>
    <row r="1476" spans="4:5" s="15" customFormat="1">
      <c r="D1476" s="81"/>
      <c r="E1476" s="81"/>
    </row>
    <row r="1477" spans="4:5" s="15" customFormat="1">
      <c r="D1477" s="81"/>
      <c r="E1477" s="81"/>
    </row>
    <row r="1478" spans="4:5" s="15" customFormat="1">
      <c r="D1478" s="81"/>
      <c r="E1478" s="81"/>
    </row>
    <row r="1479" spans="4:5" s="15" customFormat="1">
      <c r="D1479" s="81"/>
      <c r="E1479" s="81"/>
    </row>
    <row r="1480" spans="4:5" s="15" customFormat="1">
      <c r="D1480" s="81"/>
      <c r="E1480" s="81"/>
    </row>
    <row r="1481" spans="4:5" s="15" customFormat="1">
      <c r="D1481" s="81"/>
      <c r="E1481" s="81"/>
    </row>
    <row r="1482" spans="4:5" s="15" customFormat="1">
      <c r="D1482" s="81"/>
      <c r="E1482" s="81"/>
    </row>
    <row r="1483" spans="4:5" s="15" customFormat="1">
      <c r="D1483" s="81"/>
      <c r="E1483" s="81"/>
    </row>
    <row r="1484" spans="4:5" s="15" customFormat="1">
      <c r="D1484" s="81"/>
      <c r="E1484" s="81"/>
    </row>
    <row r="1485" spans="4:5" s="15" customFormat="1">
      <c r="D1485" s="81"/>
      <c r="E1485" s="81"/>
    </row>
    <row r="1486" spans="4:5" s="15" customFormat="1">
      <c r="D1486" s="81"/>
      <c r="E1486" s="81"/>
    </row>
    <row r="1487" spans="4:5" s="15" customFormat="1">
      <c r="D1487" s="81"/>
      <c r="E1487" s="81"/>
    </row>
    <row r="1488" spans="4:5" s="15" customFormat="1">
      <c r="D1488" s="81"/>
      <c r="E1488" s="81"/>
    </row>
    <row r="1489" spans="4:5" s="15" customFormat="1">
      <c r="D1489" s="81"/>
      <c r="E1489" s="81"/>
    </row>
    <row r="1490" spans="4:5" s="15" customFormat="1">
      <c r="D1490" s="81"/>
      <c r="E1490" s="81"/>
    </row>
    <row r="1491" spans="4:5" s="15" customFormat="1">
      <c r="D1491" s="81"/>
      <c r="E1491" s="81"/>
    </row>
    <row r="1492" spans="4:5" s="15" customFormat="1">
      <c r="D1492" s="81"/>
      <c r="E1492" s="81"/>
    </row>
    <row r="1493" spans="4:5" s="15" customFormat="1">
      <c r="D1493" s="81"/>
      <c r="E1493" s="81"/>
    </row>
    <row r="1494" spans="4:5" s="15" customFormat="1">
      <c r="D1494" s="81"/>
      <c r="E1494" s="81"/>
    </row>
    <row r="1495" spans="4:5" s="15" customFormat="1">
      <c r="D1495" s="81"/>
      <c r="E1495" s="81"/>
    </row>
    <row r="1496" spans="4:5" s="15" customFormat="1">
      <c r="D1496" s="81"/>
      <c r="E1496" s="81"/>
    </row>
    <row r="1497" spans="4:5" s="15" customFormat="1">
      <c r="D1497" s="81"/>
      <c r="E1497" s="81"/>
    </row>
    <row r="1498" spans="4:5" s="15" customFormat="1">
      <c r="D1498" s="81"/>
      <c r="E1498" s="81"/>
    </row>
    <row r="1499" spans="4:5" s="15" customFormat="1">
      <c r="D1499" s="81"/>
      <c r="E1499" s="81"/>
    </row>
    <row r="1500" spans="4:5" s="15" customFormat="1">
      <c r="D1500" s="81"/>
      <c r="E1500" s="81"/>
    </row>
    <row r="1501" spans="4:5" s="15" customFormat="1">
      <c r="D1501" s="81"/>
      <c r="E1501" s="81"/>
    </row>
    <row r="1502" spans="4:5" s="15" customFormat="1">
      <c r="D1502" s="81"/>
      <c r="E1502" s="81"/>
    </row>
    <row r="1503" spans="4:5" s="15" customFormat="1">
      <c r="D1503" s="81"/>
      <c r="E1503" s="81"/>
    </row>
    <row r="1504" spans="4:5" s="15" customFormat="1">
      <c r="D1504" s="81"/>
      <c r="E1504" s="81"/>
    </row>
    <row r="1505" spans="4:5" s="15" customFormat="1">
      <c r="D1505" s="81"/>
      <c r="E1505" s="81"/>
    </row>
    <row r="1506" spans="4:5" s="15" customFormat="1">
      <c r="D1506" s="81"/>
      <c r="E1506" s="81"/>
    </row>
    <row r="1507" spans="4:5" s="15" customFormat="1">
      <c r="D1507" s="81"/>
      <c r="E1507" s="81"/>
    </row>
    <row r="1508" spans="4:5" s="15" customFormat="1">
      <c r="D1508" s="81"/>
      <c r="E1508" s="81"/>
    </row>
    <row r="1509" spans="4:5" s="15" customFormat="1">
      <c r="D1509" s="81"/>
      <c r="E1509" s="81"/>
    </row>
    <row r="1510" spans="4:5" s="15" customFormat="1">
      <c r="D1510" s="81"/>
      <c r="E1510" s="81"/>
    </row>
    <row r="1511" spans="4:5" s="15" customFormat="1">
      <c r="D1511" s="81"/>
      <c r="E1511" s="81"/>
    </row>
    <row r="1512" spans="4:5" s="15" customFormat="1">
      <c r="D1512" s="81"/>
      <c r="E1512" s="81"/>
    </row>
    <row r="1513" spans="4:5" s="15" customFormat="1">
      <c r="D1513" s="81"/>
      <c r="E1513" s="81"/>
    </row>
    <row r="1514" spans="4:5" s="15" customFormat="1">
      <c r="D1514" s="81"/>
      <c r="E1514" s="81"/>
    </row>
    <row r="1515" spans="4:5" s="15" customFormat="1">
      <c r="D1515" s="81"/>
      <c r="E1515" s="81"/>
    </row>
    <row r="1516" spans="4:5" s="15" customFormat="1">
      <c r="D1516" s="81"/>
      <c r="E1516" s="81"/>
    </row>
    <row r="1517" spans="4:5" s="15" customFormat="1">
      <c r="D1517" s="81"/>
      <c r="E1517" s="81"/>
    </row>
    <row r="1518" spans="4:5" s="15" customFormat="1">
      <c r="D1518" s="81"/>
      <c r="E1518" s="81"/>
    </row>
    <row r="1519" spans="4:5" s="15" customFormat="1">
      <c r="D1519" s="81"/>
      <c r="E1519" s="81"/>
    </row>
    <row r="1520" spans="4:5" s="15" customFormat="1">
      <c r="D1520" s="81"/>
      <c r="E1520" s="81"/>
    </row>
    <row r="1521" spans="4:5" s="15" customFormat="1">
      <c r="D1521" s="81"/>
      <c r="E1521" s="81"/>
    </row>
    <row r="1522" spans="4:5" s="15" customFormat="1">
      <c r="D1522" s="81"/>
      <c r="E1522" s="81"/>
    </row>
    <row r="1523" spans="4:5" s="15" customFormat="1">
      <c r="D1523" s="81"/>
      <c r="E1523" s="81"/>
    </row>
    <row r="1524" spans="4:5" s="15" customFormat="1">
      <c r="D1524" s="81"/>
      <c r="E1524" s="81"/>
    </row>
    <row r="1525" spans="4:5" s="15" customFormat="1">
      <c r="D1525" s="81"/>
      <c r="E1525" s="81"/>
    </row>
    <row r="1526" spans="4:5" s="15" customFormat="1">
      <c r="D1526" s="81"/>
      <c r="E1526" s="81"/>
    </row>
    <row r="1527" spans="4:5" s="15" customFormat="1">
      <c r="D1527" s="81"/>
      <c r="E1527" s="81"/>
    </row>
    <row r="1528" spans="4:5" s="15" customFormat="1">
      <c r="D1528" s="81"/>
      <c r="E1528" s="81"/>
    </row>
    <row r="1529" spans="4:5" s="15" customFormat="1">
      <c r="D1529" s="81"/>
      <c r="E1529" s="81"/>
    </row>
    <row r="1530" spans="4:5" s="15" customFormat="1">
      <c r="D1530" s="81"/>
      <c r="E1530" s="81"/>
    </row>
    <row r="1531" spans="4:5" s="15" customFormat="1">
      <c r="D1531" s="81"/>
      <c r="E1531" s="81"/>
    </row>
    <row r="1532" spans="4:5" s="15" customFormat="1">
      <c r="D1532" s="81"/>
      <c r="E1532" s="81"/>
    </row>
    <row r="1533" spans="4:5" s="15" customFormat="1">
      <c r="D1533" s="81"/>
      <c r="E1533" s="81"/>
    </row>
    <row r="1534" spans="4:5" s="15" customFormat="1">
      <c r="D1534" s="81"/>
      <c r="E1534" s="81"/>
    </row>
    <row r="1535" spans="4:5" s="15" customFormat="1">
      <c r="D1535" s="81"/>
      <c r="E1535" s="81"/>
    </row>
    <row r="1536" spans="4:5" s="15" customFormat="1">
      <c r="D1536" s="81"/>
      <c r="E1536" s="81"/>
    </row>
    <row r="1537" spans="4:5" s="15" customFormat="1">
      <c r="D1537" s="81"/>
      <c r="E1537" s="81"/>
    </row>
    <row r="1538" spans="4:5" s="15" customFormat="1">
      <c r="D1538" s="81"/>
      <c r="E1538" s="81"/>
    </row>
    <row r="1539" spans="4:5" s="15" customFormat="1">
      <c r="D1539" s="81"/>
      <c r="E1539" s="81"/>
    </row>
    <row r="1540" spans="4:5" s="15" customFormat="1">
      <c r="D1540" s="81"/>
      <c r="E1540" s="81"/>
    </row>
    <row r="1541" spans="4:5" s="15" customFormat="1">
      <c r="D1541" s="81"/>
      <c r="E1541" s="81"/>
    </row>
    <row r="1542" spans="4:5" s="15" customFormat="1">
      <c r="D1542" s="81"/>
      <c r="E1542" s="81"/>
    </row>
    <row r="1543" spans="4:5" s="15" customFormat="1">
      <c r="D1543" s="81"/>
      <c r="E1543" s="81"/>
    </row>
    <row r="1544" spans="4:5" s="15" customFormat="1">
      <c r="D1544" s="81"/>
      <c r="E1544" s="81"/>
    </row>
    <row r="1545" spans="4:5" s="15" customFormat="1">
      <c r="D1545" s="81"/>
      <c r="E1545" s="81"/>
    </row>
    <row r="1546" spans="4:5" s="15" customFormat="1">
      <c r="D1546" s="81"/>
      <c r="E1546" s="81"/>
    </row>
    <row r="1547" spans="4:5" s="15" customFormat="1">
      <c r="D1547" s="81"/>
      <c r="E1547" s="81"/>
    </row>
    <row r="1548" spans="4:5" s="15" customFormat="1">
      <c r="D1548" s="81"/>
      <c r="E1548" s="81"/>
    </row>
    <row r="1549" spans="4:5" s="15" customFormat="1">
      <c r="D1549" s="81"/>
      <c r="E1549" s="81"/>
    </row>
    <row r="1550" spans="4:5" s="15" customFormat="1">
      <c r="D1550" s="81"/>
      <c r="E1550" s="81"/>
    </row>
    <row r="1551" spans="4:5" s="15" customFormat="1">
      <c r="D1551" s="81"/>
      <c r="E1551" s="81"/>
    </row>
    <row r="1552" spans="4:5" s="15" customFormat="1">
      <c r="D1552" s="81"/>
      <c r="E1552" s="81"/>
    </row>
    <row r="1553" spans="4:5" s="15" customFormat="1">
      <c r="D1553" s="81"/>
      <c r="E1553" s="81"/>
    </row>
    <row r="1554" spans="4:5" s="15" customFormat="1">
      <c r="D1554" s="81"/>
      <c r="E1554" s="81"/>
    </row>
    <row r="1555" spans="4:5" s="15" customFormat="1">
      <c r="D1555" s="81"/>
      <c r="E1555" s="81"/>
    </row>
    <row r="1556" spans="4:5" s="15" customFormat="1">
      <c r="D1556" s="81"/>
      <c r="E1556" s="81"/>
    </row>
    <row r="1557" spans="4:5" s="15" customFormat="1">
      <c r="D1557" s="81"/>
      <c r="E1557" s="81"/>
    </row>
    <row r="1558" spans="4:5" s="15" customFormat="1">
      <c r="D1558" s="81"/>
      <c r="E1558" s="81"/>
    </row>
    <row r="1559" spans="4:5" s="15" customFormat="1">
      <c r="D1559" s="81"/>
      <c r="E1559" s="81"/>
    </row>
    <row r="1560" spans="4:5" s="15" customFormat="1">
      <c r="D1560" s="81"/>
      <c r="E1560" s="81"/>
    </row>
    <row r="1561" spans="4:5" s="15" customFormat="1">
      <c r="D1561" s="81"/>
      <c r="E1561" s="81"/>
    </row>
    <row r="1562" spans="4:5" s="15" customFormat="1">
      <c r="D1562" s="81"/>
      <c r="E1562" s="81"/>
    </row>
    <row r="1563" spans="4:5" s="15" customFormat="1">
      <c r="D1563" s="81"/>
      <c r="E1563" s="81"/>
    </row>
    <row r="1564" spans="4:5" s="15" customFormat="1">
      <c r="D1564" s="81"/>
      <c r="E1564" s="81"/>
    </row>
    <row r="1565" spans="4:5" s="15" customFormat="1">
      <c r="D1565" s="81"/>
      <c r="E1565" s="81"/>
    </row>
    <row r="1566" spans="4:5" s="15" customFormat="1">
      <c r="D1566" s="81"/>
      <c r="E1566" s="81"/>
    </row>
    <row r="1567" spans="4:5" s="15" customFormat="1">
      <c r="D1567" s="81"/>
      <c r="E1567" s="81"/>
    </row>
    <row r="1568" spans="4:5" s="15" customFormat="1">
      <c r="D1568" s="81"/>
      <c r="E1568" s="81"/>
    </row>
    <row r="1569" spans="4:5" s="15" customFormat="1">
      <c r="D1569" s="81"/>
      <c r="E1569" s="81"/>
    </row>
    <row r="1570" spans="4:5" s="15" customFormat="1">
      <c r="D1570" s="81"/>
      <c r="E1570" s="81"/>
    </row>
    <row r="1571" spans="4:5" s="15" customFormat="1">
      <c r="D1571" s="81"/>
      <c r="E1571" s="81"/>
    </row>
    <row r="1572" spans="4:5" s="15" customFormat="1">
      <c r="D1572" s="81"/>
      <c r="E1572" s="81"/>
    </row>
    <row r="1573" spans="4:5" s="15" customFormat="1">
      <c r="D1573" s="81"/>
      <c r="E1573" s="81"/>
    </row>
    <row r="1574" spans="4:5" s="15" customFormat="1">
      <c r="D1574" s="81"/>
      <c r="E1574" s="81"/>
    </row>
    <row r="1575" spans="4:5" s="15" customFormat="1">
      <c r="D1575" s="81"/>
      <c r="E1575" s="81"/>
    </row>
    <row r="1576" spans="4:5" s="15" customFormat="1">
      <c r="D1576" s="81"/>
      <c r="E1576" s="81"/>
    </row>
    <row r="1577" spans="4:5" s="15" customFormat="1">
      <c r="D1577" s="81"/>
      <c r="E1577" s="81"/>
    </row>
    <row r="1578" spans="4:5" s="15" customFormat="1">
      <c r="D1578" s="81"/>
      <c r="E1578" s="81"/>
    </row>
    <row r="1579" spans="4:5" s="15" customFormat="1">
      <c r="D1579" s="81"/>
      <c r="E1579" s="81"/>
    </row>
    <row r="1580" spans="4:5" s="15" customFormat="1">
      <c r="D1580" s="81"/>
      <c r="E1580" s="81"/>
    </row>
    <row r="1581" spans="4:5" s="15" customFormat="1">
      <c r="D1581" s="81"/>
      <c r="E1581" s="81"/>
    </row>
    <row r="1582" spans="4:5" s="15" customFormat="1">
      <c r="D1582" s="81"/>
      <c r="E1582" s="81"/>
    </row>
    <row r="1583" spans="4:5" s="15" customFormat="1">
      <c r="D1583" s="81"/>
      <c r="E1583" s="81"/>
    </row>
    <row r="1584" spans="4:5" s="15" customFormat="1">
      <c r="D1584" s="81"/>
      <c r="E1584" s="81"/>
    </row>
    <row r="1585" spans="4:5" s="15" customFormat="1">
      <c r="D1585" s="81"/>
      <c r="E1585" s="81"/>
    </row>
    <row r="1586" spans="4:5" s="15" customFormat="1">
      <c r="D1586" s="81"/>
      <c r="E1586" s="81"/>
    </row>
    <row r="1587" spans="4:5" s="15" customFormat="1">
      <c r="D1587" s="81"/>
      <c r="E1587" s="81"/>
    </row>
    <row r="1588" spans="4:5" s="15" customFormat="1">
      <c r="D1588" s="81"/>
      <c r="E1588" s="81"/>
    </row>
    <row r="1589" spans="4:5" s="15" customFormat="1">
      <c r="D1589" s="81"/>
      <c r="E1589" s="81"/>
    </row>
    <row r="1590" spans="4:5" s="15" customFormat="1">
      <c r="D1590" s="81"/>
      <c r="E1590" s="81"/>
    </row>
    <row r="1591" spans="4:5" s="15" customFormat="1">
      <c r="D1591" s="81"/>
      <c r="E1591" s="81"/>
    </row>
    <row r="1592" spans="4:5" s="15" customFormat="1">
      <c r="D1592" s="81"/>
      <c r="E1592" s="81"/>
    </row>
    <row r="1593" spans="4:5" s="15" customFormat="1">
      <c r="D1593" s="81"/>
      <c r="E1593" s="81"/>
    </row>
    <row r="1594" spans="4:5" s="15" customFormat="1">
      <c r="D1594" s="81"/>
      <c r="E1594" s="81"/>
    </row>
    <row r="1595" spans="4:5" s="15" customFormat="1">
      <c r="D1595" s="81"/>
      <c r="E1595" s="81"/>
    </row>
    <row r="1596" spans="4:5" s="15" customFormat="1">
      <c r="D1596" s="81"/>
      <c r="E1596" s="81"/>
    </row>
    <row r="1597" spans="4:5" s="15" customFormat="1">
      <c r="D1597" s="81"/>
      <c r="E1597" s="81"/>
    </row>
    <row r="1598" spans="4:5" s="15" customFormat="1">
      <c r="D1598" s="81"/>
      <c r="E1598" s="81"/>
    </row>
    <row r="1599" spans="4:5" s="15" customFormat="1">
      <c r="D1599" s="81"/>
      <c r="E1599" s="81"/>
    </row>
    <row r="1600" spans="4:5" s="15" customFormat="1">
      <c r="D1600" s="81"/>
      <c r="E1600" s="81"/>
    </row>
    <row r="1601" spans="4:5" s="15" customFormat="1">
      <c r="D1601" s="81"/>
      <c r="E1601" s="81"/>
    </row>
    <row r="1602" spans="4:5" s="15" customFormat="1">
      <c r="D1602" s="81"/>
      <c r="E1602" s="81"/>
    </row>
    <row r="1603" spans="4:5" s="15" customFormat="1">
      <c r="D1603" s="81"/>
      <c r="E1603" s="81"/>
    </row>
    <row r="1604" spans="4:5" s="15" customFormat="1">
      <c r="D1604" s="81"/>
      <c r="E1604" s="81"/>
    </row>
    <row r="1605" spans="4:5" s="15" customFormat="1">
      <c r="D1605" s="81"/>
      <c r="E1605" s="81"/>
    </row>
    <row r="1606" spans="4:5" s="15" customFormat="1">
      <c r="D1606" s="81"/>
      <c r="E1606" s="81"/>
    </row>
    <row r="1607" spans="4:5" s="15" customFormat="1">
      <c r="D1607" s="81"/>
      <c r="E1607" s="81"/>
    </row>
    <row r="1608" spans="4:5" s="15" customFormat="1">
      <c r="D1608" s="81"/>
      <c r="E1608" s="81"/>
    </row>
    <row r="1609" spans="4:5" s="15" customFormat="1">
      <c r="D1609" s="81"/>
      <c r="E1609" s="81"/>
    </row>
    <row r="1610" spans="4:5" s="15" customFormat="1">
      <c r="D1610" s="81"/>
      <c r="E1610" s="81"/>
    </row>
    <row r="1611" spans="4:5" s="15" customFormat="1">
      <c r="D1611" s="81"/>
      <c r="E1611" s="81"/>
    </row>
    <row r="1612" spans="4:5" s="15" customFormat="1">
      <c r="D1612" s="81"/>
      <c r="E1612" s="81"/>
    </row>
    <row r="1613" spans="4:5" s="15" customFormat="1">
      <c r="D1613" s="81"/>
      <c r="E1613" s="81"/>
    </row>
    <row r="1614" spans="4:5" s="15" customFormat="1">
      <c r="D1614" s="81"/>
      <c r="E1614" s="81"/>
    </row>
    <row r="1615" spans="4:5" s="15" customFormat="1">
      <c r="D1615" s="81"/>
      <c r="E1615" s="81"/>
    </row>
    <row r="1616" spans="4:5" s="15" customFormat="1">
      <c r="D1616" s="81"/>
      <c r="E1616" s="81"/>
    </row>
    <row r="1617" spans="4:5" s="15" customFormat="1">
      <c r="D1617" s="81"/>
      <c r="E1617" s="81"/>
    </row>
    <row r="1618" spans="4:5" s="15" customFormat="1">
      <c r="D1618" s="81"/>
      <c r="E1618" s="81"/>
    </row>
    <row r="1619" spans="4:5" s="15" customFormat="1">
      <c r="D1619" s="81"/>
      <c r="E1619" s="81"/>
    </row>
    <row r="1620" spans="4:5" s="15" customFormat="1">
      <c r="D1620" s="81"/>
      <c r="E1620" s="81"/>
    </row>
    <row r="1621" spans="4:5" s="15" customFormat="1">
      <c r="D1621" s="81"/>
      <c r="E1621" s="81"/>
    </row>
    <row r="1622" spans="4:5" s="15" customFormat="1">
      <c r="D1622" s="81"/>
      <c r="E1622" s="81"/>
    </row>
    <row r="1623" spans="4:5" s="15" customFormat="1">
      <c r="D1623" s="81"/>
      <c r="E1623" s="81"/>
    </row>
    <row r="1624" spans="4:5" s="15" customFormat="1">
      <c r="D1624" s="81"/>
      <c r="E1624" s="81"/>
    </row>
    <row r="1625" spans="4:5" s="15" customFormat="1">
      <c r="D1625" s="81"/>
      <c r="E1625" s="81"/>
    </row>
    <row r="1626" spans="4:5" s="15" customFormat="1">
      <c r="D1626" s="81"/>
      <c r="E1626" s="81"/>
    </row>
    <row r="1627" spans="4:5" s="15" customFormat="1">
      <c r="D1627" s="81"/>
      <c r="E1627" s="81"/>
    </row>
    <row r="1628" spans="4:5" s="15" customFormat="1">
      <c r="D1628" s="81"/>
      <c r="E1628" s="81"/>
    </row>
    <row r="1629" spans="4:5" s="15" customFormat="1">
      <c r="D1629" s="81"/>
      <c r="E1629" s="81"/>
    </row>
    <row r="1630" spans="4:5" s="15" customFormat="1">
      <c r="D1630" s="81"/>
      <c r="E1630" s="81"/>
    </row>
    <row r="1631" spans="4:5" s="15" customFormat="1">
      <c r="D1631" s="81"/>
      <c r="E1631" s="81"/>
    </row>
    <row r="1632" spans="4:5" s="15" customFormat="1">
      <c r="D1632" s="81"/>
      <c r="E1632" s="81"/>
    </row>
    <row r="1633" spans="4:5" s="15" customFormat="1">
      <c r="D1633" s="81"/>
      <c r="E1633" s="81"/>
    </row>
    <row r="1634" spans="4:5" s="15" customFormat="1">
      <c r="D1634" s="81"/>
      <c r="E1634" s="81"/>
    </row>
    <row r="1635" spans="4:5" s="15" customFormat="1">
      <c r="D1635" s="81"/>
      <c r="E1635" s="81"/>
    </row>
    <row r="1636" spans="4:5" s="15" customFormat="1">
      <c r="D1636" s="81"/>
      <c r="E1636" s="81"/>
    </row>
    <row r="1637" spans="4:5" s="15" customFormat="1">
      <c r="D1637" s="81"/>
      <c r="E1637" s="81"/>
    </row>
    <row r="1638" spans="4:5" s="15" customFormat="1">
      <c r="D1638" s="81"/>
      <c r="E1638" s="81"/>
    </row>
    <row r="1639" spans="4:5" s="15" customFormat="1">
      <c r="D1639" s="81"/>
      <c r="E1639" s="81"/>
    </row>
    <row r="1640" spans="4:5" s="15" customFormat="1">
      <c r="D1640" s="81"/>
      <c r="E1640" s="81"/>
    </row>
    <row r="1641" spans="4:5" s="15" customFormat="1">
      <c r="D1641" s="81"/>
      <c r="E1641" s="81"/>
    </row>
    <row r="1642" spans="4:5" s="15" customFormat="1">
      <c r="D1642" s="81"/>
      <c r="E1642" s="81"/>
    </row>
    <row r="1643" spans="4:5" s="15" customFormat="1">
      <c r="D1643" s="81"/>
      <c r="E1643" s="81"/>
    </row>
    <row r="1644" spans="4:5" s="15" customFormat="1">
      <c r="D1644" s="81"/>
      <c r="E1644" s="81"/>
    </row>
    <row r="1645" spans="4:5" s="15" customFormat="1">
      <c r="D1645" s="81"/>
      <c r="E1645" s="81"/>
    </row>
    <row r="1646" spans="4:5" s="15" customFormat="1">
      <c r="D1646" s="81"/>
      <c r="E1646" s="81"/>
    </row>
    <row r="1647" spans="4:5" s="15" customFormat="1">
      <c r="D1647" s="81"/>
      <c r="E1647" s="81"/>
    </row>
    <row r="1648" spans="4:5" s="15" customFormat="1">
      <c r="D1648" s="81"/>
      <c r="E1648" s="81"/>
    </row>
    <row r="1649" spans="4:5" s="15" customFormat="1">
      <c r="D1649" s="81"/>
      <c r="E1649" s="81"/>
    </row>
    <row r="1650" spans="4:5" s="15" customFormat="1">
      <c r="D1650" s="81"/>
      <c r="E1650" s="81"/>
    </row>
    <row r="1651" spans="4:5" s="15" customFormat="1">
      <c r="D1651" s="81"/>
      <c r="E1651" s="81"/>
    </row>
    <row r="1652" spans="4:5" s="15" customFormat="1">
      <c r="D1652" s="81"/>
      <c r="E1652" s="81"/>
    </row>
    <row r="1653" spans="4:5" s="15" customFormat="1">
      <c r="D1653" s="81"/>
      <c r="E1653" s="81"/>
    </row>
    <row r="1654" spans="4:5" s="15" customFormat="1">
      <c r="D1654" s="81"/>
      <c r="E1654" s="81"/>
    </row>
    <row r="1655" spans="4:5" s="15" customFormat="1">
      <c r="D1655" s="81"/>
      <c r="E1655" s="81"/>
    </row>
    <row r="1656" spans="4:5" s="15" customFormat="1">
      <c r="D1656" s="81"/>
      <c r="E1656" s="81"/>
    </row>
    <row r="1657" spans="4:5" s="15" customFormat="1">
      <c r="D1657" s="81"/>
      <c r="E1657" s="81"/>
    </row>
    <row r="1658" spans="4:5" s="15" customFormat="1">
      <c r="D1658" s="81"/>
      <c r="E1658" s="81"/>
    </row>
    <row r="1659" spans="4:5" s="15" customFormat="1">
      <c r="D1659" s="81"/>
      <c r="E1659" s="81"/>
    </row>
    <row r="1660" spans="4:5" s="15" customFormat="1">
      <c r="D1660" s="81"/>
      <c r="E1660" s="81"/>
    </row>
    <row r="1661" spans="4:5" s="15" customFormat="1">
      <c r="D1661" s="81"/>
      <c r="E1661" s="81"/>
    </row>
    <row r="1662" spans="4:5" s="15" customFormat="1">
      <c r="D1662" s="81"/>
      <c r="E1662" s="81"/>
    </row>
    <row r="1663" spans="4:5" s="15" customFormat="1">
      <c r="D1663" s="81"/>
      <c r="E1663" s="81"/>
    </row>
    <row r="1664" spans="4:5" s="15" customFormat="1">
      <c r="D1664" s="81"/>
      <c r="E1664" s="81"/>
    </row>
    <row r="1665" spans="4:5" s="15" customFormat="1">
      <c r="D1665" s="81"/>
      <c r="E1665" s="81"/>
    </row>
    <row r="1666" spans="4:5" s="15" customFormat="1">
      <c r="D1666" s="81"/>
      <c r="E1666" s="81"/>
    </row>
    <row r="1667" spans="4:5" s="15" customFormat="1">
      <c r="D1667" s="81"/>
      <c r="E1667" s="81"/>
    </row>
    <row r="1668" spans="4:5" s="15" customFormat="1">
      <c r="D1668" s="81"/>
      <c r="E1668" s="81"/>
    </row>
    <row r="1669" spans="4:5" s="15" customFormat="1">
      <c r="D1669" s="81"/>
      <c r="E1669" s="81"/>
    </row>
    <row r="1670" spans="4:5" s="15" customFormat="1">
      <c r="D1670" s="81"/>
      <c r="E1670" s="81"/>
    </row>
    <row r="1671" spans="4:5" s="15" customFormat="1">
      <c r="D1671" s="81"/>
      <c r="E1671" s="81"/>
    </row>
    <row r="1672" spans="4:5" s="15" customFormat="1">
      <c r="D1672" s="81"/>
      <c r="E1672" s="81"/>
    </row>
    <row r="1673" spans="4:5" s="15" customFormat="1">
      <c r="D1673" s="81"/>
      <c r="E1673" s="81"/>
    </row>
    <row r="1674" spans="4:5" s="15" customFormat="1">
      <c r="D1674" s="81"/>
      <c r="E1674" s="81"/>
    </row>
    <row r="1675" spans="4:5" s="15" customFormat="1">
      <c r="D1675" s="81"/>
      <c r="E1675" s="81"/>
    </row>
    <row r="1676" spans="4:5" s="15" customFormat="1">
      <c r="D1676" s="81"/>
      <c r="E1676" s="81"/>
    </row>
    <row r="1677" spans="4:5" s="15" customFormat="1">
      <c r="D1677" s="81"/>
      <c r="E1677" s="81"/>
    </row>
    <row r="1678" spans="4:5" s="15" customFormat="1">
      <c r="D1678" s="81"/>
      <c r="E1678" s="81"/>
    </row>
    <row r="1679" spans="4:5" s="15" customFormat="1">
      <c r="D1679" s="81"/>
      <c r="E1679" s="81"/>
    </row>
    <row r="1680" spans="4:5" s="15" customFormat="1">
      <c r="D1680" s="81"/>
      <c r="E1680" s="81"/>
    </row>
    <row r="1681" spans="4:5" s="15" customFormat="1">
      <c r="D1681" s="81"/>
      <c r="E1681" s="81"/>
    </row>
    <row r="1682" spans="4:5" s="15" customFormat="1">
      <c r="D1682" s="81"/>
      <c r="E1682" s="81"/>
    </row>
    <row r="1683" spans="4:5" s="15" customFormat="1">
      <c r="D1683" s="81"/>
      <c r="E1683" s="81"/>
    </row>
    <row r="1684" spans="4:5" s="15" customFormat="1">
      <c r="D1684" s="81"/>
      <c r="E1684" s="81"/>
    </row>
    <row r="1685" spans="4:5" s="15" customFormat="1">
      <c r="D1685" s="81"/>
      <c r="E1685" s="81"/>
    </row>
    <row r="1686" spans="4:5" s="15" customFormat="1">
      <c r="D1686" s="81"/>
      <c r="E1686" s="81"/>
    </row>
    <row r="1687" spans="4:5" s="15" customFormat="1">
      <c r="D1687" s="81"/>
      <c r="E1687" s="81"/>
    </row>
    <row r="1688" spans="4:5" s="15" customFormat="1">
      <c r="D1688" s="81"/>
      <c r="E1688" s="81"/>
    </row>
    <row r="1689" spans="4:5" s="15" customFormat="1">
      <c r="D1689" s="81"/>
      <c r="E1689" s="81"/>
    </row>
    <row r="1690" spans="4:5" s="15" customFormat="1">
      <c r="D1690" s="81"/>
      <c r="E1690" s="81"/>
    </row>
    <row r="1691" spans="4:5" s="15" customFormat="1">
      <c r="D1691" s="81"/>
      <c r="E1691" s="81"/>
    </row>
    <row r="1692" spans="4:5" s="15" customFormat="1">
      <c r="D1692" s="81"/>
      <c r="E1692" s="81"/>
    </row>
    <row r="1693" spans="4:5" s="15" customFormat="1">
      <c r="D1693" s="81"/>
      <c r="E1693" s="81"/>
    </row>
    <row r="1694" spans="4:5" s="15" customFormat="1">
      <c r="D1694" s="81"/>
      <c r="E1694" s="81"/>
    </row>
    <row r="1695" spans="4:5" s="15" customFormat="1">
      <c r="D1695" s="81"/>
      <c r="E1695" s="81"/>
    </row>
    <row r="1696" spans="4:5" s="15" customFormat="1">
      <c r="D1696" s="81"/>
      <c r="E1696" s="81"/>
    </row>
    <row r="1697" spans="4:5" s="15" customFormat="1">
      <c r="D1697" s="81"/>
      <c r="E1697" s="81"/>
    </row>
    <row r="1698" spans="4:5" s="15" customFormat="1">
      <c r="D1698" s="81"/>
      <c r="E1698" s="81"/>
    </row>
    <row r="1699" spans="4:5" s="15" customFormat="1">
      <c r="D1699" s="81"/>
      <c r="E1699" s="81"/>
    </row>
    <row r="1700" spans="4:5" s="15" customFormat="1">
      <c r="D1700" s="81"/>
      <c r="E1700" s="81"/>
    </row>
    <row r="1701" spans="4:5" s="15" customFormat="1">
      <c r="D1701" s="81"/>
      <c r="E1701" s="81"/>
    </row>
    <row r="1702" spans="4:5" s="15" customFormat="1">
      <c r="D1702" s="81"/>
      <c r="E1702" s="81"/>
    </row>
    <row r="1703" spans="4:5" s="15" customFormat="1">
      <c r="D1703" s="81"/>
      <c r="E1703" s="81"/>
    </row>
    <row r="1704" spans="4:5" s="15" customFormat="1">
      <c r="D1704" s="81"/>
      <c r="E1704" s="81"/>
    </row>
    <row r="1705" spans="4:5" s="15" customFormat="1">
      <c r="D1705" s="81"/>
      <c r="E1705" s="81"/>
    </row>
    <row r="1706" spans="4:5" s="15" customFormat="1">
      <c r="D1706" s="81"/>
      <c r="E1706" s="81"/>
    </row>
    <row r="1707" spans="4:5" s="15" customFormat="1">
      <c r="D1707" s="81"/>
      <c r="E1707" s="81"/>
    </row>
    <row r="1708" spans="4:5" s="15" customFormat="1">
      <c r="D1708" s="81"/>
      <c r="E1708" s="81"/>
    </row>
    <row r="1709" spans="4:5" s="15" customFormat="1">
      <c r="D1709" s="81"/>
      <c r="E1709" s="81"/>
    </row>
    <row r="1710" spans="4:5" s="15" customFormat="1">
      <c r="D1710" s="81"/>
      <c r="E1710" s="81"/>
    </row>
    <row r="1711" spans="4:5" s="15" customFormat="1">
      <c r="D1711" s="81"/>
      <c r="E1711" s="81"/>
    </row>
    <row r="1712" spans="4:5" s="15" customFormat="1">
      <c r="D1712" s="81"/>
      <c r="E1712" s="81"/>
    </row>
    <row r="1713" spans="4:5" s="15" customFormat="1">
      <c r="D1713" s="81"/>
      <c r="E1713" s="81"/>
    </row>
    <row r="1714" spans="4:5" s="15" customFormat="1">
      <c r="D1714" s="81"/>
      <c r="E1714" s="81"/>
    </row>
    <row r="1715" spans="4:5" s="15" customFormat="1">
      <c r="D1715" s="81"/>
      <c r="E1715" s="81"/>
    </row>
    <row r="1716" spans="4:5" s="15" customFormat="1">
      <c r="D1716" s="81"/>
      <c r="E1716" s="81"/>
    </row>
    <row r="1717" spans="4:5" s="15" customFormat="1">
      <c r="D1717" s="81"/>
      <c r="E1717" s="81"/>
    </row>
    <row r="1718" spans="4:5" s="15" customFormat="1">
      <c r="D1718" s="81"/>
      <c r="E1718" s="81"/>
    </row>
    <row r="1719" spans="4:5" s="15" customFormat="1">
      <c r="D1719" s="81"/>
      <c r="E1719" s="81"/>
    </row>
    <row r="1720" spans="4:5" s="15" customFormat="1">
      <c r="D1720" s="81"/>
      <c r="E1720" s="81"/>
    </row>
    <row r="1721" spans="4:5" s="15" customFormat="1">
      <c r="D1721" s="81"/>
      <c r="E1721" s="81"/>
    </row>
    <row r="1722" spans="4:5" s="15" customFormat="1">
      <c r="D1722" s="81"/>
      <c r="E1722" s="81"/>
    </row>
    <row r="1723" spans="4:5" s="15" customFormat="1">
      <c r="D1723" s="81"/>
      <c r="E1723" s="81"/>
    </row>
    <row r="1724" spans="4:5" s="15" customFormat="1">
      <c r="D1724" s="81"/>
      <c r="E1724" s="81"/>
    </row>
    <row r="1725" spans="4:5" s="15" customFormat="1">
      <c r="D1725" s="81"/>
      <c r="E1725" s="81"/>
    </row>
    <row r="1726" spans="4:5" s="15" customFormat="1">
      <c r="D1726" s="81"/>
      <c r="E1726" s="81"/>
    </row>
    <row r="1727" spans="4:5" s="15" customFormat="1">
      <c r="D1727" s="81"/>
      <c r="E1727" s="81"/>
    </row>
    <row r="1728" spans="4:5" s="15" customFormat="1">
      <c r="D1728" s="81"/>
      <c r="E1728" s="81"/>
    </row>
    <row r="1729" spans="4:5" s="15" customFormat="1">
      <c r="D1729" s="81"/>
      <c r="E1729" s="81"/>
    </row>
    <row r="1730" spans="4:5" s="15" customFormat="1">
      <c r="D1730" s="81"/>
      <c r="E1730" s="81"/>
    </row>
    <row r="1731" spans="4:5" s="15" customFormat="1">
      <c r="D1731" s="81"/>
      <c r="E1731" s="81"/>
    </row>
    <row r="1732" spans="4:5" s="15" customFormat="1">
      <c r="D1732" s="81"/>
      <c r="E1732" s="81"/>
    </row>
    <row r="1733" spans="4:5" s="15" customFormat="1">
      <c r="D1733" s="81"/>
      <c r="E1733" s="81"/>
    </row>
    <row r="1734" spans="4:5" s="15" customFormat="1">
      <c r="D1734" s="81"/>
      <c r="E1734" s="81"/>
    </row>
    <row r="1735" spans="4:5" s="15" customFormat="1">
      <c r="D1735" s="81"/>
      <c r="E1735" s="81"/>
    </row>
    <row r="1736" spans="4:5" s="15" customFormat="1">
      <c r="D1736" s="81"/>
      <c r="E1736" s="81"/>
    </row>
    <row r="1737" spans="4:5" s="15" customFormat="1">
      <c r="D1737" s="81"/>
      <c r="E1737" s="81"/>
    </row>
    <row r="1738" spans="4:5" s="15" customFormat="1">
      <c r="D1738" s="81"/>
      <c r="E1738" s="81"/>
    </row>
    <row r="1739" spans="4:5" s="15" customFormat="1">
      <c r="D1739" s="81"/>
      <c r="E1739" s="81"/>
    </row>
    <row r="1740" spans="4:5" s="15" customFormat="1">
      <c r="D1740" s="81"/>
      <c r="E1740" s="81"/>
    </row>
    <row r="1741" spans="4:5" s="15" customFormat="1">
      <c r="D1741" s="81"/>
      <c r="E1741" s="81"/>
    </row>
    <row r="1742" spans="4:5" s="15" customFormat="1">
      <c r="D1742" s="81"/>
      <c r="E1742" s="81"/>
    </row>
    <row r="1743" spans="4:5" s="15" customFormat="1">
      <c r="D1743" s="81"/>
      <c r="E1743" s="81"/>
    </row>
    <row r="1744" spans="4:5" s="15" customFormat="1">
      <c r="D1744" s="81"/>
      <c r="E1744" s="81"/>
    </row>
    <row r="1745" spans="4:5" s="15" customFormat="1">
      <c r="D1745" s="81"/>
      <c r="E1745" s="81"/>
    </row>
    <row r="1746" spans="4:5" s="15" customFormat="1">
      <c r="D1746" s="81"/>
      <c r="E1746" s="81"/>
    </row>
    <row r="1747" spans="4:5" s="15" customFormat="1">
      <c r="D1747" s="81"/>
      <c r="E1747" s="81"/>
    </row>
    <row r="1748" spans="4:5" s="15" customFormat="1">
      <c r="D1748" s="81"/>
      <c r="E1748" s="81"/>
    </row>
    <row r="1749" spans="4:5" s="15" customFormat="1">
      <c r="D1749" s="81"/>
      <c r="E1749" s="81"/>
    </row>
    <row r="1750" spans="4:5" s="15" customFormat="1">
      <c r="D1750" s="81"/>
      <c r="E1750" s="81"/>
    </row>
    <row r="1751" spans="4:5" s="15" customFormat="1">
      <c r="D1751" s="81"/>
      <c r="E1751" s="81"/>
    </row>
    <row r="1752" spans="4:5" s="15" customFormat="1">
      <c r="D1752" s="81"/>
      <c r="E1752" s="81"/>
    </row>
    <row r="1753" spans="4:5" s="15" customFormat="1">
      <c r="D1753" s="81"/>
      <c r="E1753" s="81"/>
    </row>
    <row r="1754" spans="4:5" s="15" customFormat="1">
      <c r="D1754" s="81"/>
      <c r="E1754" s="81"/>
    </row>
    <row r="1755" spans="4:5" s="15" customFormat="1">
      <c r="D1755" s="81"/>
      <c r="E1755" s="81"/>
    </row>
    <row r="1756" spans="4:5" s="15" customFormat="1">
      <c r="D1756" s="81"/>
      <c r="E1756" s="81"/>
    </row>
    <row r="1757" spans="4:5" s="15" customFormat="1">
      <c r="D1757" s="81"/>
      <c r="E1757" s="81"/>
    </row>
    <row r="1758" spans="4:5" s="15" customFormat="1">
      <c r="D1758" s="81"/>
      <c r="E1758" s="81"/>
    </row>
    <row r="1759" spans="4:5" s="15" customFormat="1">
      <c r="D1759" s="81"/>
      <c r="E1759" s="81"/>
    </row>
    <row r="1760" spans="4:5" s="15" customFormat="1">
      <c r="D1760" s="81"/>
      <c r="E1760" s="81"/>
    </row>
    <row r="1761" spans="4:5" s="15" customFormat="1">
      <c r="D1761" s="81"/>
      <c r="E1761" s="81"/>
    </row>
    <row r="1762" spans="4:5" s="15" customFormat="1">
      <c r="D1762" s="81"/>
      <c r="E1762" s="81"/>
    </row>
    <row r="1763" spans="4:5" s="15" customFormat="1">
      <c r="D1763" s="81"/>
      <c r="E1763" s="81"/>
    </row>
    <row r="1764" spans="4:5" s="15" customFormat="1">
      <c r="D1764" s="81"/>
      <c r="E1764" s="81"/>
    </row>
    <row r="1765" spans="4:5" s="15" customFormat="1">
      <c r="D1765" s="81"/>
      <c r="E1765" s="81"/>
    </row>
    <row r="1766" spans="4:5" s="15" customFormat="1">
      <c r="D1766" s="81"/>
      <c r="E1766" s="81"/>
    </row>
    <row r="1767" spans="4:5" s="15" customFormat="1">
      <c r="D1767" s="81"/>
      <c r="E1767" s="81"/>
    </row>
    <row r="1768" spans="4:5" s="15" customFormat="1">
      <c r="D1768" s="81"/>
      <c r="E1768" s="81"/>
    </row>
    <row r="1769" spans="4:5" s="15" customFormat="1">
      <c r="D1769" s="81"/>
      <c r="E1769" s="81"/>
    </row>
    <row r="1770" spans="4:5" s="15" customFormat="1">
      <c r="D1770" s="81"/>
      <c r="E1770" s="81"/>
    </row>
    <row r="1771" spans="4:5" s="15" customFormat="1">
      <c r="D1771" s="81"/>
      <c r="E1771" s="81"/>
    </row>
    <row r="1772" spans="4:5" s="15" customFormat="1">
      <c r="D1772" s="81"/>
      <c r="E1772" s="81"/>
    </row>
    <row r="1773" spans="4:5" s="15" customFormat="1">
      <c r="D1773" s="81"/>
      <c r="E1773" s="81"/>
    </row>
    <row r="1774" spans="4:5" s="15" customFormat="1">
      <c r="D1774" s="81"/>
      <c r="E1774" s="81"/>
    </row>
    <row r="1775" spans="4:5" s="15" customFormat="1">
      <c r="D1775" s="81"/>
      <c r="E1775" s="81"/>
    </row>
    <row r="1776" spans="4:5" s="15" customFormat="1">
      <c r="D1776" s="81"/>
      <c r="E1776" s="81"/>
    </row>
    <row r="1777" spans="4:5" s="15" customFormat="1">
      <c r="D1777" s="81"/>
      <c r="E1777" s="81"/>
    </row>
    <row r="1778" spans="4:5" s="15" customFormat="1">
      <c r="D1778" s="81"/>
      <c r="E1778" s="81"/>
    </row>
    <row r="1779" spans="4:5" s="15" customFormat="1">
      <c r="D1779" s="81"/>
      <c r="E1779" s="81"/>
    </row>
    <row r="1780" spans="4:5" s="15" customFormat="1">
      <c r="D1780" s="81"/>
      <c r="E1780" s="81"/>
    </row>
    <row r="1781" spans="4:5" s="15" customFormat="1">
      <c r="D1781" s="81"/>
      <c r="E1781" s="81"/>
    </row>
    <row r="1782" spans="4:5" s="15" customFormat="1">
      <c r="D1782" s="81"/>
      <c r="E1782" s="81"/>
    </row>
    <row r="1783" spans="4:5" s="15" customFormat="1">
      <c r="D1783" s="81"/>
      <c r="E1783" s="81"/>
    </row>
    <row r="1784" spans="4:5" s="15" customFormat="1">
      <c r="D1784" s="81"/>
      <c r="E1784" s="81"/>
    </row>
    <row r="1785" spans="4:5" s="15" customFormat="1">
      <c r="D1785" s="81"/>
      <c r="E1785" s="81"/>
    </row>
    <row r="1786" spans="4:5" s="15" customFormat="1">
      <c r="D1786" s="81"/>
      <c r="E1786" s="81"/>
    </row>
    <row r="1787" spans="4:5" s="15" customFormat="1">
      <c r="D1787" s="81"/>
      <c r="E1787" s="81"/>
    </row>
    <row r="1788" spans="4:5" s="15" customFormat="1">
      <c r="D1788" s="81"/>
      <c r="E1788" s="81"/>
    </row>
    <row r="1789" spans="4:5" s="15" customFormat="1">
      <c r="D1789" s="81"/>
      <c r="E1789" s="81"/>
    </row>
    <row r="1790" spans="4:5" s="15" customFormat="1">
      <c r="D1790" s="81"/>
      <c r="E1790" s="81"/>
    </row>
    <row r="1791" spans="4:5" s="15" customFormat="1">
      <c r="D1791" s="81"/>
      <c r="E1791" s="81"/>
    </row>
    <row r="1792" spans="4:5" s="15" customFormat="1">
      <c r="D1792" s="81"/>
      <c r="E1792" s="81"/>
    </row>
    <row r="1793" spans="4:5" s="15" customFormat="1">
      <c r="D1793" s="81"/>
      <c r="E1793" s="81"/>
    </row>
    <row r="1794" spans="4:5" s="15" customFormat="1">
      <c r="D1794" s="81"/>
      <c r="E1794" s="81"/>
    </row>
    <row r="1795" spans="4:5" s="15" customFormat="1">
      <c r="D1795" s="81"/>
      <c r="E1795" s="81"/>
    </row>
    <row r="1796" spans="4:5" s="15" customFormat="1">
      <c r="D1796" s="81"/>
      <c r="E1796" s="81"/>
    </row>
    <row r="1797" spans="4:5" s="15" customFormat="1">
      <c r="D1797" s="81"/>
      <c r="E1797" s="81"/>
    </row>
    <row r="1798" spans="4:5" s="15" customFormat="1">
      <c r="D1798" s="81"/>
      <c r="E1798" s="81"/>
    </row>
    <row r="1799" spans="4:5" s="15" customFormat="1">
      <c r="D1799" s="81"/>
      <c r="E1799" s="81"/>
    </row>
    <row r="1800" spans="4:5" s="15" customFormat="1">
      <c r="D1800" s="81"/>
      <c r="E1800" s="81"/>
    </row>
    <row r="1801" spans="4:5" s="15" customFormat="1">
      <c r="D1801" s="81"/>
      <c r="E1801" s="81"/>
    </row>
    <row r="1802" spans="4:5" s="15" customFormat="1">
      <c r="D1802" s="81"/>
      <c r="E1802" s="81"/>
    </row>
    <row r="1803" spans="4:5" s="15" customFormat="1">
      <c r="D1803" s="81"/>
      <c r="E1803" s="81"/>
    </row>
    <row r="1804" spans="4:5" s="15" customFormat="1">
      <c r="D1804" s="81"/>
      <c r="E1804" s="81"/>
    </row>
    <row r="1805" spans="4:5" s="15" customFormat="1">
      <c r="D1805" s="81"/>
      <c r="E1805" s="81"/>
    </row>
    <row r="1806" spans="4:5" s="15" customFormat="1">
      <c r="D1806" s="81"/>
      <c r="E1806" s="81"/>
    </row>
    <row r="1807" spans="4:5" s="15" customFormat="1">
      <c r="D1807" s="81"/>
      <c r="E1807" s="81"/>
    </row>
    <row r="1808" spans="4:5" s="15" customFormat="1">
      <c r="D1808" s="81"/>
      <c r="E1808" s="81"/>
    </row>
    <row r="1809" spans="4:5" s="15" customFormat="1">
      <c r="D1809" s="81"/>
      <c r="E1809" s="81"/>
    </row>
    <row r="1810" spans="4:5" s="15" customFormat="1">
      <c r="D1810" s="81"/>
      <c r="E1810" s="81"/>
    </row>
    <row r="1811" spans="4:5" s="15" customFormat="1">
      <c r="D1811" s="81"/>
      <c r="E1811" s="81"/>
    </row>
    <row r="1812" spans="4:5" s="15" customFormat="1">
      <c r="D1812" s="81"/>
      <c r="E1812" s="81"/>
    </row>
    <row r="1813" spans="4:5" s="15" customFormat="1">
      <c r="D1813" s="81"/>
      <c r="E1813" s="81"/>
    </row>
    <row r="1814" spans="4:5" s="15" customFormat="1">
      <c r="D1814" s="81"/>
      <c r="E1814" s="81"/>
    </row>
    <row r="1815" spans="4:5" s="15" customFormat="1">
      <c r="D1815" s="81"/>
      <c r="E1815" s="81"/>
    </row>
    <row r="1816" spans="4:5" s="15" customFormat="1">
      <c r="D1816" s="81"/>
      <c r="E1816" s="81"/>
    </row>
    <row r="1817" spans="4:5" s="15" customFormat="1">
      <c r="D1817" s="81"/>
      <c r="E1817" s="81"/>
    </row>
    <row r="1818" spans="4:5" s="15" customFormat="1">
      <c r="D1818" s="81"/>
      <c r="E1818" s="81"/>
    </row>
    <row r="1819" spans="4:5" s="15" customFormat="1">
      <c r="D1819" s="81"/>
      <c r="E1819" s="81"/>
    </row>
    <row r="1820" spans="4:5" s="15" customFormat="1">
      <c r="D1820" s="81"/>
      <c r="E1820" s="81"/>
    </row>
    <row r="1821" spans="4:5" s="15" customFormat="1">
      <c r="D1821" s="81"/>
      <c r="E1821" s="81"/>
    </row>
    <row r="1822" spans="4:5" s="15" customFormat="1">
      <c r="D1822" s="81"/>
      <c r="E1822" s="81"/>
    </row>
    <row r="1823" spans="4:5" s="15" customFormat="1">
      <c r="D1823" s="81"/>
      <c r="E1823" s="81"/>
    </row>
    <row r="1824" spans="4:5" s="15" customFormat="1">
      <c r="D1824" s="81"/>
      <c r="E1824" s="81"/>
    </row>
    <row r="1825" spans="4:5" s="15" customFormat="1">
      <c r="D1825" s="81"/>
      <c r="E1825" s="81"/>
    </row>
    <row r="1826" spans="4:5" s="15" customFormat="1">
      <c r="D1826" s="81"/>
      <c r="E1826" s="81"/>
    </row>
    <row r="1827" spans="4:5" s="15" customFormat="1">
      <c r="D1827" s="81"/>
      <c r="E1827" s="81"/>
    </row>
    <row r="1828" spans="4:5" s="15" customFormat="1">
      <c r="D1828" s="81"/>
      <c r="E1828" s="81"/>
    </row>
    <row r="1829" spans="4:5" s="15" customFormat="1">
      <c r="D1829" s="81"/>
      <c r="E1829" s="81"/>
    </row>
    <row r="1830" spans="4:5" s="15" customFormat="1">
      <c r="D1830" s="81"/>
      <c r="E1830" s="81"/>
    </row>
    <row r="1831" spans="4:5" s="15" customFormat="1">
      <c r="D1831" s="81"/>
      <c r="E1831" s="81"/>
    </row>
    <row r="1832" spans="4:5" s="15" customFormat="1">
      <c r="D1832" s="81"/>
      <c r="E1832" s="81"/>
    </row>
    <row r="1833" spans="4:5" s="15" customFormat="1">
      <c r="D1833" s="81"/>
      <c r="E1833" s="81"/>
    </row>
    <row r="1834" spans="4:5" s="15" customFormat="1">
      <c r="D1834" s="81"/>
      <c r="E1834" s="81"/>
    </row>
    <row r="1835" spans="4:5" s="15" customFormat="1">
      <c r="D1835" s="81"/>
      <c r="E1835" s="81"/>
    </row>
    <row r="1836" spans="4:5" s="15" customFormat="1">
      <c r="D1836" s="81"/>
      <c r="E1836" s="81"/>
    </row>
    <row r="1837" spans="4:5" s="15" customFormat="1">
      <c r="D1837" s="81"/>
      <c r="E1837" s="81"/>
    </row>
    <row r="1838" spans="4:5" s="15" customFormat="1">
      <c r="D1838" s="81"/>
      <c r="E1838" s="81"/>
    </row>
    <row r="1839" spans="4:5" s="15" customFormat="1">
      <c r="D1839" s="81"/>
      <c r="E1839" s="81"/>
    </row>
    <row r="1840" spans="4:5" s="15" customFormat="1">
      <c r="D1840" s="81"/>
      <c r="E1840" s="81"/>
    </row>
    <row r="1841" spans="4:5" s="15" customFormat="1">
      <c r="D1841" s="81"/>
      <c r="E1841" s="81"/>
    </row>
    <row r="1842" spans="4:5" s="15" customFormat="1">
      <c r="D1842" s="81"/>
      <c r="E1842" s="81"/>
    </row>
    <row r="1843" spans="4:5" s="15" customFormat="1">
      <c r="D1843" s="81"/>
      <c r="E1843" s="81"/>
    </row>
    <row r="1844" spans="4:5" s="15" customFormat="1">
      <c r="D1844" s="81"/>
      <c r="E1844" s="81"/>
    </row>
    <row r="1845" spans="4:5" s="15" customFormat="1">
      <c r="D1845" s="81"/>
      <c r="E1845" s="81"/>
    </row>
    <row r="1846" spans="4:5" s="15" customFormat="1">
      <c r="D1846" s="81"/>
      <c r="E1846" s="81"/>
    </row>
    <row r="1847" spans="4:5" s="15" customFormat="1">
      <c r="D1847" s="81"/>
      <c r="E1847" s="81"/>
    </row>
    <row r="1848" spans="4:5" s="15" customFormat="1">
      <c r="D1848" s="81"/>
      <c r="E1848" s="81"/>
    </row>
    <row r="1849" spans="4:5" s="15" customFormat="1">
      <c r="D1849" s="81"/>
      <c r="E1849" s="81"/>
    </row>
    <row r="1850" spans="4:5" s="15" customFormat="1">
      <c r="D1850" s="81"/>
      <c r="E1850" s="81"/>
    </row>
    <row r="1851" spans="4:5" s="15" customFormat="1">
      <c r="D1851" s="81"/>
      <c r="E1851" s="81"/>
    </row>
    <row r="1852" spans="4:5" s="15" customFormat="1">
      <c r="D1852" s="81"/>
      <c r="E1852" s="81"/>
    </row>
    <row r="1853" spans="4:5" s="15" customFormat="1">
      <c r="D1853" s="81"/>
      <c r="E1853" s="81"/>
    </row>
    <row r="1854" spans="4:5" s="15" customFormat="1">
      <c r="D1854" s="81"/>
      <c r="E1854" s="81"/>
    </row>
    <row r="1855" spans="4:5" s="15" customFormat="1">
      <c r="D1855" s="81"/>
      <c r="E1855" s="81"/>
    </row>
    <row r="1856" spans="4:5" s="15" customFormat="1">
      <c r="D1856" s="81"/>
      <c r="E1856" s="81"/>
    </row>
    <row r="1857" spans="4:5" s="15" customFormat="1">
      <c r="D1857" s="81"/>
      <c r="E1857" s="81"/>
    </row>
    <row r="1858" spans="4:5" s="15" customFormat="1">
      <c r="D1858" s="81"/>
      <c r="E1858" s="81"/>
    </row>
    <row r="1859" spans="4:5" s="15" customFormat="1">
      <c r="D1859" s="81"/>
      <c r="E1859" s="81"/>
    </row>
    <row r="1860" spans="4:5" s="15" customFormat="1">
      <c r="D1860" s="81"/>
      <c r="E1860" s="81"/>
    </row>
    <row r="1861" spans="4:5" s="15" customFormat="1">
      <c r="D1861" s="81"/>
      <c r="E1861" s="81"/>
    </row>
    <row r="1862" spans="4:5" s="15" customFormat="1">
      <c r="D1862" s="81"/>
      <c r="E1862" s="81"/>
    </row>
    <row r="1863" spans="4:5" s="15" customFormat="1">
      <c r="D1863" s="81"/>
      <c r="E1863" s="81"/>
    </row>
    <row r="1864" spans="4:5" s="15" customFormat="1">
      <c r="D1864" s="81"/>
      <c r="E1864" s="81"/>
    </row>
    <row r="1865" spans="4:5" s="15" customFormat="1">
      <c r="D1865" s="81"/>
      <c r="E1865" s="81"/>
    </row>
    <row r="1866" spans="4:5" s="15" customFormat="1">
      <c r="D1866" s="81"/>
      <c r="E1866" s="81"/>
    </row>
    <row r="1867" spans="4:5" s="15" customFormat="1">
      <c r="D1867" s="81"/>
      <c r="E1867" s="81"/>
    </row>
    <row r="1868" spans="4:5" s="15" customFormat="1">
      <c r="D1868" s="81"/>
      <c r="E1868" s="81"/>
    </row>
    <row r="1869" spans="4:5" s="15" customFormat="1">
      <c r="D1869" s="81"/>
      <c r="E1869" s="81"/>
    </row>
    <row r="1870" spans="4:5" s="15" customFormat="1">
      <c r="D1870" s="81"/>
      <c r="E1870" s="81"/>
    </row>
    <row r="1871" spans="4:5" s="15" customFormat="1">
      <c r="D1871" s="81"/>
      <c r="E1871" s="81"/>
    </row>
    <row r="1872" spans="4:5" s="15" customFormat="1">
      <c r="D1872" s="81"/>
      <c r="E1872" s="81"/>
    </row>
    <row r="1873" spans="4:5" s="15" customFormat="1">
      <c r="D1873" s="81"/>
      <c r="E1873" s="81"/>
    </row>
    <row r="1874" spans="4:5" s="15" customFormat="1">
      <c r="D1874" s="81"/>
      <c r="E1874" s="81"/>
    </row>
    <row r="1875" spans="4:5" s="15" customFormat="1">
      <c r="D1875" s="81"/>
      <c r="E1875" s="81"/>
    </row>
    <row r="1876" spans="4:5" s="15" customFormat="1">
      <c r="D1876" s="81"/>
      <c r="E1876" s="81"/>
    </row>
    <row r="1877" spans="4:5" s="15" customFormat="1">
      <c r="D1877" s="81"/>
      <c r="E1877" s="81"/>
    </row>
    <row r="1878" spans="4:5" s="15" customFormat="1">
      <c r="D1878" s="81"/>
      <c r="E1878" s="81"/>
    </row>
    <row r="1879" spans="4:5" s="15" customFormat="1">
      <c r="D1879" s="81"/>
      <c r="E1879" s="81"/>
    </row>
    <row r="1880" spans="4:5" s="15" customFormat="1">
      <c r="D1880" s="81"/>
      <c r="E1880" s="81"/>
    </row>
    <row r="1881" spans="4:5" s="15" customFormat="1">
      <c r="D1881" s="81"/>
      <c r="E1881" s="81"/>
    </row>
    <row r="1882" spans="4:5" s="15" customFormat="1">
      <c r="D1882" s="81"/>
      <c r="E1882" s="81"/>
    </row>
    <row r="1883" spans="4:5" s="15" customFormat="1">
      <c r="D1883" s="81"/>
      <c r="E1883" s="81"/>
    </row>
    <row r="1884" spans="4:5" s="15" customFormat="1">
      <c r="D1884" s="81"/>
      <c r="E1884" s="81"/>
    </row>
    <row r="1885" spans="4:5" s="15" customFormat="1">
      <c r="D1885" s="81"/>
      <c r="E1885" s="81"/>
    </row>
    <row r="1886" spans="4:5" s="15" customFormat="1">
      <c r="D1886" s="81"/>
      <c r="E1886" s="81"/>
    </row>
    <row r="1887" spans="4:5" s="15" customFormat="1">
      <c r="D1887" s="81"/>
      <c r="E1887" s="81"/>
    </row>
    <row r="1888" spans="4:5" s="15" customFormat="1">
      <c r="D1888" s="81"/>
      <c r="E1888" s="81"/>
    </row>
    <row r="1889" spans="4:5" s="15" customFormat="1">
      <c r="D1889" s="81"/>
      <c r="E1889" s="81"/>
    </row>
    <row r="1890" spans="4:5" s="15" customFormat="1">
      <c r="D1890" s="81"/>
      <c r="E1890" s="81"/>
    </row>
    <row r="1891" spans="4:5" s="15" customFormat="1">
      <c r="D1891" s="81"/>
      <c r="E1891" s="81"/>
    </row>
    <row r="1892" spans="4:5" s="15" customFormat="1">
      <c r="D1892" s="81"/>
      <c r="E1892" s="81"/>
    </row>
    <row r="1893" spans="4:5" s="15" customFormat="1">
      <c r="D1893" s="81"/>
      <c r="E1893" s="81"/>
    </row>
    <row r="1894" spans="4:5" s="15" customFormat="1">
      <c r="D1894" s="81"/>
      <c r="E1894" s="81"/>
    </row>
    <row r="1895" spans="4:5" s="15" customFormat="1">
      <c r="D1895" s="81"/>
      <c r="E1895" s="81"/>
    </row>
    <row r="1896" spans="4:5" s="15" customFormat="1">
      <c r="D1896" s="81"/>
      <c r="E1896" s="81"/>
    </row>
    <row r="1897" spans="4:5" s="15" customFormat="1">
      <c r="D1897" s="81"/>
      <c r="E1897" s="81"/>
    </row>
    <row r="1898" spans="4:5" s="15" customFormat="1">
      <c r="D1898" s="81"/>
      <c r="E1898" s="81"/>
    </row>
    <row r="1899" spans="4:5" s="15" customFormat="1">
      <c r="D1899" s="81"/>
      <c r="E1899" s="81"/>
    </row>
    <row r="1900" spans="4:5" s="15" customFormat="1">
      <c r="D1900" s="81"/>
      <c r="E1900" s="81"/>
    </row>
    <row r="1901" spans="4:5" s="15" customFormat="1">
      <c r="D1901" s="81"/>
      <c r="E1901" s="81"/>
    </row>
    <row r="1902" spans="4:5" s="15" customFormat="1">
      <c r="D1902" s="81"/>
      <c r="E1902" s="81"/>
    </row>
    <row r="1903" spans="4:5" s="15" customFormat="1">
      <c r="D1903" s="81"/>
      <c r="E1903" s="81"/>
    </row>
    <row r="1904" spans="4:5" s="15" customFormat="1">
      <c r="D1904" s="81"/>
      <c r="E1904" s="81"/>
    </row>
    <row r="1905" spans="4:5" s="15" customFormat="1">
      <c r="D1905" s="81"/>
      <c r="E1905" s="81"/>
    </row>
    <row r="1906" spans="4:5" s="15" customFormat="1">
      <c r="D1906" s="81"/>
      <c r="E1906" s="81"/>
    </row>
    <row r="1907" spans="4:5" s="15" customFormat="1">
      <c r="D1907" s="81"/>
      <c r="E1907" s="81"/>
    </row>
    <row r="1908" spans="4:5" s="15" customFormat="1">
      <c r="D1908" s="81"/>
      <c r="E1908" s="81"/>
    </row>
    <row r="1909" spans="4:5" s="15" customFormat="1">
      <c r="D1909" s="81"/>
      <c r="E1909" s="81"/>
    </row>
    <row r="1910" spans="4:5" s="15" customFormat="1">
      <c r="D1910" s="81"/>
      <c r="E1910" s="81"/>
    </row>
    <row r="1911" spans="4:5" s="15" customFormat="1">
      <c r="D1911" s="81"/>
      <c r="E1911" s="81"/>
    </row>
    <row r="1912" spans="4:5" s="15" customFormat="1">
      <c r="D1912" s="81"/>
      <c r="E1912" s="81"/>
    </row>
    <row r="1913" spans="4:5" s="15" customFormat="1">
      <c r="D1913" s="81"/>
      <c r="E1913" s="81"/>
    </row>
    <row r="1914" spans="4:5" s="15" customFormat="1">
      <c r="D1914" s="81"/>
      <c r="E1914" s="81"/>
    </row>
    <row r="1915" spans="4:5" s="15" customFormat="1">
      <c r="D1915" s="81"/>
      <c r="E1915" s="81"/>
    </row>
    <row r="1916" spans="4:5" s="15" customFormat="1">
      <c r="D1916" s="81"/>
      <c r="E1916" s="81"/>
    </row>
    <row r="1917" spans="4:5" s="15" customFormat="1">
      <c r="D1917" s="81"/>
      <c r="E1917" s="81"/>
    </row>
    <row r="1918" spans="4:5" s="15" customFormat="1">
      <c r="D1918" s="81"/>
      <c r="E1918" s="81"/>
    </row>
    <row r="1919" spans="4:5" s="15" customFormat="1">
      <c r="D1919" s="81"/>
      <c r="E1919" s="81"/>
    </row>
    <row r="1920" spans="4:5" s="15" customFormat="1">
      <c r="D1920" s="81"/>
      <c r="E1920" s="81"/>
    </row>
    <row r="1921" spans="4:5" s="15" customFormat="1">
      <c r="D1921" s="81"/>
      <c r="E1921" s="81"/>
    </row>
    <row r="1922" spans="4:5" s="15" customFormat="1">
      <c r="D1922" s="81"/>
      <c r="E1922" s="81"/>
    </row>
    <row r="1923" spans="4:5" s="15" customFormat="1">
      <c r="D1923" s="81"/>
      <c r="E1923" s="81"/>
    </row>
    <row r="1924" spans="4:5" s="15" customFormat="1">
      <c r="D1924" s="81"/>
      <c r="E1924" s="81"/>
    </row>
    <row r="1925" spans="4:5" s="15" customFormat="1">
      <c r="D1925" s="81"/>
      <c r="E1925" s="81"/>
    </row>
    <row r="1926" spans="4:5" s="15" customFormat="1">
      <c r="D1926" s="81"/>
      <c r="E1926" s="81"/>
    </row>
    <row r="1927" spans="4:5" s="15" customFormat="1">
      <c r="D1927" s="81"/>
      <c r="E1927" s="81"/>
    </row>
    <row r="1928" spans="4:5" s="15" customFormat="1">
      <c r="D1928" s="81"/>
      <c r="E1928" s="81"/>
    </row>
    <row r="1929" spans="4:5" s="15" customFormat="1">
      <c r="D1929" s="81"/>
      <c r="E1929" s="81"/>
    </row>
    <row r="1930" spans="4:5" s="15" customFormat="1">
      <c r="D1930" s="81"/>
      <c r="E1930" s="81"/>
    </row>
    <row r="1931" spans="4:5" s="15" customFormat="1">
      <c r="D1931" s="81"/>
      <c r="E1931" s="81"/>
    </row>
    <row r="1932" spans="4:5" s="15" customFormat="1">
      <c r="D1932" s="81"/>
      <c r="E1932" s="81"/>
    </row>
    <row r="1933" spans="4:5" s="15" customFormat="1">
      <c r="D1933" s="81"/>
      <c r="E1933" s="81"/>
    </row>
    <row r="1934" spans="4:5" s="15" customFormat="1">
      <c r="D1934" s="81"/>
      <c r="E1934" s="81"/>
    </row>
    <row r="1935" spans="4:5" s="15" customFormat="1">
      <c r="D1935" s="81"/>
      <c r="E1935" s="81"/>
    </row>
    <row r="1936" spans="4:5" s="15" customFormat="1">
      <c r="D1936" s="81"/>
      <c r="E1936" s="81"/>
    </row>
    <row r="1937" spans="4:5" s="15" customFormat="1">
      <c r="D1937" s="81"/>
      <c r="E1937" s="81"/>
    </row>
    <row r="1938" spans="4:5" s="15" customFormat="1">
      <c r="D1938" s="81"/>
      <c r="E1938" s="81"/>
    </row>
    <row r="1939" spans="4:5" s="15" customFormat="1">
      <c r="D1939" s="81"/>
      <c r="E1939" s="81"/>
    </row>
    <row r="1940" spans="4:5" s="15" customFormat="1">
      <c r="D1940" s="81"/>
      <c r="E1940" s="81"/>
    </row>
    <row r="1941" spans="4:5" s="15" customFormat="1">
      <c r="D1941" s="81"/>
      <c r="E1941" s="81"/>
    </row>
    <row r="1942" spans="4:5" s="15" customFormat="1">
      <c r="D1942" s="81"/>
      <c r="E1942" s="81"/>
    </row>
    <row r="1943" spans="4:5" s="15" customFormat="1">
      <c r="D1943" s="81"/>
      <c r="E1943" s="81"/>
    </row>
    <row r="1944" spans="4:5" s="15" customFormat="1">
      <c r="D1944" s="81"/>
      <c r="E1944" s="81"/>
    </row>
    <row r="1945" spans="4:5" s="15" customFormat="1">
      <c r="D1945" s="81"/>
      <c r="E1945" s="81"/>
    </row>
    <row r="1946" spans="4:5" s="15" customFormat="1">
      <c r="D1946" s="81"/>
      <c r="E1946" s="81"/>
    </row>
    <row r="1947" spans="4:5" s="15" customFormat="1">
      <c r="D1947" s="81"/>
      <c r="E1947" s="81"/>
    </row>
    <row r="1948" spans="4:5" s="15" customFormat="1">
      <c r="D1948" s="81"/>
      <c r="E1948" s="81"/>
    </row>
    <row r="1949" spans="4:5" s="15" customFormat="1">
      <c r="D1949" s="81"/>
      <c r="E1949" s="81"/>
    </row>
    <row r="1950" spans="4:5" s="15" customFormat="1">
      <c r="D1950" s="81"/>
      <c r="E1950" s="81"/>
    </row>
    <row r="1951" spans="4:5" s="15" customFormat="1">
      <c r="D1951" s="81"/>
      <c r="E1951" s="81"/>
    </row>
    <row r="1952" spans="4:5" s="15" customFormat="1">
      <c r="D1952" s="81"/>
      <c r="E1952" s="81"/>
    </row>
    <row r="1953" spans="4:5" s="15" customFormat="1">
      <c r="D1953" s="81"/>
      <c r="E1953" s="81"/>
    </row>
    <row r="1954" spans="4:5" s="15" customFormat="1">
      <c r="D1954" s="81"/>
      <c r="E1954" s="81"/>
    </row>
    <row r="1955" spans="4:5" s="15" customFormat="1">
      <c r="D1955" s="81"/>
      <c r="E1955" s="81"/>
    </row>
    <row r="1956" spans="4:5" s="15" customFormat="1">
      <c r="D1956" s="81"/>
      <c r="E1956" s="81"/>
    </row>
    <row r="1957" spans="4:5" s="15" customFormat="1">
      <c r="D1957" s="81"/>
      <c r="E1957" s="81"/>
    </row>
    <row r="1958" spans="4:5" s="15" customFormat="1">
      <c r="D1958" s="81"/>
      <c r="E1958" s="81"/>
    </row>
    <row r="1959" spans="4:5" s="15" customFormat="1">
      <c r="D1959" s="81"/>
      <c r="E1959" s="81"/>
    </row>
    <row r="1960" spans="4:5" s="15" customFormat="1">
      <c r="D1960" s="81"/>
      <c r="E1960" s="81"/>
    </row>
    <row r="1961" spans="4:5" s="15" customFormat="1">
      <c r="D1961" s="81"/>
      <c r="E1961" s="81"/>
    </row>
    <row r="1962" spans="4:5" s="15" customFormat="1">
      <c r="D1962" s="81"/>
      <c r="E1962" s="81"/>
    </row>
    <row r="1963" spans="4:5" s="15" customFormat="1">
      <c r="D1963" s="81"/>
      <c r="E1963" s="81"/>
    </row>
    <row r="1964" spans="4:5" s="15" customFormat="1">
      <c r="D1964" s="81"/>
      <c r="E1964" s="81"/>
    </row>
    <row r="1965" spans="4:5" s="15" customFormat="1">
      <c r="D1965" s="81"/>
      <c r="E1965" s="81"/>
    </row>
    <row r="1966" spans="4:5" s="15" customFormat="1">
      <c r="D1966" s="81"/>
      <c r="E1966" s="81"/>
    </row>
    <row r="1967" spans="4:5" s="15" customFormat="1">
      <c r="D1967" s="81"/>
      <c r="E1967" s="81"/>
    </row>
    <row r="1968" spans="4:5" s="15" customFormat="1">
      <c r="D1968" s="81"/>
      <c r="E1968" s="81"/>
    </row>
    <row r="1969" spans="4:5" s="15" customFormat="1">
      <c r="D1969" s="81"/>
      <c r="E1969" s="81"/>
    </row>
    <row r="1970" spans="4:5" s="15" customFormat="1">
      <c r="D1970" s="81"/>
      <c r="E1970" s="81"/>
    </row>
    <row r="1971" spans="4:5" s="15" customFormat="1">
      <c r="D1971" s="81"/>
      <c r="E1971" s="81"/>
    </row>
    <row r="1972" spans="4:5" s="15" customFormat="1">
      <c r="D1972" s="81"/>
      <c r="E1972" s="81"/>
    </row>
    <row r="1973" spans="4:5" s="15" customFormat="1">
      <c r="D1973" s="81"/>
      <c r="E1973" s="81"/>
    </row>
    <row r="1974" spans="4:5" s="15" customFormat="1">
      <c r="D1974" s="81"/>
      <c r="E1974" s="81"/>
    </row>
    <row r="1975" spans="4:5" s="15" customFormat="1">
      <c r="D1975" s="81"/>
      <c r="E1975" s="81"/>
    </row>
    <row r="1976" spans="4:5" s="15" customFormat="1">
      <c r="D1976" s="81"/>
      <c r="E1976" s="81"/>
    </row>
    <row r="1977" spans="4:5" s="15" customFormat="1">
      <c r="D1977" s="81"/>
      <c r="E1977" s="81"/>
    </row>
    <row r="1978" spans="4:5" s="15" customFormat="1">
      <c r="D1978" s="81"/>
      <c r="E1978" s="81"/>
    </row>
    <row r="1979" spans="4:5" s="15" customFormat="1">
      <c r="D1979" s="81"/>
      <c r="E1979" s="81"/>
    </row>
    <row r="1980" spans="4:5" s="15" customFormat="1">
      <c r="D1980" s="81"/>
      <c r="E1980" s="81"/>
    </row>
    <row r="1981" spans="4:5" s="15" customFormat="1">
      <c r="D1981" s="81"/>
      <c r="E1981" s="81"/>
    </row>
    <row r="1982" spans="4:5" s="15" customFormat="1">
      <c r="D1982" s="81"/>
      <c r="E1982" s="81"/>
    </row>
    <row r="1983" spans="4:5" s="15" customFormat="1">
      <c r="D1983" s="81"/>
      <c r="E1983" s="81"/>
    </row>
    <row r="1984" spans="4:5" s="15" customFormat="1">
      <c r="D1984" s="81"/>
      <c r="E1984" s="81"/>
    </row>
    <row r="1985" spans="4:5" s="15" customFormat="1">
      <c r="D1985" s="81"/>
      <c r="E1985" s="81"/>
    </row>
    <row r="1986" spans="4:5" s="15" customFormat="1">
      <c r="D1986" s="81"/>
      <c r="E1986" s="81"/>
    </row>
    <row r="1987" spans="4:5" s="15" customFormat="1">
      <c r="D1987" s="81"/>
      <c r="E1987" s="81"/>
    </row>
    <row r="1988" spans="4:5" s="15" customFormat="1">
      <c r="D1988" s="81"/>
      <c r="E1988" s="81"/>
    </row>
    <row r="1989" spans="4:5" s="15" customFormat="1">
      <c r="D1989" s="81"/>
      <c r="E1989" s="81"/>
    </row>
    <row r="1990" spans="4:5" s="15" customFormat="1">
      <c r="D1990" s="81"/>
      <c r="E1990" s="81"/>
    </row>
    <row r="1991" spans="4:5" s="15" customFormat="1">
      <c r="D1991" s="81"/>
      <c r="E1991" s="81"/>
    </row>
    <row r="1992" spans="4:5" s="15" customFormat="1">
      <c r="D1992" s="81"/>
      <c r="E1992" s="81"/>
    </row>
    <row r="1993" spans="4:5" s="15" customFormat="1">
      <c r="D1993" s="81"/>
      <c r="E1993" s="81"/>
    </row>
    <row r="1994" spans="4:5" s="15" customFormat="1">
      <c r="D1994" s="81"/>
      <c r="E1994" s="81"/>
    </row>
    <row r="1995" spans="4:5" s="15" customFormat="1">
      <c r="D1995" s="81"/>
      <c r="E1995" s="81"/>
    </row>
    <row r="1996" spans="4:5" s="15" customFormat="1">
      <c r="D1996" s="81"/>
      <c r="E1996" s="81"/>
    </row>
    <row r="1997" spans="4:5" s="15" customFormat="1">
      <c r="D1997" s="81"/>
      <c r="E1997" s="81"/>
    </row>
    <row r="1998" spans="4:5" s="15" customFormat="1">
      <c r="D1998" s="81"/>
      <c r="E1998" s="81"/>
    </row>
    <row r="1999" spans="4:5" s="15" customFormat="1">
      <c r="D1999" s="81"/>
      <c r="E1999" s="81"/>
    </row>
    <row r="2000" spans="4:5" s="15" customFormat="1">
      <c r="D2000" s="81"/>
      <c r="E2000" s="81"/>
    </row>
    <row r="2001" spans="4:5" s="15" customFormat="1">
      <c r="D2001" s="81"/>
      <c r="E2001" s="81"/>
    </row>
    <row r="2002" spans="4:5" s="15" customFormat="1">
      <c r="D2002" s="81"/>
      <c r="E2002" s="81"/>
    </row>
    <row r="2003" spans="4:5" s="15" customFormat="1">
      <c r="D2003" s="81"/>
      <c r="E2003" s="81"/>
    </row>
    <row r="2004" spans="4:5" s="15" customFormat="1">
      <c r="D2004" s="81"/>
      <c r="E2004" s="81"/>
    </row>
    <row r="2005" spans="4:5" s="15" customFormat="1">
      <c r="D2005" s="81"/>
      <c r="E2005" s="81"/>
    </row>
    <row r="2006" spans="4:5" s="15" customFormat="1">
      <c r="D2006" s="81"/>
      <c r="E2006" s="81"/>
    </row>
    <row r="2007" spans="4:5" s="15" customFormat="1">
      <c r="D2007" s="81"/>
      <c r="E2007" s="81"/>
    </row>
    <row r="2008" spans="4:5" s="15" customFormat="1">
      <c r="D2008" s="81"/>
      <c r="E2008" s="81"/>
    </row>
    <row r="2009" spans="4:5" s="15" customFormat="1">
      <c r="D2009" s="81"/>
      <c r="E2009" s="81"/>
    </row>
    <row r="2010" spans="4:5" s="15" customFormat="1">
      <c r="D2010" s="81"/>
      <c r="E2010" s="81"/>
    </row>
    <row r="2011" spans="4:5" s="15" customFormat="1">
      <c r="D2011" s="81"/>
      <c r="E2011" s="81"/>
    </row>
    <row r="2012" spans="4:5" s="15" customFormat="1">
      <c r="D2012" s="81"/>
      <c r="E2012" s="81"/>
    </row>
    <row r="2013" spans="4:5" s="15" customFormat="1">
      <c r="D2013" s="81"/>
      <c r="E2013" s="81"/>
    </row>
    <row r="2014" spans="4:5" s="15" customFormat="1">
      <c r="D2014" s="81"/>
      <c r="E2014" s="81"/>
    </row>
    <row r="2015" spans="4:5" s="15" customFormat="1">
      <c r="D2015" s="81"/>
      <c r="E2015" s="81"/>
    </row>
    <row r="2016" spans="4:5" s="15" customFormat="1">
      <c r="D2016" s="81"/>
      <c r="E2016" s="81"/>
    </row>
    <row r="2017" spans="4:5" s="15" customFormat="1">
      <c r="D2017" s="81"/>
      <c r="E2017" s="81"/>
    </row>
    <row r="2018" spans="4:5" s="15" customFormat="1">
      <c r="D2018" s="81"/>
      <c r="E2018" s="81"/>
    </row>
    <row r="2019" spans="4:5" s="15" customFormat="1">
      <c r="D2019" s="81"/>
      <c r="E2019" s="81"/>
    </row>
    <row r="2020" spans="4:5" s="15" customFormat="1">
      <c r="D2020" s="81"/>
      <c r="E2020" s="81"/>
    </row>
    <row r="2021" spans="4:5" s="15" customFormat="1">
      <c r="D2021" s="81"/>
      <c r="E2021" s="81"/>
    </row>
    <row r="2022" spans="4:5" s="15" customFormat="1">
      <c r="D2022" s="81"/>
      <c r="E2022" s="81"/>
    </row>
    <row r="2023" spans="4:5" s="15" customFormat="1">
      <c r="D2023" s="81"/>
      <c r="E2023" s="81"/>
    </row>
    <row r="2024" spans="4:5" s="15" customFormat="1">
      <c r="D2024" s="81"/>
      <c r="E2024" s="81"/>
    </row>
    <row r="2025" spans="4:5" s="15" customFormat="1">
      <c r="D2025" s="81"/>
      <c r="E2025" s="81"/>
    </row>
    <row r="2026" spans="4:5" s="15" customFormat="1">
      <c r="D2026" s="81"/>
      <c r="E2026" s="81"/>
    </row>
    <row r="2027" spans="4:5" s="15" customFormat="1">
      <c r="D2027" s="81"/>
      <c r="E2027" s="81"/>
    </row>
    <row r="2028" spans="4:5" s="15" customFormat="1">
      <c r="D2028" s="81"/>
      <c r="E2028" s="81"/>
    </row>
    <row r="2029" spans="4:5" s="15" customFormat="1">
      <c r="D2029" s="81"/>
      <c r="E2029" s="81"/>
    </row>
    <row r="2030" spans="4:5" s="15" customFormat="1">
      <c r="D2030" s="81"/>
      <c r="E2030" s="81"/>
    </row>
    <row r="2031" spans="4:5" s="15" customFormat="1">
      <c r="D2031" s="81"/>
      <c r="E2031" s="81"/>
    </row>
    <row r="2032" spans="4:5" s="15" customFormat="1">
      <c r="D2032" s="81"/>
      <c r="E2032" s="81"/>
    </row>
    <row r="2033" spans="4:5" s="15" customFormat="1">
      <c r="D2033" s="81"/>
      <c r="E2033" s="81"/>
    </row>
    <row r="2034" spans="4:5" s="15" customFormat="1">
      <c r="D2034" s="81"/>
      <c r="E2034" s="81"/>
    </row>
    <row r="2035" spans="4:5" s="15" customFormat="1">
      <c r="D2035" s="81"/>
      <c r="E2035" s="81"/>
    </row>
    <row r="2036" spans="4:5" s="15" customFormat="1">
      <c r="D2036" s="81"/>
      <c r="E2036" s="81"/>
    </row>
    <row r="2037" spans="4:5" s="15" customFormat="1">
      <c r="D2037" s="81"/>
      <c r="E2037" s="81"/>
    </row>
    <row r="2038" spans="4:5" s="15" customFormat="1">
      <c r="D2038" s="81"/>
      <c r="E2038" s="81"/>
    </row>
    <row r="2039" spans="4:5" s="15" customFormat="1">
      <c r="D2039" s="81"/>
      <c r="E2039" s="81"/>
    </row>
    <row r="2040" spans="4:5" s="15" customFormat="1">
      <c r="D2040" s="81"/>
      <c r="E2040" s="81"/>
    </row>
    <row r="2041" spans="4:5" s="15" customFormat="1">
      <c r="D2041" s="81"/>
      <c r="E2041" s="81"/>
    </row>
    <row r="2042" spans="4:5" s="15" customFormat="1">
      <c r="D2042" s="81"/>
      <c r="E2042" s="81"/>
    </row>
    <row r="2043" spans="4:5" s="15" customFormat="1">
      <c r="D2043" s="81"/>
      <c r="E2043" s="81"/>
    </row>
    <row r="2044" spans="4:5" s="15" customFormat="1">
      <c r="D2044" s="81"/>
      <c r="E2044" s="81"/>
    </row>
    <row r="2045" spans="4:5" s="15" customFormat="1">
      <c r="D2045" s="81"/>
      <c r="E2045" s="81"/>
    </row>
    <row r="2046" spans="4:5" s="15" customFormat="1">
      <c r="D2046" s="81"/>
      <c r="E2046" s="81"/>
    </row>
    <row r="2047" spans="4:5" s="15" customFormat="1">
      <c r="D2047" s="81"/>
      <c r="E2047" s="81"/>
    </row>
    <row r="2048" spans="4:5" s="15" customFormat="1">
      <c r="D2048" s="81"/>
      <c r="E2048" s="81"/>
    </row>
    <row r="2049" spans="4:5" s="15" customFormat="1">
      <c r="D2049" s="81"/>
      <c r="E2049" s="81"/>
    </row>
    <row r="2050" spans="4:5" s="15" customFormat="1">
      <c r="D2050" s="81"/>
      <c r="E2050" s="81"/>
    </row>
    <row r="2051" spans="4:5" s="15" customFormat="1">
      <c r="D2051" s="81"/>
      <c r="E2051" s="81"/>
    </row>
    <row r="2052" spans="4:5" s="15" customFormat="1">
      <c r="D2052" s="81"/>
      <c r="E2052" s="81"/>
    </row>
    <row r="2053" spans="4:5" s="15" customFormat="1">
      <c r="D2053" s="81"/>
      <c r="E2053" s="81"/>
    </row>
    <row r="2054" spans="4:5" s="15" customFormat="1">
      <c r="D2054" s="81"/>
      <c r="E2054" s="81"/>
    </row>
    <row r="2055" spans="4:5" s="15" customFormat="1">
      <c r="D2055" s="81"/>
      <c r="E2055" s="81"/>
    </row>
    <row r="2056" spans="4:5" s="15" customFormat="1">
      <c r="D2056" s="81"/>
      <c r="E2056" s="81"/>
    </row>
    <row r="2057" spans="4:5" s="15" customFormat="1">
      <c r="D2057" s="81"/>
      <c r="E2057" s="81"/>
    </row>
    <row r="2058" spans="4:5" s="15" customFormat="1">
      <c r="D2058" s="81"/>
      <c r="E2058" s="81"/>
    </row>
    <row r="2059" spans="4:5" s="15" customFormat="1">
      <c r="D2059" s="81"/>
      <c r="E2059" s="81"/>
    </row>
    <row r="2060" spans="4:5" s="15" customFormat="1">
      <c r="D2060" s="81"/>
      <c r="E2060" s="81"/>
    </row>
    <row r="2061" spans="4:5" s="15" customFormat="1">
      <c r="D2061" s="81"/>
      <c r="E2061" s="81"/>
    </row>
    <row r="2062" spans="4:5" s="15" customFormat="1">
      <c r="D2062" s="81"/>
      <c r="E2062" s="81"/>
    </row>
    <row r="2063" spans="4:5" s="15" customFormat="1">
      <c r="D2063" s="81"/>
      <c r="E2063" s="81"/>
    </row>
    <row r="2064" spans="4:5" s="15" customFormat="1">
      <c r="D2064" s="81"/>
      <c r="E2064" s="81"/>
    </row>
    <row r="2065" spans="4:5" s="15" customFormat="1">
      <c r="D2065" s="81"/>
      <c r="E2065" s="81"/>
    </row>
    <row r="2066" spans="4:5" s="15" customFormat="1">
      <c r="D2066" s="81"/>
      <c r="E2066" s="81"/>
    </row>
    <row r="2067" spans="4:5" s="15" customFormat="1">
      <c r="D2067" s="81"/>
      <c r="E2067" s="81"/>
    </row>
    <row r="2068" spans="4:5" s="15" customFormat="1">
      <c r="D2068" s="81"/>
      <c r="E2068" s="81"/>
    </row>
    <row r="2069" spans="4:5" s="15" customFormat="1">
      <c r="D2069" s="81"/>
      <c r="E2069" s="81"/>
    </row>
    <row r="2070" spans="4:5" s="15" customFormat="1">
      <c r="D2070" s="81"/>
      <c r="E2070" s="81"/>
    </row>
    <row r="2071" spans="4:5" s="15" customFormat="1">
      <c r="D2071" s="81"/>
      <c r="E2071" s="81"/>
    </row>
    <row r="2072" spans="4:5" s="15" customFormat="1">
      <c r="D2072" s="81"/>
      <c r="E2072" s="81"/>
    </row>
    <row r="2073" spans="4:5" s="15" customFormat="1">
      <c r="D2073" s="81"/>
      <c r="E2073" s="81"/>
    </row>
    <row r="2074" spans="4:5" s="15" customFormat="1">
      <c r="D2074" s="81"/>
      <c r="E2074" s="81"/>
    </row>
    <row r="2075" spans="4:5" s="15" customFormat="1">
      <c r="D2075" s="81"/>
      <c r="E2075" s="81"/>
    </row>
    <row r="2076" spans="4:5" s="15" customFormat="1">
      <c r="D2076" s="81"/>
      <c r="E2076" s="81"/>
    </row>
    <row r="2077" spans="4:5" s="15" customFormat="1">
      <c r="D2077" s="81"/>
      <c r="E2077" s="81"/>
    </row>
    <row r="2078" spans="4:5" s="15" customFormat="1">
      <c r="D2078" s="81"/>
      <c r="E2078" s="81"/>
    </row>
    <row r="2079" spans="4:5" s="15" customFormat="1">
      <c r="D2079" s="81"/>
      <c r="E2079" s="81"/>
    </row>
    <row r="2080" spans="4:5" s="15" customFormat="1">
      <c r="D2080" s="81"/>
      <c r="E2080" s="81"/>
    </row>
    <row r="2081" spans="4:5" s="15" customFormat="1">
      <c r="D2081" s="81"/>
      <c r="E2081" s="81"/>
    </row>
    <row r="2082" spans="4:5" s="15" customFormat="1">
      <c r="D2082" s="81"/>
      <c r="E2082" s="81"/>
    </row>
    <row r="2083" spans="4:5" s="15" customFormat="1">
      <c r="D2083" s="81"/>
      <c r="E2083" s="81"/>
    </row>
    <row r="2084" spans="4:5" s="15" customFormat="1">
      <c r="D2084" s="81"/>
      <c r="E2084" s="81"/>
    </row>
    <row r="2085" spans="4:5" s="15" customFormat="1">
      <c r="D2085" s="81"/>
      <c r="E2085" s="81"/>
    </row>
    <row r="2086" spans="4:5" s="15" customFormat="1">
      <c r="D2086" s="81"/>
      <c r="E2086" s="81"/>
    </row>
    <row r="2087" spans="4:5" s="15" customFormat="1">
      <c r="D2087" s="81"/>
      <c r="E2087" s="81"/>
    </row>
    <row r="2088" spans="4:5" s="15" customFormat="1">
      <c r="D2088" s="81"/>
      <c r="E2088" s="81"/>
    </row>
    <row r="2089" spans="4:5" s="15" customFormat="1">
      <c r="D2089" s="81"/>
      <c r="E2089" s="81"/>
    </row>
    <row r="2090" spans="4:5" s="15" customFormat="1">
      <c r="D2090" s="81"/>
      <c r="E2090" s="81"/>
    </row>
    <row r="2091" spans="4:5" s="15" customFormat="1">
      <c r="D2091" s="81"/>
      <c r="E2091" s="81"/>
    </row>
    <row r="2092" spans="4:5" s="15" customFormat="1">
      <c r="D2092" s="81"/>
      <c r="E2092" s="81"/>
    </row>
    <row r="2093" spans="4:5" s="15" customFormat="1">
      <c r="D2093" s="81"/>
      <c r="E2093" s="81"/>
    </row>
    <row r="2094" spans="4:5" s="15" customFormat="1">
      <c r="D2094" s="81"/>
      <c r="E2094" s="81"/>
    </row>
    <row r="2095" spans="4:5" s="15" customFormat="1">
      <c r="D2095" s="81"/>
      <c r="E2095" s="81"/>
    </row>
    <row r="2096" spans="4:5" s="15" customFormat="1">
      <c r="D2096" s="81"/>
      <c r="E2096" s="81"/>
    </row>
    <row r="2097" spans="4:5" s="15" customFormat="1">
      <c r="D2097" s="81"/>
      <c r="E2097" s="81"/>
    </row>
    <row r="2098" spans="4:5" s="15" customFormat="1">
      <c r="D2098" s="81"/>
      <c r="E2098" s="81"/>
    </row>
    <row r="2099" spans="4:5" s="15" customFormat="1">
      <c r="D2099" s="81"/>
      <c r="E2099" s="81"/>
    </row>
    <row r="2100" spans="4:5" s="15" customFormat="1">
      <c r="D2100" s="81"/>
      <c r="E2100" s="81"/>
    </row>
    <row r="2101" spans="4:5" s="15" customFormat="1">
      <c r="D2101" s="81"/>
      <c r="E2101" s="81"/>
    </row>
    <row r="2102" spans="4:5" s="15" customFormat="1">
      <c r="D2102" s="81"/>
      <c r="E2102" s="81"/>
    </row>
    <row r="2103" spans="4:5" s="15" customFormat="1">
      <c r="D2103" s="81"/>
      <c r="E2103" s="81"/>
    </row>
    <row r="2104" spans="4:5" s="15" customFormat="1">
      <c r="D2104" s="81"/>
      <c r="E2104" s="81"/>
    </row>
    <row r="2105" spans="4:5" s="15" customFormat="1">
      <c r="D2105" s="81"/>
      <c r="E2105" s="81"/>
    </row>
    <row r="2106" spans="4:5" s="15" customFormat="1">
      <c r="D2106" s="81"/>
      <c r="E2106" s="81"/>
    </row>
    <row r="2107" spans="4:5" s="15" customFormat="1">
      <c r="D2107" s="81"/>
      <c r="E2107" s="81"/>
    </row>
    <row r="2108" spans="4:5" s="15" customFormat="1">
      <c r="D2108" s="81"/>
      <c r="E2108" s="81"/>
    </row>
    <row r="2109" spans="4:5" s="15" customFormat="1">
      <c r="D2109" s="81"/>
      <c r="E2109" s="81"/>
    </row>
    <row r="2110" spans="4:5" s="15" customFormat="1">
      <c r="D2110" s="81"/>
      <c r="E2110" s="81"/>
    </row>
    <row r="2111" spans="4:5" s="15" customFormat="1">
      <c r="D2111" s="81"/>
      <c r="E2111" s="81"/>
    </row>
    <row r="2112" spans="4:5" s="15" customFormat="1">
      <c r="D2112" s="81"/>
      <c r="E2112" s="81"/>
    </row>
    <row r="2113" spans="4:5" s="15" customFormat="1">
      <c r="D2113" s="81"/>
      <c r="E2113" s="81"/>
    </row>
    <row r="2114" spans="4:5" s="15" customFormat="1">
      <c r="D2114" s="81"/>
      <c r="E2114" s="81"/>
    </row>
    <row r="2115" spans="4:5" s="15" customFormat="1">
      <c r="D2115" s="81"/>
      <c r="E2115" s="81"/>
    </row>
    <row r="2116" spans="4:5" s="15" customFormat="1">
      <c r="D2116" s="81"/>
      <c r="E2116" s="81"/>
    </row>
    <row r="2117" spans="4:5" s="15" customFormat="1">
      <c r="D2117" s="81"/>
      <c r="E2117" s="81"/>
    </row>
    <row r="2118" spans="4:5" s="15" customFormat="1">
      <c r="D2118" s="81"/>
      <c r="E2118" s="81"/>
    </row>
    <row r="2119" spans="4:5" s="15" customFormat="1">
      <c r="D2119" s="81"/>
      <c r="E2119" s="81"/>
    </row>
    <row r="2120" spans="4:5" s="15" customFormat="1">
      <c r="D2120" s="81"/>
      <c r="E2120" s="81"/>
    </row>
    <row r="2121" spans="4:5" s="15" customFormat="1">
      <c r="D2121" s="81"/>
      <c r="E2121" s="81"/>
    </row>
    <row r="2122" spans="4:5" s="15" customFormat="1">
      <c r="D2122" s="81"/>
      <c r="E2122" s="81"/>
    </row>
    <row r="2123" spans="4:5" s="15" customFormat="1">
      <c r="D2123" s="81"/>
      <c r="E2123" s="81"/>
    </row>
    <row r="2124" spans="4:5" s="15" customFormat="1">
      <c r="D2124" s="81"/>
      <c r="E2124" s="81"/>
    </row>
    <row r="2125" spans="4:5" s="15" customFormat="1">
      <c r="D2125" s="81"/>
      <c r="E2125" s="81"/>
    </row>
    <row r="2126" spans="4:5" s="15" customFormat="1">
      <c r="D2126" s="81"/>
      <c r="E2126" s="81"/>
    </row>
    <row r="2127" spans="4:5" s="15" customFormat="1">
      <c r="D2127" s="81"/>
      <c r="E2127" s="81"/>
    </row>
    <row r="2128" spans="4:5" s="15" customFormat="1">
      <c r="D2128" s="81"/>
      <c r="E2128" s="81"/>
    </row>
    <row r="2129" spans="4:5" s="15" customFormat="1">
      <c r="D2129" s="81"/>
      <c r="E2129" s="81"/>
    </row>
    <row r="2130" spans="4:5" s="15" customFormat="1">
      <c r="D2130" s="81"/>
      <c r="E2130" s="81"/>
    </row>
    <row r="2131" spans="4:5" s="15" customFormat="1">
      <c r="D2131" s="81"/>
      <c r="E2131" s="81"/>
    </row>
    <row r="2132" spans="4:5" s="15" customFormat="1">
      <c r="D2132" s="81"/>
      <c r="E2132" s="81"/>
    </row>
    <row r="2133" spans="4:5" s="15" customFormat="1">
      <c r="D2133" s="81"/>
      <c r="E2133" s="81"/>
    </row>
    <row r="2134" spans="4:5" s="15" customFormat="1">
      <c r="D2134" s="81"/>
      <c r="E2134" s="81"/>
    </row>
    <row r="2135" spans="4:5" s="15" customFormat="1">
      <c r="D2135" s="81"/>
      <c r="E2135" s="81"/>
    </row>
    <row r="2136" spans="4:5" s="15" customFormat="1">
      <c r="D2136" s="81"/>
      <c r="E2136" s="81"/>
    </row>
    <row r="2137" spans="4:5" s="15" customFormat="1">
      <c r="D2137" s="81"/>
      <c r="E2137" s="81"/>
    </row>
    <row r="2138" spans="4:5" s="15" customFormat="1">
      <c r="D2138" s="81"/>
      <c r="E2138" s="81"/>
    </row>
    <row r="2139" spans="4:5" s="15" customFormat="1">
      <c r="D2139" s="81"/>
      <c r="E2139" s="81"/>
    </row>
    <row r="2140" spans="4:5" s="15" customFormat="1">
      <c r="D2140" s="81"/>
      <c r="E2140" s="81"/>
    </row>
    <row r="2141" spans="4:5" s="15" customFormat="1">
      <c r="D2141" s="81"/>
      <c r="E2141" s="81"/>
    </row>
    <row r="2142" spans="4:5" s="15" customFormat="1">
      <c r="D2142" s="81"/>
      <c r="E2142" s="81"/>
    </row>
    <row r="2143" spans="4:5" s="15" customFormat="1">
      <c r="D2143" s="81"/>
      <c r="E2143" s="81"/>
    </row>
    <row r="2144" spans="4:5" s="15" customFormat="1">
      <c r="D2144" s="81"/>
      <c r="E2144" s="81"/>
    </row>
    <row r="2145" spans="4:5" s="15" customFormat="1">
      <c r="D2145" s="81"/>
      <c r="E2145" s="81"/>
    </row>
    <row r="2146" spans="4:5" s="15" customFormat="1">
      <c r="D2146" s="81"/>
      <c r="E2146" s="81"/>
    </row>
    <row r="2147" spans="4:5" s="15" customFormat="1">
      <c r="D2147" s="81"/>
      <c r="E2147" s="81"/>
    </row>
    <row r="2148" spans="4:5" s="15" customFormat="1">
      <c r="D2148" s="81"/>
      <c r="E2148" s="81"/>
    </row>
    <row r="2149" spans="4:5" s="15" customFormat="1">
      <c r="D2149" s="81"/>
      <c r="E2149" s="81"/>
    </row>
    <row r="2150" spans="4:5" s="15" customFormat="1">
      <c r="D2150" s="81"/>
      <c r="E2150" s="81"/>
    </row>
    <row r="2151" spans="4:5" s="15" customFormat="1">
      <c r="D2151" s="81"/>
      <c r="E2151" s="81"/>
    </row>
    <row r="2152" spans="4:5" s="15" customFormat="1">
      <c r="D2152" s="81"/>
      <c r="E2152" s="81"/>
    </row>
    <row r="2153" spans="4:5" s="15" customFormat="1">
      <c r="D2153" s="81"/>
      <c r="E2153" s="81"/>
    </row>
    <row r="2154" spans="4:5" s="15" customFormat="1">
      <c r="D2154" s="81"/>
      <c r="E2154" s="81"/>
    </row>
    <row r="2155" spans="4:5" s="15" customFormat="1">
      <c r="D2155" s="81"/>
      <c r="E2155" s="81"/>
    </row>
    <row r="2156" spans="4:5" s="15" customFormat="1">
      <c r="D2156" s="81"/>
      <c r="E2156" s="81"/>
    </row>
    <row r="2157" spans="4:5" s="15" customFormat="1">
      <c r="D2157" s="81"/>
      <c r="E2157" s="81"/>
    </row>
    <row r="2158" spans="4:5" s="15" customFormat="1">
      <c r="D2158" s="81"/>
      <c r="E2158" s="81"/>
    </row>
    <row r="2159" spans="4:5" s="15" customFormat="1">
      <c r="D2159" s="81"/>
      <c r="E2159" s="81"/>
    </row>
    <row r="2160" spans="4:5" s="15" customFormat="1">
      <c r="D2160" s="81"/>
      <c r="E2160" s="81"/>
    </row>
    <row r="2161" spans="4:5" s="15" customFormat="1">
      <c r="D2161" s="81"/>
      <c r="E2161" s="81"/>
    </row>
    <row r="2162" spans="4:5" s="15" customFormat="1">
      <c r="D2162" s="81"/>
      <c r="E2162" s="81"/>
    </row>
    <row r="2163" spans="4:5" s="15" customFormat="1">
      <c r="D2163" s="81"/>
      <c r="E2163" s="81"/>
    </row>
    <row r="2164" spans="4:5" s="15" customFormat="1">
      <c r="D2164" s="81"/>
      <c r="E2164" s="81"/>
    </row>
    <row r="2165" spans="4:5" s="15" customFormat="1">
      <c r="D2165" s="81"/>
      <c r="E2165" s="81"/>
    </row>
    <row r="2166" spans="4:5" s="15" customFormat="1">
      <c r="D2166" s="81"/>
      <c r="E2166" s="81"/>
    </row>
    <row r="2167" spans="4:5" s="15" customFormat="1">
      <c r="D2167" s="81"/>
      <c r="E2167" s="81"/>
    </row>
    <row r="2168" spans="4:5" s="15" customFormat="1">
      <c r="D2168" s="81"/>
      <c r="E2168" s="81"/>
    </row>
    <row r="2169" spans="4:5" s="15" customFormat="1">
      <c r="D2169" s="81"/>
      <c r="E2169" s="81"/>
    </row>
    <row r="2170" spans="4:5" s="15" customFormat="1">
      <c r="D2170" s="81"/>
      <c r="E2170" s="81"/>
    </row>
    <row r="2171" spans="4:5" s="15" customFormat="1">
      <c r="D2171" s="81"/>
      <c r="E2171" s="81"/>
    </row>
    <row r="2172" spans="4:5" s="15" customFormat="1">
      <c r="D2172" s="81"/>
      <c r="E2172" s="81"/>
    </row>
    <row r="2173" spans="4:5" s="15" customFormat="1">
      <c r="D2173" s="81"/>
      <c r="E2173" s="81"/>
    </row>
    <row r="2174" spans="4:5" s="15" customFormat="1">
      <c r="D2174" s="81"/>
      <c r="E2174" s="81"/>
    </row>
    <row r="2175" spans="4:5" s="15" customFormat="1">
      <c r="D2175" s="81"/>
      <c r="E2175" s="81"/>
    </row>
    <row r="2176" spans="4:5" s="15" customFormat="1">
      <c r="D2176" s="81"/>
      <c r="E2176" s="81"/>
    </row>
    <row r="2177" spans="4:5" s="15" customFormat="1">
      <c r="D2177" s="81"/>
      <c r="E2177" s="81"/>
    </row>
    <row r="2178" spans="4:5" s="15" customFormat="1">
      <c r="D2178" s="81"/>
      <c r="E2178" s="81"/>
    </row>
    <row r="2179" spans="4:5" s="15" customFormat="1">
      <c r="D2179" s="81"/>
      <c r="E2179" s="81"/>
    </row>
    <row r="2180" spans="4:5" s="15" customFormat="1">
      <c r="D2180" s="81"/>
      <c r="E2180" s="81"/>
    </row>
    <row r="2181" spans="4:5" s="15" customFormat="1">
      <c r="D2181" s="81"/>
      <c r="E2181" s="81"/>
    </row>
    <row r="2182" spans="4:5" s="15" customFormat="1">
      <c r="D2182" s="81"/>
      <c r="E2182" s="81"/>
    </row>
    <row r="2183" spans="4:5" s="15" customFormat="1">
      <c r="D2183" s="81"/>
      <c r="E2183" s="81"/>
    </row>
    <row r="2184" spans="4:5" s="15" customFormat="1">
      <c r="D2184" s="81"/>
      <c r="E2184" s="81"/>
    </row>
    <row r="2185" spans="4:5" s="15" customFormat="1">
      <c r="D2185" s="81"/>
      <c r="E2185" s="81"/>
    </row>
    <row r="2186" spans="4:5" s="15" customFormat="1">
      <c r="D2186" s="81"/>
      <c r="E2186" s="81"/>
    </row>
    <row r="2187" spans="4:5" s="15" customFormat="1">
      <c r="D2187" s="81"/>
      <c r="E2187" s="81"/>
    </row>
    <row r="2188" spans="4:5" s="15" customFormat="1">
      <c r="D2188" s="81"/>
      <c r="E2188" s="81"/>
    </row>
    <row r="2189" spans="4:5" s="15" customFormat="1">
      <c r="D2189" s="81"/>
      <c r="E2189" s="81"/>
    </row>
    <row r="2190" spans="4:5" s="15" customFormat="1">
      <c r="D2190" s="81"/>
      <c r="E2190" s="81"/>
    </row>
    <row r="2191" spans="4:5" s="15" customFormat="1">
      <c r="D2191" s="81"/>
      <c r="E2191" s="81"/>
    </row>
    <row r="2192" spans="4:5" s="15" customFormat="1">
      <c r="D2192" s="81"/>
      <c r="E2192" s="81"/>
    </row>
    <row r="2193" spans="4:5" s="15" customFormat="1">
      <c r="D2193" s="81"/>
      <c r="E2193" s="81"/>
    </row>
    <row r="2194" spans="4:5" s="15" customFormat="1">
      <c r="D2194" s="81"/>
      <c r="E2194" s="81"/>
    </row>
    <row r="2195" spans="4:5" s="15" customFormat="1">
      <c r="D2195" s="81"/>
      <c r="E2195" s="81"/>
    </row>
    <row r="2196" spans="4:5" s="15" customFormat="1">
      <c r="D2196" s="81"/>
      <c r="E2196" s="81"/>
    </row>
    <row r="2197" spans="4:5" s="15" customFormat="1">
      <c r="D2197" s="81"/>
      <c r="E2197" s="81"/>
    </row>
    <row r="2198" spans="4:5" s="15" customFormat="1">
      <c r="D2198" s="81"/>
      <c r="E2198" s="81"/>
    </row>
    <row r="2199" spans="4:5" s="15" customFormat="1">
      <c r="D2199" s="81"/>
      <c r="E2199" s="81"/>
    </row>
    <row r="2200" spans="4:5" s="15" customFormat="1">
      <c r="D2200" s="81"/>
      <c r="E2200" s="81"/>
    </row>
    <row r="2201" spans="4:5" s="15" customFormat="1">
      <c r="D2201" s="81"/>
      <c r="E2201" s="81"/>
    </row>
    <row r="2202" spans="4:5" s="15" customFormat="1">
      <c r="D2202" s="81"/>
      <c r="E2202" s="81"/>
    </row>
    <row r="2203" spans="4:5" s="15" customFormat="1">
      <c r="D2203" s="81"/>
      <c r="E2203" s="81"/>
    </row>
    <row r="2204" spans="4:5" s="15" customFormat="1">
      <c r="D2204" s="81"/>
      <c r="E2204" s="81"/>
    </row>
    <row r="2205" spans="4:5" s="15" customFormat="1">
      <c r="D2205" s="81"/>
      <c r="E2205" s="81"/>
    </row>
    <row r="2206" spans="4:5" s="15" customFormat="1">
      <c r="D2206" s="81"/>
      <c r="E2206" s="81"/>
    </row>
    <row r="2207" spans="4:5" s="15" customFormat="1">
      <c r="D2207" s="81"/>
      <c r="E2207" s="81"/>
    </row>
    <row r="2208" spans="4:5" s="15" customFormat="1">
      <c r="D2208" s="81"/>
      <c r="E2208" s="81"/>
    </row>
    <row r="2209" spans="4:5" s="15" customFormat="1">
      <c r="D2209" s="81"/>
      <c r="E2209" s="81"/>
    </row>
    <row r="2210" spans="4:5" s="15" customFormat="1">
      <c r="D2210" s="81"/>
      <c r="E2210" s="81"/>
    </row>
    <row r="2211" spans="4:5" s="15" customFormat="1">
      <c r="D2211" s="81"/>
      <c r="E2211" s="81"/>
    </row>
    <row r="2212" spans="4:5" s="15" customFormat="1">
      <c r="D2212" s="81"/>
      <c r="E2212" s="81"/>
    </row>
    <row r="2213" spans="4:5" s="15" customFormat="1">
      <c r="D2213" s="81"/>
      <c r="E2213" s="81"/>
    </row>
    <row r="2214" spans="4:5" s="15" customFormat="1">
      <c r="D2214" s="81"/>
      <c r="E2214" s="81"/>
    </row>
    <row r="2215" spans="4:5" s="15" customFormat="1">
      <c r="D2215" s="81"/>
      <c r="E2215" s="81"/>
    </row>
    <row r="2216" spans="4:5" s="15" customFormat="1">
      <c r="D2216" s="81"/>
      <c r="E2216" s="81"/>
    </row>
    <row r="2217" spans="4:5" s="15" customFormat="1">
      <c r="D2217" s="81"/>
      <c r="E2217" s="81"/>
    </row>
    <row r="2218" spans="4:5" s="15" customFormat="1">
      <c r="D2218" s="81"/>
      <c r="E2218" s="81"/>
    </row>
    <row r="2219" spans="4:5" s="15" customFormat="1">
      <c r="D2219" s="81"/>
      <c r="E2219" s="81"/>
    </row>
    <row r="2220" spans="4:5" s="15" customFormat="1">
      <c r="D2220" s="81"/>
      <c r="E2220" s="81"/>
    </row>
    <row r="2221" spans="4:5" s="15" customFormat="1">
      <c r="D2221" s="81"/>
      <c r="E2221" s="81"/>
    </row>
    <row r="2222" spans="4:5" s="15" customFormat="1">
      <c r="D2222" s="81"/>
      <c r="E2222" s="81"/>
    </row>
    <row r="2223" spans="4:5" s="15" customFormat="1">
      <c r="D2223" s="81"/>
      <c r="E2223" s="81"/>
    </row>
    <row r="2224" spans="4:5" s="15" customFormat="1">
      <c r="D2224" s="81"/>
      <c r="E2224" s="81"/>
    </row>
    <row r="2225" spans="4:5" s="15" customFormat="1">
      <c r="D2225" s="81"/>
      <c r="E2225" s="81"/>
    </row>
    <row r="2226" spans="4:5" s="15" customFormat="1">
      <c r="D2226" s="81"/>
      <c r="E2226" s="81"/>
    </row>
    <row r="2227" spans="4:5" s="15" customFormat="1">
      <c r="D2227" s="81"/>
      <c r="E2227" s="81"/>
    </row>
    <row r="2228" spans="4:5" s="15" customFormat="1">
      <c r="D2228" s="81"/>
      <c r="E2228" s="81"/>
    </row>
    <row r="2229" spans="4:5" s="15" customFormat="1">
      <c r="D2229" s="81"/>
      <c r="E2229" s="81"/>
    </row>
    <row r="2230" spans="4:5" s="15" customFormat="1">
      <c r="D2230" s="81"/>
      <c r="E2230" s="81"/>
    </row>
    <row r="2231" spans="4:5" s="15" customFormat="1">
      <c r="D2231" s="81"/>
      <c r="E2231" s="81"/>
    </row>
    <row r="2232" spans="4:5" s="15" customFormat="1">
      <c r="D2232" s="81"/>
      <c r="E2232" s="81"/>
    </row>
    <row r="2233" spans="4:5" s="15" customFormat="1">
      <c r="D2233" s="81"/>
      <c r="E2233" s="81"/>
    </row>
    <row r="2234" spans="4:5" s="15" customFormat="1">
      <c r="D2234" s="81"/>
      <c r="E2234" s="81"/>
    </row>
    <row r="2235" spans="4:5" s="15" customFormat="1">
      <c r="D2235" s="81"/>
      <c r="E2235" s="81"/>
    </row>
    <row r="2236" spans="4:5" s="15" customFormat="1">
      <c r="D2236" s="81"/>
      <c r="E2236" s="81"/>
    </row>
    <row r="2237" spans="4:5" s="15" customFormat="1">
      <c r="D2237" s="81"/>
      <c r="E2237" s="81"/>
    </row>
    <row r="2238" spans="4:5" s="15" customFormat="1">
      <c r="D2238" s="81"/>
      <c r="E2238" s="81"/>
    </row>
    <row r="2239" spans="4:5" s="15" customFormat="1">
      <c r="D2239" s="81"/>
      <c r="E2239" s="81"/>
    </row>
    <row r="2240" spans="4:5" s="15" customFormat="1">
      <c r="D2240" s="81"/>
      <c r="E2240" s="81"/>
    </row>
    <row r="2241" spans="4:5" s="15" customFormat="1">
      <c r="D2241" s="81"/>
      <c r="E2241" s="81"/>
    </row>
    <row r="2242" spans="4:5" s="15" customFormat="1">
      <c r="D2242" s="81"/>
      <c r="E2242" s="81"/>
    </row>
    <row r="2243" spans="4:5" s="15" customFormat="1">
      <c r="D2243" s="81"/>
      <c r="E2243" s="81"/>
    </row>
    <row r="2244" spans="4:5" s="15" customFormat="1">
      <c r="D2244" s="81"/>
      <c r="E2244" s="81"/>
    </row>
    <row r="2245" spans="4:5" s="15" customFormat="1">
      <c r="D2245" s="81"/>
      <c r="E2245" s="81"/>
    </row>
    <row r="2246" spans="4:5" s="15" customFormat="1">
      <c r="D2246" s="81"/>
      <c r="E2246" s="81"/>
    </row>
    <row r="2247" spans="4:5" s="15" customFormat="1">
      <c r="D2247" s="81"/>
      <c r="E2247" s="81"/>
    </row>
    <row r="2248" spans="4:5" s="15" customFormat="1">
      <c r="D2248" s="81"/>
      <c r="E2248" s="81"/>
    </row>
    <row r="2249" spans="4:5" s="15" customFormat="1">
      <c r="D2249" s="81"/>
      <c r="E2249" s="81"/>
    </row>
    <row r="2250" spans="4:5" s="15" customFormat="1">
      <c r="D2250" s="81"/>
      <c r="E2250" s="81"/>
    </row>
    <row r="2251" spans="4:5" s="15" customFormat="1">
      <c r="D2251" s="81"/>
      <c r="E2251" s="81"/>
    </row>
    <row r="2252" spans="4:5" s="15" customFormat="1">
      <c r="D2252" s="81"/>
      <c r="E2252" s="81"/>
    </row>
    <row r="2253" spans="4:5" s="15" customFormat="1">
      <c r="D2253" s="81"/>
      <c r="E2253" s="81"/>
    </row>
    <row r="2254" spans="4:5" s="15" customFormat="1">
      <c r="D2254" s="81"/>
      <c r="E2254" s="81"/>
    </row>
    <row r="2255" spans="4:5" s="15" customFormat="1">
      <c r="D2255" s="81"/>
      <c r="E2255" s="81"/>
    </row>
    <row r="2256" spans="4:5" s="15" customFormat="1">
      <c r="D2256" s="81"/>
      <c r="E2256" s="81"/>
    </row>
    <row r="2257" spans="4:5" s="15" customFormat="1">
      <c r="D2257" s="81"/>
      <c r="E2257" s="81"/>
    </row>
    <row r="2258" spans="4:5" s="15" customFormat="1">
      <c r="D2258" s="81"/>
      <c r="E2258" s="81"/>
    </row>
    <row r="2259" spans="4:5" s="15" customFormat="1">
      <c r="D2259" s="81"/>
      <c r="E2259" s="81"/>
    </row>
    <row r="2260" spans="4:5" s="15" customFormat="1">
      <c r="D2260" s="81"/>
      <c r="E2260" s="81"/>
    </row>
    <row r="2261" spans="4:5" s="15" customFormat="1">
      <c r="D2261" s="81"/>
      <c r="E2261" s="81"/>
    </row>
    <row r="2262" spans="4:5" s="15" customFormat="1">
      <c r="D2262" s="81"/>
      <c r="E2262" s="81"/>
    </row>
    <row r="2263" spans="4:5" s="15" customFormat="1">
      <c r="D2263" s="81"/>
      <c r="E2263" s="81"/>
    </row>
    <row r="2264" spans="4:5" s="15" customFormat="1">
      <c r="D2264" s="81"/>
      <c r="E2264" s="81"/>
    </row>
    <row r="2265" spans="4:5" s="15" customFormat="1">
      <c r="D2265" s="81"/>
      <c r="E2265" s="81"/>
    </row>
    <row r="2266" spans="4:5" s="15" customFormat="1">
      <c r="D2266" s="81"/>
      <c r="E2266" s="81"/>
    </row>
    <row r="2267" spans="4:5" s="15" customFormat="1">
      <c r="D2267" s="81"/>
      <c r="E2267" s="81"/>
    </row>
    <row r="2268" spans="4:5" s="15" customFormat="1">
      <c r="D2268" s="81"/>
      <c r="E2268" s="81"/>
    </row>
    <row r="2269" spans="4:5" s="15" customFormat="1">
      <c r="D2269" s="81"/>
      <c r="E2269" s="81"/>
    </row>
    <row r="2270" spans="4:5" s="15" customFormat="1">
      <c r="D2270" s="81"/>
      <c r="E2270" s="81"/>
    </row>
    <row r="2271" spans="4:5" s="15" customFormat="1">
      <c r="D2271" s="81"/>
      <c r="E2271" s="81"/>
    </row>
    <row r="2272" spans="4:5" s="15" customFormat="1">
      <c r="D2272" s="81"/>
      <c r="E2272" s="81"/>
    </row>
    <row r="2273" spans="4:5" s="15" customFormat="1">
      <c r="D2273" s="81"/>
      <c r="E2273" s="81"/>
    </row>
    <row r="2274" spans="4:5" s="15" customFormat="1">
      <c r="D2274" s="81"/>
      <c r="E2274" s="81"/>
    </row>
    <row r="2275" spans="4:5" s="15" customFormat="1">
      <c r="D2275" s="81"/>
      <c r="E2275" s="81"/>
    </row>
    <row r="2276" spans="4:5" s="15" customFormat="1">
      <c r="D2276" s="81"/>
      <c r="E2276" s="81"/>
    </row>
    <row r="2277" spans="4:5" s="15" customFormat="1">
      <c r="D2277" s="81"/>
      <c r="E2277" s="81"/>
    </row>
    <row r="2278" spans="4:5" s="15" customFormat="1">
      <c r="D2278" s="81"/>
      <c r="E2278" s="81"/>
    </row>
    <row r="2279" spans="4:5" s="15" customFormat="1">
      <c r="D2279" s="81"/>
      <c r="E2279" s="81"/>
    </row>
    <row r="2280" spans="4:5" s="15" customFormat="1">
      <c r="D2280" s="81"/>
      <c r="E2280" s="81"/>
    </row>
    <row r="2281" spans="4:5" s="15" customFormat="1">
      <c r="D2281" s="81"/>
      <c r="E2281" s="81"/>
    </row>
    <row r="2282" spans="4:5" s="15" customFormat="1">
      <c r="D2282" s="81"/>
      <c r="E2282" s="81"/>
    </row>
    <row r="2283" spans="4:5" s="15" customFormat="1">
      <c r="D2283" s="81"/>
      <c r="E2283" s="81"/>
    </row>
    <row r="2284" spans="4:5" s="15" customFormat="1">
      <c r="D2284" s="81"/>
      <c r="E2284" s="81"/>
    </row>
    <row r="2285" spans="4:5" s="15" customFormat="1">
      <c r="D2285" s="81"/>
      <c r="E2285" s="81"/>
    </row>
    <row r="2286" spans="4:5" s="15" customFormat="1">
      <c r="D2286" s="81"/>
      <c r="E2286" s="81"/>
    </row>
    <row r="2287" spans="4:5" s="15" customFormat="1">
      <c r="D2287" s="81"/>
      <c r="E2287" s="81"/>
    </row>
    <row r="2288" spans="4:5" s="15" customFormat="1">
      <c r="D2288" s="81"/>
      <c r="E2288" s="81"/>
    </row>
    <row r="2289" spans="4:5" s="15" customFormat="1">
      <c r="D2289" s="81"/>
      <c r="E2289" s="81"/>
    </row>
    <row r="2290" spans="4:5" s="15" customFormat="1">
      <c r="D2290" s="81"/>
      <c r="E2290" s="81"/>
    </row>
    <row r="2291" spans="4:5" s="15" customFormat="1">
      <c r="D2291" s="81"/>
      <c r="E2291" s="81"/>
    </row>
    <row r="2292" spans="4:5" s="15" customFormat="1">
      <c r="D2292" s="81"/>
      <c r="E2292" s="81"/>
    </row>
    <row r="2293" spans="4:5" s="15" customFormat="1">
      <c r="D2293" s="81"/>
      <c r="E2293" s="81"/>
    </row>
    <row r="2294" spans="4:5" s="15" customFormat="1">
      <c r="D2294" s="81"/>
      <c r="E2294" s="81"/>
    </row>
    <row r="2295" spans="4:5" s="15" customFormat="1">
      <c r="D2295" s="81"/>
      <c r="E2295" s="81"/>
    </row>
    <row r="2296" spans="4:5" s="15" customFormat="1">
      <c r="D2296" s="81"/>
      <c r="E2296" s="81"/>
    </row>
    <row r="2297" spans="4:5" s="15" customFormat="1">
      <c r="D2297" s="81"/>
      <c r="E2297" s="81"/>
    </row>
    <row r="2298" spans="4:5" s="15" customFormat="1">
      <c r="D2298" s="81"/>
      <c r="E2298" s="81"/>
    </row>
    <row r="2299" spans="4:5" s="15" customFormat="1">
      <c r="D2299" s="81"/>
      <c r="E2299" s="81"/>
    </row>
    <row r="2300" spans="4:5" s="15" customFormat="1">
      <c r="D2300" s="81"/>
      <c r="E2300" s="81"/>
    </row>
    <row r="2301" spans="4:5" s="15" customFormat="1">
      <c r="D2301" s="81"/>
      <c r="E2301" s="81"/>
    </row>
    <row r="2302" spans="4:5" s="15" customFormat="1">
      <c r="D2302" s="81"/>
      <c r="E2302" s="81"/>
    </row>
    <row r="2303" spans="4:5" s="15" customFormat="1">
      <c r="D2303" s="81"/>
      <c r="E2303" s="81"/>
    </row>
    <row r="2304" spans="4:5" s="15" customFormat="1">
      <c r="D2304" s="81"/>
      <c r="E2304" s="81"/>
    </row>
    <row r="2305" spans="4:5" s="15" customFormat="1">
      <c r="D2305" s="81"/>
      <c r="E2305" s="81"/>
    </row>
    <row r="2306" spans="4:5" s="15" customFormat="1">
      <c r="D2306" s="81"/>
      <c r="E2306" s="81"/>
    </row>
    <row r="2307" spans="4:5" s="15" customFormat="1">
      <c r="D2307" s="81"/>
      <c r="E2307" s="81"/>
    </row>
    <row r="2308" spans="4:5" s="15" customFormat="1">
      <c r="D2308" s="81"/>
      <c r="E2308" s="81"/>
    </row>
    <row r="2309" spans="4:5" s="15" customFormat="1">
      <c r="D2309" s="81"/>
      <c r="E2309" s="81"/>
    </row>
    <row r="2310" spans="4:5" s="15" customFormat="1">
      <c r="D2310" s="81"/>
      <c r="E2310" s="81"/>
    </row>
    <row r="2311" spans="4:5" s="15" customFormat="1">
      <c r="D2311" s="81"/>
      <c r="E2311" s="81"/>
    </row>
    <row r="2312" spans="4:5" s="15" customFormat="1">
      <c r="D2312" s="81"/>
      <c r="E2312" s="81"/>
    </row>
    <row r="2313" spans="4:5" s="15" customFormat="1">
      <c r="D2313" s="81"/>
      <c r="E2313" s="81"/>
    </row>
    <row r="2314" spans="4:5" s="15" customFormat="1">
      <c r="D2314" s="81"/>
      <c r="E2314" s="81"/>
    </row>
    <row r="2315" spans="4:5" s="15" customFormat="1">
      <c r="D2315" s="81"/>
      <c r="E2315" s="81"/>
    </row>
    <row r="2316" spans="4:5" s="15" customFormat="1">
      <c r="D2316" s="81"/>
      <c r="E2316" s="81"/>
    </row>
    <row r="2317" spans="4:5" s="15" customFormat="1">
      <c r="D2317" s="81"/>
      <c r="E2317" s="81"/>
    </row>
    <row r="2318" spans="4:5" s="15" customFormat="1">
      <c r="D2318" s="81"/>
      <c r="E2318" s="81"/>
    </row>
    <row r="2319" spans="4:5" s="15" customFormat="1">
      <c r="D2319" s="81"/>
      <c r="E2319" s="81"/>
    </row>
    <row r="2320" spans="4:5" s="15" customFormat="1">
      <c r="D2320" s="81"/>
      <c r="E2320" s="81"/>
    </row>
    <row r="2321" spans="4:5" s="15" customFormat="1">
      <c r="D2321" s="81"/>
      <c r="E2321" s="81"/>
    </row>
    <row r="2322" spans="4:5" s="15" customFormat="1">
      <c r="D2322" s="81"/>
      <c r="E2322" s="81"/>
    </row>
    <row r="2323" spans="4:5" s="15" customFormat="1">
      <c r="D2323" s="81"/>
      <c r="E2323" s="81"/>
    </row>
    <row r="2324" spans="4:5" s="15" customFormat="1">
      <c r="D2324" s="81"/>
      <c r="E2324" s="81"/>
    </row>
    <row r="2325" spans="4:5" s="15" customFormat="1">
      <c r="D2325" s="81"/>
      <c r="E2325" s="81"/>
    </row>
    <row r="2326" spans="4:5" s="15" customFormat="1">
      <c r="D2326" s="81"/>
      <c r="E2326" s="81"/>
    </row>
    <row r="2327" spans="4:5" s="15" customFormat="1">
      <c r="D2327" s="81"/>
      <c r="E2327" s="81"/>
    </row>
    <row r="2328" spans="4:5" s="15" customFormat="1">
      <c r="D2328" s="81"/>
      <c r="E2328" s="81"/>
    </row>
    <row r="2329" spans="4:5" s="15" customFormat="1">
      <c r="D2329" s="81"/>
      <c r="E2329" s="81"/>
    </row>
    <row r="2330" spans="4:5" s="15" customFormat="1">
      <c r="D2330" s="81"/>
      <c r="E2330" s="81"/>
    </row>
    <row r="2331" spans="4:5" s="15" customFormat="1">
      <c r="D2331" s="81"/>
      <c r="E2331" s="81"/>
    </row>
    <row r="2332" spans="4:5" s="15" customFormat="1">
      <c r="D2332" s="81"/>
      <c r="E2332" s="81"/>
    </row>
    <row r="2333" spans="4:5" s="15" customFormat="1">
      <c r="D2333" s="81"/>
      <c r="E2333" s="81"/>
    </row>
    <row r="2334" spans="4:5" s="15" customFormat="1">
      <c r="D2334" s="81"/>
      <c r="E2334" s="81"/>
    </row>
    <row r="2335" spans="4:5" s="15" customFormat="1">
      <c r="D2335" s="81"/>
      <c r="E2335" s="81"/>
    </row>
    <row r="2336" spans="4:5" s="15" customFormat="1">
      <c r="D2336" s="81"/>
      <c r="E2336" s="81"/>
    </row>
    <row r="2337" spans="4:5" s="15" customFormat="1">
      <c r="D2337" s="81"/>
      <c r="E2337" s="81"/>
    </row>
    <row r="2338" spans="4:5" s="15" customFormat="1">
      <c r="D2338" s="81"/>
      <c r="E2338" s="81"/>
    </row>
    <row r="2339" spans="4:5" s="15" customFormat="1">
      <c r="D2339" s="81"/>
      <c r="E2339" s="81"/>
    </row>
    <row r="2340" spans="4:5" s="15" customFormat="1">
      <c r="D2340" s="81"/>
      <c r="E2340" s="81"/>
    </row>
    <row r="2341" spans="4:5" s="15" customFormat="1">
      <c r="D2341" s="81"/>
      <c r="E2341" s="81"/>
    </row>
    <row r="2342" spans="4:5" s="15" customFormat="1">
      <c r="D2342" s="81"/>
      <c r="E2342" s="81"/>
    </row>
    <row r="2343" spans="4:5" s="15" customFormat="1">
      <c r="D2343" s="81"/>
      <c r="E2343" s="81"/>
    </row>
    <row r="2344" spans="4:5" s="15" customFormat="1">
      <c r="D2344" s="81"/>
      <c r="E2344" s="81"/>
    </row>
    <row r="2345" spans="4:5" s="15" customFormat="1">
      <c r="D2345" s="81"/>
      <c r="E2345" s="81"/>
    </row>
    <row r="2346" spans="4:5" s="15" customFormat="1">
      <c r="D2346" s="81"/>
      <c r="E2346" s="81"/>
    </row>
    <row r="2347" spans="4:5" s="15" customFormat="1">
      <c r="D2347" s="81"/>
      <c r="E2347" s="81"/>
    </row>
    <row r="2348" spans="4:5" s="15" customFormat="1">
      <c r="D2348" s="81"/>
      <c r="E2348" s="81"/>
    </row>
    <row r="2349" spans="4:5" s="15" customFormat="1">
      <c r="D2349" s="81"/>
      <c r="E2349" s="81"/>
    </row>
    <row r="2350" spans="4:5" s="15" customFormat="1">
      <c r="D2350" s="81"/>
      <c r="E2350" s="81"/>
    </row>
    <row r="2351" spans="4:5" s="15" customFormat="1">
      <c r="D2351" s="81"/>
      <c r="E2351" s="81"/>
    </row>
    <row r="2352" spans="4:5" s="15" customFormat="1">
      <c r="D2352" s="81"/>
      <c r="E2352" s="81"/>
    </row>
    <row r="2353" spans="4:5" s="15" customFormat="1">
      <c r="D2353" s="81"/>
      <c r="E2353" s="81"/>
    </row>
    <row r="2354" spans="4:5" s="15" customFormat="1">
      <c r="D2354" s="81"/>
      <c r="E2354" s="81"/>
    </row>
    <row r="2355" spans="4:5" s="15" customFormat="1">
      <c r="D2355" s="81"/>
      <c r="E2355" s="81"/>
    </row>
    <row r="2356" spans="4:5" s="15" customFormat="1">
      <c r="D2356" s="81"/>
      <c r="E2356" s="81"/>
    </row>
    <row r="2357" spans="4:5" s="15" customFormat="1">
      <c r="D2357" s="81"/>
      <c r="E2357" s="81"/>
    </row>
    <row r="2358" spans="4:5" s="15" customFormat="1">
      <c r="D2358" s="81"/>
      <c r="E2358" s="81"/>
    </row>
    <row r="2359" spans="4:5" s="15" customFormat="1">
      <c r="D2359" s="81"/>
      <c r="E2359" s="81"/>
    </row>
    <row r="2360" spans="4:5" s="15" customFormat="1">
      <c r="D2360" s="81"/>
      <c r="E2360" s="81"/>
    </row>
    <row r="2361" spans="4:5" s="15" customFormat="1">
      <c r="D2361" s="81"/>
      <c r="E2361" s="81"/>
    </row>
    <row r="2362" spans="4:5" s="15" customFormat="1">
      <c r="D2362" s="81"/>
      <c r="E2362" s="81"/>
    </row>
    <row r="2363" spans="4:5" s="15" customFormat="1">
      <c r="D2363" s="81"/>
      <c r="E2363" s="81"/>
    </row>
    <row r="2364" spans="4:5" s="15" customFormat="1">
      <c r="D2364" s="81"/>
      <c r="E2364" s="81"/>
    </row>
    <row r="2365" spans="4:5" s="15" customFormat="1">
      <c r="D2365" s="81"/>
      <c r="E2365" s="81"/>
    </row>
    <row r="2366" spans="4:5" s="15" customFormat="1">
      <c r="D2366" s="81"/>
      <c r="E2366" s="81"/>
    </row>
    <row r="2367" spans="4:5" s="15" customFormat="1">
      <c r="D2367" s="81"/>
      <c r="E2367" s="81"/>
    </row>
    <row r="2368" spans="4:5" s="15" customFormat="1">
      <c r="D2368" s="81"/>
      <c r="E2368" s="81"/>
    </row>
    <row r="2369" spans="4:5" s="15" customFormat="1">
      <c r="D2369" s="81"/>
      <c r="E2369" s="81"/>
    </row>
    <row r="2370" spans="4:5" s="15" customFormat="1">
      <c r="D2370" s="81"/>
      <c r="E2370" s="81"/>
    </row>
    <row r="2371" spans="4:5" s="15" customFormat="1">
      <c r="D2371" s="81"/>
      <c r="E2371" s="81"/>
    </row>
    <row r="2372" spans="4:5" s="15" customFormat="1">
      <c r="D2372" s="81"/>
      <c r="E2372" s="81"/>
    </row>
    <row r="2373" spans="4:5" s="15" customFormat="1">
      <c r="D2373" s="81"/>
      <c r="E2373" s="81"/>
    </row>
    <row r="2374" spans="4:5" s="15" customFormat="1">
      <c r="D2374" s="81"/>
      <c r="E2374" s="81"/>
    </row>
    <row r="2375" spans="4:5" s="15" customFormat="1">
      <c r="D2375" s="81"/>
      <c r="E2375" s="81"/>
    </row>
    <row r="2376" spans="4:5" s="15" customFormat="1">
      <c r="D2376" s="81"/>
      <c r="E2376" s="81"/>
    </row>
    <row r="2377" spans="4:5" s="15" customFormat="1">
      <c r="D2377" s="81"/>
      <c r="E2377" s="81"/>
    </row>
    <row r="2378" spans="4:5" s="15" customFormat="1">
      <c r="D2378" s="81"/>
      <c r="E2378" s="81"/>
    </row>
    <row r="2379" spans="4:5" s="15" customFormat="1">
      <c r="D2379" s="81"/>
      <c r="E2379" s="81"/>
    </row>
    <row r="2380" spans="4:5" s="15" customFormat="1">
      <c r="D2380" s="81"/>
      <c r="E2380" s="81"/>
    </row>
    <row r="2381" spans="4:5" s="15" customFormat="1">
      <c r="D2381" s="81"/>
      <c r="E2381" s="81"/>
    </row>
    <row r="2382" spans="4:5" s="15" customFormat="1">
      <c r="D2382" s="81"/>
      <c r="E2382" s="81"/>
    </row>
    <row r="2383" spans="4:5" s="15" customFormat="1">
      <c r="D2383" s="81"/>
      <c r="E2383" s="81"/>
    </row>
    <row r="2384" spans="4:5" s="15" customFormat="1">
      <c r="D2384" s="81"/>
      <c r="E2384" s="81"/>
    </row>
    <row r="2385" spans="4:5" s="15" customFormat="1">
      <c r="D2385" s="81"/>
      <c r="E2385" s="81"/>
    </row>
    <row r="2386" spans="4:5" s="15" customFormat="1">
      <c r="D2386" s="81"/>
      <c r="E2386" s="81"/>
    </row>
    <row r="2387" spans="4:5" s="15" customFormat="1">
      <c r="D2387" s="81"/>
      <c r="E2387" s="81"/>
    </row>
    <row r="2388" spans="4:5" s="15" customFormat="1">
      <c r="D2388" s="81"/>
      <c r="E2388" s="81"/>
    </row>
    <row r="2389" spans="4:5" s="15" customFormat="1">
      <c r="D2389" s="81"/>
      <c r="E2389" s="81"/>
    </row>
    <row r="2390" spans="4:5" s="15" customFormat="1">
      <c r="D2390" s="81"/>
      <c r="E2390" s="81"/>
    </row>
    <row r="2391" spans="4:5" s="15" customFormat="1">
      <c r="D2391" s="81"/>
      <c r="E2391" s="81"/>
    </row>
    <row r="2392" spans="4:5" s="15" customFormat="1">
      <c r="D2392" s="81"/>
      <c r="E2392" s="81"/>
    </row>
    <row r="2393" spans="4:5" s="15" customFormat="1">
      <c r="D2393" s="81"/>
      <c r="E2393" s="81"/>
    </row>
    <row r="2394" spans="4:5" s="15" customFormat="1">
      <c r="D2394" s="81"/>
      <c r="E2394" s="81"/>
    </row>
    <row r="2395" spans="4:5" s="15" customFormat="1">
      <c r="D2395" s="81"/>
      <c r="E2395" s="81"/>
    </row>
    <row r="2396" spans="4:5" s="15" customFormat="1">
      <c r="D2396" s="81"/>
      <c r="E2396" s="81"/>
    </row>
    <row r="2397" spans="4:5" s="15" customFormat="1">
      <c r="D2397" s="81"/>
      <c r="E2397" s="81"/>
    </row>
    <row r="2398" spans="4:5" s="15" customFormat="1">
      <c r="D2398" s="81"/>
      <c r="E2398" s="81"/>
    </row>
    <row r="2399" spans="4:5" s="15" customFormat="1">
      <c r="D2399" s="81"/>
      <c r="E2399" s="81"/>
    </row>
    <row r="2400" spans="4:5" s="15" customFormat="1">
      <c r="D2400" s="81"/>
      <c r="E2400" s="81"/>
    </row>
    <row r="2401" spans="4:5" s="15" customFormat="1">
      <c r="D2401" s="81"/>
      <c r="E2401" s="81"/>
    </row>
    <row r="2402" spans="4:5" s="15" customFormat="1">
      <c r="D2402" s="81"/>
      <c r="E2402" s="81"/>
    </row>
    <row r="2403" spans="4:5" s="15" customFormat="1">
      <c r="D2403" s="81"/>
      <c r="E2403" s="81"/>
    </row>
    <row r="2404" spans="4:5" s="15" customFormat="1">
      <c r="D2404" s="81"/>
      <c r="E2404" s="81"/>
    </row>
    <row r="2405" spans="4:5" s="15" customFormat="1">
      <c r="D2405" s="81"/>
      <c r="E2405" s="81"/>
    </row>
    <row r="2406" spans="4:5" s="15" customFormat="1">
      <c r="D2406" s="81"/>
      <c r="E2406" s="81"/>
    </row>
    <row r="2407" spans="4:5" s="15" customFormat="1">
      <c r="D2407" s="81"/>
      <c r="E2407" s="81"/>
    </row>
    <row r="2408" spans="4:5" s="15" customFormat="1">
      <c r="D2408" s="81"/>
      <c r="E2408" s="81"/>
    </row>
    <row r="2409" spans="4:5" s="15" customFormat="1">
      <c r="D2409" s="81"/>
      <c r="E2409" s="81"/>
    </row>
    <row r="2410" spans="4:5" s="15" customFormat="1">
      <c r="D2410" s="81"/>
      <c r="E2410" s="81"/>
    </row>
    <row r="2411" spans="4:5" s="15" customFormat="1">
      <c r="D2411" s="81"/>
      <c r="E2411" s="81"/>
    </row>
    <row r="2412" spans="4:5" s="15" customFormat="1">
      <c r="D2412" s="81"/>
      <c r="E2412" s="81"/>
    </row>
    <row r="2413" spans="4:5" s="15" customFormat="1">
      <c r="D2413" s="81"/>
      <c r="E2413" s="81"/>
    </row>
    <row r="2414" spans="4:5" s="15" customFormat="1">
      <c r="D2414" s="81"/>
      <c r="E2414" s="81"/>
    </row>
    <row r="2415" spans="4:5" s="15" customFormat="1">
      <c r="D2415" s="81"/>
      <c r="E2415" s="81"/>
    </row>
    <row r="2416" spans="4:5" s="15" customFormat="1">
      <c r="D2416" s="81"/>
      <c r="E2416" s="81"/>
    </row>
    <row r="2417" spans="4:5" s="15" customFormat="1">
      <c r="D2417" s="81"/>
      <c r="E2417" s="81"/>
    </row>
    <row r="2418" spans="4:5" s="15" customFormat="1">
      <c r="D2418" s="81"/>
      <c r="E2418" s="81"/>
    </row>
    <row r="2419" spans="4:5" s="15" customFormat="1">
      <c r="D2419" s="81"/>
      <c r="E2419" s="81"/>
    </row>
    <row r="2420" spans="4:5" s="15" customFormat="1">
      <c r="D2420" s="81"/>
      <c r="E2420" s="81"/>
    </row>
    <row r="2421" spans="4:5" s="15" customFormat="1">
      <c r="D2421" s="81"/>
      <c r="E2421" s="81"/>
    </row>
    <row r="2422" spans="4:5" s="15" customFormat="1">
      <c r="D2422" s="81"/>
      <c r="E2422" s="81"/>
    </row>
    <row r="2423" spans="4:5" s="15" customFormat="1">
      <c r="D2423" s="81"/>
      <c r="E2423" s="81"/>
    </row>
    <row r="2424" spans="4:5" s="15" customFormat="1">
      <c r="D2424" s="81"/>
      <c r="E2424" s="81"/>
    </row>
    <row r="2425" spans="4:5" s="15" customFormat="1">
      <c r="D2425" s="81"/>
      <c r="E2425" s="81"/>
    </row>
    <row r="2426" spans="4:5" s="15" customFormat="1">
      <c r="D2426" s="81"/>
      <c r="E2426" s="81"/>
    </row>
    <row r="2427" spans="4:5" s="15" customFormat="1">
      <c r="D2427" s="81"/>
      <c r="E2427" s="81"/>
    </row>
    <row r="2428" spans="4:5" s="15" customFormat="1">
      <c r="D2428" s="81"/>
      <c r="E2428" s="81"/>
    </row>
    <row r="2429" spans="4:5" s="15" customFormat="1">
      <c r="D2429" s="81"/>
      <c r="E2429" s="81"/>
    </row>
    <row r="2430" spans="4:5" s="15" customFormat="1">
      <c r="D2430" s="81"/>
      <c r="E2430" s="81"/>
    </row>
    <row r="2431" spans="4:5" s="15" customFormat="1">
      <c r="D2431" s="81"/>
      <c r="E2431" s="81"/>
    </row>
    <row r="2432" spans="4:5" s="15" customFormat="1">
      <c r="D2432" s="81"/>
      <c r="E2432" s="81"/>
    </row>
    <row r="2433" spans="4:5" s="15" customFormat="1">
      <c r="D2433" s="81"/>
      <c r="E2433" s="81"/>
    </row>
    <row r="2434" spans="4:5" s="15" customFormat="1">
      <c r="D2434" s="81"/>
      <c r="E2434" s="81"/>
    </row>
    <row r="2435" spans="4:5" s="15" customFormat="1">
      <c r="D2435" s="81"/>
      <c r="E2435" s="81"/>
    </row>
    <row r="2436" spans="4:5" s="15" customFormat="1">
      <c r="D2436" s="81"/>
      <c r="E2436" s="81"/>
    </row>
    <row r="2437" spans="4:5" s="15" customFormat="1">
      <c r="D2437" s="81"/>
      <c r="E2437" s="81"/>
    </row>
    <row r="2438" spans="4:5" s="15" customFormat="1">
      <c r="D2438" s="81"/>
      <c r="E2438" s="81"/>
    </row>
    <row r="2439" spans="4:5" s="15" customFormat="1">
      <c r="D2439" s="81"/>
      <c r="E2439" s="81"/>
    </row>
    <row r="2440" spans="4:5" s="15" customFormat="1">
      <c r="D2440" s="81"/>
      <c r="E2440" s="81"/>
    </row>
    <row r="2441" spans="4:5" s="15" customFormat="1">
      <c r="D2441" s="81"/>
      <c r="E2441" s="81"/>
    </row>
    <row r="2442" spans="4:5" s="15" customFormat="1">
      <c r="D2442" s="81"/>
      <c r="E2442" s="81"/>
    </row>
    <row r="2443" spans="4:5" s="15" customFormat="1">
      <c r="D2443" s="81"/>
      <c r="E2443" s="81"/>
    </row>
    <row r="2444" spans="4:5" s="15" customFormat="1">
      <c r="D2444" s="81"/>
      <c r="E2444" s="81"/>
    </row>
    <row r="2445" spans="4:5" s="15" customFormat="1">
      <c r="D2445" s="81"/>
      <c r="E2445" s="81"/>
    </row>
    <row r="2446" spans="4:5" s="15" customFormat="1">
      <c r="D2446" s="81"/>
      <c r="E2446" s="81"/>
    </row>
    <row r="2447" spans="4:5" s="15" customFormat="1">
      <c r="D2447" s="81"/>
      <c r="E2447" s="81"/>
    </row>
    <row r="2448" spans="4:5" s="15" customFormat="1">
      <c r="D2448" s="81"/>
      <c r="E2448" s="81"/>
    </row>
    <row r="2449" spans="4:5" s="15" customFormat="1">
      <c r="D2449" s="81"/>
      <c r="E2449" s="81"/>
    </row>
    <row r="2450" spans="4:5" s="15" customFormat="1">
      <c r="D2450" s="81"/>
      <c r="E2450" s="81"/>
    </row>
    <row r="2451" spans="4:5" s="15" customFormat="1">
      <c r="D2451" s="81"/>
      <c r="E2451" s="81"/>
    </row>
    <row r="2452" spans="4:5" s="15" customFormat="1">
      <c r="D2452" s="81"/>
      <c r="E2452" s="81"/>
    </row>
    <row r="2453" spans="4:5" s="15" customFormat="1">
      <c r="D2453" s="81"/>
      <c r="E2453" s="81"/>
    </row>
    <row r="2454" spans="4:5" s="15" customFormat="1">
      <c r="D2454" s="81"/>
      <c r="E2454" s="81"/>
    </row>
    <row r="2455" spans="4:5" s="15" customFormat="1">
      <c r="D2455" s="81"/>
      <c r="E2455" s="81"/>
    </row>
    <row r="2456" spans="4:5" s="15" customFormat="1">
      <c r="D2456" s="81"/>
      <c r="E2456" s="81"/>
    </row>
    <row r="2457" spans="4:5" s="15" customFormat="1">
      <c r="D2457" s="81"/>
      <c r="E2457" s="81"/>
    </row>
    <row r="2458" spans="4:5" s="15" customFormat="1">
      <c r="D2458" s="81"/>
      <c r="E2458" s="81"/>
    </row>
    <row r="2459" spans="4:5" s="15" customFormat="1">
      <c r="D2459" s="81"/>
      <c r="E2459" s="81"/>
    </row>
    <row r="2460" spans="4:5" s="15" customFormat="1">
      <c r="D2460" s="81"/>
      <c r="E2460" s="81"/>
    </row>
    <row r="2461" spans="4:5" s="15" customFormat="1">
      <c r="D2461" s="81"/>
      <c r="E2461" s="81"/>
    </row>
    <row r="2462" spans="4:5" s="15" customFormat="1">
      <c r="D2462" s="81"/>
      <c r="E2462" s="81"/>
    </row>
    <row r="2463" spans="4:5" s="15" customFormat="1">
      <c r="D2463" s="81"/>
      <c r="E2463" s="81"/>
    </row>
    <row r="2464" spans="4:5" s="15" customFormat="1">
      <c r="D2464" s="81"/>
      <c r="E2464" s="81"/>
    </row>
    <row r="2465" spans="4:5" s="15" customFormat="1">
      <c r="D2465" s="81"/>
      <c r="E2465" s="81"/>
    </row>
    <row r="2466" spans="4:5" s="15" customFormat="1">
      <c r="D2466" s="81"/>
      <c r="E2466" s="81"/>
    </row>
    <row r="2467" spans="4:5" s="15" customFormat="1">
      <c r="D2467" s="81"/>
      <c r="E2467" s="81"/>
    </row>
    <row r="2468" spans="4:5" s="15" customFormat="1">
      <c r="D2468" s="81"/>
      <c r="E2468" s="81"/>
    </row>
    <row r="2469" spans="4:5" s="15" customFormat="1">
      <c r="D2469" s="81"/>
      <c r="E2469" s="81"/>
    </row>
    <row r="2470" spans="4:5" s="15" customFormat="1">
      <c r="D2470" s="81"/>
      <c r="E2470" s="81"/>
    </row>
    <row r="2471" spans="4:5" s="15" customFormat="1">
      <c r="D2471" s="81"/>
      <c r="E2471" s="81"/>
    </row>
    <row r="2472" spans="4:5" s="15" customFormat="1">
      <c r="D2472" s="81"/>
      <c r="E2472" s="81"/>
    </row>
    <row r="2473" spans="4:5" s="15" customFormat="1">
      <c r="D2473" s="81"/>
      <c r="E2473" s="81"/>
    </row>
    <row r="2474" spans="4:5" s="15" customFormat="1">
      <c r="D2474" s="81"/>
      <c r="E2474" s="81"/>
    </row>
    <row r="2475" spans="4:5" s="15" customFormat="1">
      <c r="D2475" s="81"/>
      <c r="E2475" s="81"/>
    </row>
    <row r="2476" spans="4:5" s="15" customFormat="1">
      <c r="D2476" s="81"/>
      <c r="E2476" s="81"/>
    </row>
    <row r="2477" spans="4:5" s="15" customFormat="1">
      <c r="D2477" s="81"/>
      <c r="E2477" s="81"/>
    </row>
    <row r="2478" spans="4:5" s="15" customFormat="1">
      <c r="D2478" s="81"/>
      <c r="E2478" s="81"/>
    </row>
    <row r="2479" spans="4:5" s="15" customFormat="1">
      <c r="D2479" s="81"/>
      <c r="E2479" s="81"/>
    </row>
    <row r="2480" spans="4:5" s="15" customFormat="1">
      <c r="D2480" s="81"/>
      <c r="E2480" s="81"/>
    </row>
    <row r="2481" spans="4:5" s="15" customFormat="1">
      <c r="D2481" s="81"/>
      <c r="E2481" s="81"/>
    </row>
    <row r="2482" spans="4:5" s="15" customFormat="1">
      <c r="D2482" s="81"/>
      <c r="E2482" s="81"/>
    </row>
    <row r="2483" spans="4:5" s="15" customFormat="1">
      <c r="D2483" s="81"/>
      <c r="E2483" s="81"/>
    </row>
    <row r="2484" spans="4:5" s="15" customFormat="1">
      <c r="D2484" s="81"/>
      <c r="E2484" s="81"/>
    </row>
    <row r="2485" spans="4:5" s="15" customFormat="1">
      <c r="D2485" s="81"/>
      <c r="E2485" s="81"/>
    </row>
    <row r="2486" spans="4:5" s="15" customFormat="1">
      <c r="D2486" s="81"/>
      <c r="E2486" s="81"/>
    </row>
    <row r="2487" spans="4:5" s="15" customFormat="1">
      <c r="D2487" s="81"/>
      <c r="E2487" s="81"/>
    </row>
    <row r="2488" spans="4:5" s="15" customFormat="1">
      <c r="D2488" s="81"/>
      <c r="E2488" s="81"/>
    </row>
    <row r="2489" spans="4:5" s="15" customFormat="1">
      <c r="D2489" s="81"/>
      <c r="E2489" s="81"/>
    </row>
    <row r="2490" spans="4:5" s="15" customFormat="1">
      <c r="D2490" s="81"/>
      <c r="E2490" s="81"/>
    </row>
    <row r="2491" spans="4:5" s="15" customFormat="1">
      <c r="D2491" s="81"/>
      <c r="E2491" s="81"/>
    </row>
    <row r="2492" spans="4:5" s="15" customFormat="1">
      <c r="D2492" s="81"/>
      <c r="E2492" s="81"/>
    </row>
    <row r="2493" spans="4:5" s="15" customFormat="1">
      <c r="D2493" s="81"/>
      <c r="E2493" s="81"/>
    </row>
    <row r="2494" spans="4:5" s="15" customFormat="1">
      <c r="D2494" s="81"/>
      <c r="E2494" s="81"/>
    </row>
    <row r="2495" spans="4:5" s="15" customFormat="1">
      <c r="D2495" s="81"/>
      <c r="E2495" s="81"/>
    </row>
    <row r="2496" spans="4:5" s="15" customFormat="1">
      <c r="D2496" s="81"/>
      <c r="E2496" s="81"/>
    </row>
    <row r="2497" spans="4:5" s="15" customFormat="1">
      <c r="D2497" s="81"/>
      <c r="E2497" s="81"/>
    </row>
    <row r="2498" spans="4:5" s="15" customFormat="1">
      <c r="D2498" s="81"/>
      <c r="E2498" s="81"/>
    </row>
    <row r="2499" spans="4:5" s="15" customFormat="1">
      <c r="D2499" s="81"/>
      <c r="E2499" s="81"/>
    </row>
    <row r="2500" spans="4:5" s="15" customFormat="1">
      <c r="D2500" s="81"/>
      <c r="E2500" s="81"/>
    </row>
    <row r="2501" spans="4:5" s="15" customFormat="1">
      <c r="D2501" s="81"/>
      <c r="E2501" s="81"/>
    </row>
    <row r="2502" spans="4:5" s="15" customFormat="1">
      <c r="D2502" s="81"/>
      <c r="E2502" s="81"/>
    </row>
    <row r="2503" spans="4:5" s="15" customFormat="1">
      <c r="D2503" s="81"/>
      <c r="E2503" s="81"/>
    </row>
    <row r="2504" spans="4:5" s="15" customFormat="1">
      <c r="D2504" s="81"/>
      <c r="E2504" s="81"/>
    </row>
    <row r="2505" spans="4:5" s="15" customFormat="1">
      <c r="D2505" s="81"/>
      <c r="E2505" s="81"/>
    </row>
    <row r="2506" spans="4:5" s="15" customFormat="1">
      <c r="D2506" s="81"/>
      <c r="E2506" s="81"/>
    </row>
    <row r="2507" spans="4:5" s="15" customFormat="1">
      <c r="D2507" s="81"/>
      <c r="E2507" s="81"/>
    </row>
    <row r="2508" spans="4:5" s="15" customFormat="1">
      <c r="D2508" s="81"/>
      <c r="E2508" s="81"/>
    </row>
    <row r="2509" spans="4:5" s="15" customFormat="1">
      <c r="D2509" s="81"/>
      <c r="E2509" s="81"/>
    </row>
    <row r="2510" spans="4:5" s="15" customFormat="1">
      <c r="D2510" s="81"/>
      <c r="E2510" s="81"/>
    </row>
    <row r="2511" spans="4:5" s="15" customFormat="1">
      <c r="D2511" s="81"/>
      <c r="E2511" s="81"/>
    </row>
    <row r="2512" spans="4:5" s="15" customFormat="1">
      <c r="D2512" s="81"/>
      <c r="E2512" s="81"/>
    </row>
    <row r="2513" spans="4:5" s="15" customFormat="1">
      <c r="D2513" s="81"/>
      <c r="E2513" s="81"/>
    </row>
    <row r="2514" spans="4:5" s="15" customFormat="1">
      <c r="D2514" s="81"/>
      <c r="E2514" s="81"/>
    </row>
    <row r="2515" spans="4:5" s="15" customFormat="1">
      <c r="D2515" s="81"/>
      <c r="E2515" s="81"/>
    </row>
    <row r="2516" spans="4:5" s="15" customFormat="1">
      <c r="D2516" s="81"/>
      <c r="E2516" s="81"/>
    </row>
    <row r="2517" spans="4:5" s="15" customFormat="1">
      <c r="D2517" s="81"/>
      <c r="E2517" s="81"/>
    </row>
    <row r="2518" spans="4:5" s="15" customFormat="1">
      <c r="D2518" s="81"/>
      <c r="E2518" s="81"/>
    </row>
    <row r="2519" spans="4:5" s="15" customFormat="1">
      <c r="D2519" s="81"/>
      <c r="E2519" s="81"/>
    </row>
    <row r="2520" spans="4:5" s="15" customFormat="1">
      <c r="D2520" s="81"/>
      <c r="E2520" s="81"/>
    </row>
    <row r="2521" spans="4:5" s="15" customFormat="1">
      <c r="D2521" s="81"/>
      <c r="E2521" s="81"/>
    </row>
    <row r="2522" spans="4:5" s="15" customFormat="1">
      <c r="D2522" s="81"/>
      <c r="E2522" s="81"/>
    </row>
    <row r="2523" spans="4:5" s="15" customFormat="1">
      <c r="D2523" s="81"/>
      <c r="E2523" s="81"/>
    </row>
    <row r="2524" spans="4:5" s="15" customFormat="1">
      <c r="D2524" s="81"/>
      <c r="E2524" s="81"/>
    </row>
    <row r="2525" spans="4:5" s="15" customFormat="1">
      <c r="D2525" s="81"/>
      <c r="E2525" s="81"/>
    </row>
    <row r="2526" spans="4:5" s="15" customFormat="1">
      <c r="D2526" s="81"/>
      <c r="E2526" s="81"/>
    </row>
    <row r="2527" spans="4:5" s="15" customFormat="1">
      <c r="D2527" s="81"/>
      <c r="E2527" s="81"/>
    </row>
    <row r="2528" spans="4:5" s="15" customFormat="1">
      <c r="D2528" s="81"/>
      <c r="E2528" s="81"/>
    </row>
    <row r="2529" spans="4:5" s="15" customFormat="1">
      <c r="D2529" s="81"/>
      <c r="E2529" s="81"/>
    </row>
    <row r="2530" spans="4:5" s="15" customFormat="1">
      <c r="D2530" s="81"/>
      <c r="E2530" s="81"/>
    </row>
    <row r="2531" spans="4:5" s="15" customFormat="1">
      <c r="D2531" s="81"/>
      <c r="E2531" s="81"/>
    </row>
    <row r="2532" spans="4:5" s="15" customFormat="1">
      <c r="D2532" s="81"/>
      <c r="E2532" s="81"/>
    </row>
    <row r="2533" spans="4:5" s="15" customFormat="1">
      <c r="D2533" s="81"/>
      <c r="E2533" s="81"/>
    </row>
    <row r="2534" spans="4:5" s="15" customFormat="1">
      <c r="D2534" s="81"/>
      <c r="E2534" s="81"/>
    </row>
    <row r="2535" spans="4:5" s="15" customFormat="1">
      <c r="D2535" s="81"/>
      <c r="E2535" s="81"/>
    </row>
    <row r="2536" spans="4:5" s="15" customFormat="1">
      <c r="D2536" s="81"/>
      <c r="E2536" s="81"/>
    </row>
    <row r="2537" spans="4:5" s="15" customFormat="1">
      <c r="D2537" s="81"/>
      <c r="E2537" s="81"/>
    </row>
    <row r="2538" spans="4:5" s="15" customFormat="1">
      <c r="D2538" s="81"/>
      <c r="E2538" s="81"/>
    </row>
    <row r="2539" spans="4:5" s="15" customFormat="1">
      <c r="D2539" s="81"/>
      <c r="E2539" s="81"/>
    </row>
    <row r="2540" spans="4:5" s="15" customFormat="1">
      <c r="D2540" s="81"/>
      <c r="E2540" s="81"/>
    </row>
    <row r="2541" spans="4:5" s="15" customFormat="1">
      <c r="D2541" s="81"/>
      <c r="E2541" s="81"/>
    </row>
    <row r="2542" spans="4:5" s="15" customFormat="1">
      <c r="D2542" s="81"/>
      <c r="E2542" s="81"/>
    </row>
    <row r="2543" spans="4:5" s="15" customFormat="1">
      <c r="D2543" s="81"/>
      <c r="E2543" s="81"/>
    </row>
    <row r="2544" spans="4:5" s="15" customFormat="1">
      <c r="D2544" s="81"/>
      <c r="E2544" s="81"/>
    </row>
    <row r="2545" spans="4:5" s="15" customFormat="1">
      <c r="D2545" s="81"/>
      <c r="E2545" s="81"/>
    </row>
    <row r="2546" spans="4:5" s="15" customFormat="1">
      <c r="D2546" s="81"/>
      <c r="E2546" s="81"/>
    </row>
    <row r="2547" spans="4:5" s="15" customFormat="1">
      <c r="D2547" s="81"/>
      <c r="E2547" s="81"/>
    </row>
    <row r="2548" spans="4:5" s="15" customFormat="1">
      <c r="D2548" s="81"/>
      <c r="E2548" s="81"/>
    </row>
    <row r="2549" spans="4:5" s="15" customFormat="1">
      <c r="D2549" s="81"/>
      <c r="E2549" s="81"/>
    </row>
    <row r="2550" spans="4:5" s="15" customFormat="1">
      <c r="D2550" s="81"/>
      <c r="E2550" s="81"/>
    </row>
    <row r="2551" spans="4:5" s="15" customFormat="1">
      <c r="D2551" s="81"/>
      <c r="E2551" s="81"/>
    </row>
    <row r="2552" spans="4:5" s="15" customFormat="1">
      <c r="D2552" s="81"/>
      <c r="E2552" s="81"/>
    </row>
    <row r="2553" spans="4:5" s="15" customFormat="1">
      <c r="D2553" s="81"/>
      <c r="E2553" s="81"/>
    </row>
    <row r="2554" spans="4:5" s="15" customFormat="1">
      <c r="D2554" s="81"/>
      <c r="E2554" s="81"/>
    </row>
    <row r="2555" spans="4:5" s="15" customFormat="1">
      <c r="D2555" s="81"/>
      <c r="E2555" s="81"/>
    </row>
    <row r="2556" spans="4:5" s="15" customFormat="1">
      <c r="D2556" s="81"/>
      <c r="E2556" s="81"/>
    </row>
    <row r="2557" spans="4:5" s="15" customFormat="1">
      <c r="D2557" s="81"/>
      <c r="E2557" s="81"/>
    </row>
    <row r="2558" spans="4:5" s="15" customFormat="1">
      <c r="D2558" s="81"/>
      <c r="E2558" s="81"/>
    </row>
    <row r="2559" spans="4:5" s="15" customFormat="1">
      <c r="D2559" s="81"/>
      <c r="E2559" s="81"/>
    </row>
    <row r="2560" spans="4:5" s="15" customFormat="1">
      <c r="D2560" s="81"/>
      <c r="E2560" s="81"/>
    </row>
    <row r="2561" spans="4:5" s="15" customFormat="1">
      <c r="D2561" s="81"/>
      <c r="E2561" s="81"/>
    </row>
    <row r="2562" spans="4:5" s="15" customFormat="1">
      <c r="D2562" s="81"/>
      <c r="E2562" s="81"/>
    </row>
    <row r="2563" spans="4:5" s="15" customFormat="1">
      <c r="D2563" s="81"/>
      <c r="E2563" s="81"/>
    </row>
    <row r="2564" spans="4:5" s="15" customFormat="1">
      <c r="D2564" s="81"/>
      <c r="E2564" s="81"/>
    </row>
    <row r="2565" spans="4:5" s="15" customFormat="1">
      <c r="D2565" s="81"/>
      <c r="E2565" s="81"/>
    </row>
    <row r="2566" spans="4:5" s="15" customFormat="1">
      <c r="D2566" s="81"/>
      <c r="E2566" s="81"/>
    </row>
    <row r="2567" spans="4:5" s="15" customFormat="1">
      <c r="D2567" s="81"/>
      <c r="E2567" s="81"/>
    </row>
    <row r="2568" spans="4:5" s="15" customFormat="1">
      <c r="D2568" s="81"/>
      <c r="E2568" s="81"/>
    </row>
    <row r="2569" spans="4:5" s="15" customFormat="1">
      <c r="D2569" s="81"/>
      <c r="E2569" s="81"/>
    </row>
    <row r="2570" spans="4:5" s="15" customFormat="1">
      <c r="D2570" s="81"/>
      <c r="E2570" s="81"/>
    </row>
    <row r="2571" spans="4:5" s="15" customFormat="1">
      <c r="D2571" s="81"/>
      <c r="E2571" s="81"/>
    </row>
    <row r="2572" spans="4:5" s="15" customFormat="1">
      <c r="D2572" s="81"/>
      <c r="E2572" s="81"/>
    </row>
    <row r="2573" spans="4:5" s="15" customFormat="1">
      <c r="D2573" s="81"/>
      <c r="E2573" s="81"/>
    </row>
    <row r="2574" spans="4:5" s="15" customFormat="1">
      <c r="D2574" s="81"/>
      <c r="E2574" s="81"/>
    </row>
    <row r="2575" spans="4:5" s="15" customFormat="1">
      <c r="D2575" s="81"/>
      <c r="E2575" s="81"/>
    </row>
    <row r="2576" spans="4:5" s="15" customFormat="1">
      <c r="D2576" s="81"/>
      <c r="E2576" s="81"/>
    </row>
    <row r="2577" spans="4:5" s="15" customFormat="1">
      <c r="D2577" s="81"/>
      <c r="E2577" s="81"/>
    </row>
    <row r="2578" spans="4:5" s="15" customFormat="1">
      <c r="D2578" s="81"/>
      <c r="E2578" s="81"/>
    </row>
    <row r="2579" spans="4:5" s="15" customFormat="1">
      <c r="D2579" s="81"/>
      <c r="E2579" s="81"/>
    </row>
    <row r="2580" spans="4:5" s="15" customFormat="1">
      <c r="D2580" s="81"/>
      <c r="E2580" s="81"/>
    </row>
    <row r="2581" spans="4:5" s="15" customFormat="1">
      <c r="D2581" s="81"/>
      <c r="E2581" s="81"/>
    </row>
    <row r="2582" spans="4:5" s="15" customFormat="1">
      <c r="D2582" s="81"/>
      <c r="E2582" s="81"/>
    </row>
    <row r="2583" spans="4:5" s="15" customFormat="1">
      <c r="D2583" s="81"/>
      <c r="E2583" s="81"/>
    </row>
    <row r="2584" spans="4:5" s="15" customFormat="1">
      <c r="D2584" s="81"/>
      <c r="E2584" s="81"/>
    </row>
    <row r="2585" spans="4:5" s="15" customFormat="1">
      <c r="D2585" s="81"/>
      <c r="E2585" s="81"/>
    </row>
    <row r="2586" spans="4:5" s="15" customFormat="1">
      <c r="D2586" s="81"/>
      <c r="E2586" s="81"/>
    </row>
    <row r="2587" spans="4:5" s="15" customFormat="1">
      <c r="D2587" s="81"/>
      <c r="E2587" s="81"/>
    </row>
    <row r="2588" spans="4:5" s="15" customFormat="1">
      <c r="D2588" s="81"/>
      <c r="E2588" s="81"/>
    </row>
    <row r="2589" spans="4:5" s="15" customFormat="1">
      <c r="D2589" s="81"/>
      <c r="E2589" s="81"/>
    </row>
    <row r="2590" spans="4:5" s="15" customFormat="1">
      <c r="D2590" s="81"/>
      <c r="E2590" s="81"/>
    </row>
    <row r="2591" spans="4:5" s="15" customFormat="1">
      <c r="D2591" s="81"/>
      <c r="E2591" s="81"/>
    </row>
    <row r="2592" spans="4:5" s="15" customFormat="1">
      <c r="D2592" s="81"/>
      <c r="E2592" s="81"/>
    </row>
    <row r="2593" spans="4:5" s="15" customFormat="1">
      <c r="D2593" s="81"/>
      <c r="E2593" s="81"/>
    </row>
    <row r="2594" spans="4:5" s="15" customFormat="1">
      <c r="D2594" s="81"/>
      <c r="E2594" s="81"/>
    </row>
    <row r="2595" spans="4:5" s="15" customFormat="1">
      <c r="D2595" s="81"/>
      <c r="E2595" s="81"/>
    </row>
    <row r="2596" spans="4:5" s="15" customFormat="1">
      <c r="D2596" s="81"/>
      <c r="E2596" s="81"/>
    </row>
    <row r="2597" spans="4:5" s="15" customFormat="1">
      <c r="D2597" s="81"/>
      <c r="E2597" s="81"/>
    </row>
    <row r="2598" spans="4:5" s="15" customFormat="1">
      <c r="D2598" s="81"/>
      <c r="E2598" s="81"/>
    </row>
    <row r="2599" spans="4:5" s="15" customFormat="1">
      <c r="D2599" s="81"/>
      <c r="E2599" s="81"/>
    </row>
    <row r="2600" spans="4:5" s="15" customFormat="1">
      <c r="D2600" s="81"/>
      <c r="E2600" s="81"/>
    </row>
    <row r="2601" spans="4:5" s="15" customFormat="1">
      <c r="D2601" s="81"/>
      <c r="E2601" s="81"/>
    </row>
    <row r="2602" spans="4:5" s="15" customFormat="1">
      <c r="D2602" s="81"/>
      <c r="E2602" s="81"/>
    </row>
    <row r="2603" spans="4:5" s="15" customFormat="1">
      <c r="D2603" s="81"/>
      <c r="E2603" s="81"/>
    </row>
    <row r="2604" spans="4:5" s="15" customFormat="1">
      <c r="D2604" s="81"/>
      <c r="E2604" s="81"/>
    </row>
    <row r="2605" spans="4:5" s="15" customFormat="1">
      <c r="D2605" s="81"/>
      <c r="E2605" s="81"/>
    </row>
    <row r="2606" spans="4:5" s="15" customFormat="1">
      <c r="D2606" s="81"/>
      <c r="E2606" s="81"/>
    </row>
    <row r="2607" spans="4:5" s="15" customFormat="1">
      <c r="D2607" s="81"/>
      <c r="E2607" s="81"/>
    </row>
    <row r="2608" spans="4:5" s="15" customFormat="1">
      <c r="D2608" s="81"/>
      <c r="E2608" s="81"/>
    </row>
    <row r="2609" spans="4:5" s="15" customFormat="1">
      <c r="D2609" s="81"/>
      <c r="E2609" s="81"/>
    </row>
    <row r="2610" spans="4:5" s="15" customFormat="1">
      <c r="D2610" s="81"/>
      <c r="E2610" s="81"/>
    </row>
    <row r="2611" spans="4:5" s="15" customFormat="1">
      <c r="D2611" s="81"/>
      <c r="E2611" s="81"/>
    </row>
    <row r="2612" spans="4:5" s="15" customFormat="1">
      <c r="D2612" s="81"/>
      <c r="E2612" s="81"/>
    </row>
    <row r="2613" spans="4:5" s="15" customFormat="1">
      <c r="D2613" s="81"/>
      <c r="E2613" s="81"/>
    </row>
    <row r="2614" spans="4:5" s="15" customFormat="1">
      <c r="D2614" s="81"/>
      <c r="E2614" s="81"/>
    </row>
    <row r="2615" spans="4:5" s="15" customFormat="1">
      <c r="D2615" s="81"/>
      <c r="E2615" s="81"/>
    </row>
    <row r="2616" spans="4:5" s="15" customFormat="1">
      <c r="D2616" s="81"/>
      <c r="E2616" s="81"/>
    </row>
    <row r="2617" spans="4:5" s="15" customFormat="1">
      <c r="D2617" s="81"/>
      <c r="E2617" s="81"/>
    </row>
    <row r="2618" spans="4:5" s="15" customFormat="1">
      <c r="D2618" s="81"/>
      <c r="E2618" s="81"/>
    </row>
    <row r="2619" spans="4:5" s="15" customFormat="1">
      <c r="D2619" s="81"/>
      <c r="E2619" s="81"/>
    </row>
    <row r="2620" spans="4:5" s="15" customFormat="1">
      <c r="D2620" s="81"/>
      <c r="E2620" s="81"/>
    </row>
    <row r="2621" spans="4:5" s="15" customFormat="1">
      <c r="D2621" s="81"/>
      <c r="E2621" s="81"/>
    </row>
    <row r="2622" spans="4:5" s="15" customFormat="1">
      <c r="D2622" s="81"/>
      <c r="E2622" s="81"/>
    </row>
    <row r="2623" spans="4:5" s="15" customFormat="1">
      <c r="D2623" s="81"/>
      <c r="E2623" s="81"/>
    </row>
    <row r="2624" spans="4:5" s="15" customFormat="1">
      <c r="D2624" s="81"/>
      <c r="E2624" s="81"/>
    </row>
    <row r="2625" spans="4:5" s="15" customFormat="1">
      <c r="D2625" s="81"/>
      <c r="E2625" s="81"/>
    </row>
    <row r="2626" spans="4:5" s="15" customFormat="1">
      <c r="D2626" s="81"/>
      <c r="E2626" s="81"/>
    </row>
    <row r="2627" spans="4:5" s="15" customFormat="1">
      <c r="D2627" s="81"/>
      <c r="E2627" s="81"/>
    </row>
    <row r="2628" spans="4:5" s="15" customFormat="1">
      <c r="D2628" s="81"/>
      <c r="E2628" s="81"/>
    </row>
    <row r="2629" spans="4:5" s="15" customFormat="1">
      <c r="D2629" s="81"/>
      <c r="E2629" s="81"/>
    </row>
    <row r="2630" spans="4:5" s="15" customFormat="1">
      <c r="D2630" s="81"/>
      <c r="E2630" s="81"/>
    </row>
    <row r="2631" spans="4:5" s="15" customFormat="1">
      <c r="D2631" s="81"/>
      <c r="E2631" s="81"/>
    </row>
    <row r="2632" spans="4:5" s="15" customFormat="1">
      <c r="D2632" s="81"/>
      <c r="E2632" s="81"/>
    </row>
    <row r="2633" spans="4:5" s="15" customFormat="1">
      <c r="D2633" s="81"/>
      <c r="E2633" s="81"/>
    </row>
    <row r="2634" spans="4:5" s="15" customFormat="1">
      <c r="D2634" s="81"/>
      <c r="E2634" s="81"/>
    </row>
    <row r="2635" spans="4:5" s="15" customFormat="1">
      <c r="D2635" s="81"/>
      <c r="E2635" s="81"/>
    </row>
    <row r="2636" spans="4:5" s="15" customFormat="1">
      <c r="D2636" s="81"/>
      <c r="E2636" s="81"/>
    </row>
    <row r="2637" spans="4:5" s="15" customFormat="1">
      <c r="D2637" s="81"/>
      <c r="E2637" s="81"/>
    </row>
    <row r="2638" spans="4:5" s="15" customFormat="1">
      <c r="D2638" s="81"/>
      <c r="E2638" s="81"/>
    </row>
    <row r="2639" spans="4:5" s="15" customFormat="1">
      <c r="D2639" s="81"/>
      <c r="E2639" s="81"/>
    </row>
    <row r="2640" spans="4:5" s="15" customFormat="1">
      <c r="D2640" s="81"/>
      <c r="E2640" s="81"/>
    </row>
    <row r="2641" spans="4:5" s="15" customFormat="1">
      <c r="D2641" s="81"/>
      <c r="E2641" s="81"/>
    </row>
    <row r="2642" spans="4:5" s="15" customFormat="1">
      <c r="D2642" s="81"/>
      <c r="E2642" s="81"/>
    </row>
    <row r="2643" spans="4:5" s="15" customFormat="1">
      <c r="D2643" s="81"/>
      <c r="E2643" s="81"/>
    </row>
    <row r="2644" spans="4:5" s="15" customFormat="1">
      <c r="D2644" s="81"/>
      <c r="E2644" s="81"/>
    </row>
    <row r="2645" spans="4:5" s="15" customFormat="1">
      <c r="D2645" s="81"/>
      <c r="E2645" s="81"/>
    </row>
    <row r="2646" spans="4:5" s="15" customFormat="1">
      <c r="D2646" s="81"/>
      <c r="E2646" s="81"/>
    </row>
    <row r="2647" spans="4:5" s="15" customFormat="1">
      <c r="D2647" s="81"/>
      <c r="E2647" s="81"/>
    </row>
    <row r="2648" spans="4:5" s="15" customFormat="1">
      <c r="D2648" s="81"/>
      <c r="E2648" s="81"/>
    </row>
    <row r="2649" spans="4:5" s="15" customFormat="1">
      <c r="D2649" s="81"/>
      <c r="E2649" s="81"/>
    </row>
    <row r="2650" spans="4:5" s="15" customFormat="1">
      <c r="D2650" s="81"/>
      <c r="E2650" s="81"/>
    </row>
    <row r="2651" spans="4:5" s="15" customFormat="1">
      <c r="D2651" s="81"/>
      <c r="E2651" s="81"/>
    </row>
    <row r="2652" spans="4:5" s="15" customFormat="1">
      <c r="D2652" s="81"/>
      <c r="E2652" s="81"/>
    </row>
    <row r="2653" spans="4:5" s="15" customFormat="1">
      <c r="D2653" s="81"/>
      <c r="E2653" s="81"/>
    </row>
    <row r="2654" spans="4:5" s="15" customFormat="1">
      <c r="D2654" s="81"/>
      <c r="E2654" s="81"/>
    </row>
    <row r="2655" spans="4:5" s="15" customFormat="1">
      <c r="D2655" s="81"/>
      <c r="E2655" s="81"/>
    </row>
    <row r="2656" spans="4:5" s="15" customFormat="1">
      <c r="D2656" s="81"/>
      <c r="E2656" s="81"/>
    </row>
    <row r="2657" spans="4:5" s="15" customFormat="1">
      <c r="D2657" s="81"/>
      <c r="E2657" s="81"/>
    </row>
    <row r="2658" spans="4:5" s="15" customFormat="1">
      <c r="D2658" s="81"/>
      <c r="E2658" s="81"/>
    </row>
    <row r="2659" spans="4:5" s="15" customFormat="1">
      <c r="D2659" s="81"/>
      <c r="E2659" s="81"/>
    </row>
    <row r="2660" spans="4:5" s="15" customFormat="1">
      <c r="D2660" s="81"/>
      <c r="E2660" s="81"/>
    </row>
    <row r="2661" spans="4:5" s="15" customFormat="1">
      <c r="D2661" s="81"/>
      <c r="E2661" s="81"/>
    </row>
    <row r="2662" spans="4:5" s="15" customFormat="1">
      <c r="D2662" s="81"/>
      <c r="E2662" s="81"/>
    </row>
    <row r="2663" spans="4:5" s="15" customFormat="1">
      <c r="D2663" s="81"/>
      <c r="E2663" s="81"/>
    </row>
    <row r="2664" spans="4:5" s="15" customFormat="1">
      <c r="D2664" s="81"/>
      <c r="E2664" s="81"/>
    </row>
    <row r="2665" spans="4:5" s="15" customFormat="1">
      <c r="D2665" s="81"/>
      <c r="E2665" s="81"/>
    </row>
    <row r="2666" spans="4:5" s="15" customFormat="1">
      <c r="D2666" s="81"/>
      <c r="E2666" s="81"/>
    </row>
    <row r="2667" spans="4:5" s="15" customFormat="1">
      <c r="D2667" s="81"/>
      <c r="E2667" s="81"/>
    </row>
    <row r="2668" spans="4:5" s="15" customFormat="1">
      <c r="D2668" s="81"/>
      <c r="E2668" s="81"/>
    </row>
    <row r="2669" spans="4:5" s="15" customFormat="1">
      <c r="D2669" s="81"/>
      <c r="E2669" s="81"/>
    </row>
    <row r="2670" spans="4:5" s="15" customFormat="1">
      <c r="D2670" s="81"/>
      <c r="E2670" s="81"/>
    </row>
    <row r="2671" spans="4:5" s="15" customFormat="1">
      <c r="D2671" s="81"/>
      <c r="E2671" s="81"/>
    </row>
    <row r="2672" spans="4:5" s="15" customFormat="1">
      <c r="D2672" s="81"/>
      <c r="E2672" s="81"/>
    </row>
    <row r="2673" spans="4:5" s="15" customFormat="1">
      <c r="D2673" s="81"/>
      <c r="E2673" s="81"/>
    </row>
    <row r="2674" spans="4:5" s="15" customFormat="1">
      <c r="D2674" s="81"/>
      <c r="E2674" s="81"/>
    </row>
    <row r="2675" spans="4:5" s="15" customFormat="1">
      <c r="D2675" s="81"/>
      <c r="E2675" s="81"/>
    </row>
    <row r="2676" spans="4:5" s="15" customFormat="1">
      <c r="D2676" s="81"/>
      <c r="E2676" s="81"/>
    </row>
    <row r="2677" spans="4:5" s="15" customFormat="1">
      <c r="D2677" s="81"/>
      <c r="E2677" s="81"/>
    </row>
    <row r="2678" spans="4:5" s="15" customFormat="1">
      <c r="D2678" s="81"/>
      <c r="E2678" s="81"/>
    </row>
    <row r="2679" spans="4:5" s="15" customFormat="1">
      <c r="D2679" s="81"/>
      <c r="E2679" s="81"/>
    </row>
    <row r="2680" spans="4:5" s="15" customFormat="1">
      <c r="D2680" s="81"/>
      <c r="E2680" s="81"/>
    </row>
    <row r="2681" spans="4:5" s="15" customFormat="1">
      <c r="D2681" s="81"/>
      <c r="E2681" s="81"/>
    </row>
    <row r="2682" spans="4:5" s="15" customFormat="1">
      <c r="D2682" s="81"/>
      <c r="E2682" s="81"/>
    </row>
    <row r="2683" spans="4:5" s="15" customFormat="1">
      <c r="D2683" s="81"/>
      <c r="E2683" s="81"/>
    </row>
    <row r="2684" spans="4:5" s="15" customFormat="1">
      <c r="D2684" s="81"/>
      <c r="E2684" s="81"/>
    </row>
    <row r="2685" spans="4:5" s="15" customFormat="1">
      <c r="D2685" s="81"/>
      <c r="E2685" s="81"/>
    </row>
    <row r="2686" spans="4:5" s="15" customFormat="1">
      <c r="D2686" s="81"/>
      <c r="E2686" s="81"/>
    </row>
    <row r="2687" spans="4:5" s="15" customFormat="1">
      <c r="D2687" s="81"/>
      <c r="E2687" s="81"/>
    </row>
    <row r="2688" spans="4:5" s="15" customFormat="1">
      <c r="D2688" s="81"/>
      <c r="E2688" s="81"/>
    </row>
    <row r="2689" spans="4:5" s="15" customFormat="1">
      <c r="D2689" s="81"/>
      <c r="E2689" s="81"/>
    </row>
    <row r="2690" spans="4:5" s="15" customFormat="1">
      <c r="D2690" s="81"/>
      <c r="E2690" s="81"/>
    </row>
    <row r="2691" spans="4:5" s="15" customFormat="1">
      <c r="D2691" s="81"/>
      <c r="E2691" s="81"/>
    </row>
    <row r="2692" spans="4:5" s="15" customFormat="1">
      <c r="D2692" s="81"/>
      <c r="E2692" s="81"/>
    </row>
    <row r="2693" spans="4:5" s="15" customFormat="1">
      <c r="D2693" s="81"/>
      <c r="E2693" s="81"/>
    </row>
    <row r="2694" spans="4:5" s="15" customFormat="1">
      <c r="D2694" s="81"/>
      <c r="E2694" s="81"/>
    </row>
    <row r="2695" spans="4:5" s="15" customFormat="1">
      <c r="D2695" s="81"/>
      <c r="E2695" s="81"/>
    </row>
    <row r="2696" spans="4:5" s="15" customFormat="1">
      <c r="D2696" s="81"/>
      <c r="E2696" s="81"/>
    </row>
    <row r="2697" spans="4:5" s="15" customFormat="1">
      <c r="D2697" s="81"/>
      <c r="E2697" s="81"/>
    </row>
    <row r="2698" spans="4:5" s="15" customFormat="1">
      <c r="D2698" s="81"/>
      <c r="E2698" s="81"/>
    </row>
    <row r="2699" spans="4:5" s="15" customFormat="1">
      <c r="D2699" s="81"/>
      <c r="E2699" s="81"/>
    </row>
    <row r="2700" spans="4:5" s="15" customFormat="1">
      <c r="D2700" s="81"/>
      <c r="E2700" s="81"/>
    </row>
    <row r="2701" spans="4:5" s="15" customFormat="1">
      <c r="D2701" s="81"/>
      <c r="E2701" s="81"/>
    </row>
    <row r="2702" spans="4:5" s="15" customFormat="1">
      <c r="D2702" s="81"/>
      <c r="E2702" s="81"/>
    </row>
    <row r="2703" spans="4:5" s="15" customFormat="1">
      <c r="D2703" s="81"/>
      <c r="E2703" s="81"/>
    </row>
    <row r="2704" spans="4:5" s="15" customFormat="1">
      <c r="D2704" s="81"/>
      <c r="E2704" s="81"/>
    </row>
    <row r="2705" spans="4:5" s="15" customFormat="1">
      <c r="D2705" s="81"/>
      <c r="E2705" s="81"/>
    </row>
    <row r="2706" spans="4:5" s="15" customFormat="1">
      <c r="D2706" s="81"/>
      <c r="E2706" s="81"/>
    </row>
    <row r="2707" spans="4:5" s="15" customFormat="1">
      <c r="D2707" s="81"/>
      <c r="E2707" s="81"/>
    </row>
    <row r="2708" spans="4:5" s="15" customFormat="1">
      <c r="D2708" s="81"/>
      <c r="E2708" s="81"/>
    </row>
    <row r="2709" spans="4:5" s="15" customFormat="1">
      <c r="D2709" s="81"/>
      <c r="E2709" s="81"/>
    </row>
    <row r="2710" spans="4:5" s="15" customFormat="1">
      <c r="D2710" s="81"/>
      <c r="E2710" s="81"/>
    </row>
    <row r="2711" spans="4:5" s="15" customFormat="1">
      <c r="D2711" s="81"/>
      <c r="E2711" s="81"/>
    </row>
    <row r="2712" spans="4:5" s="15" customFormat="1">
      <c r="D2712" s="81"/>
      <c r="E2712" s="81"/>
    </row>
    <row r="2713" spans="4:5" s="15" customFormat="1">
      <c r="D2713" s="81"/>
      <c r="E2713" s="81"/>
    </row>
    <row r="2714" spans="4:5" s="15" customFormat="1">
      <c r="D2714" s="81"/>
      <c r="E2714" s="81"/>
    </row>
    <row r="2715" spans="4:5" s="15" customFormat="1">
      <c r="D2715" s="81"/>
      <c r="E2715" s="81"/>
    </row>
    <row r="2716" spans="4:5" s="15" customFormat="1">
      <c r="D2716" s="81"/>
      <c r="E2716" s="81"/>
    </row>
    <row r="2717" spans="4:5" s="15" customFormat="1">
      <c r="D2717" s="81"/>
      <c r="E2717" s="81"/>
    </row>
    <row r="2718" spans="4:5" s="15" customFormat="1">
      <c r="D2718" s="81"/>
      <c r="E2718" s="81"/>
    </row>
    <row r="2719" spans="4:5" s="15" customFormat="1">
      <c r="D2719" s="81"/>
      <c r="E2719" s="81"/>
    </row>
    <row r="2720" spans="4:5" s="15" customFormat="1">
      <c r="D2720" s="81"/>
      <c r="E2720" s="81"/>
    </row>
    <row r="2721" spans="4:5" s="15" customFormat="1">
      <c r="D2721" s="81"/>
      <c r="E2721" s="81"/>
    </row>
    <row r="2722" spans="4:5" s="15" customFormat="1">
      <c r="D2722" s="81"/>
      <c r="E2722" s="81"/>
    </row>
    <row r="2723" spans="4:5" s="15" customFormat="1">
      <c r="D2723" s="81"/>
      <c r="E2723" s="81"/>
    </row>
    <row r="2724" spans="4:5" s="15" customFormat="1">
      <c r="D2724" s="81"/>
      <c r="E2724" s="81"/>
    </row>
    <row r="2725" spans="4:5" s="15" customFormat="1">
      <c r="D2725" s="81"/>
      <c r="E2725" s="81"/>
    </row>
    <row r="2726" spans="4:5" s="15" customFormat="1">
      <c r="D2726" s="81"/>
      <c r="E2726" s="81"/>
    </row>
    <row r="2727" spans="4:5" s="15" customFormat="1">
      <c r="D2727" s="81"/>
      <c r="E2727" s="81"/>
    </row>
    <row r="2728" spans="4:5" s="15" customFormat="1">
      <c r="D2728" s="81"/>
      <c r="E2728" s="81"/>
    </row>
    <row r="2729" spans="4:5" s="15" customFormat="1">
      <c r="D2729" s="81"/>
      <c r="E2729" s="81"/>
    </row>
    <row r="2730" spans="4:5" s="15" customFormat="1">
      <c r="D2730" s="81"/>
      <c r="E2730" s="81"/>
    </row>
    <row r="2731" spans="4:5" s="15" customFormat="1">
      <c r="D2731" s="81"/>
      <c r="E2731" s="81"/>
    </row>
    <row r="2732" spans="4:5" s="15" customFormat="1">
      <c r="D2732" s="81"/>
      <c r="E2732" s="81"/>
    </row>
    <row r="2733" spans="4:5" s="15" customFormat="1">
      <c r="D2733" s="81"/>
      <c r="E2733" s="81"/>
    </row>
    <row r="2734" spans="4:5" s="15" customFormat="1">
      <c r="D2734" s="81"/>
      <c r="E2734" s="81"/>
    </row>
    <row r="2735" spans="4:5" s="15" customFormat="1">
      <c r="D2735" s="81"/>
      <c r="E2735" s="81"/>
    </row>
    <row r="2736" spans="4:5" s="15" customFormat="1">
      <c r="D2736" s="81"/>
      <c r="E2736" s="81"/>
    </row>
    <row r="2737" spans="4:5" s="15" customFormat="1">
      <c r="D2737" s="81"/>
      <c r="E2737" s="81"/>
    </row>
    <row r="2738" spans="4:5" s="15" customFormat="1">
      <c r="D2738" s="81"/>
      <c r="E2738" s="81"/>
    </row>
    <row r="2739" spans="4:5" s="15" customFormat="1">
      <c r="D2739" s="81"/>
      <c r="E2739" s="81"/>
    </row>
    <row r="2740" spans="4:5" s="15" customFormat="1">
      <c r="D2740" s="81"/>
      <c r="E2740" s="81"/>
    </row>
    <row r="2741" spans="4:5" s="15" customFormat="1">
      <c r="D2741" s="81"/>
      <c r="E2741" s="81"/>
    </row>
    <row r="2742" spans="4:5" s="15" customFormat="1">
      <c r="D2742" s="81"/>
      <c r="E2742" s="81"/>
    </row>
    <row r="2743" spans="4:5" s="15" customFormat="1">
      <c r="D2743" s="81"/>
      <c r="E2743" s="81"/>
    </row>
    <row r="2744" spans="4:5" s="15" customFormat="1">
      <c r="D2744" s="81"/>
      <c r="E2744" s="81"/>
    </row>
    <row r="2745" spans="4:5" s="15" customFormat="1">
      <c r="D2745" s="81"/>
      <c r="E2745" s="81"/>
    </row>
    <row r="2746" spans="4:5" s="15" customFormat="1">
      <c r="D2746" s="81"/>
      <c r="E2746" s="81"/>
    </row>
    <row r="2747" spans="4:5" s="15" customFormat="1">
      <c r="D2747" s="81"/>
      <c r="E2747" s="81"/>
    </row>
    <row r="2748" spans="4:5" s="15" customFormat="1">
      <c r="D2748" s="81"/>
      <c r="E2748" s="81"/>
    </row>
    <row r="2749" spans="4:5" s="15" customFormat="1">
      <c r="D2749" s="81"/>
      <c r="E2749" s="81"/>
    </row>
    <row r="2750" spans="4:5" s="15" customFormat="1">
      <c r="D2750" s="81"/>
      <c r="E2750" s="81"/>
    </row>
    <row r="2751" spans="4:5" s="15" customFormat="1">
      <c r="D2751" s="81"/>
      <c r="E2751" s="81"/>
    </row>
    <row r="2752" spans="4:5" s="15" customFormat="1">
      <c r="D2752" s="81"/>
      <c r="E2752" s="81"/>
    </row>
    <row r="2753" spans="4:5" s="15" customFormat="1">
      <c r="D2753" s="81"/>
      <c r="E2753" s="81"/>
    </row>
    <row r="2754" spans="4:5" s="15" customFormat="1">
      <c r="D2754" s="81"/>
      <c r="E2754" s="81"/>
    </row>
    <row r="2755" spans="4:5" s="15" customFormat="1">
      <c r="D2755" s="81"/>
      <c r="E2755" s="81"/>
    </row>
    <row r="2756" spans="4:5" s="15" customFormat="1">
      <c r="D2756" s="81"/>
      <c r="E2756" s="81"/>
    </row>
    <row r="2757" spans="4:5" s="15" customFormat="1">
      <c r="D2757" s="81"/>
      <c r="E2757" s="81"/>
    </row>
    <row r="2758" spans="4:5" s="15" customFormat="1">
      <c r="D2758" s="81"/>
      <c r="E2758" s="81"/>
    </row>
    <row r="2759" spans="4:5" s="15" customFormat="1">
      <c r="D2759" s="81"/>
      <c r="E2759" s="81"/>
    </row>
    <row r="2760" spans="4:5" s="15" customFormat="1">
      <c r="D2760" s="81"/>
      <c r="E2760" s="81"/>
    </row>
    <row r="2761" spans="4:5" s="15" customFormat="1">
      <c r="D2761" s="81"/>
      <c r="E2761" s="81"/>
    </row>
    <row r="2762" spans="4:5" s="15" customFormat="1">
      <c r="D2762" s="81"/>
      <c r="E2762" s="81"/>
    </row>
    <row r="2763" spans="4:5" s="15" customFormat="1">
      <c r="D2763" s="81"/>
      <c r="E2763" s="81"/>
    </row>
    <row r="2764" spans="4:5" s="15" customFormat="1">
      <c r="D2764" s="81"/>
      <c r="E2764" s="81"/>
    </row>
    <row r="2765" spans="4:5" s="15" customFormat="1">
      <c r="D2765" s="81"/>
      <c r="E2765" s="81"/>
    </row>
    <row r="2766" spans="4:5" s="15" customFormat="1">
      <c r="D2766" s="81"/>
      <c r="E2766" s="81"/>
    </row>
    <row r="2767" spans="4:5" s="15" customFormat="1">
      <c r="D2767" s="81"/>
      <c r="E2767" s="81"/>
    </row>
    <row r="2768" spans="4:5" s="15" customFormat="1">
      <c r="D2768" s="81"/>
      <c r="E2768" s="81"/>
    </row>
    <row r="2769" spans="4:5" s="15" customFormat="1">
      <c r="D2769" s="81"/>
      <c r="E2769" s="81"/>
    </row>
    <row r="2770" spans="4:5" s="15" customFormat="1">
      <c r="D2770" s="81"/>
      <c r="E2770" s="81"/>
    </row>
    <row r="2771" spans="4:5" s="15" customFormat="1">
      <c r="D2771" s="81"/>
      <c r="E2771" s="81"/>
    </row>
    <row r="2772" spans="4:5" s="15" customFormat="1">
      <c r="D2772" s="81"/>
      <c r="E2772" s="81"/>
    </row>
    <row r="2773" spans="4:5" s="15" customFormat="1">
      <c r="D2773" s="81"/>
      <c r="E2773" s="81"/>
    </row>
    <row r="2774" spans="4:5" s="15" customFormat="1">
      <c r="D2774" s="81"/>
      <c r="E2774" s="81"/>
    </row>
    <row r="2775" spans="4:5" s="15" customFormat="1">
      <c r="D2775" s="81"/>
      <c r="E2775" s="81"/>
    </row>
    <row r="2776" spans="4:5" s="15" customFormat="1">
      <c r="D2776" s="81"/>
      <c r="E2776" s="81"/>
    </row>
    <row r="2777" spans="4:5" s="15" customFormat="1">
      <c r="D2777" s="81"/>
      <c r="E2777" s="81"/>
    </row>
    <row r="2778" spans="4:5" s="15" customFormat="1">
      <c r="D2778" s="81"/>
      <c r="E2778" s="81"/>
    </row>
    <row r="2779" spans="4:5" s="15" customFormat="1">
      <c r="D2779" s="81"/>
      <c r="E2779" s="81"/>
    </row>
    <row r="2780" spans="4:5" s="15" customFormat="1">
      <c r="D2780" s="81"/>
      <c r="E2780" s="81"/>
    </row>
    <row r="2781" spans="4:5" s="15" customFormat="1">
      <c r="D2781" s="81"/>
      <c r="E2781" s="81"/>
    </row>
    <row r="2782" spans="4:5" s="15" customFormat="1">
      <c r="D2782" s="81"/>
      <c r="E2782" s="81"/>
    </row>
    <row r="2783" spans="4:5" s="15" customFormat="1">
      <c r="D2783" s="81"/>
      <c r="E2783" s="81"/>
    </row>
    <row r="2784" spans="4:5" s="15" customFormat="1">
      <c r="D2784" s="81"/>
      <c r="E2784" s="81"/>
    </row>
    <row r="2785" spans="4:5" s="15" customFormat="1">
      <c r="D2785" s="81"/>
      <c r="E2785" s="81"/>
    </row>
    <row r="2786" spans="4:5" s="15" customFormat="1">
      <c r="D2786" s="81"/>
      <c r="E2786" s="81"/>
    </row>
    <row r="2787" spans="4:5" s="15" customFormat="1">
      <c r="D2787" s="81"/>
      <c r="E2787" s="81"/>
    </row>
    <row r="2788" spans="4:5" s="15" customFormat="1">
      <c r="D2788" s="81"/>
      <c r="E2788" s="81"/>
    </row>
    <row r="2789" spans="4:5" s="15" customFormat="1">
      <c r="D2789" s="81"/>
      <c r="E2789" s="81"/>
    </row>
    <row r="2790" spans="4:5" s="15" customFormat="1">
      <c r="D2790" s="81"/>
      <c r="E2790" s="81"/>
    </row>
    <row r="2791" spans="4:5" s="15" customFormat="1">
      <c r="D2791" s="81"/>
      <c r="E2791" s="81"/>
    </row>
    <row r="2792" spans="4:5" s="15" customFormat="1">
      <c r="D2792" s="81"/>
      <c r="E2792" s="81"/>
    </row>
    <row r="2793" spans="4:5" s="15" customFormat="1">
      <c r="D2793" s="81"/>
      <c r="E2793" s="81"/>
    </row>
    <row r="2794" spans="4:5" s="15" customFormat="1">
      <c r="D2794" s="81"/>
      <c r="E2794" s="81"/>
    </row>
    <row r="2795" spans="4:5" s="15" customFormat="1">
      <c r="D2795" s="81"/>
      <c r="E2795" s="81"/>
    </row>
    <row r="2796" spans="4:5" s="15" customFormat="1">
      <c r="D2796" s="81"/>
      <c r="E2796" s="81"/>
    </row>
    <row r="2797" spans="4:5" s="15" customFormat="1">
      <c r="D2797" s="81"/>
      <c r="E2797" s="81"/>
    </row>
    <row r="2798" spans="4:5" s="15" customFormat="1">
      <c r="D2798" s="81"/>
      <c r="E2798" s="81"/>
    </row>
    <row r="2799" spans="4:5" s="15" customFormat="1">
      <c r="D2799" s="81"/>
      <c r="E2799" s="81"/>
    </row>
    <row r="2800" spans="4:5" s="15" customFormat="1">
      <c r="D2800" s="81"/>
      <c r="E2800" s="81"/>
    </row>
    <row r="2801" spans="4:5" s="15" customFormat="1">
      <c r="D2801" s="81"/>
      <c r="E2801" s="81"/>
    </row>
    <row r="2802" spans="4:5" s="15" customFormat="1">
      <c r="D2802" s="81"/>
      <c r="E2802" s="81"/>
    </row>
    <row r="2803" spans="4:5" s="15" customFormat="1">
      <c r="D2803" s="81"/>
      <c r="E2803" s="81"/>
    </row>
    <row r="2804" spans="4:5" s="15" customFormat="1">
      <c r="D2804" s="81"/>
      <c r="E2804" s="81"/>
    </row>
    <row r="2805" spans="4:5" s="15" customFormat="1">
      <c r="D2805" s="81"/>
      <c r="E2805" s="81"/>
    </row>
    <row r="2806" spans="4:5" s="15" customFormat="1">
      <c r="D2806" s="81"/>
      <c r="E2806" s="81"/>
    </row>
    <row r="2807" spans="4:5" s="15" customFormat="1">
      <c r="D2807" s="81"/>
      <c r="E2807" s="81"/>
    </row>
    <row r="2808" spans="4:5" s="15" customFormat="1">
      <c r="D2808" s="81"/>
      <c r="E2808" s="81"/>
    </row>
    <row r="2809" spans="4:5" s="15" customFormat="1">
      <c r="D2809" s="81"/>
      <c r="E2809" s="81"/>
    </row>
    <row r="2810" spans="4:5" s="15" customFormat="1">
      <c r="D2810" s="81"/>
      <c r="E2810" s="81"/>
    </row>
    <row r="2811" spans="4:5" s="15" customFormat="1">
      <c r="D2811" s="81"/>
      <c r="E2811" s="81"/>
    </row>
    <row r="2812" spans="4:5" s="15" customFormat="1">
      <c r="D2812" s="81"/>
      <c r="E2812" s="81"/>
    </row>
    <row r="2813" spans="4:5" s="15" customFormat="1">
      <c r="D2813" s="81"/>
      <c r="E2813" s="81"/>
    </row>
    <row r="2814" spans="4:5" s="15" customFormat="1">
      <c r="D2814" s="81"/>
      <c r="E2814" s="81"/>
    </row>
    <row r="2815" spans="4:5" s="15" customFormat="1">
      <c r="D2815" s="81"/>
      <c r="E2815" s="81"/>
    </row>
    <row r="2816" spans="4:5" s="15" customFormat="1">
      <c r="D2816" s="81"/>
      <c r="E2816" s="81"/>
    </row>
    <row r="2817" spans="4:5" s="15" customFormat="1">
      <c r="D2817" s="81"/>
      <c r="E2817" s="81"/>
    </row>
    <row r="2818" spans="4:5" s="15" customFormat="1">
      <c r="D2818" s="81"/>
      <c r="E2818" s="81"/>
    </row>
    <row r="2819" spans="4:5" s="15" customFormat="1">
      <c r="D2819" s="81"/>
      <c r="E2819" s="81"/>
    </row>
    <row r="2820" spans="4:5" s="15" customFormat="1">
      <c r="D2820" s="81"/>
      <c r="E2820" s="81"/>
    </row>
    <row r="2821" spans="4:5" s="15" customFormat="1">
      <c r="D2821" s="81"/>
      <c r="E2821" s="81"/>
    </row>
    <row r="2822" spans="4:5" s="15" customFormat="1">
      <c r="D2822" s="81"/>
      <c r="E2822" s="81"/>
    </row>
    <row r="2823" spans="4:5" s="15" customFormat="1">
      <c r="D2823" s="81"/>
      <c r="E2823" s="81"/>
    </row>
    <row r="2824" spans="4:5" s="15" customFormat="1">
      <c r="D2824" s="81"/>
      <c r="E2824" s="81"/>
    </row>
    <row r="2825" spans="4:5" s="15" customFormat="1">
      <c r="D2825" s="81"/>
      <c r="E2825" s="81"/>
    </row>
    <row r="2826" spans="4:5" s="15" customFormat="1">
      <c r="D2826" s="81"/>
      <c r="E2826" s="81"/>
    </row>
    <row r="2827" spans="4:5" s="15" customFormat="1">
      <c r="D2827" s="81"/>
      <c r="E2827" s="81"/>
    </row>
    <row r="2828" spans="4:5" s="15" customFormat="1">
      <c r="D2828" s="81"/>
      <c r="E2828" s="81"/>
    </row>
    <row r="2829" spans="4:5" s="15" customFormat="1">
      <c r="D2829" s="81"/>
      <c r="E2829" s="81"/>
    </row>
    <row r="2830" spans="4:5" s="15" customFormat="1">
      <c r="D2830" s="81"/>
      <c r="E2830" s="81"/>
    </row>
    <row r="2831" spans="4:5" s="15" customFormat="1">
      <c r="D2831" s="81"/>
      <c r="E2831" s="81"/>
    </row>
    <row r="2832" spans="4:5" s="15" customFormat="1">
      <c r="D2832" s="81"/>
      <c r="E2832" s="81"/>
    </row>
    <row r="2833" spans="4:5" s="15" customFormat="1">
      <c r="D2833" s="81"/>
      <c r="E2833" s="81"/>
    </row>
    <row r="2834" spans="4:5" s="15" customFormat="1">
      <c r="D2834" s="81"/>
      <c r="E2834" s="81"/>
    </row>
    <row r="2835" spans="4:5" s="15" customFormat="1">
      <c r="D2835" s="81"/>
      <c r="E2835" s="81"/>
    </row>
    <row r="2836" spans="4:5" s="15" customFormat="1">
      <c r="D2836" s="81"/>
      <c r="E2836" s="81"/>
    </row>
    <row r="2837" spans="4:5" s="15" customFormat="1">
      <c r="D2837" s="81"/>
      <c r="E2837" s="81"/>
    </row>
    <row r="2838" spans="4:5" s="15" customFormat="1">
      <c r="D2838" s="81"/>
      <c r="E2838" s="81"/>
    </row>
    <row r="2839" spans="4:5" s="15" customFormat="1">
      <c r="D2839" s="81"/>
      <c r="E2839" s="81"/>
    </row>
    <row r="2840" spans="4:5" s="15" customFormat="1">
      <c r="D2840" s="81"/>
      <c r="E2840" s="81"/>
    </row>
    <row r="2841" spans="4:5" s="15" customFormat="1">
      <c r="D2841" s="81"/>
      <c r="E2841" s="81"/>
    </row>
    <row r="2842" spans="4:5" s="15" customFormat="1">
      <c r="D2842" s="81"/>
      <c r="E2842" s="81"/>
    </row>
    <row r="2843" spans="4:5" s="15" customFormat="1">
      <c r="D2843" s="81"/>
      <c r="E2843" s="81"/>
    </row>
    <row r="2844" spans="4:5" s="15" customFormat="1">
      <c r="D2844" s="81"/>
      <c r="E2844" s="81"/>
    </row>
    <row r="2845" spans="4:5" s="15" customFormat="1">
      <c r="D2845" s="81"/>
      <c r="E2845" s="81"/>
    </row>
    <row r="2846" spans="4:5" s="15" customFormat="1">
      <c r="D2846" s="81"/>
      <c r="E2846" s="81"/>
    </row>
    <row r="2847" spans="4:5" s="15" customFormat="1">
      <c r="D2847" s="81"/>
      <c r="E2847" s="81"/>
    </row>
    <row r="2848" spans="4:5" s="15" customFormat="1">
      <c r="D2848" s="81"/>
      <c r="E2848" s="81"/>
    </row>
    <row r="2849" spans="4:5" s="15" customFormat="1">
      <c r="D2849" s="81"/>
      <c r="E2849" s="81"/>
    </row>
    <row r="2850" spans="4:5" s="15" customFormat="1">
      <c r="D2850" s="81"/>
      <c r="E2850" s="81"/>
    </row>
    <row r="2851" spans="4:5" s="15" customFormat="1">
      <c r="D2851" s="81"/>
      <c r="E2851" s="81"/>
    </row>
    <row r="2852" spans="4:5" s="15" customFormat="1">
      <c r="D2852" s="81"/>
      <c r="E2852" s="81"/>
    </row>
    <row r="2853" spans="4:5" s="15" customFormat="1">
      <c r="D2853" s="81"/>
      <c r="E2853" s="81"/>
    </row>
    <row r="2854" spans="4:5" s="15" customFormat="1">
      <c r="D2854" s="81"/>
      <c r="E2854" s="81"/>
    </row>
    <row r="2855" spans="4:5" s="15" customFormat="1">
      <c r="D2855" s="81"/>
      <c r="E2855" s="81"/>
    </row>
    <row r="2856" spans="4:5" s="15" customFormat="1">
      <c r="D2856" s="81"/>
      <c r="E2856" s="81"/>
    </row>
    <row r="2857" spans="4:5" s="15" customFormat="1">
      <c r="D2857" s="81"/>
      <c r="E2857" s="81"/>
    </row>
    <row r="2858" spans="4:5" s="15" customFormat="1">
      <c r="D2858" s="81"/>
      <c r="E2858" s="81"/>
    </row>
    <row r="2859" spans="4:5" s="15" customFormat="1">
      <c r="D2859" s="81"/>
      <c r="E2859" s="81"/>
    </row>
    <row r="2860" spans="4:5" s="15" customFormat="1">
      <c r="D2860" s="81"/>
      <c r="E2860" s="81"/>
    </row>
    <row r="2861" spans="4:5" s="15" customFormat="1">
      <c r="D2861" s="81"/>
      <c r="E2861" s="81"/>
    </row>
    <row r="2862" spans="4:5" s="15" customFormat="1">
      <c r="D2862" s="81"/>
      <c r="E2862" s="81"/>
    </row>
    <row r="2863" spans="4:5" s="15" customFormat="1">
      <c r="D2863" s="81"/>
      <c r="E2863" s="81"/>
    </row>
    <row r="2864" spans="4:5" s="15" customFormat="1">
      <c r="D2864" s="81"/>
      <c r="E2864" s="81"/>
    </row>
    <row r="2865" spans="4:5" s="15" customFormat="1">
      <c r="D2865" s="81"/>
      <c r="E2865" s="81"/>
    </row>
    <row r="2866" spans="4:5" s="15" customFormat="1">
      <c r="D2866" s="81"/>
      <c r="E2866" s="81"/>
    </row>
    <row r="2867" spans="4:5" s="15" customFormat="1">
      <c r="D2867" s="81"/>
      <c r="E2867" s="81"/>
    </row>
    <row r="2868" spans="4:5" s="15" customFormat="1">
      <c r="D2868" s="81"/>
      <c r="E2868" s="81"/>
    </row>
    <row r="2869" spans="4:5" s="15" customFormat="1">
      <c r="D2869" s="81"/>
      <c r="E2869" s="81"/>
    </row>
    <row r="2870" spans="4:5" s="15" customFormat="1">
      <c r="D2870" s="81"/>
      <c r="E2870" s="81"/>
    </row>
    <row r="2871" spans="4:5" s="15" customFormat="1">
      <c r="D2871" s="81"/>
      <c r="E2871" s="81"/>
    </row>
    <row r="2872" spans="4:5" s="15" customFormat="1">
      <c r="D2872" s="81"/>
      <c r="E2872" s="81"/>
    </row>
    <row r="2873" spans="4:5" s="15" customFormat="1">
      <c r="D2873" s="81"/>
      <c r="E2873" s="81"/>
    </row>
    <row r="2874" spans="4:5" s="15" customFormat="1">
      <c r="D2874" s="81"/>
      <c r="E2874" s="81"/>
    </row>
    <row r="2875" spans="4:5" s="15" customFormat="1">
      <c r="D2875" s="81"/>
      <c r="E2875" s="81"/>
    </row>
    <row r="2876" spans="4:5" s="15" customFormat="1">
      <c r="D2876" s="81"/>
      <c r="E2876" s="81"/>
    </row>
    <row r="2877" spans="4:5" s="15" customFormat="1">
      <c r="D2877" s="81"/>
      <c r="E2877" s="81"/>
    </row>
    <row r="2878" spans="4:5" s="15" customFormat="1">
      <c r="D2878" s="81"/>
      <c r="E2878" s="81"/>
    </row>
    <row r="2879" spans="4:5" s="15" customFormat="1">
      <c r="D2879" s="81"/>
      <c r="E2879" s="81"/>
    </row>
    <row r="2880" spans="4:5" s="15" customFormat="1">
      <c r="D2880" s="81"/>
      <c r="E2880" s="81"/>
    </row>
    <row r="2881" spans="4:5" s="15" customFormat="1">
      <c r="D2881" s="81"/>
      <c r="E2881" s="81"/>
    </row>
    <row r="2882" spans="4:5" s="15" customFormat="1">
      <c r="D2882" s="81"/>
      <c r="E2882" s="81"/>
    </row>
    <row r="2883" spans="4:5" s="15" customFormat="1">
      <c r="D2883" s="81"/>
      <c r="E2883" s="81"/>
    </row>
    <row r="2884" spans="4:5" s="15" customFormat="1">
      <c r="D2884" s="81"/>
      <c r="E2884" s="81"/>
    </row>
    <row r="2885" spans="4:5" s="15" customFormat="1">
      <c r="D2885" s="81"/>
      <c r="E2885" s="81"/>
    </row>
    <row r="2886" spans="4:5" s="15" customFormat="1">
      <c r="D2886" s="81"/>
      <c r="E2886" s="81"/>
    </row>
    <row r="2887" spans="4:5" s="15" customFormat="1">
      <c r="D2887" s="81"/>
      <c r="E2887" s="81"/>
    </row>
    <row r="2888" spans="4:5" s="15" customFormat="1">
      <c r="D2888" s="81"/>
      <c r="E2888" s="81"/>
    </row>
    <row r="2889" spans="4:5" s="15" customFormat="1">
      <c r="D2889" s="81"/>
      <c r="E2889" s="81"/>
    </row>
    <row r="2890" spans="4:5" s="15" customFormat="1">
      <c r="D2890" s="81"/>
      <c r="E2890" s="81"/>
    </row>
    <row r="2891" spans="4:5" s="15" customFormat="1">
      <c r="D2891" s="81"/>
      <c r="E2891" s="81"/>
    </row>
    <row r="2892" spans="4:5" s="15" customFormat="1">
      <c r="D2892" s="81"/>
      <c r="E2892" s="81"/>
    </row>
    <row r="2893" spans="4:5" s="15" customFormat="1">
      <c r="D2893" s="81"/>
      <c r="E2893" s="81"/>
    </row>
    <row r="2894" spans="4:5" s="15" customFormat="1">
      <c r="D2894" s="81"/>
      <c r="E2894" s="81"/>
    </row>
    <row r="2895" spans="4:5" s="15" customFormat="1">
      <c r="D2895" s="81"/>
      <c r="E2895" s="81"/>
    </row>
    <row r="2896" spans="4:5" s="15" customFormat="1">
      <c r="D2896" s="81"/>
      <c r="E2896" s="81"/>
    </row>
    <row r="2897" spans="4:5" s="15" customFormat="1">
      <c r="D2897" s="81"/>
      <c r="E2897" s="81"/>
    </row>
    <row r="2898" spans="4:5" s="15" customFormat="1">
      <c r="D2898" s="81"/>
      <c r="E2898" s="81"/>
    </row>
    <row r="2899" spans="4:5" s="15" customFormat="1">
      <c r="D2899" s="81"/>
      <c r="E2899" s="81"/>
    </row>
    <row r="2900" spans="4:5" s="15" customFormat="1">
      <c r="D2900" s="81"/>
      <c r="E2900" s="81"/>
    </row>
    <row r="2901" spans="4:5" s="15" customFormat="1">
      <c r="D2901" s="81"/>
      <c r="E2901" s="81"/>
    </row>
    <row r="2902" spans="4:5" s="15" customFormat="1">
      <c r="D2902" s="81"/>
      <c r="E2902" s="81"/>
    </row>
    <row r="2903" spans="4:5" s="15" customFormat="1">
      <c r="D2903" s="81"/>
      <c r="E2903" s="81"/>
    </row>
    <row r="2904" spans="4:5" s="15" customFormat="1">
      <c r="D2904" s="81"/>
      <c r="E2904" s="81"/>
    </row>
    <row r="2905" spans="4:5" s="15" customFormat="1">
      <c r="D2905" s="81"/>
      <c r="E2905" s="81"/>
    </row>
    <row r="2906" spans="4:5" s="15" customFormat="1">
      <c r="D2906" s="81"/>
      <c r="E2906" s="81"/>
    </row>
    <row r="2907" spans="4:5" s="15" customFormat="1">
      <c r="D2907" s="81"/>
      <c r="E2907" s="81"/>
    </row>
    <row r="2908" spans="4:5" s="15" customFormat="1">
      <c r="D2908" s="81"/>
      <c r="E2908" s="81"/>
    </row>
    <row r="2909" spans="4:5" s="15" customFormat="1">
      <c r="D2909" s="81"/>
      <c r="E2909" s="81"/>
    </row>
    <row r="2910" spans="4:5" s="15" customFormat="1">
      <c r="D2910" s="81"/>
      <c r="E2910" s="81"/>
    </row>
    <row r="2911" spans="4:5" s="15" customFormat="1">
      <c r="D2911" s="81"/>
      <c r="E2911" s="81"/>
    </row>
    <row r="2912" spans="4:5" s="15" customFormat="1">
      <c r="D2912" s="81"/>
      <c r="E2912" s="81"/>
    </row>
    <row r="2913" spans="4:5" s="15" customFormat="1">
      <c r="D2913" s="81"/>
      <c r="E2913" s="81"/>
    </row>
    <row r="2914" spans="4:5" s="15" customFormat="1">
      <c r="D2914" s="81"/>
      <c r="E2914" s="81"/>
    </row>
    <row r="2915" spans="4:5" s="15" customFormat="1">
      <c r="D2915" s="81"/>
      <c r="E2915" s="81"/>
    </row>
    <row r="2916" spans="4:5" s="15" customFormat="1">
      <c r="D2916" s="81"/>
      <c r="E2916" s="81"/>
    </row>
    <row r="2917" spans="4:5" s="15" customFormat="1">
      <c r="D2917" s="81"/>
      <c r="E2917" s="81"/>
    </row>
    <row r="2918" spans="4:5" s="15" customFormat="1">
      <c r="D2918" s="81"/>
      <c r="E2918" s="81"/>
    </row>
    <row r="2919" spans="4:5" s="15" customFormat="1">
      <c r="D2919" s="81"/>
      <c r="E2919" s="81"/>
    </row>
    <row r="2920" spans="4:5" s="15" customFormat="1">
      <c r="D2920" s="81"/>
      <c r="E2920" s="81"/>
    </row>
    <row r="2921" spans="4:5" s="15" customFormat="1">
      <c r="D2921" s="81"/>
      <c r="E2921" s="81"/>
    </row>
    <row r="2922" spans="4:5" s="15" customFormat="1">
      <c r="D2922" s="81"/>
      <c r="E2922" s="81"/>
    </row>
    <row r="2923" spans="4:5" s="15" customFormat="1">
      <c r="D2923" s="81"/>
      <c r="E2923" s="81"/>
    </row>
    <row r="2924" spans="4:5" s="15" customFormat="1">
      <c r="D2924" s="81"/>
      <c r="E2924" s="81"/>
    </row>
    <row r="2925" spans="4:5" s="15" customFormat="1">
      <c r="D2925" s="81"/>
      <c r="E2925" s="81"/>
    </row>
    <row r="2926" spans="4:5" s="15" customFormat="1">
      <c r="D2926" s="81"/>
      <c r="E2926" s="81"/>
    </row>
    <row r="2927" spans="4:5" s="15" customFormat="1">
      <c r="D2927" s="81"/>
      <c r="E2927" s="81"/>
    </row>
    <row r="2928" spans="4:5" s="15" customFormat="1">
      <c r="D2928" s="81"/>
      <c r="E2928" s="81"/>
    </row>
    <row r="2929" spans="4:5" s="15" customFormat="1">
      <c r="D2929" s="81"/>
      <c r="E2929" s="81"/>
    </row>
    <row r="2930" spans="4:5" s="15" customFormat="1">
      <c r="D2930" s="81"/>
      <c r="E2930" s="81"/>
    </row>
    <row r="2931" spans="4:5" s="15" customFormat="1">
      <c r="D2931" s="81"/>
      <c r="E2931" s="81"/>
    </row>
    <row r="2932" spans="4:5" s="15" customFormat="1">
      <c r="D2932" s="81"/>
      <c r="E2932" s="81"/>
    </row>
    <row r="2933" spans="4:5" s="15" customFormat="1">
      <c r="D2933" s="81"/>
      <c r="E2933" s="81"/>
    </row>
    <row r="2934" spans="4:5" s="15" customFormat="1">
      <c r="D2934" s="81"/>
      <c r="E2934" s="81"/>
    </row>
    <row r="2935" spans="4:5" s="15" customFormat="1">
      <c r="D2935" s="81"/>
      <c r="E2935" s="81"/>
    </row>
    <row r="2936" spans="4:5" s="15" customFormat="1">
      <c r="D2936" s="81"/>
      <c r="E2936" s="81"/>
    </row>
    <row r="2937" spans="4:5" s="15" customFormat="1">
      <c r="D2937" s="81"/>
      <c r="E2937" s="81"/>
    </row>
    <row r="2938" spans="4:5" s="15" customFormat="1">
      <c r="D2938" s="81"/>
      <c r="E2938" s="81"/>
    </row>
    <row r="2939" spans="4:5" s="15" customFormat="1">
      <c r="D2939" s="81"/>
      <c r="E2939" s="81"/>
    </row>
    <row r="2940" spans="4:5" s="15" customFormat="1">
      <c r="D2940" s="81"/>
      <c r="E2940" s="81"/>
    </row>
    <row r="2941" spans="4:5" s="15" customFormat="1">
      <c r="D2941" s="81"/>
      <c r="E2941" s="81"/>
    </row>
    <row r="2942" spans="4:5" s="15" customFormat="1">
      <c r="D2942" s="81"/>
      <c r="E2942" s="81"/>
    </row>
    <row r="2943" spans="4:5" s="15" customFormat="1">
      <c r="D2943" s="81"/>
      <c r="E2943" s="81"/>
    </row>
    <row r="2944" spans="4:5" s="15" customFormat="1">
      <c r="D2944" s="81"/>
      <c r="E2944" s="81"/>
    </row>
    <row r="2945" spans="4:5" s="15" customFormat="1">
      <c r="D2945" s="81"/>
      <c r="E2945" s="81"/>
    </row>
    <row r="2946" spans="4:5" s="15" customFormat="1">
      <c r="D2946" s="81"/>
      <c r="E2946" s="81"/>
    </row>
    <row r="2947" spans="4:5" s="15" customFormat="1">
      <c r="D2947" s="81"/>
      <c r="E2947" s="81"/>
    </row>
    <row r="2948" spans="4:5" s="15" customFormat="1">
      <c r="D2948" s="81"/>
      <c r="E2948" s="81"/>
    </row>
    <row r="2949" spans="4:5" s="15" customFormat="1">
      <c r="D2949" s="81"/>
      <c r="E2949" s="81"/>
    </row>
    <row r="2950" spans="4:5" s="15" customFormat="1">
      <c r="D2950" s="81"/>
      <c r="E2950" s="81"/>
    </row>
    <row r="2951" spans="4:5" s="15" customFormat="1">
      <c r="D2951" s="81"/>
      <c r="E2951" s="81"/>
    </row>
    <row r="2952" spans="4:5" s="15" customFormat="1">
      <c r="D2952" s="81"/>
      <c r="E2952" s="81"/>
    </row>
    <row r="2953" spans="4:5" s="15" customFormat="1">
      <c r="D2953" s="81"/>
      <c r="E2953" s="81"/>
    </row>
    <row r="2954" spans="4:5" s="15" customFormat="1">
      <c r="D2954" s="81"/>
      <c r="E2954" s="81"/>
    </row>
    <row r="2955" spans="4:5" s="15" customFormat="1">
      <c r="D2955" s="81"/>
      <c r="E2955" s="81"/>
    </row>
    <row r="2956" spans="4:5" s="15" customFormat="1">
      <c r="D2956" s="81"/>
      <c r="E2956" s="81"/>
    </row>
    <row r="2957" spans="4:5" s="15" customFormat="1">
      <c r="D2957" s="81"/>
      <c r="E2957" s="81"/>
    </row>
    <row r="2958" spans="4:5" s="15" customFormat="1">
      <c r="D2958" s="81"/>
      <c r="E2958" s="81"/>
    </row>
    <row r="2959" spans="4:5" s="15" customFormat="1">
      <c r="D2959" s="81"/>
      <c r="E2959" s="81"/>
    </row>
    <row r="2960" spans="4:5" s="15" customFormat="1">
      <c r="D2960" s="81"/>
      <c r="E2960" s="81"/>
    </row>
    <row r="2961" spans="4:5" s="15" customFormat="1">
      <c r="D2961" s="81"/>
      <c r="E2961" s="81"/>
    </row>
    <row r="2962" spans="4:5" s="15" customFormat="1">
      <c r="D2962" s="81"/>
      <c r="E2962" s="81"/>
    </row>
    <row r="2963" spans="4:5" s="15" customFormat="1">
      <c r="D2963" s="81"/>
      <c r="E2963" s="81"/>
    </row>
    <row r="2964" spans="4:5" s="15" customFormat="1">
      <c r="D2964" s="81"/>
      <c r="E2964" s="81"/>
    </row>
    <row r="2965" spans="4:5" s="15" customFormat="1">
      <c r="D2965" s="81"/>
      <c r="E2965" s="81"/>
    </row>
    <row r="2966" spans="4:5" s="15" customFormat="1">
      <c r="D2966" s="81"/>
      <c r="E2966" s="81"/>
    </row>
    <row r="2967" spans="4:5" s="15" customFormat="1">
      <c r="D2967" s="81"/>
      <c r="E2967" s="81"/>
    </row>
    <row r="2968" spans="4:5" s="15" customFormat="1">
      <c r="D2968" s="81"/>
      <c r="E2968" s="81"/>
    </row>
    <row r="2969" spans="4:5" s="15" customFormat="1">
      <c r="D2969" s="81"/>
      <c r="E2969" s="81"/>
    </row>
    <row r="2970" spans="4:5" s="15" customFormat="1">
      <c r="D2970" s="81"/>
      <c r="E2970" s="81"/>
    </row>
    <row r="2971" spans="4:5" s="15" customFormat="1">
      <c r="D2971" s="81"/>
      <c r="E2971" s="81"/>
    </row>
    <row r="2972" spans="4:5" s="15" customFormat="1">
      <c r="D2972" s="81"/>
      <c r="E2972" s="81"/>
    </row>
    <row r="2973" spans="4:5" s="15" customFormat="1">
      <c r="D2973" s="81"/>
      <c r="E2973" s="81"/>
    </row>
    <row r="2974" spans="4:5" s="15" customFormat="1">
      <c r="D2974" s="81"/>
      <c r="E2974" s="81"/>
    </row>
    <row r="2975" spans="4:5" s="15" customFormat="1">
      <c r="D2975" s="81"/>
      <c r="E2975" s="81"/>
    </row>
    <row r="2976" spans="4:5" s="15" customFormat="1">
      <c r="D2976" s="81"/>
      <c r="E2976" s="81"/>
    </row>
    <row r="2977" spans="4:5" s="15" customFormat="1">
      <c r="D2977" s="81"/>
      <c r="E2977" s="81"/>
    </row>
    <row r="2978" spans="4:5" s="15" customFormat="1">
      <c r="D2978" s="81"/>
      <c r="E2978" s="81"/>
    </row>
    <row r="2979" spans="4:5" s="15" customFormat="1">
      <c r="D2979" s="81"/>
      <c r="E2979" s="81"/>
    </row>
    <row r="2980" spans="4:5" s="15" customFormat="1">
      <c r="D2980" s="81"/>
      <c r="E2980" s="81"/>
    </row>
    <row r="2981" spans="4:5" s="15" customFormat="1">
      <c r="D2981" s="81"/>
      <c r="E2981" s="81"/>
    </row>
    <row r="2982" spans="4:5" s="15" customFormat="1">
      <c r="D2982" s="81"/>
      <c r="E2982" s="81"/>
    </row>
    <row r="2983" spans="4:5" s="15" customFormat="1">
      <c r="D2983" s="81"/>
      <c r="E2983" s="81"/>
    </row>
    <row r="2984" spans="4:5" s="15" customFormat="1">
      <c r="D2984" s="81"/>
      <c r="E2984" s="81"/>
    </row>
    <row r="2985" spans="4:5" s="15" customFormat="1">
      <c r="D2985" s="81"/>
      <c r="E2985" s="81"/>
    </row>
    <row r="2986" spans="4:5" s="15" customFormat="1">
      <c r="D2986" s="81"/>
      <c r="E2986" s="81"/>
    </row>
    <row r="2987" spans="4:5" s="15" customFormat="1">
      <c r="D2987" s="81"/>
      <c r="E2987" s="81"/>
    </row>
    <row r="2988" spans="4:5" s="15" customFormat="1">
      <c r="D2988" s="81"/>
      <c r="E2988" s="81"/>
    </row>
    <row r="2989" spans="4:5" s="15" customFormat="1">
      <c r="D2989" s="81"/>
      <c r="E2989" s="81"/>
    </row>
    <row r="2990" spans="4:5" s="15" customFormat="1">
      <c r="D2990" s="81"/>
      <c r="E2990" s="81"/>
    </row>
    <row r="2991" spans="4:5" s="15" customFormat="1">
      <c r="D2991" s="81"/>
      <c r="E2991" s="81"/>
    </row>
    <row r="2992" spans="4:5" s="15" customFormat="1">
      <c r="D2992" s="81"/>
      <c r="E2992" s="81"/>
    </row>
    <row r="2993" spans="4:5" s="15" customFormat="1">
      <c r="D2993" s="81"/>
      <c r="E2993" s="81"/>
    </row>
    <row r="2994" spans="4:5" s="15" customFormat="1">
      <c r="D2994" s="81"/>
      <c r="E2994" s="81"/>
    </row>
    <row r="2995" spans="4:5" s="15" customFormat="1">
      <c r="D2995" s="81"/>
      <c r="E2995" s="81"/>
    </row>
    <row r="2996" spans="4:5" s="15" customFormat="1">
      <c r="D2996" s="81"/>
      <c r="E2996" s="81"/>
    </row>
    <row r="2997" spans="4:5" s="15" customFormat="1">
      <c r="D2997" s="81"/>
      <c r="E2997" s="81"/>
    </row>
    <row r="2998" spans="4:5" s="15" customFormat="1">
      <c r="D2998" s="81"/>
      <c r="E2998" s="81"/>
    </row>
    <row r="2999" spans="4:5" s="15" customFormat="1">
      <c r="D2999" s="81"/>
      <c r="E2999" s="81"/>
    </row>
    <row r="3000" spans="4:5" s="15" customFormat="1">
      <c r="D3000" s="81"/>
      <c r="E3000" s="81"/>
    </row>
    <row r="3001" spans="4:5" s="15" customFormat="1">
      <c r="D3001" s="81"/>
      <c r="E3001" s="81"/>
    </row>
    <row r="3002" spans="4:5" s="15" customFormat="1">
      <c r="D3002" s="81"/>
      <c r="E3002" s="81"/>
    </row>
    <row r="3003" spans="4:5" s="15" customFormat="1">
      <c r="D3003" s="81"/>
      <c r="E3003" s="81"/>
    </row>
    <row r="3004" spans="4:5" s="15" customFormat="1">
      <c r="D3004" s="81"/>
      <c r="E3004" s="81"/>
    </row>
    <row r="3005" spans="4:5" s="15" customFormat="1">
      <c r="D3005" s="81"/>
      <c r="E3005" s="81"/>
    </row>
    <row r="3006" spans="4:5" s="15" customFormat="1">
      <c r="D3006" s="81"/>
      <c r="E3006" s="81"/>
    </row>
    <row r="3007" spans="4:5" s="15" customFormat="1">
      <c r="D3007" s="81"/>
      <c r="E3007" s="81"/>
    </row>
    <row r="3008" spans="4:5" s="15" customFormat="1">
      <c r="D3008" s="81"/>
      <c r="E3008" s="81"/>
    </row>
    <row r="3009" spans="4:5" s="15" customFormat="1">
      <c r="D3009" s="81"/>
      <c r="E3009" s="81"/>
    </row>
    <row r="3010" spans="4:5" s="15" customFormat="1">
      <c r="D3010" s="81"/>
      <c r="E3010" s="81"/>
    </row>
    <row r="3011" spans="4:5" s="15" customFormat="1">
      <c r="D3011" s="81"/>
      <c r="E3011" s="81"/>
    </row>
    <row r="3012" spans="4:5" s="15" customFormat="1">
      <c r="D3012" s="81"/>
      <c r="E3012" s="81"/>
    </row>
    <row r="3013" spans="4:5" s="15" customFormat="1">
      <c r="D3013" s="81"/>
      <c r="E3013" s="81"/>
    </row>
    <row r="3014" spans="4:5" s="15" customFormat="1">
      <c r="D3014" s="81"/>
      <c r="E3014" s="81"/>
    </row>
    <row r="3015" spans="4:5" s="15" customFormat="1">
      <c r="D3015" s="81"/>
      <c r="E3015" s="81"/>
    </row>
    <row r="3016" spans="4:5" s="15" customFormat="1">
      <c r="D3016" s="81"/>
      <c r="E3016" s="81"/>
    </row>
    <row r="3017" spans="4:5" s="15" customFormat="1">
      <c r="D3017" s="81"/>
      <c r="E3017" s="81"/>
    </row>
    <row r="3018" spans="4:5" s="15" customFormat="1">
      <c r="D3018" s="81"/>
      <c r="E3018" s="81"/>
    </row>
    <row r="3019" spans="4:5" s="15" customFormat="1">
      <c r="D3019" s="81"/>
      <c r="E3019" s="81"/>
    </row>
    <row r="3020" spans="4:5" s="15" customFormat="1">
      <c r="D3020" s="81"/>
      <c r="E3020" s="81"/>
    </row>
    <row r="3021" spans="4:5" s="15" customFormat="1">
      <c r="D3021" s="81"/>
      <c r="E3021" s="81"/>
    </row>
    <row r="3022" spans="4:5" s="15" customFormat="1">
      <c r="D3022" s="81"/>
      <c r="E3022" s="81"/>
    </row>
    <row r="3023" spans="4:5" s="15" customFormat="1">
      <c r="D3023" s="81"/>
      <c r="E3023" s="81"/>
    </row>
    <row r="3024" spans="4:5" s="15" customFormat="1">
      <c r="D3024" s="81"/>
      <c r="E3024" s="81"/>
    </row>
    <row r="3025" spans="4:5" s="15" customFormat="1">
      <c r="D3025" s="81"/>
      <c r="E3025" s="81"/>
    </row>
    <row r="3026" spans="4:5" s="15" customFormat="1">
      <c r="D3026" s="81"/>
      <c r="E3026" s="81"/>
    </row>
    <row r="3027" spans="4:5" s="15" customFormat="1">
      <c r="D3027" s="81"/>
      <c r="E3027" s="81"/>
    </row>
    <row r="3028" spans="4:5" s="15" customFormat="1">
      <c r="D3028" s="81"/>
      <c r="E3028" s="81"/>
    </row>
    <row r="3029" spans="4:5" s="15" customFormat="1">
      <c r="D3029" s="81"/>
      <c r="E3029" s="81"/>
    </row>
    <row r="3030" spans="4:5" s="15" customFormat="1">
      <c r="D3030" s="81"/>
      <c r="E3030" s="81"/>
    </row>
    <row r="3031" spans="4:5" s="15" customFormat="1">
      <c r="D3031" s="81"/>
      <c r="E3031" s="81"/>
    </row>
    <row r="3032" spans="4:5" s="15" customFormat="1">
      <c r="D3032" s="81"/>
      <c r="E3032" s="81"/>
    </row>
    <row r="3033" spans="4:5" s="15" customFormat="1">
      <c r="D3033" s="81"/>
      <c r="E3033" s="81"/>
    </row>
    <row r="3034" spans="4:5" s="15" customFormat="1">
      <c r="D3034" s="81"/>
      <c r="E3034" s="81"/>
    </row>
    <row r="3035" spans="4:5" s="15" customFormat="1">
      <c r="D3035" s="81"/>
      <c r="E3035" s="81"/>
    </row>
    <row r="3036" spans="4:5" s="15" customFormat="1">
      <c r="D3036" s="81"/>
      <c r="E3036" s="81"/>
    </row>
    <row r="3037" spans="4:5" s="15" customFormat="1">
      <c r="D3037" s="81"/>
      <c r="E3037" s="81"/>
    </row>
    <row r="3038" spans="4:5" s="15" customFormat="1">
      <c r="D3038" s="81"/>
      <c r="E3038" s="81"/>
    </row>
    <row r="3039" spans="4:5" s="15" customFormat="1">
      <c r="D3039" s="81"/>
      <c r="E3039" s="81"/>
    </row>
    <row r="3040" spans="4:5" s="15" customFormat="1">
      <c r="D3040" s="81"/>
      <c r="E3040" s="81"/>
    </row>
    <row r="3041" spans="4:5" s="15" customFormat="1">
      <c r="D3041" s="81"/>
      <c r="E3041" s="81"/>
    </row>
    <row r="3042" spans="4:5" s="15" customFormat="1">
      <c r="D3042" s="81"/>
      <c r="E3042" s="81"/>
    </row>
    <row r="3043" spans="4:5" s="15" customFormat="1">
      <c r="D3043" s="81"/>
      <c r="E3043" s="81"/>
    </row>
    <row r="3044" spans="4:5" s="15" customFormat="1">
      <c r="D3044" s="81"/>
      <c r="E3044" s="81"/>
    </row>
    <row r="3045" spans="4:5" s="15" customFormat="1">
      <c r="D3045" s="81"/>
      <c r="E3045" s="81"/>
    </row>
    <row r="3046" spans="4:5" s="15" customFormat="1">
      <c r="D3046" s="81"/>
      <c r="E3046" s="81"/>
    </row>
    <row r="3047" spans="4:5" s="15" customFormat="1">
      <c r="D3047" s="81"/>
      <c r="E3047" s="81"/>
    </row>
    <row r="3048" spans="4:5" s="15" customFormat="1">
      <c r="D3048" s="81"/>
      <c r="E3048" s="81"/>
    </row>
    <row r="3049" spans="4:5" s="15" customFormat="1">
      <c r="D3049" s="81"/>
      <c r="E3049" s="81"/>
    </row>
    <row r="3050" spans="4:5" s="15" customFormat="1">
      <c r="D3050" s="81"/>
      <c r="E3050" s="81"/>
    </row>
    <row r="3051" spans="4:5" s="15" customFormat="1">
      <c r="D3051" s="81"/>
      <c r="E3051" s="81"/>
    </row>
    <row r="3052" spans="4:5" s="15" customFormat="1">
      <c r="D3052" s="81"/>
      <c r="E3052" s="81"/>
    </row>
    <row r="3053" spans="4:5" s="15" customFormat="1">
      <c r="D3053" s="81"/>
      <c r="E3053" s="81"/>
    </row>
    <row r="3054" spans="4:5" s="15" customFormat="1">
      <c r="D3054" s="81"/>
      <c r="E3054" s="81"/>
    </row>
    <row r="3055" spans="4:5" s="15" customFormat="1">
      <c r="D3055" s="81"/>
      <c r="E3055" s="81"/>
    </row>
    <row r="3056" spans="4:5" s="15" customFormat="1">
      <c r="D3056" s="81"/>
      <c r="E3056" s="81"/>
    </row>
    <row r="3057" spans="4:5" s="15" customFormat="1">
      <c r="D3057" s="81"/>
      <c r="E3057" s="81"/>
    </row>
    <row r="3058" spans="4:5" s="15" customFormat="1">
      <c r="D3058" s="81"/>
      <c r="E3058" s="81"/>
    </row>
    <row r="3059" spans="4:5" s="15" customFormat="1">
      <c r="D3059" s="81"/>
      <c r="E3059" s="81"/>
    </row>
    <row r="3060" spans="4:5" s="15" customFormat="1">
      <c r="D3060" s="81"/>
      <c r="E3060" s="81"/>
    </row>
    <row r="3061" spans="4:5" s="15" customFormat="1">
      <c r="D3061" s="81"/>
      <c r="E3061" s="81"/>
    </row>
    <row r="3062" spans="4:5" s="15" customFormat="1">
      <c r="D3062" s="81"/>
      <c r="E3062" s="81"/>
    </row>
    <row r="3063" spans="4:5" s="15" customFormat="1">
      <c r="D3063" s="81"/>
      <c r="E3063" s="81"/>
    </row>
    <row r="3064" spans="4:5" s="15" customFormat="1">
      <c r="D3064" s="81"/>
      <c r="E3064" s="81"/>
    </row>
    <row r="3065" spans="4:5" s="15" customFormat="1">
      <c r="D3065" s="81"/>
      <c r="E3065" s="81"/>
    </row>
    <row r="3066" spans="4:5" s="15" customFormat="1">
      <c r="D3066" s="81"/>
      <c r="E3066" s="81"/>
    </row>
    <row r="3067" spans="4:5" s="15" customFormat="1">
      <c r="D3067" s="81"/>
      <c r="E3067" s="81"/>
    </row>
    <row r="3068" spans="4:5" s="15" customFormat="1">
      <c r="D3068" s="81"/>
      <c r="E3068" s="81"/>
    </row>
    <row r="3069" spans="4:5" s="15" customFormat="1">
      <c r="D3069" s="81"/>
      <c r="E3069" s="81"/>
    </row>
    <row r="3070" spans="4:5" s="15" customFormat="1">
      <c r="D3070" s="81"/>
      <c r="E3070" s="81"/>
    </row>
    <row r="3071" spans="4:5" s="15" customFormat="1">
      <c r="D3071" s="81"/>
      <c r="E3071" s="81"/>
    </row>
    <row r="3072" spans="4:5" s="15" customFormat="1">
      <c r="D3072" s="81"/>
      <c r="E3072" s="81"/>
    </row>
    <row r="3073" spans="4:5" s="15" customFormat="1">
      <c r="D3073" s="81"/>
      <c r="E3073" s="81"/>
    </row>
    <row r="3074" spans="4:5" s="15" customFormat="1">
      <c r="D3074" s="81"/>
      <c r="E3074" s="81"/>
    </row>
    <row r="3075" spans="4:5" s="15" customFormat="1">
      <c r="D3075" s="81"/>
      <c r="E3075" s="81"/>
    </row>
    <row r="3076" spans="4:5" s="15" customFormat="1">
      <c r="D3076" s="81"/>
      <c r="E3076" s="81"/>
    </row>
    <row r="3077" spans="4:5" s="15" customFormat="1">
      <c r="D3077" s="81"/>
      <c r="E3077" s="81"/>
    </row>
    <row r="3078" spans="4:5" s="15" customFormat="1">
      <c r="D3078" s="81"/>
      <c r="E3078" s="81"/>
    </row>
    <row r="3079" spans="4:5" s="15" customFormat="1">
      <c r="D3079" s="81"/>
      <c r="E3079" s="81"/>
    </row>
    <row r="3080" spans="4:5" s="15" customFormat="1">
      <c r="D3080" s="81"/>
      <c r="E3080" s="81"/>
    </row>
    <row r="3081" spans="4:5" s="15" customFormat="1">
      <c r="D3081" s="81"/>
      <c r="E3081" s="81"/>
    </row>
    <row r="3082" spans="4:5" s="15" customFormat="1">
      <c r="D3082" s="81"/>
      <c r="E3082" s="81"/>
    </row>
    <row r="3083" spans="4:5" s="15" customFormat="1">
      <c r="D3083" s="81"/>
      <c r="E3083" s="81"/>
    </row>
    <row r="3084" spans="4:5" s="15" customFormat="1">
      <c r="D3084" s="81"/>
      <c r="E3084" s="81"/>
    </row>
    <row r="3085" spans="4:5" s="15" customFormat="1">
      <c r="D3085" s="81"/>
      <c r="E3085" s="81"/>
    </row>
    <row r="3086" spans="4:5" s="15" customFormat="1">
      <c r="D3086" s="81"/>
      <c r="E3086" s="81"/>
    </row>
    <row r="3087" spans="4:5" s="15" customFormat="1">
      <c r="D3087" s="81"/>
      <c r="E3087" s="81"/>
    </row>
    <row r="3088" spans="4:5" s="15" customFormat="1">
      <c r="D3088" s="81"/>
      <c r="E3088" s="81"/>
    </row>
    <row r="3089" spans="4:5" s="15" customFormat="1">
      <c r="D3089" s="81"/>
      <c r="E3089" s="81"/>
    </row>
    <row r="3090" spans="4:5" s="15" customFormat="1">
      <c r="D3090" s="81"/>
      <c r="E3090" s="81"/>
    </row>
    <row r="3091" spans="4:5" s="15" customFormat="1">
      <c r="D3091" s="81"/>
      <c r="E3091" s="81"/>
    </row>
    <row r="3092" spans="4:5" s="15" customFormat="1">
      <c r="D3092" s="81"/>
      <c r="E3092" s="81"/>
    </row>
    <row r="3093" spans="4:5" s="15" customFormat="1">
      <c r="D3093" s="81"/>
      <c r="E3093" s="81"/>
    </row>
    <row r="3094" spans="4:5" s="15" customFormat="1">
      <c r="D3094" s="81"/>
      <c r="E3094" s="81"/>
    </row>
    <row r="3095" spans="4:5" s="15" customFormat="1">
      <c r="D3095" s="81"/>
      <c r="E3095" s="81"/>
    </row>
    <row r="3096" spans="4:5" s="15" customFormat="1">
      <c r="D3096" s="81"/>
      <c r="E3096" s="81"/>
    </row>
    <row r="3097" spans="4:5" s="15" customFormat="1">
      <c r="D3097" s="81"/>
      <c r="E3097" s="81"/>
    </row>
    <row r="3098" spans="4:5" s="15" customFormat="1">
      <c r="D3098" s="81"/>
      <c r="E3098" s="81"/>
    </row>
    <row r="3099" spans="4:5" s="15" customFormat="1">
      <c r="D3099" s="81"/>
      <c r="E3099" s="81"/>
    </row>
    <row r="3100" spans="4:5" s="15" customFormat="1">
      <c r="D3100" s="81"/>
      <c r="E3100" s="81"/>
    </row>
    <row r="3101" spans="4:5" s="15" customFormat="1">
      <c r="D3101" s="81"/>
      <c r="E3101" s="81"/>
    </row>
    <row r="3102" spans="4:5" s="15" customFormat="1">
      <c r="D3102" s="81"/>
      <c r="E3102" s="81"/>
    </row>
    <row r="3103" spans="4:5" s="15" customFormat="1">
      <c r="D3103" s="81"/>
      <c r="E3103" s="81"/>
    </row>
    <row r="3104" spans="4:5" s="15" customFormat="1">
      <c r="D3104" s="81"/>
      <c r="E3104" s="81"/>
    </row>
    <row r="3105" spans="4:5" s="15" customFormat="1">
      <c r="D3105" s="81"/>
      <c r="E3105" s="81"/>
    </row>
    <row r="3106" spans="4:5" s="15" customFormat="1">
      <c r="D3106" s="81"/>
      <c r="E3106" s="81"/>
    </row>
    <row r="3107" spans="4:5" s="15" customFormat="1">
      <c r="D3107" s="81"/>
      <c r="E3107" s="81"/>
    </row>
    <row r="3108" spans="4:5" s="15" customFormat="1">
      <c r="D3108" s="81"/>
      <c r="E3108" s="81"/>
    </row>
    <row r="3109" spans="4:5" s="15" customFormat="1">
      <c r="D3109" s="81"/>
      <c r="E3109" s="81"/>
    </row>
    <row r="3110" spans="4:5" s="15" customFormat="1">
      <c r="D3110" s="81"/>
      <c r="E3110" s="81"/>
    </row>
    <row r="3111" spans="4:5" s="15" customFormat="1">
      <c r="D3111" s="81"/>
      <c r="E3111" s="81"/>
    </row>
    <row r="3112" spans="4:5" s="15" customFormat="1">
      <c r="D3112" s="81"/>
      <c r="E3112" s="81"/>
    </row>
    <row r="3113" spans="4:5" s="15" customFormat="1">
      <c r="D3113" s="81"/>
      <c r="E3113" s="81"/>
    </row>
    <row r="3114" spans="4:5" s="15" customFormat="1">
      <c r="D3114" s="81"/>
      <c r="E3114" s="81"/>
    </row>
    <row r="3115" spans="4:5" s="15" customFormat="1">
      <c r="D3115" s="81"/>
      <c r="E3115" s="81"/>
    </row>
    <row r="3116" spans="4:5" s="15" customFormat="1">
      <c r="D3116" s="81"/>
      <c r="E3116" s="81"/>
    </row>
    <row r="3117" spans="4:5" s="15" customFormat="1">
      <c r="D3117" s="81"/>
      <c r="E3117" s="81"/>
    </row>
    <row r="3118" spans="4:5" s="15" customFormat="1">
      <c r="D3118" s="81"/>
      <c r="E3118" s="81"/>
    </row>
    <row r="3119" spans="4:5" s="15" customFormat="1">
      <c r="D3119" s="81"/>
      <c r="E3119" s="81"/>
    </row>
    <row r="3120" spans="4:5" s="15" customFormat="1">
      <c r="D3120" s="81"/>
      <c r="E3120" s="81"/>
    </row>
    <row r="3121" spans="4:5" s="15" customFormat="1">
      <c r="D3121" s="81"/>
      <c r="E3121" s="81"/>
    </row>
    <row r="3122" spans="4:5" s="15" customFormat="1">
      <c r="D3122" s="81"/>
      <c r="E3122" s="81"/>
    </row>
    <row r="3123" spans="4:5" s="15" customFormat="1">
      <c r="D3123" s="81"/>
      <c r="E3123" s="81"/>
    </row>
    <row r="3124" spans="4:5" s="15" customFormat="1">
      <c r="D3124" s="81"/>
      <c r="E3124" s="81"/>
    </row>
    <row r="3125" spans="4:5" s="15" customFormat="1">
      <c r="D3125" s="81"/>
      <c r="E3125" s="81"/>
    </row>
    <row r="3126" spans="4:5" s="15" customFormat="1">
      <c r="D3126" s="81"/>
      <c r="E3126" s="81"/>
    </row>
    <row r="3127" spans="4:5" s="15" customFormat="1">
      <c r="D3127" s="81"/>
      <c r="E3127" s="81"/>
    </row>
    <row r="3128" spans="4:5" s="15" customFormat="1">
      <c r="D3128" s="81"/>
      <c r="E3128" s="81"/>
    </row>
    <row r="3129" spans="4:5" s="15" customFormat="1">
      <c r="D3129" s="81"/>
      <c r="E3129" s="81"/>
    </row>
    <row r="3130" spans="4:5" s="15" customFormat="1">
      <c r="D3130" s="81"/>
      <c r="E3130" s="81"/>
    </row>
    <row r="3131" spans="4:5" s="15" customFormat="1">
      <c r="D3131" s="81"/>
      <c r="E3131" s="81"/>
    </row>
    <row r="3132" spans="4:5" s="15" customFormat="1">
      <c r="D3132" s="81"/>
      <c r="E3132" s="81"/>
    </row>
    <row r="3133" spans="4:5" s="15" customFormat="1">
      <c r="D3133" s="81"/>
      <c r="E3133" s="81"/>
    </row>
    <row r="3134" spans="4:5" s="15" customFormat="1">
      <c r="D3134" s="81"/>
      <c r="E3134" s="81"/>
    </row>
    <row r="3135" spans="4:5" s="15" customFormat="1">
      <c r="D3135" s="81"/>
      <c r="E3135" s="81"/>
    </row>
    <row r="3136" spans="4:5" s="15" customFormat="1">
      <c r="D3136" s="81"/>
      <c r="E3136" s="81"/>
    </row>
    <row r="3137" spans="4:5" s="15" customFormat="1">
      <c r="D3137" s="81"/>
      <c r="E3137" s="81"/>
    </row>
    <row r="3138" spans="4:5" s="15" customFormat="1">
      <c r="D3138" s="81"/>
      <c r="E3138" s="81"/>
    </row>
    <row r="3139" spans="4:5" s="15" customFormat="1">
      <c r="D3139" s="81"/>
      <c r="E3139" s="81"/>
    </row>
    <row r="3140" spans="4:5" s="15" customFormat="1">
      <c r="D3140" s="81"/>
      <c r="E3140" s="81"/>
    </row>
    <row r="3141" spans="4:5" s="15" customFormat="1">
      <c r="D3141" s="81"/>
      <c r="E3141" s="81"/>
    </row>
    <row r="3142" spans="4:5" s="15" customFormat="1">
      <c r="D3142" s="81"/>
      <c r="E3142" s="81"/>
    </row>
    <row r="3143" spans="4:5" s="15" customFormat="1">
      <c r="D3143" s="81"/>
      <c r="E3143" s="81"/>
    </row>
    <row r="3144" spans="4:5" s="15" customFormat="1">
      <c r="D3144" s="81"/>
      <c r="E3144" s="81"/>
    </row>
    <row r="3145" spans="4:5" s="15" customFormat="1">
      <c r="D3145" s="81"/>
      <c r="E3145" s="81"/>
    </row>
    <row r="3146" spans="4:5" s="15" customFormat="1">
      <c r="D3146" s="81"/>
      <c r="E3146" s="81"/>
    </row>
    <row r="3147" spans="4:5" s="15" customFormat="1">
      <c r="D3147" s="81"/>
      <c r="E3147" s="81"/>
    </row>
    <row r="3148" spans="4:5" s="15" customFormat="1">
      <c r="D3148" s="81"/>
      <c r="E3148" s="81"/>
    </row>
    <row r="3149" spans="4:5" s="15" customFormat="1">
      <c r="D3149" s="81"/>
      <c r="E3149" s="81"/>
    </row>
    <row r="3150" spans="4:5" s="15" customFormat="1">
      <c r="D3150" s="81"/>
      <c r="E3150" s="81"/>
    </row>
    <row r="3151" spans="4:5" s="15" customFormat="1">
      <c r="D3151" s="81"/>
      <c r="E3151" s="81"/>
    </row>
    <row r="3152" spans="4:5" s="15" customFormat="1">
      <c r="D3152" s="81"/>
      <c r="E3152" s="81"/>
    </row>
    <row r="3153" spans="4:5" s="15" customFormat="1">
      <c r="D3153" s="81"/>
      <c r="E3153" s="81"/>
    </row>
    <row r="3154" spans="4:5" s="15" customFormat="1">
      <c r="D3154" s="81"/>
      <c r="E3154" s="81"/>
    </row>
    <row r="3155" spans="4:5" s="15" customFormat="1">
      <c r="D3155" s="81"/>
      <c r="E3155" s="81"/>
    </row>
    <row r="3156" spans="4:5" s="15" customFormat="1">
      <c r="D3156" s="81"/>
      <c r="E3156" s="81"/>
    </row>
    <row r="3157" spans="4:5" s="15" customFormat="1">
      <c r="D3157" s="81"/>
      <c r="E3157" s="81"/>
    </row>
    <row r="3158" spans="4:5" s="15" customFormat="1">
      <c r="D3158" s="81"/>
      <c r="E3158" s="81"/>
    </row>
    <row r="3159" spans="4:5" s="15" customFormat="1">
      <c r="D3159" s="81"/>
      <c r="E3159" s="81"/>
    </row>
    <row r="3160" spans="4:5" s="15" customFormat="1">
      <c r="D3160" s="81"/>
      <c r="E3160" s="81"/>
    </row>
    <row r="3161" spans="4:5" s="15" customFormat="1">
      <c r="D3161" s="81"/>
      <c r="E3161" s="81"/>
    </row>
    <row r="3162" spans="4:5" s="15" customFormat="1">
      <c r="D3162" s="81"/>
      <c r="E3162" s="81"/>
    </row>
    <row r="3163" spans="4:5" s="15" customFormat="1">
      <c r="D3163" s="81"/>
      <c r="E3163" s="81"/>
    </row>
    <row r="3164" spans="4:5" s="15" customFormat="1">
      <c r="D3164" s="81"/>
      <c r="E3164" s="81"/>
    </row>
    <row r="3165" spans="4:5" s="15" customFormat="1">
      <c r="D3165" s="81"/>
      <c r="E3165" s="81"/>
    </row>
    <row r="3166" spans="4:5" s="15" customFormat="1">
      <c r="D3166" s="81"/>
      <c r="E3166" s="81"/>
    </row>
    <row r="3167" spans="4:5" s="15" customFormat="1">
      <c r="D3167" s="81"/>
      <c r="E3167" s="81"/>
    </row>
    <row r="3168" spans="4:5" s="15" customFormat="1">
      <c r="D3168" s="81"/>
      <c r="E3168" s="81"/>
    </row>
    <row r="3169" spans="4:5" s="15" customFormat="1">
      <c r="D3169" s="81"/>
      <c r="E3169" s="81"/>
    </row>
    <row r="3170" spans="4:5" s="15" customFormat="1">
      <c r="D3170" s="81"/>
      <c r="E3170" s="81"/>
    </row>
    <row r="3171" spans="4:5" s="15" customFormat="1">
      <c r="D3171" s="81"/>
      <c r="E3171" s="81"/>
    </row>
    <row r="3172" spans="4:5" s="15" customFormat="1">
      <c r="D3172" s="81"/>
      <c r="E3172" s="81"/>
    </row>
    <row r="3173" spans="4:5" s="15" customFormat="1">
      <c r="D3173" s="81"/>
      <c r="E3173" s="81"/>
    </row>
    <row r="3174" spans="4:5" s="15" customFormat="1">
      <c r="D3174" s="81"/>
      <c r="E3174" s="81"/>
    </row>
    <row r="3175" spans="4:5" s="15" customFormat="1">
      <c r="D3175" s="81"/>
      <c r="E3175" s="81"/>
    </row>
    <row r="3176" spans="4:5" s="15" customFormat="1">
      <c r="D3176" s="81"/>
      <c r="E3176" s="81"/>
    </row>
    <row r="3177" spans="4:5" s="15" customFormat="1">
      <c r="D3177" s="81"/>
      <c r="E3177" s="81"/>
    </row>
    <row r="3178" spans="4:5" s="15" customFormat="1">
      <c r="D3178" s="81"/>
      <c r="E3178" s="81"/>
    </row>
    <row r="3179" spans="4:5" s="15" customFormat="1">
      <c r="D3179" s="81"/>
      <c r="E3179" s="81"/>
    </row>
    <row r="3180" spans="4:5" s="15" customFormat="1">
      <c r="D3180" s="81"/>
      <c r="E3180" s="81"/>
    </row>
    <row r="3181" spans="4:5" s="15" customFormat="1">
      <c r="D3181" s="81"/>
      <c r="E3181" s="81"/>
    </row>
    <row r="3182" spans="4:5" s="15" customFormat="1">
      <c r="D3182" s="81"/>
      <c r="E3182" s="81"/>
    </row>
    <row r="3183" spans="4:5" s="15" customFormat="1">
      <c r="D3183" s="81"/>
      <c r="E3183" s="81"/>
    </row>
    <row r="3184" spans="4:5" s="15" customFormat="1">
      <c r="D3184" s="81"/>
      <c r="E3184" s="81"/>
    </row>
    <row r="3185" spans="4:5" s="15" customFormat="1">
      <c r="D3185" s="81"/>
      <c r="E3185" s="81"/>
    </row>
    <row r="3186" spans="4:5" s="15" customFormat="1">
      <c r="D3186" s="81"/>
      <c r="E3186" s="81"/>
    </row>
    <row r="3187" spans="4:5" s="15" customFormat="1">
      <c r="D3187" s="81"/>
      <c r="E3187" s="81"/>
    </row>
    <row r="3188" spans="4:5" s="15" customFormat="1">
      <c r="D3188" s="81"/>
      <c r="E3188" s="81"/>
    </row>
    <row r="3189" spans="4:5" s="15" customFormat="1">
      <c r="D3189" s="81"/>
      <c r="E3189" s="81"/>
    </row>
    <row r="3190" spans="4:5" s="15" customFormat="1">
      <c r="D3190" s="81"/>
      <c r="E3190" s="81"/>
    </row>
    <row r="3191" spans="4:5" s="15" customFormat="1">
      <c r="D3191" s="81"/>
      <c r="E3191" s="81"/>
    </row>
    <row r="3192" spans="4:5" s="15" customFormat="1">
      <c r="D3192" s="81"/>
      <c r="E3192" s="81"/>
    </row>
    <row r="3193" spans="4:5" s="15" customFormat="1">
      <c r="D3193" s="81"/>
      <c r="E3193" s="81"/>
    </row>
    <row r="3194" spans="4:5" s="15" customFormat="1">
      <c r="D3194" s="81"/>
      <c r="E3194" s="81"/>
    </row>
    <row r="3195" spans="4:5" s="15" customFormat="1">
      <c r="D3195" s="81"/>
      <c r="E3195" s="81"/>
    </row>
    <row r="3196" spans="4:5" s="15" customFormat="1">
      <c r="D3196" s="81"/>
      <c r="E3196" s="81"/>
    </row>
    <row r="3197" spans="4:5" s="15" customFormat="1">
      <c r="D3197" s="81"/>
      <c r="E3197" s="81"/>
    </row>
    <row r="3198" spans="4:5" s="15" customFormat="1">
      <c r="D3198" s="81"/>
      <c r="E3198" s="81"/>
    </row>
    <row r="3199" spans="4:5" s="15" customFormat="1">
      <c r="D3199" s="81"/>
      <c r="E3199" s="81"/>
    </row>
    <row r="3200" spans="4:5" s="15" customFormat="1">
      <c r="D3200" s="81"/>
      <c r="E3200" s="81"/>
    </row>
    <row r="3201" spans="4:5" s="15" customFormat="1">
      <c r="D3201" s="81"/>
      <c r="E3201" s="81"/>
    </row>
    <row r="3202" spans="4:5" s="15" customFormat="1">
      <c r="D3202" s="81"/>
      <c r="E3202" s="81"/>
    </row>
    <row r="3203" spans="4:5" s="15" customFormat="1">
      <c r="D3203" s="81"/>
      <c r="E3203" s="81"/>
    </row>
    <row r="3204" spans="4:5" s="15" customFormat="1">
      <c r="D3204" s="81"/>
      <c r="E3204" s="81"/>
    </row>
    <row r="3205" spans="4:5" s="15" customFormat="1">
      <c r="D3205" s="81"/>
      <c r="E3205" s="81"/>
    </row>
    <row r="3206" spans="4:5" s="15" customFormat="1">
      <c r="D3206" s="81"/>
      <c r="E3206" s="81"/>
    </row>
    <row r="3207" spans="4:5" s="15" customFormat="1">
      <c r="D3207" s="81"/>
      <c r="E3207" s="81"/>
    </row>
    <row r="3208" spans="4:5" s="15" customFormat="1">
      <c r="D3208" s="81"/>
      <c r="E3208" s="81"/>
    </row>
    <row r="3209" spans="4:5" s="15" customFormat="1">
      <c r="D3209" s="81"/>
      <c r="E3209" s="81"/>
    </row>
    <row r="3210" spans="4:5" s="15" customFormat="1">
      <c r="D3210" s="81"/>
      <c r="E3210" s="81"/>
    </row>
    <row r="3211" spans="4:5" s="15" customFormat="1">
      <c r="D3211" s="81"/>
      <c r="E3211" s="81"/>
    </row>
    <row r="3212" spans="4:5" s="15" customFormat="1">
      <c r="D3212" s="81"/>
      <c r="E3212" s="81"/>
    </row>
    <row r="3213" spans="4:5" s="15" customFormat="1">
      <c r="D3213" s="81"/>
      <c r="E3213" s="81"/>
    </row>
    <row r="3214" spans="4:5" s="15" customFormat="1">
      <c r="D3214" s="81"/>
      <c r="E3214" s="81"/>
    </row>
    <row r="3215" spans="4:5" s="15" customFormat="1">
      <c r="D3215" s="81"/>
      <c r="E3215" s="81"/>
    </row>
    <row r="3216" spans="4:5" s="15" customFormat="1">
      <c r="D3216" s="81"/>
      <c r="E3216" s="81"/>
    </row>
    <row r="3217" spans="4:5" s="15" customFormat="1">
      <c r="D3217" s="81"/>
      <c r="E3217" s="81"/>
    </row>
    <row r="3218" spans="4:5" s="15" customFormat="1">
      <c r="D3218" s="81"/>
      <c r="E3218" s="81"/>
    </row>
    <row r="3219" spans="4:5" s="15" customFormat="1">
      <c r="D3219" s="81"/>
      <c r="E3219" s="81"/>
    </row>
    <row r="3220" spans="4:5" s="15" customFormat="1">
      <c r="D3220" s="81"/>
      <c r="E3220" s="81"/>
    </row>
    <row r="3221" spans="4:5" s="15" customFormat="1">
      <c r="D3221" s="81"/>
      <c r="E3221" s="81"/>
    </row>
    <row r="3222" spans="4:5" s="15" customFormat="1">
      <c r="D3222" s="81"/>
      <c r="E3222" s="81"/>
    </row>
    <row r="3223" spans="4:5" s="15" customFormat="1">
      <c r="D3223" s="81"/>
      <c r="E3223" s="81"/>
    </row>
    <row r="3224" spans="4:5" s="15" customFormat="1">
      <c r="D3224" s="81"/>
      <c r="E3224" s="81"/>
    </row>
    <row r="3225" spans="4:5" s="15" customFormat="1">
      <c r="D3225" s="81"/>
      <c r="E3225" s="81"/>
    </row>
    <row r="3226" spans="4:5" s="15" customFormat="1">
      <c r="D3226" s="81"/>
      <c r="E3226" s="81"/>
    </row>
    <row r="3227" spans="4:5" s="15" customFormat="1">
      <c r="D3227" s="81"/>
      <c r="E3227" s="81"/>
    </row>
    <row r="3228" spans="4:5" s="15" customFormat="1">
      <c r="D3228" s="81"/>
      <c r="E3228" s="81"/>
    </row>
    <row r="3229" spans="4:5" s="15" customFormat="1">
      <c r="D3229" s="81"/>
      <c r="E3229" s="81"/>
    </row>
    <row r="3230" spans="4:5" s="15" customFormat="1">
      <c r="D3230" s="81"/>
      <c r="E3230" s="81"/>
    </row>
    <row r="3231" spans="4:5" s="15" customFormat="1">
      <c r="D3231" s="81"/>
      <c r="E3231" s="81"/>
    </row>
    <row r="3232" spans="4:5" s="15" customFormat="1">
      <c r="D3232" s="81"/>
      <c r="E3232" s="81"/>
    </row>
    <row r="3233" spans="4:5" s="15" customFormat="1">
      <c r="D3233" s="81"/>
      <c r="E3233" s="81"/>
    </row>
    <row r="3234" spans="4:5" s="15" customFormat="1">
      <c r="D3234" s="81"/>
      <c r="E3234" s="81"/>
    </row>
    <row r="3235" spans="4:5" s="15" customFormat="1">
      <c r="D3235" s="81"/>
      <c r="E3235" s="81"/>
    </row>
    <row r="3236" spans="4:5" s="15" customFormat="1">
      <c r="D3236" s="81"/>
      <c r="E3236" s="81"/>
    </row>
    <row r="3237" spans="4:5" s="15" customFormat="1">
      <c r="D3237" s="81"/>
      <c r="E3237" s="81"/>
    </row>
    <row r="3238" spans="4:5" s="15" customFormat="1">
      <c r="D3238" s="81"/>
      <c r="E3238" s="81"/>
    </row>
    <row r="3239" spans="4:5" s="15" customFormat="1">
      <c r="D3239" s="81"/>
      <c r="E3239" s="81"/>
    </row>
    <row r="3240" spans="4:5" s="15" customFormat="1">
      <c r="D3240" s="81"/>
      <c r="E3240" s="81"/>
    </row>
    <row r="3241" spans="4:5" s="15" customFormat="1">
      <c r="D3241" s="81"/>
      <c r="E3241" s="81"/>
    </row>
    <row r="3242" spans="4:5" s="15" customFormat="1">
      <c r="D3242" s="81"/>
      <c r="E3242" s="81"/>
    </row>
    <row r="3243" spans="4:5" s="15" customFormat="1">
      <c r="D3243" s="81"/>
      <c r="E3243" s="81"/>
    </row>
    <row r="3244" spans="4:5" s="15" customFormat="1">
      <c r="D3244" s="81"/>
      <c r="E3244" s="81"/>
    </row>
    <row r="3245" spans="4:5" s="15" customFormat="1">
      <c r="D3245" s="81"/>
      <c r="E3245" s="81"/>
    </row>
    <row r="3246" spans="4:5" s="15" customFormat="1">
      <c r="D3246" s="81"/>
      <c r="E3246" s="81"/>
    </row>
    <row r="3247" spans="4:5" s="15" customFormat="1">
      <c r="D3247" s="81"/>
      <c r="E3247" s="81"/>
    </row>
    <row r="3248" spans="4:5" s="15" customFormat="1">
      <c r="D3248" s="81"/>
      <c r="E3248" s="81"/>
    </row>
    <row r="3249" spans="4:5" s="15" customFormat="1">
      <c r="D3249" s="81"/>
      <c r="E3249" s="81"/>
    </row>
    <row r="3250" spans="4:5" s="15" customFormat="1">
      <c r="D3250" s="81"/>
      <c r="E3250" s="81"/>
    </row>
    <row r="3251" spans="4:5" s="15" customFormat="1">
      <c r="D3251" s="81"/>
      <c r="E3251" s="81"/>
    </row>
    <row r="3252" spans="4:5" s="15" customFormat="1">
      <c r="D3252" s="81"/>
      <c r="E3252" s="81"/>
    </row>
    <row r="3253" spans="4:5" s="15" customFormat="1">
      <c r="D3253" s="81"/>
      <c r="E3253" s="81"/>
    </row>
    <row r="3254" spans="4:5" s="15" customFormat="1">
      <c r="D3254" s="81"/>
      <c r="E3254" s="81"/>
    </row>
    <row r="3255" spans="4:5" s="15" customFormat="1">
      <c r="D3255" s="81"/>
      <c r="E3255" s="81"/>
    </row>
    <row r="3256" spans="4:5" s="15" customFormat="1">
      <c r="D3256" s="81"/>
      <c r="E3256" s="81"/>
    </row>
    <row r="3257" spans="4:5" s="15" customFormat="1">
      <c r="D3257" s="81"/>
      <c r="E3257" s="81"/>
    </row>
    <row r="3258" spans="4:5" s="15" customFormat="1">
      <c r="D3258" s="81"/>
      <c r="E3258" s="81"/>
    </row>
    <row r="3259" spans="4:5" s="15" customFormat="1">
      <c r="D3259" s="81"/>
      <c r="E3259" s="81"/>
    </row>
    <row r="3260" spans="4:5" s="15" customFormat="1">
      <c r="D3260" s="81"/>
      <c r="E3260" s="81"/>
    </row>
    <row r="3261" spans="4:5" s="15" customFormat="1">
      <c r="D3261" s="81"/>
      <c r="E3261" s="81"/>
    </row>
    <row r="3262" spans="4:5" s="15" customFormat="1">
      <c r="D3262" s="81"/>
      <c r="E3262" s="81"/>
    </row>
    <row r="3263" spans="4:5" s="15" customFormat="1">
      <c r="D3263" s="81"/>
      <c r="E3263" s="81"/>
    </row>
    <row r="3264" spans="4:5" s="15" customFormat="1">
      <c r="D3264" s="81"/>
      <c r="E3264" s="81"/>
    </row>
    <row r="3265" spans="4:5" s="15" customFormat="1">
      <c r="D3265" s="81"/>
      <c r="E3265" s="81"/>
    </row>
    <row r="3266" spans="4:5" s="15" customFormat="1">
      <c r="D3266" s="81"/>
      <c r="E3266" s="81"/>
    </row>
    <row r="3267" spans="4:5" s="15" customFormat="1">
      <c r="D3267" s="81"/>
      <c r="E3267" s="81"/>
    </row>
    <row r="3268" spans="4:5" s="15" customFormat="1">
      <c r="D3268" s="81"/>
      <c r="E3268" s="81"/>
    </row>
    <row r="3269" spans="4:5" s="15" customFormat="1">
      <c r="D3269" s="81"/>
      <c r="E3269" s="81"/>
    </row>
    <row r="3270" spans="4:5" s="15" customFormat="1">
      <c r="D3270" s="81"/>
      <c r="E3270" s="81"/>
    </row>
    <row r="3271" spans="4:5" s="15" customFormat="1">
      <c r="D3271" s="81"/>
      <c r="E3271" s="81"/>
    </row>
    <row r="3272" spans="4:5" s="15" customFormat="1">
      <c r="D3272" s="81"/>
      <c r="E3272" s="81"/>
    </row>
    <row r="3273" spans="4:5" s="15" customFormat="1">
      <c r="D3273" s="81"/>
      <c r="E3273" s="81"/>
    </row>
    <row r="3274" spans="4:5" s="15" customFormat="1">
      <c r="D3274" s="81"/>
      <c r="E3274" s="81"/>
    </row>
    <row r="3275" spans="4:5" s="15" customFormat="1">
      <c r="D3275" s="81"/>
      <c r="E3275" s="81"/>
    </row>
    <row r="3276" spans="4:5" s="15" customFormat="1">
      <c r="D3276" s="81"/>
      <c r="E3276" s="81"/>
    </row>
    <row r="3277" spans="4:5" s="15" customFormat="1">
      <c r="D3277" s="81"/>
      <c r="E3277" s="81"/>
    </row>
    <row r="3278" spans="4:5" s="15" customFormat="1">
      <c r="D3278" s="81"/>
      <c r="E3278" s="81"/>
    </row>
    <row r="3279" spans="4:5" s="15" customFormat="1">
      <c r="D3279" s="81"/>
      <c r="E3279" s="81"/>
    </row>
    <row r="3280" spans="4:5" s="15" customFormat="1">
      <c r="D3280" s="81"/>
      <c r="E3280" s="81"/>
    </row>
    <row r="3281" spans="4:5" s="15" customFormat="1">
      <c r="D3281" s="81"/>
      <c r="E3281" s="81"/>
    </row>
    <row r="3282" spans="4:5" s="15" customFormat="1">
      <c r="D3282" s="81"/>
      <c r="E3282" s="81"/>
    </row>
    <row r="3283" spans="4:5" s="15" customFormat="1">
      <c r="D3283" s="81"/>
      <c r="E3283" s="81"/>
    </row>
    <row r="3284" spans="4:5" s="15" customFormat="1">
      <c r="D3284" s="81"/>
      <c r="E3284" s="81"/>
    </row>
    <row r="3285" spans="4:5" s="15" customFormat="1">
      <c r="D3285" s="81"/>
      <c r="E3285" s="81"/>
    </row>
    <row r="3286" spans="4:5" s="15" customFormat="1">
      <c r="D3286" s="81"/>
      <c r="E3286" s="81"/>
    </row>
    <row r="3287" spans="4:5" s="15" customFormat="1">
      <c r="D3287" s="81"/>
      <c r="E3287" s="81"/>
    </row>
    <row r="3288" spans="4:5" s="15" customFormat="1">
      <c r="D3288" s="81"/>
      <c r="E3288" s="81"/>
    </row>
    <row r="3289" spans="4:5" s="15" customFormat="1">
      <c r="D3289" s="81"/>
      <c r="E3289" s="81"/>
    </row>
    <row r="3290" spans="4:5" s="15" customFormat="1">
      <c r="D3290" s="81"/>
      <c r="E3290" s="81"/>
    </row>
    <row r="3291" spans="4:5" s="15" customFormat="1">
      <c r="D3291" s="81"/>
      <c r="E3291" s="81"/>
    </row>
    <row r="3292" spans="4:5" s="15" customFormat="1">
      <c r="D3292" s="81"/>
      <c r="E3292" s="81"/>
    </row>
    <row r="3293" spans="4:5" s="15" customFormat="1">
      <c r="D3293" s="81"/>
      <c r="E3293" s="81"/>
    </row>
    <row r="3294" spans="4:5" s="15" customFormat="1">
      <c r="D3294" s="81"/>
      <c r="E3294" s="81"/>
    </row>
    <row r="3295" spans="4:5" s="15" customFormat="1">
      <c r="D3295" s="81"/>
      <c r="E3295" s="81"/>
    </row>
    <row r="3296" spans="4:5" s="15" customFormat="1">
      <c r="D3296" s="81"/>
      <c r="E3296" s="81"/>
    </row>
    <row r="3297" spans="4:5" s="15" customFormat="1">
      <c r="D3297" s="81"/>
      <c r="E3297" s="81"/>
    </row>
    <row r="3298" spans="4:5" s="15" customFormat="1">
      <c r="D3298" s="81"/>
      <c r="E3298" s="81"/>
    </row>
    <row r="3299" spans="4:5" s="15" customFormat="1">
      <c r="D3299" s="81"/>
      <c r="E3299" s="81"/>
    </row>
    <row r="3300" spans="4:5" s="15" customFormat="1">
      <c r="D3300" s="81"/>
      <c r="E3300" s="81"/>
    </row>
    <row r="3301" spans="4:5" s="15" customFormat="1">
      <c r="D3301" s="81"/>
      <c r="E3301" s="81"/>
    </row>
    <row r="3302" spans="4:5" s="15" customFormat="1">
      <c r="D3302" s="81"/>
      <c r="E3302" s="81"/>
    </row>
    <row r="3303" spans="4:5" s="15" customFormat="1">
      <c r="D3303" s="81"/>
      <c r="E3303" s="81"/>
    </row>
    <row r="3304" spans="4:5" s="15" customFormat="1">
      <c r="D3304" s="81"/>
      <c r="E3304" s="81"/>
    </row>
    <row r="3305" spans="4:5" s="15" customFormat="1">
      <c r="D3305" s="81"/>
      <c r="E3305" s="81"/>
    </row>
    <row r="3306" spans="4:5" s="15" customFormat="1">
      <c r="D3306" s="81"/>
      <c r="E3306" s="81"/>
    </row>
    <row r="3307" spans="4:5" s="15" customFormat="1">
      <c r="D3307" s="81"/>
      <c r="E3307" s="81"/>
    </row>
    <row r="3308" spans="4:5" s="15" customFormat="1">
      <c r="D3308" s="81"/>
      <c r="E3308" s="81"/>
    </row>
    <row r="3309" spans="4:5" s="15" customFormat="1">
      <c r="D3309" s="81"/>
      <c r="E3309" s="81"/>
    </row>
    <row r="3310" spans="4:5" s="15" customFormat="1">
      <c r="D3310" s="81"/>
      <c r="E3310" s="81"/>
    </row>
    <row r="3311" spans="4:5" s="15" customFormat="1">
      <c r="D3311" s="81"/>
      <c r="E3311" s="81"/>
    </row>
    <row r="3312" spans="4:5" s="15" customFormat="1">
      <c r="D3312" s="81"/>
      <c r="E3312" s="81"/>
    </row>
    <row r="3313" spans="4:5" s="15" customFormat="1">
      <c r="D3313" s="81"/>
      <c r="E3313" s="81"/>
    </row>
    <row r="3314" spans="4:5" s="15" customFormat="1">
      <c r="D3314" s="81"/>
      <c r="E3314" s="81"/>
    </row>
    <row r="3315" spans="4:5" s="15" customFormat="1">
      <c r="D3315" s="81"/>
      <c r="E3315" s="81"/>
    </row>
    <row r="3316" spans="4:5" s="15" customFormat="1">
      <c r="D3316" s="81"/>
      <c r="E3316" s="81"/>
    </row>
    <row r="3317" spans="4:5" s="15" customFormat="1">
      <c r="D3317" s="81"/>
      <c r="E3317" s="81"/>
    </row>
    <row r="3318" spans="4:5" s="15" customFormat="1">
      <c r="D3318" s="81"/>
      <c r="E3318" s="81"/>
    </row>
    <row r="3319" spans="4:5" s="15" customFormat="1">
      <c r="D3319" s="81"/>
      <c r="E3319" s="81"/>
    </row>
    <row r="3320" spans="4:5" s="15" customFormat="1">
      <c r="D3320" s="81"/>
      <c r="E3320" s="81"/>
    </row>
    <row r="3321" spans="4:5" s="15" customFormat="1">
      <c r="D3321" s="81"/>
      <c r="E3321" s="81"/>
    </row>
    <row r="3322" spans="4:5" s="15" customFormat="1">
      <c r="D3322" s="81"/>
      <c r="E3322" s="81"/>
    </row>
    <row r="3323" spans="4:5" s="15" customFormat="1">
      <c r="D3323" s="81"/>
      <c r="E3323" s="81"/>
    </row>
    <row r="3324" spans="4:5" s="15" customFormat="1">
      <c r="D3324" s="81"/>
      <c r="E3324" s="81"/>
    </row>
    <row r="3325" spans="4:5" s="15" customFormat="1">
      <c r="D3325" s="81"/>
      <c r="E3325" s="81"/>
    </row>
    <row r="3326" spans="4:5" s="15" customFormat="1">
      <c r="D3326" s="81"/>
      <c r="E3326" s="81"/>
    </row>
    <row r="3327" spans="4:5" s="15" customFormat="1">
      <c r="D3327" s="81"/>
      <c r="E3327" s="81"/>
    </row>
    <row r="3328" spans="4:5" s="15" customFormat="1">
      <c r="D3328" s="81"/>
      <c r="E3328" s="81"/>
    </row>
    <row r="3329" spans="4:5" s="15" customFormat="1">
      <c r="D3329" s="81"/>
      <c r="E3329" s="81"/>
    </row>
    <row r="3330" spans="4:5" s="15" customFormat="1">
      <c r="D3330" s="81"/>
      <c r="E3330" s="81"/>
    </row>
    <row r="3331" spans="4:5" s="15" customFormat="1">
      <c r="D3331" s="81"/>
      <c r="E3331" s="81"/>
    </row>
    <row r="3332" spans="4:5" s="15" customFormat="1">
      <c r="D3332" s="81"/>
      <c r="E3332" s="81"/>
    </row>
    <row r="3333" spans="4:5" s="15" customFormat="1">
      <c r="D3333" s="81"/>
      <c r="E3333" s="81"/>
    </row>
    <row r="3334" spans="4:5" s="15" customFormat="1">
      <c r="D3334" s="81"/>
      <c r="E3334" s="81"/>
    </row>
    <row r="3335" spans="4:5" s="15" customFormat="1">
      <c r="D3335" s="81"/>
      <c r="E3335" s="81"/>
    </row>
    <row r="3336" spans="4:5" s="15" customFormat="1">
      <c r="D3336" s="81"/>
      <c r="E3336" s="81"/>
    </row>
    <row r="3337" spans="4:5" s="15" customFormat="1">
      <c r="D3337" s="81"/>
      <c r="E3337" s="81"/>
    </row>
    <row r="3338" spans="4:5" s="15" customFormat="1">
      <c r="D3338" s="81"/>
      <c r="E3338" s="81"/>
    </row>
    <row r="3339" spans="4:5" s="15" customFormat="1">
      <c r="D3339" s="81"/>
      <c r="E3339" s="81"/>
    </row>
    <row r="3340" spans="4:5" s="15" customFormat="1">
      <c r="D3340" s="81"/>
      <c r="E3340" s="81"/>
    </row>
    <row r="3341" spans="4:5" s="15" customFormat="1">
      <c r="D3341" s="81"/>
      <c r="E3341" s="81"/>
    </row>
    <row r="3342" spans="4:5" s="15" customFormat="1">
      <c r="D3342" s="81"/>
      <c r="E3342" s="81"/>
    </row>
    <row r="3343" spans="4:5" s="15" customFormat="1">
      <c r="D3343" s="81"/>
      <c r="E3343" s="81"/>
    </row>
    <row r="3344" spans="4:5" s="15" customFormat="1">
      <c r="D3344" s="81"/>
      <c r="E3344" s="81"/>
    </row>
    <row r="3345" spans="4:5" s="15" customFormat="1">
      <c r="D3345" s="81"/>
      <c r="E3345" s="81"/>
    </row>
    <row r="3346" spans="4:5" s="15" customFormat="1">
      <c r="D3346" s="81"/>
      <c r="E3346" s="81"/>
    </row>
    <row r="3347" spans="4:5" s="15" customFormat="1">
      <c r="D3347" s="81"/>
      <c r="E3347" s="81"/>
    </row>
    <row r="3348" spans="4:5" s="15" customFormat="1">
      <c r="D3348" s="81"/>
      <c r="E3348" s="81"/>
    </row>
    <row r="3349" spans="4:5" s="15" customFormat="1">
      <c r="D3349" s="81"/>
      <c r="E3349" s="81"/>
    </row>
    <row r="3350" spans="4:5" s="15" customFormat="1">
      <c r="D3350" s="81"/>
      <c r="E3350" s="81"/>
    </row>
    <row r="3351" spans="4:5" s="15" customFormat="1">
      <c r="D3351" s="81"/>
      <c r="E3351" s="81"/>
    </row>
    <row r="3352" spans="4:5" s="15" customFormat="1">
      <c r="D3352" s="81"/>
      <c r="E3352" s="81"/>
    </row>
    <row r="3353" spans="4:5" s="15" customFormat="1">
      <c r="D3353" s="81"/>
      <c r="E3353" s="81"/>
    </row>
    <row r="3354" spans="4:5" s="15" customFormat="1">
      <c r="D3354" s="81"/>
      <c r="E3354" s="81"/>
    </row>
    <row r="3355" spans="4:5" s="15" customFormat="1">
      <c r="D3355" s="81"/>
      <c r="E3355" s="81"/>
    </row>
    <row r="3356" spans="4:5" s="15" customFormat="1">
      <c r="D3356" s="81"/>
      <c r="E3356" s="81"/>
    </row>
    <row r="3357" spans="4:5" s="15" customFormat="1">
      <c r="D3357" s="81"/>
      <c r="E3357" s="81"/>
    </row>
    <row r="3358" spans="4:5" s="15" customFormat="1">
      <c r="D3358" s="81"/>
      <c r="E3358" s="81"/>
    </row>
    <row r="3359" spans="4:5" s="15" customFormat="1">
      <c r="D3359" s="81"/>
      <c r="E3359" s="81"/>
    </row>
    <row r="3360" spans="4:5" s="15" customFormat="1">
      <c r="D3360" s="81"/>
      <c r="E3360" s="81"/>
    </row>
    <row r="3361" spans="4:5" s="15" customFormat="1">
      <c r="D3361" s="81"/>
      <c r="E3361" s="81"/>
    </row>
    <row r="3362" spans="4:5" s="15" customFormat="1">
      <c r="D3362" s="81"/>
      <c r="E3362" s="81"/>
    </row>
    <row r="3363" spans="4:5" s="15" customFormat="1">
      <c r="D3363" s="81"/>
      <c r="E3363" s="81"/>
    </row>
    <row r="3364" spans="4:5" s="15" customFormat="1">
      <c r="D3364" s="81"/>
      <c r="E3364" s="81"/>
    </row>
    <row r="3365" spans="4:5" s="15" customFormat="1">
      <c r="D3365" s="81"/>
      <c r="E3365" s="81"/>
    </row>
    <row r="3366" spans="4:5" s="15" customFormat="1">
      <c r="D3366" s="81"/>
      <c r="E3366" s="81"/>
    </row>
    <row r="3367" spans="4:5" s="15" customFormat="1">
      <c r="D3367" s="81"/>
      <c r="E3367" s="81"/>
    </row>
    <row r="3368" spans="4:5" s="15" customFormat="1">
      <c r="D3368" s="81"/>
      <c r="E3368" s="81"/>
    </row>
    <row r="3369" spans="4:5" s="15" customFormat="1">
      <c r="D3369" s="81"/>
      <c r="E3369" s="81"/>
    </row>
    <row r="3370" spans="4:5" s="15" customFormat="1">
      <c r="D3370" s="81"/>
      <c r="E3370" s="81"/>
    </row>
    <row r="3371" spans="4:5" s="15" customFormat="1">
      <c r="D3371" s="81"/>
      <c r="E3371" s="81"/>
    </row>
    <row r="3372" spans="4:5" s="15" customFormat="1">
      <c r="D3372" s="81"/>
      <c r="E3372" s="81"/>
    </row>
    <row r="3373" spans="4:5" s="15" customFormat="1">
      <c r="D3373" s="81"/>
      <c r="E3373" s="81"/>
    </row>
    <row r="3374" spans="4:5" s="15" customFormat="1">
      <c r="D3374" s="81"/>
      <c r="E3374" s="81"/>
    </row>
    <row r="3375" spans="4:5" s="15" customFormat="1">
      <c r="D3375" s="81"/>
      <c r="E3375" s="81"/>
    </row>
    <row r="3376" spans="4:5" s="15" customFormat="1">
      <c r="D3376" s="81"/>
      <c r="E3376" s="81"/>
    </row>
    <row r="3377" spans="4:5" s="15" customFormat="1">
      <c r="D3377" s="81"/>
      <c r="E3377" s="81"/>
    </row>
    <row r="3378" spans="4:5" s="15" customFormat="1">
      <c r="D3378" s="81"/>
      <c r="E3378" s="81"/>
    </row>
    <row r="3379" spans="4:5" s="15" customFormat="1">
      <c r="D3379" s="81"/>
      <c r="E3379" s="81"/>
    </row>
    <row r="3380" spans="4:5" s="15" customFormat="1">
      <c r="D3380" s="81"/>
      <c r="E3380" s="81"/>
    </row>
    <row r="3381" spans="4:5" s="15" customFormat="1">
      <c r="D3381" s="81"/>
      <c r="E3381" s="81"/>
    </row>
    <row r="3382" spans="4:5" s="15" customFormat="1">
      <c r="D3382" s="81"/>
      <c r="E3382" s="81"/>
    </row>
    <row r="3383" spans="4:5" s="15" customFormat="1">
      <c r="D3383" s="81"/>
      <c r="E3383" s="81"/>
    </row>
    <row r="3384" spans="4:5" s="15" customFormat="1">
      <c r="D3384" s="81"/>
      <c r="E3384" s="81"/>
    </row>
    <row r="3385" spans="4:5" s="15" customFormat="1">
      <c r="D3385" s="81"/>
      <c r="E3385" s="81"/>
    </row>
    <row r="3386" spans="4:5" s="15" customFormat="1">
      <c r="D3386" s="81"/>
      <c r="E3386" s="81"/>
    </row>
    <row r="3387" spans="4:5" s="15" customFormat="1">
      <c r="D3387" s="81"/>
      <c r="E3387" s="81"/>
    </row>
    <row r="3388" spans="4:5" s="15" customFormat="1">
      <c r="D3388" s="81"/>
      <c r="E3388" s="81"/>
    </row>
    <row r="3389" spans="4:5" s="15" customFormat="1">
      <c r="D3389" s="81"/>
      <c r="E3389" s="81"/>
    </row>
    <row r="3390" spans="4:5" s="15" customFormat="1">
      <c r="D3390" s="81"/>
      <c r="E3390" s="81"/>
    </row>
    <row r="3391" spans="4:5" s="15" customFormat="1">
      <c r="D3391" s="81"/>
      <c r="E3391" s="81"/>
    </row>
    <row r="3392" spans="4:5" s="15" customFormat="1">
      <c r="D3392" s="81"/>
      <c r="E3392" s="81"/>
    </row>
    <row r="3393" spans="4:5" s="15" customFormat="1">
      <c r="D3393" s="81"/>
      <c r="E3393" s="81"/>
    </row>
    <row r="3394" spans="4:5" s="15" customFormat="1">
      <c r="D3394" s="81"/>
      <c r="E3394" s="81"/>
    </row>
    <row r="3395" spans="4:5" s="15" customFormat="1">
      <c r="D3395" s="81"/>
      <c r="E3395" s="81"/>
    </row>
    <row r="3396" spans="4:5" s="15" customFormat="1">
      <c r="D3396" s="81"/>
      <c r="E3396" s="81"/>
    </row>
    <row r="3397" spans="4:5" s="15" customFormat="1">
      <c r="D3397" s="81"/>
      <c r="E3397" s="81"/>
    </row>
    <row r="3398" spans="4:5" s="15" customFormat="1">
      <c r="D3398" s="81"/>
      <c r="E3398" s="81"/>
    </row>
    <row r="3399" spans="4:5" s="15" customFormat="1">
      <c r="D3399" s="81"/>
      <c r="E3399" s="81"/>
    </row>
    <row r="3400" spans="4:5" s="15" customFormat="1">
      <c r="D3400" s="81"/>
      <c r="E3400" s="81"/>
    </row>
    <row r="3401" spans="4:5" s="15" customFormat="1">
      <c r="D3401" s="81"/>
      <c r="E3401" s="81"/>
    </row>
    <row r="3402" spans="4:5" s="15" customFormat="1">
      <c r="D3402" s="81"/>
      <c r="E3402" s="81"/>
    </row>
    <row r="3403" spans="4:5" s="15" customFormat="1">
      <c r="D3403" s="81"/>
      <c r="E3403" s="81"/>
    </row>
    <row r="3404" spans="4:5" s="15" customFormat="1">
      <c r="D3404" s="81"/>
      <c r="E3404" s="81"/>
    </row>
    <row r="3405" spans="4:5" s="15" customFormat="1">
      <c r="D3405" s="81"/>
      <c r="E3405" s="81"/>
    </row>
    <row r="3406" spans="4:5" s="15" customFormat="1">
      <c r="D3406" s="81"/>
      <c r="E3406" s="81"/>
    </row>
    <row r="3407" spans="4:5" s="15" customFormat="1">
      <c r="D3407" s="81"/>
      <c r="E3407" s="81"/>
    </row>
    <row r="3408" spans="4:5" s="15" customFormat="1">
      <c r="D3408" s="81"/>
      <c r="E3408" s="81"/>
    </row>
    <row r="3409" spans="4:5" s="15" customFormat="1">
      <c r="D3409" s="81"/>
      <c r="E3409" s="81"/>
    </row>
    <row r="3410" spans="4:5" s="15" customFormat="1">
      <c r="D3410" s="81"/>
      <c r="E3410" s="81"/>
    </row>
    <row r="3411" spans="4:5" s="15" customFormat="1">
      <c r="D3411" s="81"/>
      <c r="E3411" s="81"/>
    </row>
    <row r="3412" spans="4:5" s="15" customFormat="1">
      <c r="D3412" s="81"/>
      <c r="E3412" s="81"/>
    </row>
    <row r="3413" spans="4:5" s="15" customFormat="1">
      <c r="D3413" s="81"/>
      <c r="E3413" s="81"/>
    </row>
    <row r="3414" spans="4:5" s="15" customFormat="1">
      <c r="D3414" s="81"/>
      <c r="E3414" s="81"/>
    </row>
    <row r="3415" spans="4:5" s="15" customFormat="1">
      <c r="D3415" s="81"/>
      <c r="E3415" s="81"/>
    </row>
    <row r="3416" spans="4:5" s="15" customFormat="1">
      <c r="D3416" s="81"/>
      <c r="E3416" s="81"/>
    </row>
    <row r="3417" spans="4:5" s="15" customFormat="1">
      <c r="D3417" s="81"/>
      <c r="E3417" s="81"/>
    </row>
    <row r="3418" spans="4:5" s="15" customFormat="1">
      <c r="D3418" s="81"/>
      <c r="E3418" s="81"/>
    </row>
    <row r="3419" spans="4:5" s="15" customFormat="1">
      <c r="D3419" s="81"/>
      <c r="E3419" s="81"/>
    </row>
    <row r="3420" spans="4:5" s="15" customFormat="1">
      <c r="D3420" s="81"/>
      <c r="E3420" s="81"/>
    </row>
    <row r="3421" spans="4:5" s="15" customFormat="1">
      <c r="D3421" s="81"/>
      <c r="E3421" s="81"/>
    </row>
    <row r="3422" spans="4:5" s="15" customFormat="1">
      <c r="D3422" s="81"/>
      <c r="E3422" s="81"/>
    </row>
    <row r="3423" spans="4:5" s="15" customFormat="1">
      <c r="D3423" s="81"/>
      <c r="E3423" s="81"/>
    </row>
    <row r="3424" spans="4:5" s="15" customFormat="1">
      <c r="D3424" s="81"/>
      <c r="E3424" s="81"/>
    </row>
    <row r="3425" spans="4:5" s="15" customFormat="1">
      <c r="D3425" s="81"/>
      <c r="E3425" s="81"/>
    </row>
    <row r="3426" spans="4:5" s="15" customFormat="1">
      <c r="D3426" s="81"/>
      <c r="E3426" s="81"/>
    </row>
    <row r="3427" spans="4:5" s="15" customFormat="1">
      <c r="D3427" s="81"/>
      <c r="E3427" s="81"/>
    </row>
    <row r="3428" spans="4:5" s="15" customFormat="1">
      <c r="D3428" s="81"/>
      <c r="E3428" s="81"/>
    </row>
    <row r="3429" spans="4:5" s="15" customFormat="1">
      <c r="D3429" s="81"/>
      <c r="E3429" s="81"/>
    </row>
    <row r="3430" spans="4:5" s="15" customFormat="1">
      <c r="D3430" s="81"/>
      <c r="E3430" s="81"/>
    </row>
    <row r="3431" spans="4:5" s="15" customFormat="1">
      <c r="D3431" s="81"/>
      <c r="E3431" s="81"/>
    </row>
    <row r="3432" spans="4:5" s="15" customFormat="1">
      <c r="D3432" s="81"/>
      <c r="E3432" s="81"/>
    </row>
    <row r="3433" spans="4:5" s="15" customFormat="1">
      <c r="D3433" s="81"/>
      <c r="E3433" s="81"/>
    </row>
    <row r="3434" spans="4:5" s="15" customFormat="1">
      <c r="D3434" s="81"/>
      <c r="E3434" s="81"/>
    </row>
    <row r="3435" spans="4:5" s="15" customFormat="1">
      <c r="D3435" s="81"/>
      <c r="E3435" s="81"/>
    </row>
    <row r="3436" spans="4:5" s="15" customFormat="1">
      <c r="D3436" s="81"/>
      <c r="E3436" s="81"/>
    </row>
    <row r="3437" spans="4:5" s="15" customFormat="1">
      <c r="D3437" s="81"/>
      <c r="E3437" s="81"/>
    </row>
    <row r="3438" spans="4:5" s="15" customFormat="1">
      <c r="D3438" s="81"/>
      <c r="E3438" s="81"/>
    </row>
    <row r="3439" spans="4:5" s="15" customFormat="1">
      <c r="D3439" s="81"/>
      <c r="E3439" s="81"/>
    </row>
    <row r="3440" spans="4:5" s="15" customFormat="1">
      <c r="D3440" s="81"/>
      <c r="E3440" s="81"/>
    </row>
    <row r="3441" spans="4:5" s="15" customFormat="1">
      <c r="D3441" s="81"/>
      <c r="E3441" s="81"/>
    </row>
    <row r="3442" spans="4:5" s="15" customFormat="1">
      <c r="D3442" s="81"/>
      <c r="E3442" s="81"/>
    </row>
    <row r="3443" spans="4:5" s="15" customFormat="1">
      <c r="D3443" s="81"/>
      <c r="E3443" s="81"/>
    </row>
    <row r="3444" spans="4:5" s="15" customFormat="1">
      <c r="D3444" s="81"/>
      <c r="E3444" s="81"/>
    </row>
    <row r="3445" spans="4:5" s="15" customFormat="1">
      <c r="D3445" s="81"/>
      <c r="E3445" s="81"/>
    </row>
    <row r="3446" spans="4:5" s="15" customFormat="1">
      <c r="D3446" s="81"/>
      <c r="E3446" s="81"/>
    </row>
    <row r="3447" spans="4:5" s="15" customFormat="1">
      <c r="D3447" s="81"/>
      <c r="E3447" s="81"/>
    </row>
    <row r="3448" spans="4:5" s="15" customFormat="1">
      <c r="D3448" s="81"/>
      <c r="E3448" s="81"/>
    </row>
    <row r="3449" spans="4:5" s="15" customFormat="1">
      <c r="D3449" s="81"/>
      <c r="E3449" s="81"/>
    </row>
    <row r="3450" spans="4:5" s="15" customFormat="1">
      <c r="D3450" s="81"/>
      <c r="E3450" s="81"/>
    </row>
    <row r="3451" spans="4:5" s="15" customFormat="1">
      <c r="D3451" s="81"/>
      <c r="E3451" s="81"/>
    </row>
    <row r="3452" spans="4:5" s="15" customFormat="1">
      <c r="D3452" s="81"/>
      <c r="E3452" s="81"/>
    </row>
    <row r="3453" spans="4:5" s="15" customFormat="1">
      <c r="D3453" s="81"/>
      <c r="E3453" s="81"/>
    </row>
    <row r="3454" spans="4:5" s="15" customFormat="1">
      <c r="D3454" s="81"/>
      <c r="E3454" s="81"/>
    </row>
    <row r="3455" spans="4:5" s="15" customFormat="1">
      <c r="D3455" s="81"/>
      <c r="E3455" s="81"/>
    </row>
    <row r="3456" spans="4:5" s="15" customFormat="1">
      <c r="D3456" s="81"/>
      <c r="E3456" s="81"/>
    </row>
    <row r="3457" spans="4:5" s="15" customFormat="1">
      <c r="D3457" s="81"/>
      <c r="E3457" s="81"/>
    </row>
    <row r="3458" spans="4:5" s="15" customFormat="1">
      <c r="D3458" s="81"/>
      <c r="E3458" s="81"/>
    </row>
    <row r="3459" spans="4:5" s="15" customFormat="1">
      <c r="D3459" s="81"/>
      <c r="E3459" s="81"/>
    </row>
    <row r="3460" spans="4:5" s="15" customFormat="1">
      <c r="D3460" s="81"/>
      <c r="E3460" s="81"/>
    </row>
    <row r="3461" spans="4:5" s="15" customFormat="1">
      <c r="D3461" s="81"/>
      <c r="E3461" s="81"/>
    </row>
    <row r="3462" spans="4:5" s="15" customFormat="1">
      <c r="D3462" s="81"/>
      <c r="E3462" s="81"/>
    </row>
    <row r="3463" spans="4:5" s="15" customFormat="1">
      <c r="D3463" s="81"/>
      <c r="E3463" s="81"/>
    </row>
    <row r="3464" spans="4:5" s="15" customFormat="1">
      <c r="D3464" s="81"/>
      <c r="E3464" s="81"/>
    </row>
    <row r="3465" spans="4:5" s="15" customFormat="1">
      <c r="D3465" s="81"/>
      <c r="E3465" s="81"/>
    </row>
    <row r="3466" spans="4:5" s="15" customFormat="1">
      <c r="D3466" s="81"/>
      <c r="E3466" s="81"/>
    </row>
    <row r="3467" spans="4:5" s="15" customFormat="1">
      <c r="D3467" s="81"/>
      <c r="E3467" s="81"/>
    </row>
    <row r="3468" spans="4:5" s="15" customFormat="1">
      <c r="D3468" s="81"/>
      <c r="E3468" s="81"/>
    </row>
    <row r="3469" spans="4:5" s="15" customFormat="1">
      <c r="D3469" s="81"/>
      <c r="E3469" s="81"/>
    </row>
    <row r="3470" spans="4:5" s="15" customFormat="1">
      <c r="D3470" s="81"/>
      <c r="E3470" s="81"/>
    </row>
    <row r="3471" spans="4:5" s="15" customFormat="1">
      <c r="D3471" s="81"/>
      <c r="E3471" s="81"/>
    </row>
    <row r="3472" spans="4:5" s="15" customFormat="1">
      <c r="D3472" s="81"/>
      <c r="E3472" s="81"/>
    </row>
    <row r="3473" spans="4:5" s="15" customFormat="1">
      <c r="D3473" s="81"/>
      <c r="E3473" s="81"/>
    </row>
    <row r="3474" spans="4:5" s="15" customFormat="1">
      <c r="D3474" s="81"/>
      <c r="E3474" s="81"/>
    </row>
    <row r="3475" spans="4:5" s="15" customFormat="1">
      <c r="D3475" s="81"/>
      <c r="E3475" s="81"/>
    </row>
    <row r="3476" spans="4:5" s="15" customFormat="1">
      <c r="D3476" s="81"/>
      <c r="E3476" s="81"/>
    </row>
    <row r="3477" spans="4:5" s="15" customFormat="1">
      <c r="D3477" s="81"/>
      <c r="E3477" s="81"/>
    </row>
    <row r="3478" spans="4:5" s="15" customFormat="1">
      <c r="D3478" s="81"/>
      <c r="E3478" s="81"/>
    </row>
    <row r="3479" spans="4:5" s="15" customFormat="1">
      <c r="D3479" s="81"/>
      <c r="E3479" s="81"/>
    </row>
    <row r="3480" spans="4:5" s="15" customFormat="1">
      <c r="D3480" s="81"/>
      <c r="E3480" s="81"/>
    </row>
    <row r="3481" spans="4:5" s="15" customFormat="1">
      <c r="D3481" s="81"/>
      <c r="E3481" s="81"/>
    </row>
    <row r="3482" spans="4:5" s="15" customFormat="1">
      <c r="D3482" s="81"/>
      <c r="E3482" s="81"/>
    </row>
    <row r="3483" spans="4:5" s="15" customFormat="1">
      <c r="D3483" s="81"/>
      <c r="E3483" s="81"/>
    </row>
    <row r="3484" spans="4:5" s="15" customFormat="1">
      <c r="D3484" s="81"/>
      <c r="E3484" s="81"/>
    </row>
    <row r="3485" spans="4:5" s="15" customFormat="1">
      <c r="D3485" s="81"/>
      <c r="E3485" s="81"/>
    </row>
    <row r="3486" spans="4:5" s="15" customFormat="1">
      <c r="D3486" s="81"/>
      <c r="E3486" s="81"/>
    </row>
    <row r="3487" spans="4:5" s="15" customFormat="1">
      <c r="D3487" s="81"/>
      <c r="E3487" s="81"/>
    </row>
    <row r="3488" spans="4:5" s="15" customFormat="1">
      <c r="D3488" s="81"/>
      <c r="E3488" s="81"/>
    </row>
    <row r="3489" spans="4:5" s="15" customFormat="1">
      <c r="D3489" s="81"/>
      <c r="E3489" s="81"/>
    </row>
    <row r="3490" spans="4:5" s="15" customFormat="1">
      <c r="D3490" s="81"/>
      <c r="E3490" s="81"/>
    </row>
    <row r="3491" spans="4:5" s="15" customFormat="1">
      <c r="D3491" s="81"/>
      <c r="E3491" s="81"/>
    </row>
    <row r="3492" spans="4:5" s="15" customFormat="1">
      <c r="D3492" s="81"/>
      <c r="E3492" s="81"/>
    </row>
    <row r="3493" spans="4:5" s="15" customFormat="1">
      <c r="D3493" s="81"/>
      <c r="E3493" s="81"/>
    </row>
    <row r="3494" spans="4:5" s="15" customFormat="1">
      <c r="D3494" s="81"/>
      <c r="E3494" s="81"/>
    </row>
    <row r="3495" spans="4:5" s="15" customFormat="1">
      <c r="D3495" s="81"/>
      <c r="E3495" s="81"/>
    </row>
    <row r="3496" spans="4:5" s="15" customFormat="1">
      <c r="D3496" s="81"/>
      <c r="E3496" s="81"/>
    </row>
    <row r="3497" spans="4:5" s="15" customFormat="1">
      <c r="D3497" s="81"/>
      <c r="E3497" s="81"/>
    </row>
    <row r="3498" spans="4:5" s="15" customFormat="1">
      <c r="D3498" s="81"/>
      <c r="E3498" s="81"/>
    </row>
    <row r="3499" spans="4:5" s="15" customFormat="1">
      <c r="D3499" s="81"/>
      <c r="E3499" s="81"/>
    </row>
    <row r="3500" spans="4:5" s="15" customFormat="1">
      <c r="D3500" s="81"/>
      <c r="E3500" s="81"/>
    </row>
    <row r="3501" spans="4:5" s="15" customFormat="1">
      <c r="D3501" s="81"/>
      <c r="E3501" s="81"/>
    </row>
    <row r="3502" spans="4:5" s="15" customFormat="1">
      <c r="D3502" s="81"/>
      <c r="E3502" s="81"/>
    </row>
    <row r="3503" spans="4:5" s="15" customFormat="1">
      <c r="D3503" s="81"/>
      <c r="E3503" s="81"/>
    </row>
    <row r="3504" spans="4:5" s="15" customFormat="1">
      <c r="D3504" s="81"/>
      <c r="E3504" s="81"/>
    </row>
    <row r="3505" spans="4:5" s="15" customFormat="1">
      <c r="D3505" s="81"/>
      <c r="E3505" s="81"/>
    </row>
    <row r="3506" spans="4:5" s="15" customFormat="1">
      <c r="D3506" s="81"/>
      <c r="E3506" s="81"/>
    </row>
    <row r="3507" spans="4:5" s="15" customFormat="1">
      <c r="D3507" s="81"/>
      <c r="E3507" s="81"/>
    </row>
    <row r="3508" spans="4:5" s="15" customFormat="1">
      <c r="D3508" s="81"/>
      <c r="E3508" s="81"/>
    </row>
    <row r="3509" spans="4:5" s="15" customFormat="1">
      <c r="D3509" s="81"/>
      <c r="E3509" s="81"/>
    </row>
    <row r="3510" spans="4:5" s="15" customFormat="1">
      <c r="D3510" s="81"/>
      <c r="E3510" s="81"/>
    </row>
    <row r="3511" spans="4:5" s="15" customFormat="1">
      <c r="D3511" s="81"/>
      <c r="E3511" s="81"/>
    </row>
    <row r="3512" spans="4:5" s="15" customFormat="1">
      <c r="D3512" s="81"/>
      <c r="E3512" s="81"/>
    </row>
    <row r="3513" spans="4:5" s="15" customFormat="1">
      <c r="D3513" s="81"/>
      <c r="E3513" s="81"/>
    </row>
    <row r="3514" spans="4:5" s="15" customFormat="1">
      <c r="D3514" s="81"/>
      <c r="E3514" s="81"/>
    </row>
    <row r="3515" spans="4:5" s="15" customFormat="1">
      <c r="D3515" s="81"/>
      <c r="E3515" s="81"/>
    </row>
    <row r="3516" spans="4:5" s="15" customFormat="1">
      <c r="D3516" s="81"/>
      <c r="E3516" s="81"/>
    </row>
    <row r="3517" spans="4:5" s="15" customFormat="1">
      <c r="D3517" s="81"/>
      <c r="E3517" s="81"/>
    </row>
    <row r="3518" spans="4:5" s="15" customFormat="1">
      <c r="D3518" s="81"/>
      <c r="E3518" s="81"/>
    </row>
    <row r="3519" spans="4:5" s="15" customFormat="1">
      <c r="D3519" s="81"/>
      <c r="E3519" s="81"/>
    </row>
    <row r="3520" spans="4:5" s="15" customFormat="1">
      <c r="D3520" s="81"/>
      <c r="E3520" s="81"/>
    </row>
    <row r="3521" spans="4:5" s="15" customFormat="1">
      <c r="D3521" s="81"/>
      <c r="E3521" s="81"/>
    </row>
    <row r="3522" spans="4:5" s="15" customFormat="1">
      <c r="D3522" s="81"/>
      <c r="E3522" s="81"/>
    </row>
    <row r="3523" spans="4:5" s="15" customFormat="1">
      <c r="D3523" s="81"/>
      <c r="E3523" s="81"/>
    </row>
    <row r="3524" spans="4:5" s="15" customFormat="1">
      <c r="D3524" s="81"/>
      <c r="E3524" s="81"/>
    </row>
    <row r="3525" spans="4:5" s="15" customFormat="1">
      <c r="D3525" s="81"/>
      <c r="E3525" s="81"/>
    </row>
    <row r="3526" spans="4:5" s="15" customFormat="1">
      <c r="D3526" s="81"/>
      <c r="E3526" s="81"/>
    </row>
    <row r="3527" spans="4:5" s="15" customFormat="1">
      <c r="D3527" s="81"/>
      <c r="E3527" s="81"/>
    </row>
    <row r="3528" spans="4:5" s="15" customFormat="1">
      <c r="D3528" s="81"/>
      <c r="E3528" s="81"/>
    </row>
    <row r="3529" spans="4:5" s="15" customFormat="1">
      <c r="D3529" s="81"/>
      <c r="E3529" s="81"/>
    </row>
    <row r="3530" spans="4:5" s="15" customFormat="1">
      <c r="D3530" s="81"/>
      <c r="E3530" s="81"/>
    </row>
    <row r="3531" spans="4:5" s="15" customFormat="1">
      <c r="D3531" s="81"/>
      <c r="E3531" s="81"/>
    </row>
    <row r="3532" spans="4:5" s="15" customFormat="1">
      <c r="D3532" s="81"/>
      <c r="E3532" s="81"/>
    </row>
    <row r="3533" spans="4:5" s="15" customFormat="1">
      <c r="D3533" s="81"/>
      <c r="E3533" s="81"/>
    </row>
    <row r="3534" spans="4:5" s="15" customFormat="1">
      <c r="D3534" s="81"/>
      <c r="E3534" s="81"/>
    </row>
    <row r="3535" spans="4:5" s="15" customFormat="1">
      <c r="D3535" s="81"/>
      <c r="E3535" s="81"/>
    </row>
    <row r="3536" spans="4:5" s="15" customFormat="1">
      <c r="D3536" s="81"/>
      <c r="E3536" s="81"/>
    </row>
    <row r="3537" spans="4:5" s="15" customFormat="1">
      <c r="D3537" s="81"/>
      <c r="E3537" s="81"/>
    </row>
    <row r="3538" spans="4:5" s="15" customFormat="1">
      <c r="D3538" s="81"/>
      <c r="E3538" s="81"/>
    </row>
    <row r="3539" spans="4:5" s="15" customFormat="1">
      <c r="D3539" s="81"/>
      <c r="E3539" s="81"/>
    </row>
    <row r="3540" spans="4:5" s="15" customFormat="1">
      <c r="D3540" s="81"/>
      <c r="E3540" s="81"/>
    </row>
    <row r="3541" spans="4:5" s="15" customFormat="1">
      <c r="D3541" s="81"/>
      <c r="E3541" s="81"/>
    </row>
    <row r="3542" spans="4:5" s="15" customFormat="1">
      <c r="D3542" s="81"/>
      <c r="E3542" s="81"/>
    </row>
    <row r="3543" spans="4:5" s="15" customFormat="1">
      <c r="D3543" s="81"/>
      <c r="E3543" s="81"/>
    </row>
    <row r="3544" spans="4:5" s="15" customFormat="1">
      <c r="D3544" s="81"/>
      <c r="E3544" s="81"/>
    </row>
    <row r="3545" spans="4:5" s="15" customFormat="1">
      <c r="D3545" s="81"/>
      <c r="E3545" s="81"/>
    </row>
    <row r="3546" spans="4:5" s="15" customFormat="1">
      <c r="D3546" s="81"/>
      <c r="E3546" s="81"/>
    </row>
    <row r="3547" spans="4:5" s="15" customFormat="1">
      <c r="D3547" s="81"/>
      <c r="E3547" s="81"/>
    </row>
    <row r="3548" spans="4:5" s="15" customFormat="1">
      <c r="D3548" s="81"/>
      <c r="E3548" s="81"/>
    </row>
    <row r="3549" spans="4:5" s="15" customFormat="1">
      <c r="D3549" s="81"/>
      <c r="E3549" s="81"/>
    </row>
    <row r="3550" spans="4:5" s="15" customFormat="1">
      <c r="D3550" s="81"/>
      <c r="E3550" s="81"/>
    </row>
    <row r="3551" spans="4:5" s="15" customFormat="1">
      <c r="D3551" s="81"/>
      <c r="E3551" s="81"/>
    </row>
    <row r="3552" spans="4:5" s="15" customFormat="1">
      <c r="D3552" s="81"/>
      <c r="E3552" s="81"/>
    </row>
    <row r="3553" spans="4:5" s="15" customFormat="1">
      <c r="D3553" s="81"/>
      <c r="E3553" s="81"/>
    </row>
    <row r="3554" spans="4:5" s="15" customFormat="1">
      <c r="D3554" s="81"/>
      <c r="E3554" s="81"/>
    </row>
    <row r="3555" spans="4:5" s="15" customFormat="1">
      <c r="D3555" s="81"/>
      <c r="E3555" s="81"/>
    </row>
    <row r="3556" spans="4:5" s="15" customFormat="1">
      <c r="D3556" s="81"/>
      <c r="E3556" s="81"/>
    </row>
    <row r="3557" spans="4:5" s="15" customFormat="1">
      <c r="D3557" s="81"/>
      <c r="E3557" s="81"/>
    </row>
    <row r="3558" spans="4:5" s="15" customFormat="1">
      <c r="D3558" s="81"/>
      <c r="E3558" s="81"/>
    </row>
    <row r="3559" spans="4:5" s="15" customFormat="1">
      <c r="D3559" s="81"/>
      <c r="E3559" s="81"/>
    </row>
    <row r="3560" spans="4:5" s="15" customFormat="1">
      <c r="D3560" s="81"/>
      <c r="E3560" s="81"/>
    </row>
    <row r="3561" spans="4:5" s="15" customFormat="1">
      <c r="D3561" s="81"/>
      <c r="E3561" s="81"/>
    </row>
    <row r="3562" spans="4:5" s="15" customFormat="1">
      <c r="D3562" s="81"/>
      <c r="E3562" s="81"/>
    </row>
    <row r="3563" spans="4:5" s="15" customFormat="1">
      <c r="D3563" s="81"/>
      <c r="E3563" s="81"/>
    </row>
    <row r="3564" spans="4:5" s="15" customFormat="1">
      <c r="D3564" s="81"/>
      <c r="E3564" s="81"/>
    </row>
    <row r="3565" spans="4:5" s="15" customFormat="1">
      <c r="D3565" s="81"/>
      <c r="E3565" s="81"/>
    </row>
    <row r="3566" spans="4:5" s="15" customFormat="1">
      <c r="D3566" s="81"/>
      <c r="E3566" s="81"/>
    </row>
    <row r="3567" spans="4:5" s="15" customFormat="1">
      <c r="D3567" s="81"/>
      <c r="E3567" s="81"/>
    </row>
    <row r="3568" spans="4:5" s="15" customFormat="1">
      <c r="D3568" s="81"/>
      <c r="E3568" s="81"/>
    </row>
    <row r="3569" spans="4:5" s="15" customFormat="1">
      <c r="D3569" s="81"/>
      <c r="E3569" s="81"/>
    </row>
    <row r="3570" spans="4:5" s="15" customFormat="1">
      <c r="D3570" s="81"/>
      <c r="E3570" s="81"/>
    </row>
    <row r="3571" spans="4:5" s="15" customFormat="1">
      <c r="D3571" s="81"/>
      <c r="E3571" s="81"/>
    </row>
    <row r="3572" spans="4:5" s="15" customFormat="1">
      <c r="D3572" s="81"/>
      <c r="E3572" s="81"/>
    </row>
    <row r="3573" spans="4:5" s="15" customFormat="1">
      <c r="D3573" s="81"/>
      <c r="E3573" s="81"/>
    </row>
    <row r="3574" spans="4:5" s="15" customFormat="1">
      <c r="D3574" s="81"/>
      <c r="E3574" s="81"/>
    </row>
    <row r="3575" spans="4:5" s="15" customFormat="1">
      <c r="D3575" s="81"/>
      <c r="E3575" s="81"/>
    </row>
    <row r="3576" spans="4:5" s="15" customFormat="1">
      <c r="D3576" s="81"/>
      <c r="E3576" s="81"/>
    </row>
    <row r="3577" spans="4:5" s="15" customFormat="1">
      <c r="D3577" s="81"/>
      <c r="E3577" s="81"/>
    </row>
    <row r="3578" spans="4:5" s="15" customFormat="1">
      <c r="D3578" s="81"/>
      <c r="E3578" s="81"/>
    </row>
    <row r="3579" spans="4:5" s="15" customFormat="1">
      <c r="D3579" s="81"/>
      <c r="E3579" s="81"/>
    </row>
    <row r="3580" spans="4:5" s="15" customFormat="1">
      <c r="D3580" s="81"/>
      <c r="E3580" s="81"/>
    </row>
    <row r="3581" spans="4:5" s="15" customFormat="1">
      <c r="D3581" s="81"/>
      <c r="E3581" s="81"/>
    </row>
    <row r="3582" spans="4:5" s="15" customFormat="1">
      <c r="D3582" s="81"/>
      <c r="E3582" s="81"/>
    </row>
    <row r="3583" spans="4:5" s="15" customFormat="1">
      <c r="D3583" s="81"/>
      <c r="E3583" s="81"/>
    </row>
    <row r="3584" spans="4:5" s="15" customFormat="1">
      <c r="D3584" s="81"/>
      <c r="E3584" s="81"/>
    </row>
    <row r="3585" spans="4:5" s="15" customFormat="1">
      <c r="D3585" s="81"/>
      <c r="E3585" s="81"/>
    </row>
    <row r="3586" spans="4:5" s="15" customFormat="1">
      <c r="D3586" s="81"/>
      <c r="E3586" s="81"/>
    </row>
    <row r="3587" spans="4:5" s="15" customFormat="1">
      <c r="D3587" s="81"/>
      <c r="E3587" s="81"/>
    </row>
    <row r="3588" spans="4:5" s="15" customFormat="1">
      <c r="D3588" s="81"/>
      <c r="E3588" s="81"/>
    </row>
    <row r="3589" spans="4:5" s="15" customFormat="1">
      <c r="D3589" s="81"/>
      <c r="E3589" s="81"/>
    </row>
    <row r="3590" spans="4:5" s="15" customFormat="1">
      <c r="D3590" s="81"/>
      <c r="E3590" s="81"/>
    </row>
    <row r="3591" spans="4:5" s="15" customFormat="1">
      <c r="D3591" s="81"/>
      <c r="E3591" s="81"/>
    </row>
    <row r="3592" spans="4:5" s="15" customFormat="1">
      <c r="D3592" s="81"/>
      <c r="E3592" s="81"/>
    </row>
    <row r="3593" spans="4:5" s="15" customFormat="1">
      <c r="D3593" s="81"/>
      <c r="E3593" s="81"/>
    </row>
    <row r="3594" spans="4:5" s="15" customFormat="1">
      <c r="D3594" s="81"/>
      <c r="E3594" s="81"/>
    </row>
    <row r="3595" spans="4:5" s="15" customFormat="1">
      <c r="D3595" s="81"/>
      <c r="E3595" s="81"/>
    </row>
    <row r="3596" spans="4:5" s="15" customFormat="1">
      <c r="D3596" s="81"/>
      <c r="E3596" s="81"/>
    </row>
    <row r="3597" spans="4:5" s="15" customFormat="1">
      <c r="D3597" s="81"/>
      <c r="E3597" s="81"/>
    </row>
    <row r="3598" spans="4:5" s="15" customFormat="1">
      <c r="D3598" s="81"/>
      <c r="E3598" s="81"/>
    </row>
    <row r="3599" spans="4:5" s="15" customFormat="1">
      <c r="D3599" s="81"/>
      <c r="E3599" s="81"/>
    </row>
    <row r="3600" spans="4:5" s="15" customFormat="1">
      <c r="D3600" s="81"/>
      <c r="E3600" s="81"/>
    </row>
    <row r="3601" spans="4:5" s="15" customFormat="1">
      <c r="D3601" s="81"/>
      <c r="E3601" s="81"/>
    </row>
    <row r="3602" spans="4:5" s="15" customFormat="1">
      <c r="D3602" s="81"/>
      <c r="E3602" s="81"/>
    </row>
    <row r="3603" spans="4:5" s="15" customFormat="1">
      <c r="D3603" s="81"/>
      <c r="E3603" s="81"/>
    </row>
    <row r="3604" spans="4:5" s="15" customFormat="1">
      <c r="D3604" s="81"/>
      <c r="E3604" s="81"/>
    </row>
    <row r="3605" spans="4:5" s="15" customFormat="1">
      <c r="D3605" s="81"/>
      <c r="E3605" s="81"/>
    </row>
    <row r="3606" spans="4:5" s="15" customFormat="1">
      <c r="D3606" s="81"/>
      <c r="E3606" s="81"/>
    </row>
    <row r="3607" spans="4:5" s="15" customFormat="1">
      <c r="D3607" s="81"/>
      <c r="E3607" s="81"/>
    </row>
    <row r="3608" spans="4:5" s="15" customFormat="1">
      <c r="D3608" s="81"/>
      <c r="E3608" s="81"/>
    </row>
    <row r="3609" spans="4:5" s="15" customFormat="1">
      <c r="D3609" s="81"/>
      <c r="E3609" s="81"/>
    </row>
    <row r="3610" spans="4:5" s="15" customFormat="1">
      <c r="D3610" s="81"/>
      <c r="E3610" s="81"/>
    </row>
    <row r="3611" spans="4:5" s="15" customFormat="1">
      <c r="D3611" s="81"/>
      <c r="E3611" s="81"/>
    </row>
    <row r="3612" spans="4:5" s="15" customFormat="1">
      <c r="D3612" s="81"/>
      <c r="E3612" s="81"/>
    </row>
    <row r="3613" spans="4:5" s="15" customFormat="1">
      <c r="D3613" s="81"/>
      <c r="E3613" s="81"/>
    </row>
    <row r="3614" spans="4:5" s="15" customFormat="1">
      <c r="D3614" s="81"/>
      <c r="E3614" s="81"/>
    </row>
    <row r="3615" spans="4:5" s="15" customFormat="1">
      <c r="D3615" s="81"/>
      <c r="E3615" s="81"/>
    </row>
    <row r="3616" spans="4:5" s="15" customFormat="1">
      <c r="D3616" s="81"/>
      <c r="E3616" s="81"/>
    </row>
    <row r="3617" spans="4:5" s="15" customFormat="1">
      <c r="D3617" s="81"/>
      <c r="E3617" s="81"/>
    </row>
    <row r="3618" spans="4:5" s="15" customFormat="1">
      <c r="D3618" s="81"/>
      <c r="E3618" s="81"/>
    </row>
    <row r="3619" spans="4:5" s="15" customFormat="1">
      <c r="D3619" s="81"/>
      <c r="E3619" s="81"/>
    </row>
    <row r="3620" spans="4:5" s="15" customFormat="1">
      <c r="D3620" s="81"/>
      <c r="E3620" s="81"/>
    </row>
    <row r="3621" spans="4:5" s="15" customFormat="1">
      <c r="D3621" s="81"/>
      <c r="E3621" s="81"/>
    </row>
    <row r="3622" spans="4:5" s="15" customFormat="1">
      <c r="D3622" s="81"/>
      <c r="E3622" s="81"/>
    </row>
    <row r="3623" spans="4:5" s="15" customFormat="1">
      <c r="D3623" s="81"/>
      <c r="E3623" s="81"/>
    </row>
    <row r="3624" spans="4:5" s="15" customFormat="1">
      <c r="D3624" s="81"/>
      <c r="E3624" s="81"/>
    </row>
    <row r="3625" spans="4:5" s="15" customFormat="1">
      <c r="D3625" s="81"/>
      <c r="E3625" s="81"/>
    </row>
    <row r="3626" spans="4:5" s="15" customFormat="1">
      <c r="D3626" s="81"/>
      <c r="E3626" s="81"/>
    </row>
    <row r="3627" spans="4:5" s="15" customFormat="1">
      <c r="D3627" s="81"/>
      <c r="E3627" s="81"/>
    </row>
    <row r="3628" spans="4:5" s="15" customFormat="1">
      <c r="D3628" s="81"/>
      <c r="E3628" s="81"/>
    </row>
    <row r="3629" spans="4:5" s="15" customFormat="1">
      <c r="D3629" s="81"/>
      <c r="E3629" s="81"/>
    </row>
    <row r="3630" spans="4:5" s="15" customFormat="1">
      <c r="D3630" s="81"/>
      <c r="E3630" s="81"/>
    </row>
    <row r="3631" spans="4:5" s="15" customFormat="1">
      <c r="D3631" s="81"/>
      <c r="E3631" s="81"/>
    </row>
    <row r="3632" spans="4:5" s="15" customFormat="1">
      <c r="D3632" s="81"/>
      <c r="E3632" s="81"/>
    </row>
    <row r="3633" spans="4:5" s="15" customFormat="1">
      <c r="D3633" s="81"/>
      <c r="E3633" s="81"/>
    </row>
    <row r="3634" spans="4:5" s="15" customFormat="1">
      <c r="D3634" s="81"/>
      <c r="E3634" s="81"/>
    </row>
    <row r="3635" spans="4:5" s="15" customFormat="1">
      <c r="D3635" s="81"/>
      <c r="E3635" s="81"/>
    </row>
    <row r="3636" spans="4:5" s="15" customFormat="1">
      <c r="D3636" s="81"/>
      <c r="E3636" s="81"/>
    </row>
    <row r="3637" spans="4:5" s="15" customFormat="1">
      <c r="D3637" s="81"/>
      <c r="E3637" s="81"/>
    </row>
    <row r="3638" spans="4:5" s="15" customFormat="1">
      <c r="D3638" s="81"/>
      <c r="E3638" s="81"/>
    </row>
    <row r="3639" spans="4:5" s="15" customFormat="1">
      <c r="D3639" s="81"/>
      <c r="E3639" s="81"/>
    </row>
    <row r="3640" spans="4:5" s="15" customFormat="1">
      <c r="D3640" s="81"/>
      <c r="E3640" s="81"/>
    </row>
    <row r="3641" spans="4:5" s="15" customFormat="1">
      <c r="D3641" s="81"/>
      <c r="E3641" s="81"/>
    </row>
    <row r="3642" spans="4:5" s="15" customFormat="1">
      <c r="D3642" s="81"/>
      <c r="E3642" s="81"/>
    </row>
    <row r="3643" spans="4:5" s="15" customFormat="1">
      <c r="D3643" s="81"/>
      <c r="E3643" s="81"/>
    </row>
    <row r="3644" spans="4:5" s="15" customFormat="1">
      <c r="D3644" s="81"/>
      <c r="E3644" s="81"/>
    </row>
    <row r="3645" spans="4:5" s="15" customFormat="1">
      <c r="D3645" s="81"/>
      <c r="E3645" s="81"/>
    </row>
    <row r="3646" spans="4:5" s="15" customFormat="1">
      <c r="D3646" s="81"/>
      <c r="E3646" s="81"/>
    </row>
    <row r="3647" spans="4:5" s="15" customFormat="1">
      <c r="D3647" s="81"/>
      <c r="E3647" s="81"/>
    </row>
    <row r="3648" spans="4:5" s="15" customFormat="1">
      <c r="D3648" s="81"/>
      <c r="E3648" s="81"/>
    </row>
    <row r="3649" spans="4:5" s="15" customFormat="1">
      <c r="D3649" s="81"/>
      <c r="E3649" s="81"/>
    </row>
    <row r="3650" spans="4:5" s="15" customFormat="1">
      <c r="D3650" s="81"/>
      <c r="E3650" s="81"/>
    </row>
    <row r="3651" spans="4:5" s="15" customFormat="1">
      <c r="D3651" s="81"/>
      <c r="E3651" s="81"/>
    </row>
    <row r="3652" spans="4:5" s="15" customFormat="1">
      <c r="D3652" s="81"/>
      <c r="E3652" s="81"/>
    </row>
    <row r="3653" spans="4:5" s="15" customFormat="1">
      <c r="D3653" s="81"/>
      <c r="E3653" s="81"/>
    </row>
    <row r="3654" spans="4:5" s="15" customFormat="1">
      <c r="D3654" s="81"/>
      <c r="E3654" s="81"/>
    </row>
    <row r="3655" spans="4:5" s="15" customFormat="1">
      <c r="D3655" s="81"/>
      <c r="E3655" s="81"/>
    </row>
    <row r="3656" spans="4:5" s="15" customFormat="1">
      <c r="D3656" s="81"/>
      <c r="E3656" s="81"/>
    </row>
    <row r="3657" spans="4:5" s="15" customFormat="1">
      <c r="D3657" s="81"/>
      <c r="E3657" s="81"/>
    </row>
    <row r="3658" spans="4:5" s="15" customFormat="1">
      <c r="D3658" s="81"/>
      <c r="E3658" s="81"/>
    </row>
    <row r="3659" spans="4:5" s="15" customFormat="1">
      <c r="D3659" s="81"/>
      <c r="E3659" s="81"/>
    </row>
    <row r="3660" spans="4:5" s="15" customFormat="1">
      <c r="D3660" s="81"/>
      <c r="E3660" s="81"/>
    </row>
    <row r="3661" spans="4:5" s="15" customFormat="1">
      <c r="D3661" s="81"/>
      <c r="E3661" s="81"/>
    </row>
    <row r="3662" spans="4:5" s="15" customFormat="1">
      <c r="D3662" s="81"/>
      <c r="E3662" s="81"/>
    </row>
    <row r="3663" spans="4:5" s="15" customFormat="1">
      <c r="D3663" s="81"/>
      <c r="E3663" s="81"/>
    </row>
    <row r="3664" spans="4:5" s="15" customFormat="1">
      <c r="D3664" s="81"/>
      <c r="E3664" s="81"/>
    </row>
    <row r="3665" spans="4:5" s="15" customFormat="1">
      <c r="D3665" s="81"/>
      <c r="E3665" s="81"/>
    </row>
    <row r="3666" spans="4:5" s="15" customFormat="1">
      <c r="D3666" s="81"/>
      <c r="E3666" s="81"/>
    </row>
    <row r="3667" spans="4:5" s="15" customFormat="1">
      <c r="D3667" s="81"/>
      <c r="E3667" s="81"/>
    </row>
    <row r="3668" spans="4:5" s="15" customFormat="1">
      <c r="D3668" s="81"/>
      <c r="E3668" s="81"/>
    </row>
    <row r="3669" spans="4:5" s="15" customFormat="1">
      <c r="D3669" s="81"/>
      <c r="E3669" s="81"/>
    </row>
    <row r="3670" spans="4:5" s="15" customFormat="1">
      <c r="D3670" s="81"/>
      <c r="E3670" s="81"/>
    </row>
    <row r="3671" spans="4:5" s="15" customFormat="1">
      <c r="D3671" s="81"/>
      <c r="E3671" s="81"/>
    </row>
    <row r="3672" spans="4:5" s="15" customFormat="1">
      <c r="D3672" s="81"/>
      <c r="E3672" s="81"/>
    </row>
    <row r="3673" spans="4:5" s="15" customFormat="1">
      <c r="D3673" s="81"/>
      <c r="E3673" s="81"/>
    </row>
    <row r="3674" spans="4:5" s="15" customFormat="1">
      <c r="D3674" s="81"/>
      <c r="E3674" s="81"/>
    </row>
    <row r="3675" spans="4:5" s="15" customFormat="1">
      <c r="D3675" s="81"/>
      <c r="E3675" s="81"/>
    </row>
    <row r="3676" spans="4:5" s="15" customFormat="1">
      <c r="D3676" s="81"/>
      <c r="E3676" s="81"/>
    </row>
    <row r="3677" spans="4:5" s="15" customFormat="1">
      <c r="D3677" s="81"/>
      <c r="E3677" s="81"/>
    </row>
    <row r="3678" spans="4:5" s="15" customFormat="1">
      <c r="D3678" s="81"/>
      <c r="E3678" s="81"/>
    </row>
    <row r="3679" spans="4:5" s="15" customFormat="1">
      <c r="D3679" s="81"/>
      <c r="E3679" s="81"/>
    </row>
    <row r="3680" spans="4:5" s="15" customFormat="1">
      <c r="D3680" s="81"/>
      <c r="E3680" s="81"/>
    </row>
    <row r="3681" spans="4:5" s="15" customFormat="1">
      <c r="D3681" s="81"/>
      <c r="E3681" s="81"/>
    </row>
    <row r="3682" spans="4:5" s="15" customFormat="1">
      <c r="D3682" s="81"/>
      <c r="E3682" s="81"/>
    </row>
    <row r="3683" spans="4:5" s="15" customFormat="1">
      <c r="D3683" s="81"/>
      <c r="E3683" s="81"/>
    </row>
    <row r="3684" spans="4:5" s="15" customFormat="1">
      <c r="D3684" s="81"/>
      <c r="E3684" s="81"/>
    </row>
    <row r="3685" spans="4:5" s="15" customFormat="1">
      <c r="D3685" s="81"/>
      <c r="E3685" s="81"/>
    </row>
    <row r="3686" spans="4:5" s="15" customFormat="1">
      <c r="D3686" s="81"/>
      <c r="E3686" s="81"/>
    </row>
    <row r="3687" spans="4:5" s="15" customFormat="1">
      <c r="D3687" s="81"/>
      <c r="E3687" s="81"/>
    </row>
    <row r="3688" spans="4:5" s="15" customFormat="1">
      <c r="D3688" s="81"/>
      <c r="E3688" s="81"/>
    </row>
    <row r="3689" spans="4:5" s="15" customFormat="1">
      <c r="D3689" s="81"/>
      <c r="E3689" s="81"/>
    </row>
    <row r="3690" spans="4:5" s="15" customFormat="1">
      <c r="D3690" s="81"/>
      <c r="E3690" s="81"/>
    </row>
    <row r="3691" spans="4:5" s="15" customFormat="1">
      <c r="D3691" s="81"/>
      <c r="E3691" s="81"/>
    </row>
    <row r="3692" spans="4:5" s="15" customFormat="1">
      <c r="D3692" s="81"/>
      <c r="E3692" s="81"/>
    </row>
    <row r="3693" spans="4:5" s="15" customFormat="1">
      <c r="D3693" s="81"/>
      <c r="E3693" s="81"/>
    </row>
    <row r="3694" spans="4:5" s="15" customFormat="1">
      <c r="D3694" s="81"/>
      <c r="E3694" s="81"/>
    </row>
    <row r="3695" spans="4:5" s="15" customFormat="1">
      <c r="D3695" s="81"/>
      <c r="E3695" s="81"/>
    </row>
    <row r="3696" spans="4:5" s="15" customFormat="1">
      <c r="D3696" s="81"/>
      <c r="E3696" s="81"/>
    </row>
    <row r="3697" spans="4:5" s="15" customFormat="1">
      <c r="D3697" s="81"/>
      <c r="E3697" s="81"/>
    </row>
    <row r="3698" spans="4:5" s="15" customFormat="1">
      <c r="D3698" s="81"/>
      <c r="E3698" s="81"/>
    </row>
    <row r="3699" spans="4:5" s="15" customFormat="1">
      <c r="D3699" s="81"/>
      <c r="E3699" s="81"/>
    </row>
    <row r="3700" spans="4:5" s="15" customFormat="1">
      <c r="D3700" s="81"/>
      <c r="E3700" s="81"/>
    </row>
    <row r="3701" spans="4:5" s="15" customFormat="1">
      <c r="D3701" s="81"/>
      <c r="E3701" s="81"/>
    </row>
    <row r="3702" spans="4:5" s="15" customFormat="1">
      <c r="D3702" s="81"/>
      <c r="E3702" s="81"/>
    </row>
    <row r="3703" spans="4:5" s="15" customFormat="1">
      <c r="D3703" s="81"/>
      <c r="E3703" s="81"/>
    </row>
    <row r="3704" spans="4:5" s="15" customFormat="1">
      <c r="D3704" s="81"/>
      <c r="E3704" s="81"/>
    </row>
    <row r="3705" spans="4:5" s="15" customFormat="1">
      <c r="D3705" s="81"/>
      <c r="E3705" s="81"/>
    </row>
    <row r="3706" spans="4:5" s="15" customFormat="1">
      <c r="D3706" s="81"/>
      <c r="E3706" s="81"/>
    </row>
    <row r="3707" spans="4:5" s="15" customFormat="1">
      <c r="D3707" s="81"/>
      <c r="E3707" s="81"/>
    </row>
    <row r="3708" spans="4:5" s="15" customFormat="1">
      <c r="D3708" s="81"/>
      <c r="E3708" s="81"/>
    </row>
    <row r="3709" spans="4:5" s="15" customFormat="1">
      <c r="D3709" s="81"/>
      <c r="E3709" s="81"/>
    </row>
    <row r="3710" spans="4:5" s="15" customFormat="1">
      <c r="D3710" s="81"/>
      <c r="E3710" s="81"/>
    </row>
    <row r="3711" spans="4:5" s="15" customFormat="1">
      <c r="D3711" s="81"/>
      <c r="E3711" s="81"/>
    </row>
    <row r="3712" spans="4:5" s="15" customFormat="1">
      <c r="D3712" s="81"/>
      <c r="E3712" s="81"/>
    </row>
    <row r="3713" spans="4:5" s="15" customFormat="1">
      <c r="D3713" s="81"/>
      <c r="E3713" s="81"/>
    </row>
    <row r="3714" spans="4:5" s="15" customFormat="1">
      <c r="D3714" s="81"/>
      <c r="E3714" s="81"/>
    </row>
    <row r="3715" spans="4:5" s="15" customFormat="1">
      <c r="D3715" s="81"/>
      <c r="E3715" s="81"/>
    </row>
    <row r="3716" spans="4:5" s="15" customFormat="1">
      <c r="D3716" s="81"/>
      <c r="E3716" s="81"/>
    </row>
    <row r="3717" spans="4:5" s="15" customFormat="1">
      <c r="D3717" s="81"/>
      <c r="E3717" s="81"/>
    </row>
    <row r="3718" spans="4:5" s="15" customFormat="1">
      <c r="D3718" s="81"/>
      <c r="E3718" s="81"/>
    </row>
    <row r="3719" spans="4:5" s="15" customFormat="1">
      <c r="D3719" s="81"/>
      <c r="E3719" s="81"/>
    </row>
    <row r="3720" spans="4:5" s="15" customFormat="1">
      <c r="D3720" s="81"/>
      <c r="E3720" s="81"/>
    </row>
    <row r="3721" spans="4:5" s="15" customFormat="1">
      <c r="D3721" s="81"/>
      <c r="E3721" s="81"/>
    </row>
    <row r="3722" spans="4:5" s="15" customFormat="1">
      <c r="D3722" s="81"/>
      <c r="E3722" s="81"/>
    </row>
    <row r="3723" spans="4:5" s="15" customFormat="1">
      <c r="D3723" s="81"/>
      <c r="E3723" s="81"/>
    </row>
    <row r="3724" spans="4:5" s="15" customFormat="1">
      <c r="D3724" s="81"/>
      <c r="E3724" s="81"/>
    </row>
    <row r="3725" spans="4:5" s="15" customFormat="1">
      <c r="D3725" s="81"/>
      <c r="E3725" s="81"/>
    </row>
    <row r="3726" spans="4:5" s="15" customFormat="1">
      <c r="D3726" s="81"/>
      <c r="E3726" s="81"/>
    </row>
    <row r="3727" spans="4:5" s="15" customFormat="1">
      <c r="D3727" s="81"/>
      <c r="E3727" s="81"/>
    </row>
    <row r="3728" spans="4:5" s="15" customFormat="1">
      <c r="D3728" s="81"/>
      <c r="E3728" s="81"/>
    </row>
    <row r="3729" spans="4:5" s="15" customFormat="1">
      <c r="D3729" s="81"/>
      <c r="E3729" s="81"/>
    </row>
    <row r="3730" spans="4:5" s="15" customFormat="1">
      <c r="D3730" s="81"/>
      <c r="E3730" s="81"/>
    </row>
    <row r="3731" spans="4:5" s="15" customFormat="1">
      <c r="D3731" s="81"/>
      <c r="E3731" s="81"/>
    </row>
    <row r="3732" spans="4:5" s="15" customFormat="1">
      <c r="D3732" s="81"/>
      <c r="E3732" s="81"/>
    </row>
    <row r="3733" spans="4:5" s="15" customFormat="1">
      <c r="D3733" s="81"/>
      <c r="E3733" s="81"/>
    </row>
    <row r="3734" spans="4:5" s="15" customFormat="1">
      <c r="D3734" s="81"/>
      <c r="E3734" s="81"/>
    </row>
    <row r="3735" spans="4:5" s="15" customFormat="1">
      <c r="D3735" s="81"/>
      <c r="E3735" s="81"/>
    </row>
    <row r="3736" spans="4:5" s="15" customFormat="1">
      <c r="D3736" s="81"/>
      <c r="E3736" s="81"/>
    </row>
    <row r="3737" spans="4:5" s="15" customFormat="1">
      <c r="D3737" s="81"/>
      <c r="E3737" s="81"/>
    </row>
    <row r="3738" spans="4:5" s="15" customFormat="1">
      <c r="D3738" s="81"/>
      <c r="E3738" s="81"/>
    </row>
    <row r="3739" spans="4:5" s="15" customFormat="1">
      <c r="D3739" s="81"/>
      <c r="E3739" s="81"/>
    </row>
    <row r="3740" spans="4:5" s="15" customFormat="1">
      <c r="D3740" s="81"/>
      <c r="E3740" s="81"/>
    </row>
    <row r="3741" spans="4:5" s="15" customFormat="1">
      <c r="D3741" s="81"/>
      <c r="E3741" s="81"/>
    </row>
    <row r="3742" spans="4:5" s="15" customFormat="1">
      <c r="D3742" s="81"/>
      <c r="E3742" s="81"/>
    </row>
    <row r="3743" spans="4:5" s="15" customFormat="1">
      <c r="D3743" s="81"/>
      <c r="E3743" s="81"/>
    </row>
    <row r="3744" spans="4:5" s="15" customFormat="1">
      <c r="D3744" s="81"/>
      <c r="E3744" s="81"/>
    </row>
    <row r="3745" spans="4:5" s="15" customFormat="1">
      <c r="D3745" s="81"/>
      <c r="E3745" s="81"/>
    </row>
    <row r="3746" spans="4:5" s="15" customFormat="1">
      <c r="D3746" s="81"/>
      <c r="E3746" s="81"/>
    </row>
    <row r="3747" spans="4:5" s="15" customFormat="1">
      <c r="D3747" s="81"/>
      <c r="E3747" s="81"/>
    </row>
    <row r="3748" spans="4:5" s="15" customFormat="1">
      <c r="D3748" s="81"/>
      <c r="E3748" s="81"/>
    </row>
    <row r="3749" spans="4:5" s="15" customFormat="1">
      <c r="D3749" s="81"/>
      <c r="E3749" s="81"/>
    </row>
    <row r="3750" spans="4:5" s="15" customFormat="1">
      <c r="D3750" s="81"/>
      <c r="E3750" s="81"/>
    </row>
    <row r="3751" spans="4:5" s="15" customFormat="1">
      <c r="D3751" s="81"/>
      <c r="E3751" s="81"/>
    </row>
    <row r="3752" spans="4:5" s="15" customFormat="1">
      <c r="D3752" s="81"/>
      <c r="E3752" s="81"/>
    </row>
    <row r="3753" spans="4:5" s="15" customFormat="1">
      <c r="D3753" s="81"/>
      <c r="E3753" s="81"/>
    </row>
    <row r="3754" spans="4:5" s="15" customFormat="1">
      <c r="D3754" s="81"/>
      <c r="E3754" s="81"/>
    </row>
    <row r="3755" spans="4:5" s="15" customFormat="1">
      <c r="D3755" s="81"/>
      <c r="E3755" s="81"/>
    </row>
    <row r="3756" spans="4:5" s="15" customFormat="1">
      <c r="D3756" s="81"/>
      <c r="E3756" s="81"/>
    </row>
    <row r="3757" spans="4:5" s="15" customFormat="1">
      <c r="D3757" s="81"/>
      <c r="E3757" s="81"/>
    </row>
    <row r="3758" spans="4:5" s="15" customFormat="1">
      <c r="D3758" s="81"/>
      <c r="E3758" s="81"/>
    </row>
    <row r="3759" spans="4:5" s="15" customFormat="1">
      <c r="D3759" s="81"/>
      <c r="E3759" s="81"/>
    </row>
    <row r="3760" spans="4:5" s="15" customFormat="1">
      <c r="D3760" s="81"/>
      <c r="E3760" s="81"/>
    </row>
    <row r="3761" spans="4:5" s="15" customFormat="1">
      <c r="D3761" s="81"/>
      <c r="E3761" s="81"/>
    </row>
    <row r="3762" spans="4:5" s="15" customFormat="1">
      <c r="D3762" s="81"/>
      <c r="E3762" s="81"/>
    </row>
    <row r="3763" spans="4:5" s="15" customFormat="1">
      <c r="D3763" s="81"/>
      <c r="E3763" s="81"/>
    </row>
    <row r="3764" spans="4:5" s="15" customFormat="1">
      <c r="D3764" s="81"/>
      <c r="E3764" s="81"/>
    </row>
    <row r="3765" spans="4:5" s="15" customFormat="1">
      <c r="D3765" s="81"/>
      <c r="E3765" s="81"/>
    </row>
    <row r="3766" spans="4:5" s="15" customFormat="1">
      <c r="D3766" s="81"/>
      <c r="E3766" s="81"/>
    </row>
    <row r="3767" spans="4:5" s="15" customFormat="1">
      <c r="D3767" s="81"/>
      <c r="E3767" s="81"/>
    </row>
    <row r="3768" spans="4:5" s="15" customFormat="1">
      <c r="D3768" s="81"/>
      <c r="E3768" s="81"/>
    </row>
    <row r="3769" spans="4:5" s="15" customFormat="1">
      <c r="D3769" s="81"/>
      <c r="E3769" s="81"/>
    </row>
    <row r="3770" spans="4:5" s="15" customFormat="1">
      <c r="D3770" s="81"/>
      <c r="E3770" s="81"/>
    </row>
    <row r="3771" spans="4:5" s="15" customFormat="1">
      <c r="D3771" s="81"/>
      <c r="E3771" s="81"/>
    </row>
    <row r="3772" spans="4:5" s="15" customFormat="1">
      <c r="D3772" s="81"/>
      <c r="E3772" s="81"/>
    </row>
    <row r="3773" spans="4:5" s="15" customFormat="1">
      <c r="D3773" s="81"/>
      <c r="E3773" s="81"/>
    </row>
    <row r="3774" spans="4:5" s="15" customFormat="1">
      <c r="D3774" s="81"/>
      <c r="E3774" s="81"/>
    </row>
    <row r="3775" spans="4:5" s="15" customFormat="1">
      <c r="D3775" s="81"/>
      <c r="E3775" s="81"/>
    </row>
    <row r="3776" spans="4:5" s="15" customFormat="1">
      <c r="D3776" s="81"/>
      <c r="E3776" s="81"/>
    </row>
    <row r="3777" spans="4:5" s="15" customFormat="1">
      <c r="D3777" s="81"/>
      <c r="E3777" s="81"/>
    </row>
    <row r="3778" spans="4:5" s="15" customFormat="1">
      <c r="D3778" s="81"/>
      <c r="E3778" s="81"/>
    </row>
    <row r="3779" spans="4:5" s="15" customFormat="1">
      <c r="D3779" s="81"/>
      <c r="E3779" s="81"/>
    </row>
    <row r="3780" spans="4:5" s="15" customFormat="1">
      <c r="D3780" s="81"/>
      <c r="E3780" s="81"/>
    </row>
    <row r="3781" spans="4:5" s="15" customFormat="1">
      <c r="D3781" s="81"/>
      <c r="E3781" s="81"/>
    </row>
    <row r="3782" spans="4:5" s="15" customFormat="1">
      <c r="D3782" s="81"/>
      <c r="E3782" s="81"/>
    </row>
    <row r="3783" spans="4:5" s="15" customFormat="1">
      <c r="D3783" s="81"/>
      <c r="E3783" s="81"/>
    </row>
    <row r="3784" spans="4:5" s="15" customFormat="1">
      <c r="D3784" s="81"/>
      <c r="E3784" s="81"/>
    </row>
    <row r="3785" spans="4:5" s="15" customFormat="1">
      <c r="D3785" s="81"/>
      <c r="E3785" s="81"/>
    </row>
    <row r="3786" spans="4:5" s="15" customFormat="1">
      <c r="D3786" s="81"/>
      <c r="E3786" s="81"/>
    </row>
    <row r="3787" spans="4:5" s="15" customFormat="1">
      <c r="D3787" s="81"/>
      <c r="E3787" s="81"/>
    </row>
    <row r="3788" spans="4:5" s="15" customFormat="1">
      <c r="D3788" s="81"/>
      <c r="E3788" s="81"/>
    </row>
    <row r="3789" spans="4:5" s="15" customFormat="1">
      <c r="D3789" s="81"/>
      <c r="E3789" s="81"/>
    </row>
    <row r="3790" spans="4:5" s="15" customFormat="1">
      <c r="D3790" s="81"/>
      <c r="E3790" s="81"/>
    </row>
    <row r="3791" spans="4:5" s="15" customFormat="1">
      <c r="D3791" s="81"/>
      <c r="E3791" s="81"/>
    </row>
    <row r="3792" spans="4:5" s="15" customFormat="1">
      <c r="D3792" s="81"/>
      <c r="E3792" s="81"/>
    </row>
    <row r="3793" spans="4:5" s="15" customFormat="1">
      <c r="D3793" s="81"/>
      <c r="E3793" s="81"/>
    </row>
    <row r="3794" spans="4:5" s="15" customFormat="1">
      <c r="D3794" s="81"/>
      <c r="E3794" s="81"/>
    </row>
    <row r="3795" spans="4:5" s="15" customFormat="1">
      <c r="D3795" s="81"/>
      <c r="E3795" s="81"/>
    </row>
    <row r="3796" spans="4:5" s="15" customFormat="1">
      <c r="D3796" s="81"/>
      <c r="E3796" s="81"/>
    </row>
    <row r="3797" spans="4:5" s="15" customFormat="1">
      <c r="D3797" s="81"/>
      <c r="E3797" s="81"/>
    </row>
    <row r="3798" spans="4:5" s="15" customFormat="1">
      <c r="D3798" s="81"/>
      <c r="E3798" s="81"/>
    </row>
    <row r="3799" spans="4:5" s="15" customFormat="1">
      <c r="D3799" s="81"/>
      <c r="E3799" s="81"/>
    </row>
    <row r="3800" spans="4:5" s="15" customFormat="1">
      <c r="D3800" s="81"/>
      <c r="E3800" s="81"/>
    </row>
    <row r="3801" spans="4:5" s="15" customFormat="1">
      <c r="D3801" s="81"/>
      <c r="E3801" s="81"/>
    </row>
    <row r="3802" spans="4:5" s="15" customFormat="1">
      <c r="D3802" s="81"/>
      <c r="E3802" s="81"/>
    </row>
    <row r="3803" spans="4:5" s="15" customFormat="1">
      <c r="D3803" s="81"/>
      <c r="E3803" s="81"/>
    </row>
    <row r="3804" spans="4:5" s="15" customFormat="1">
      <c r="D3804" s="81"/>
      <c r="E3804" s="81"/>
    </row>
    <row r="3805" spans="4:5" s="15" customFormat="1">
      <c r="D3805" s="81"/>
      <c r="E3805" s="81"/>
    </row>
    <row r="3806" spans="4:5" s="15" customFormat="1">
      <c r="D3806" s="81"/>
      <c r="E3806" s="81"/>
    </row>
    <row r="3807" spans="4:5" s="15" customFormat="1">
      <c r="D3807" s="81"/>
      <c r="E3807" s="81"/>
    </row>
    <row r="3808" spans="4:5" s="15" customFormat="1">
      <c r="D3808" s="81"/>
      <c r="E3808" s="81"/>
    </row>
    <row r="3809" spans="4:5" s="15" customFormat="1">
      <c r="D3809" s="81"/>
      <c r="E3809" s="81"/>
    </row>
    <row r="3810" spans="4:5" s="15" customFormat="1">
      <c r="D3810" s="81"/>
      <c r="E3810" s="81"/>
    </row>
    <row r="3811" spans="4:5" s="15" customFormat="1">
      <c r="D3811" s="81"/>
      <c r="E3811" s="81"/>
    </row>
    <row r="3812" spans="4:5" s="15" customFormat="1">
      <c r="D3812" s="81"/>
      <c r="E3812" s="81"/>
    </row>
    <row r="3813" spans="4:5" s="15" customFormat="1">
      <c r="D3813" s="81"/>
      <c r="E3813" s="81"/>
    </row>
    <row r="3814" spans="4:5" s="15" customFormat="1">
      <c r="D3814" s="81"/>
      <c r="E3814" s="81"/>
    </row>
    <row r="3815" spans="4:5" s="15" customFormat="1">
      <c r="D3815" s="81"/>
      <c r="E3815" s="81"/>
    </row>
    <row r="3816" spans="4:5" s="15" customFormat="1">
      <c r="D3816" s="81"/>
      <c r="E3816" s="81"/>
    </row>
    <row r="3817" spans="4:5" s="15" customFormat="1">
      <c r="D3817" s="81"/>
      <c r="E3817" s="81"/>
    </row>
    <row r="3818" spans="4:5" s="15" customFormat="1">
      <c r="D3818" s="81"/>
      <c r="E3818" s="81"/>
    </row>
    <row r="3819" spans="4:5" s="15" customFormat="1">
      <c r="D3819" s="81"/>
      <c r="E3819" s="81"/>
    </row>
    <row r="3820" spans="4:5" s="15" customFormat="1">
      <c r="D3820" s="81"/>
      <c r="E3820" s="81"/>
    </row>
    <row r="3821" spans="4:5" s="15" customFormat="1">
      <c r="D3821" s="81"/>
      <c r="E3821" s="81"/>
    </row>
    <row r="3822" spans="4:5" s="15" customFormat="1">
      <c r="D3822" s="81"/>
      <c r="E3822" s="81"/>
    </row>
    <row r="3823" spans="4:5" s="15" customFormat="1">
      <c r="D3823" s="81"/>
      <c r="E3823" s="81"/>
    </row>
    <row r="3824" spans="4:5" s="15" customFormat="1">
      <c r="D3824" s="81"/>
      <c r="E3824" s="81"/>
    </row>
    <row r="3825" spans="4:5" s="15" customFormat="1">
      <c r="D3825" s="81"/>
      <c r="E3825" s="81"/>
    </row>
    <row r="3826" spans="4:5" s="15" customFormat="1">
      <c r="D3826" s="81"/>
      <c r="E3826" s="81"/>
    </row>
    <row r="3827" spans="4:5" s="15" customFormat="1">
      <c r="D3827" s="81"/>
      <c r="E3827" s="81"/>
    </row>
    <row r="3828" spans="4:5" s="15" customFormat="1">
      <c r="D3828" s="81"/>
      <c r="E3828" s="81"/>
    </row>
    <row r="3829" spans="4:5" s="15" customFormat="1">
      <c r="D3829" s="81"/>
      <c r="E3829" s="81"/>
    </row>
    <row r="3830" spans="4:5" s="15" customFormat="1">
      <c r="D3830" s="81"/>
      <c r="E3830" s="81"/>
    </row>
    <row r="3831" spans="4:5" s="15" customFormat="1">
      <c r="D3831" s="81"/>
      <c r="E3831" s="81"/>
    </row>
    <row r="3832" spans="4:5" s="15" customFormat="1">
      <c r="D3832" s="81"/>
      <c r="E3832" s="81"/>
    </row>
    <row r="3833" spans="4:5" s="15" customFormat="1">
      <c r="D3833" s="81"/>
      <c r="E3833" s="81"/>
    </row>
    <row r="3834" spans="4:5" s="15" customFormat="1">
      <c r="D3834" s="81"/>
      <c r="E3834" s="81"/>
    </row>
    <row r="3835" spans="4:5" s="15" customFormat="1">
      <c r="D3835" s="81"/>
      <c r="E3835" s="81"/>
    </row>
    <row r="3836" spans="4:5" s="15" customFormat="1">
      <c r="D3836" s="81"/>
      <c r="E3836" s="81"/>
    </row>
    <row r="3837" spans="4:5" s="15" customFormat="1">
      <c r="D3837" s="81"/>
      <c r="E3837" s="81"/>
    </row>
    <row r="3838" spans="4:5" s="15" customFormat="1">
      <c r="D3838" s="81"/>
      <c r="E3838" s="81"/>
    </row>
    <row r="3839" spans="4:5" s="15" customFormat="1">
      <c r="D3839" s="81"/>
      <c r="E3839" s="81"/>
    </row>
    <row r="3840" spans="4:5" s="15" customFormat="1">
      <c r="D3840" s="81"/>
      <c r="E3840" s="81"/>
    </row>
    <row r="3841" spans="4:5" s="15" customFormat="1">
      <c r="D3841" s="81"/>
      <c r="E3841" s="81"/>
    </row>
    <row r="3842" spans="4:5" s="15" customFormat="1">
      <c r="D3842" s="81"/>
      <c r="E3842" s="81"/>
    </row>
    <row r="3843" spans="4:5" s="15" customFormat="1">
      <c r="D3843" s="81"/>
      <c r="E3843" s="81"/>
    </row>
    <row r="3844" spans="4:5" s="15" customFormat="1">
      <c r="D3844" s="81"/>
      <c r="E3844" s="81"/>
    </row>
    <row r="3845" spans="4:5" s="15" customFormat="1">
      <c r="D3845" s="81"/>
      <c r="E3845" s="81"/>
    </row>
    <row r="3846" spans="4:5" s="15" customFormat="1">
      <c r="D3846" s="81"/>
      <c r="E3846" s="81"/>
    </row>
    <row r="3847" spans="4:5" s="15" customFormat="1">
      <c r="D3847" s="81"/>
      <c r="E3847" s="81"/>
    </row>
    <row r="3848" spans="4:5" s="15" customFormat="1">
      <c r="D3848" s="81"/>
      <c r="E3848" s="81"/>
    </row>
    <row r="3849" spans="4:5" s="15" customFormat="1">
      <c r="D3849" s="81"/>
      <c r="E3849" s="81"/>
    </row>
    <row r="3850" spans="4:5" s="15" customFormat="1">
      <c r="D3850" s="81"/>
      <c r="E3850" s="81"/>
    </row>
    <row r="3851" spans="4:5" s="15" customFormat="1">
      <c r="D3851" s="81"/>
      <c r="E3851" s="81"/>
    </row>
    <row r="3852" spans="4:5" s="15" customFormat="1">
      <c r="D3852" s="81"/>
      <c r="E3852" s="81"/>
    </row>
    <row r="3853" spans="4:5" s="15" customFormat="1">
      <c r="D3853" s="81"/>
      <c r="E3853" s="81"/>
    </row>
    <row r="3854" spans="4:5" s="15" customFormat="1">
      <c r="D3854" s="81"/>
      <c r="E3854" s="81"/>
    </row>
    <row r="3855" spans="4:5" s="15" customFormat="1">
      <c r="D3855" s="81"/>
      <c r="E3855" s="81"/>
    </row>
    <row r="3856" spans="4:5" s="15" customFormat="1">
      <c r="D3856" s="81"/>
      <c r="E3856" s="81"/>
    </row>
    <row r="3857" spans="4:5" s="15" customFormat="1">
      <c r="D3857" s="81"/>
      <c r="E3857" s="81"/>
    </row>
    <row r="3858" spans="4:5" s="15" customFormat="1">
      <c r="D3858" s="81"/>
      <c r="E3858" s="81"/>
    </row>
    <row r="3859" spans="4:5" s="15" customFormat="1">
      <c r="D3859" s="81"/>
      <c r="E3859" s="81"/>
    </row>
    <row r="3860" spans="4:5" s="15" customFormat="1">
      <c r="D3860" s="81"/>
      <c r="E3860" s="81"/>
    </row>
    <row r="3861" spans="4:5" s="15" customFormat="1">
      <c r="D3861" s="81"/>
      <c r="E3861" s="81"/>
    </row>
    <row r="3862" spans="4:5" s="15" customFormat="1">
      <c r="D3862" s="81"/>
      <c r="E3862" s="81"/>
    </row>
    <row r="3863" spans="4:5" s="15" customFormat="1">
      <c r="D3863" s="81"/>
      <c r="E3863" s="81"/>
    </row>
    <row r="3864" spans="4:5" s="15" customFormat="1">
      <c r="D3864" s="81"/>
      <c r="E3864" s="81"/>
    </row>
    <row r="3865" spans="4:5" s="15" customFormat="1">
      <c r="D3865" s="81"/>
      <c r="E3865" s="81"/>
    </row>
    <row r="3866" spans="4:5" s="15" customFormat="1">
      <c r="D3866" s="81"/>
      <c r="E3866" s="81"/>
    </row>
    <row r="3867" spans="4:5" s="15" customFormat="1">
      <c r="D3867" s="81"/>
      <c r="E3867" s="81"/>
    </row>
    <row r="3868" spans="4:5" s="15" customFormat="1">
      <c r="D3868" s="81"/>
      <c r="E3868" s="81"/>
    </row>
    <row r="3869" spans="4:5" s="15" customFormat="1">
      <c r="D3869" s="81"/>
      <c r="E3869" s="81"/>
    </row>
    <row r="3870" spans="4:5" s="15" customFormat="1">
      <c r="D3870" s="81"/>
      <c r="E3870" s="81"/>
    </row>
    <row r="3871" spans="4:5" s="15" customFormat="1">
      <c r="D3871" s="81"/>
      <c r="E3871" s="81"/>
    </row>
    <row r="3872" spans="4:5" s="15" customFormat="1">
      <c r="D3872" s="81"/>
      <c r="E3872" s="81"/>
    </row>
    <row r="3873" spans="4:5" s="15" customFormat="1">
      <c r="D3873" s="81"/>
      <c r="E3873" s="81"/>
    </row>
    <row r="3874" spans="4:5" s="15" customFormat="1">
      <c r="D3874" s="81"/>
      <c r="E3874" s="81"/>
    </row>
    <row r="3875" spans="4:5" s="15" customFormat="1">
      <c r="D3875" s="81"/>
      <c r="E3875" s="81"/>
    </row>
    <row r="3876" spans="4:5" s="15" customFormat="1">
      <c r="D3876" s="81"/>
      <c r="E3876" s="81"/>
    </row>
    <row r="3877" spans="4:5" s="15" customFormat="1">
      <c r="D3877" s="81"/>
      <c r="E3877" s="81"/>
    </row>
    <row r="3878" spans="4:5" s="15" customFormat="1">
      <c r="D3878" s="81"/>
      <c r="E3878" s="81"/>
    </row>
    <row r="3879" spans="4:5" s="15" customFormat="1">
      <c r="D3879" s="81"/>
      <c r="E3879" s="81"/>
    </row>
    <row r="3880" spans="4:5" s="15" customFormat="1">
      <c r="D3880" s="81"/>
      <c r="E3880" s="81"/>
    </row>
    <row r="3881" spans="4:5" s="15" customFormat="1">
      <c r="D3881" s="81"/>
      <c r="E3881" s="81"/>
    </row>
    <row r="3882" spans="4:5" s="15" customFormat="1">
      <c r="D3882" s="81"/>
      <c r="E3882" s="81"/>
    </row>
    <row r="3883" spans="4:5" s="15" customFormat="1">
      <c r="D3883" s="81"/>
      <c r="E3883" s="81"/>
    </row>
    <row r="3884" spans="4:5" s="15" customFormat="1">
      <c r="D3884" s="81"/>
      <c r="E3884" s="81"/>
    </row>
    <row r="3885" spans="4:5" s="15" customFormat="1">
      <c r="D3885" s="81"/>
      <c r="E3885" s="81"/>
    </row>
    <row r="3886" spans="4:5" s="15" customFormat="1">
      <c r="D3886" s="81"/>
      <c r="E3886" s="81"/>
    </row>
    <row r="3887" spans="4:5" s="15" customFormat="1">
      <c r="D3887" s="81"/>
      <c r="E3887" s="81"/>
    </row>
    <row r="3888" spans="4:5" s="15" customFormat="1">
      <c r="D3888" s="81"/>
      <c r="E3888" s="81"/>
    </row>
    <row r="3889" spans="4:5" s="15" customFormat="1">
      <c r="D3889" s="81"/>
      <c r="E3889" s="81"/>
    </row>
    <row r="3890" spans="4:5" s="15" customFormat="1">
      <c r="D3890" s="81"/>
      <c r="E3890" s="81"/>
    </row>
    <row r="3891" spans="4:5" s="15" customFormat="1">
      <c r="D3891" s="81"/>
      <c r="E3891" s="81"/>
    </row>
    <row r="3892" spans="4:5" s="15" customFormat="1">
      <c r="D3892" s="81"/>
      <c r="E3892" s="81"/>
    </row>
    <row r="3893" spans="4:5" s="15" customFormat="1">
      <c r="D3893" s="81"/>
      <c r="E3893" s="81"/>
    </row>
    <row r="3894" spans="4:5" s="15" customFormat="1">
      <c r="D3894" s="81"/>
      <c r="E3894" s="81"/>
    </row>
    <row r="3895" spans="4:5" s="15" customFormat="1">
      <c r="D3895" s="81"/>
      <c r="E3895" s="81"/>
    </row>
    <row r="3896" spans="4:5" s="15" customFormat="1">
      <c r="D3896" s="81"/>
      <c r="E3896" s="81"/>
    </row>
    <row r="3897" spans="4:5" s="15" customFormat="1">
      <c r="D3897" s="81"/>
      <c r="E3897" s="81"/>
    </row>
    <row r="3898" spans="4:5" s="15" customFormat="1">
      <c r="D3898" s="81"/>
      <c r="E3898" s="81"/>
    </row>
    <row r="3899" spans="4:5" s="15" customFormat="1">
      <c r="D3899" s="81"/>
      <c r="E3899" s="81"/>
    </row>
    <row r="3900" spans="4:5" s="15" customFormat="1">
      <c r="D3900" s="81"/>
      <c r="E3900" s="81"/>
    </row>
    <row r="3901" spans="4:5" s="15" customFormat="1">
      <c r="D3901" s="81"/>
      <c r="E3901" s="81"/>
    </row>
    <row r="3902" spans="4:5" s="15" customFormat="1">
      <c r="D3902" s="81"/>
      <c r="E3902" s="81"/>
    </row>
    <row r="3903" spans="4:5" s="15" customFormat="1">
      <c r="D3903" s="81"/>
      <c r="E3903" s="81"/>
    </row>
    <row r="3904" spans="4:5" s="15" customFormat="1">
      <c r="D3904" s="81"/>
      <c r="E3904" s="81"/>
    </row>
    <row r="3905" spans="4:5" s="15" customFormat="1">
      <c r="D3905" s="81"/>
      <c r="E3905" s="81"/>
    </row>
    <row r="3906" spans="4:5" s="15" customFormat="1">
      <c r="D3906" s="81"/>
      <c r="E3906" s="81"/>
    </row>
    <row r="3907" spans="4:5" s="15" customFormat="1">
      <c r="D3907" s="81"/>
      <c r="E3907" s="81"/>
    </row>
    <row r="3908" spans="4:5" s="15" customFormat="1">
      <c r="D3908" s="81"/>
      <c r="E3908" s="81"/>
    </row>
    <row r="3909" spans="4:5" s="15" customFormat="1">
      <c r="D3909" s="81"/>
      <c r="E3909" s="81"/>
    </row>
    <row r="3910" spans="4:5" s="15" customFormat="1">
      <c r="D3910" s="81"/>
      <c r="E3910" s="81"/>
    </row>
    <row r="3911" spans="4:5" s="15" customFormat="1">
      <c r="D3911" s="81"/>
      <c r="E3911" s="81"/>
    </row>
    <row r="3912" spans="4:5" s="15" customFormat="1">
      <c r="D3912" s="81"/>
      <c r="E3912" s="81"/>
    </row>
    <row r="3913" spans="4:5" s="15" customFormat="1">
      <c r="D3913" s="81"/>
      <c r="E3913" s="81"/>
    </row>
    <row r="3914" spans="4:5" s="15" customFormat="1">
      <c r="D3914" s="81"/>
      <c r="E3914" s="81"/>
    </row>
    <row r="3915" spans="4:5" s="15" customFormat="1">
      <c r="D3915" s="81"/>
      <c r="E3915" s="81"/>
    </row>
    <row r="3916" spans="4:5" s="15" customFormat="1">
      <c r="D3916" s="81"/>
      <c r="E3916" s="81"/>
    </row>
    <row r="3917" spans="4:5" s="15" customFormat="1">
      <c r="D3917" s="81"/>
      <c r="E3917" s="81"/>
    </row>
    <row r="3918" spans="4:5" s="15" customFormat="1">
      <c r="D3918" s="81"/>
      <c r="E3918" s="81"/>
    </row>
    <row r="3919" spans="4:5" s="15" customFormat="1">
      <c r="D3919" s="81"/>
      <c r="E3919" s="81"/>
    </row>
    <row r="3920" spans="4:5" s="15" customFormat="1">
      <c r="D3920" s="81"/>
      <c r="E3920" s="81"/>
    </row>
    <row r="3921" spans="4:5" s="15" customFormat="1">
      <c r="D3921" s="81"/>
      <c r="E3921" s="81"/>
    </row>
    <row r="3922" spans="4:5" s="15" customFormat="1">
      <c r="D3922" s="81"/>
      <c r="E3922" s="81"/>
    </row>
    <row r="3923" spans="4:5" s="15" customFormat="1">
      <c r="D3923" s="81"/>
      <c r="E3923" s="81"/>
    </row>
    <row r="3924" spans="4:5" s="15" customFormat="1">
      <c r="D3924" s="81"/>
      <c r="E3924" s="81"/>
    </row>
    <row r="3925" spans="4:5" s="15" customFormat="1">
      <c r="D3925" s="81"/>
      <c r="E3925" s="81"/>
    </row>
    <row r="3926" spans="4:5" s="15" customFormat="1">
      <c r="D3926" s="81"/>
      <c r="E3926" s="81"/>
    </row>
    <row r="3927" spans="4:5" s="15" customFormat="1">
      <c r="D3927" s="81"/>
      <c r="E3927" s="81"/>
    </row>
    <row r="3928" spans="4:5" s="15" customFormat="1">
      <c r="D3928" s="81"/>
      <c r="E3928" s="81"/>
    </row>
    <row r="3929" spans="4:5" s="15" customFormat="1">
      <c r="D3929" s="81"/>
      <c r="E3929" s="81"/>
    </row>
    <row r="3930" spans="4:5" s="15" customFormat="1">
      <c r="D3930" s="81"/>
      <c r="E3930" s="81"/>
    </row>
    <row r="3931" spans="4:5" s="15" customFormat="1">
      <c r="D3931" s="81"/>
      <c r="E3931" s="81"/>
    </row>
    <row r="3932" spans="4:5" s="15" customFormat="1">
      <c r="D3932" s="81"/>
      <c r="E3932" s="81"/>
    </row>
    <row r="3933" spans="4:5" s="15" customFormat="1">
      <c r="D3933" s="81"/>
      <c r="E3933" s="81"/>
    </row>
    <row r="3934" spans="4:5" s="15" customFormat="1">
      <c r="D3934" s="81"/>
      <c r="E3934" s="81"/>
    </row>
    <row r="3935" spans="4:5" s="15" customFormat="1">
      <c r="D3935" s="81"/>
      <c r="E3935" s="81"/>
    </row>
    <row r="3936" spans="4:5" s="15" customFormat="1">
      <c r="D3936" s="81"/>
      <c r="E3936" s="81"/>
    </row>
    <row r="3937" spans="4:5" s="15" customFormat="1">
      <c r="D3937" s="81"/>
      <c r="E3937" s="81"/>
    </row>
    <row r="3938" spans="4:5" s="15" customFormat="1">
      <c r="D3938" s="81"/>
      <c r="E3938" s="81"/>
    </row>
    <row r="3939" spans="4:5" s="15" customFormat="1">
      <c r="D3939" s="81"/>
      <c r="E3939" s="81"/>
    </row>
    <row r="3940" spans="4:5" s="15" customFormat="1">
      <c r="D3940" s="81"/>
      <c r="E3940" s="81"/>
    </row>
    <row r="3941" spans="4:5" s="15" customFormat="1">
      <c r="D3941" s="81"/>
      <c r="E3941" s="81"/>
    </row>
    <row r="3942" spans="4:5" s="15" customFormat="1">
      <c r="D3942" s="81"/>
      <c r="E3942" s="81"/>
    </row>
    <row r="3943" spans="4:5" s="15" customFormat="1">
      <c r="D3943" s="81"/>
      <c r="E3943" s="81"/>
    </row>
    <row r="3944" spans="4:5" s="15" customFormat="1">
      <c r="D3944" s="81"/>
      <c r="E3944" s="81"/>
    </row>
    <row r="3945" spans="4:5" s="15" customFormat="1">
      <c r="D3945" s="81"/>
      <c r="E3945" s="81"/>
    </row>
    <row r="3946" spans="4:5" s="15" customFormat="1">
      <c r="D3946" s="81"/>
      <c r="E3946" s="81"/>
    </row>
    <row r="3947" spans="4:5" s="15" customFormat="1">
      <c r="D3947" s="81"/>
      <c r="E3947" s="81"/>
    </row>
    <row r="3948" spans="4:5" s="15" customFormat="1">
      <c r="D3948" s="81"/>
      <c r="E3948" s="81"/>
    </row>
    <row r="3949" spans="4:5" s="15" customFormat="1">
      <c r="D3949" s="81"/>
      <c r="E3949" s="81"/>
    </row>
    <row r="3950" spans="4:5" s="15" customFormat="1">
      <c r="D3950" s="81"/>
      <c r="E3950" s="81"/>
    </row>
    <row r="3951" spans="4:5" s="15" customFormat="1">
      <c r="D3951" s="81"/>
      <c r="E3951" s="81"/>
    </row>
    <row r="3952" spans="4:5" s="15" customFormat="1">
      <c r="D3952" s="81"/>
      <c r="E3952" s="81"/>
    </row>
    <row r="3953" spans="4:5" s="15" customFormat="1">
      <c r="D3953" s="81"/>
      <c r="E3953" s="81"/>
    </row>
    <row r="3954" spans="4:5" s="15" customFormat="1">
      <c r="D3954" s="81"/>
      <c r="E3954" s="81"/>
    </row>
    <row r="3955" spans="4:5" s="15" customFormat="1">
      <c r="D3955" s="81"/>
      <c r="E3955" s="81"/>
    </row>
    <row r="3956" spans="4:5" s="15" customFormat="1">
      <c r="D3956" s="81"/>
      <c r="E3956" s="81"/>
    </row>
    <row r="3957" spans="4:5" s="15" customFormat="1">
      <c r="D3957" s="81"/>
      <c r="E3957" s="81"/>
    </row>
    <row r="3958" spans="4:5" s="15" customFormat="1">
      <c r="D3958" s="81"/>
      <c r="E3958" s="81"/>
    </row>
    <row r="3959" spans="4:5" s="15" customFormat="1">
      <c r="D3959" s="81"/>
      <c r="E3959" s="81"/>
    </row>
    <row r="3960" spans="4:5" s="15" customFormat="1">
      <c r="D3960" s="81"/>
      <c r="E3960" s="81"/>
    </row>
    <row r="3961" spans="4:5" s="15" customFormat="1">
      <c r="D3961" s="81"/>
      <c r="E3961" s="81"/>
    </row>
    <row r="3962" spans="4:5" s="15" customFormat="1">
      <c r="D3962" s="81"/>
      <c r="E3962" s="81"/>
    </row>
    <row r="3963" spans="4:5" s="15" customFormat="1">
      <c r="D3963" s="81"/>
      <c r="E3963" s="81"/>
    </row>
    <row r="3964" spans="4:5" s="15" customFormat="1">
      <c r="D3964" s="81"/>
      <c r="E3964" s="81"/>
    </row>
    <row r="3965" spans="4:5" s="15" customFormat="1">
      <c r="D3965" s="81"/>
      <c r="E3965" s="81"/>
    </row>
    <row r="3966" spans="4:5" s="15" customFormat="1">
      <c r="D3966" s="81"/>
      <c r="E3966" s="81"/>
    </row>
    <row r="3967" spans="4:5" s="15" customFormat="1">
      <c r="D3967" s="81"/>
      <c r="E3967" s="81"/>
    </row>
    <row r="3968" spans="4:5" s="15" customFormat="1">
      <c r="D3968" s="81"/>
      <c r="E3968" s="81"/>
    </row>
    <row r="3969" spans="4:5" s="15" customFormat="1">
      <c r="D3969" s="81"/>
      <c r="E3969" s="81"/>
    </row>
    <row r="3970" spans="4:5" s="15" customFormat="1">
      <c r="D3970" s="81"/>
      <c r="E3970" s="81"/>
    </row>
    <row r="3971" spans="4:5" s="15" customFormat="1">
      <c r="D3971" s="81"/>
      <c r="E3971" s="81"/>
    </row>
    <row r="3972" spans="4:5" s="15" customFormat="1">
      <c r="D3972" s="81"/>
      <c r="E3972" s="81"/>
    </row>
    <row r="3973" spans="4:5" s="15" customFormat="1">
      <c r="D3973" s="81"/>
      <c r="E3973" s="81"/>
    </row>
    <row r="3974" spans="4:5" s="15" customFormat="1">
      <c r="D3974" s="81"/>
      <c r="E3974" s="81"/>
    </row>
    <row r="3975" spans="4:5" s="15" customFormat="1">
      <c r="D3975" s="81"/>
      <c r="E3975" s="81"/>
    </row>
    <row r="3976" spans="4:5" s="15" customFormat="1">
      <c r="D3976" s="81"/>
      <c r="E3976" s="81"/>
    </row>
    <row r="3977" spans="4:5" s="15" customFormat="1">
      <c r="D3977" s="81"/>
      <c r="E3977" s="81"/>
    </row>
    <row r="3978" spans="4:5" s="15" customFormat="1">
      <c r="D3978" s="81"/>
      <c r="E3978" s="81"/>
    </row>
    <row r="3979" spans="4:5" s="15" customFormat="1">
      <c r="D3979" s="81"/>
      <c r="E3979" s="81"/>
    </row>
    <row r="3980" spans="4:5" s="15" customFormat="1">
      <c r="D3980" s="81"/>
      <c r="E3980" s="81"/>
    </row>
    <row r="3981" spans="4:5" s="15" customFormat="1">
      <c r="D3981" s="81"/>
      <c r="E3981" s="81"/>
    </row>
    <row r="3982" spans="4:5" s="15" customFormat="1">
      <c r="D3982" s="81"/>
      <c r="E3982" s="81"/>
    </row>
    <row r="3983" spans="4:5" s="15" customFormat="1">
      <c r="D3983" s="81"/>
      <c r="E3983" s="81"/>
    </row>
    <row r="3984" spans="4:5" s="15" customFormat="1">
      <c r="D3984" s="81"/>
      <c r="E3984" s="81"/>
    </row>
    <row r="3985" spans="4:5" s="15" customFormat="1">
      <c r="D3985" s="81"/>
      <c r="E3985" s="81"/>
    </row>
    <row r="3986" spans="4:5" s="15" customFormat="1">
      <c r="D3986" s="81"/>
      <c r="E3986" s="81"/>
    </row>
    <row r="3987" spans="4:5" s="15" customFormat="1">
      <c r="D3987" s="81"/>
      <c r="E3987" s="81"/>
    </row>
    <row r="3988" spans="4:5" s="15" customFormat="1">
      <c r="D3988" s="81"/>
      <c r="E3988" s="81"/>
    </row>
    <row r="3989" spans="4:5" s="15" customFormat="1">
      <c r="D3989" s="81"/>
      <c r="E3989" s="81"/>
    </row>
    <row r="3990" spans="4:5" s="15" customFormat="1">
      <c r="D3990" s="81"/>
      <c r="E3990" s="81"/>
    </row>
    <row r="3991" spans="4:5" s="15" customFormat="1">
      <c r="D3991" s="81"/>
      <c r="E3991" s="81"/>
    </row>
    <row r="3992" spans="4:5" s="15" customFormat="1">
      <c r="D3992" s="81"/>
      <c r="E3992" s="81"/>
    </row>
    <row r="3993" spans="4:5" s="15" customFormat="1">
      <c r="D3993" s="81"/>
      <c r="E3993" s="81"/>
    </row>
    <row r="3994" spans="4:5" s="15" customFormat="1">
      <c r="D3994" s="81"/>
      <c r="E3994" s="81"/>
    </row>
    <row r="3995" spans="4:5" s="15" customFormat="1">
      <c r="D3995" s="81"/>
      <c r="E3995" s="81"/>
    </row>
    <row r="3996" spans="4:5" s="15" customFormat="1">
      <c r="D3996" s="81"/>
      <c r="E3996" s="81"/>
    </row>
    <row r="3997" spans="4:5" s="15" customFormat="1">
      <c r="D3997" s="81"/>
      <c r="E3997" s="81"/>
    </row>
    <row r="3998" spans="4:5" s="15" customFormat="1">
      <c r="D3998" s="81"/>
      <c r="E3998" s="81"/>
    </row>
    <row r="3999" spans="4:5" s="15" customFormat="1">
      <c r="D3999" s="81"/>
      <c r="E3999" s="81"/>
    </row>
    <row r="4000" spans="4:5" s="15" customFormat="1">
      <c r="D4000" s="81"/>
      <c r="E4000" s="81"/>
    </row>
    <row r="4001" spans="4:5" s="15" customFormat="1">
      <c r="D4001" s="81"/>
      <c r="E4001" s="81"/>
    </row>
    <row r="4002" spans="4:5" s="15" customFormat="1">
      <c r="D4002" s="81"/>
      <c r="E4002" s="81"/>
    </row>
    <row r="4003" spans="4:5" s="15" customFormat="1">
      <c r="D4003" s="81"/>
      <c r="E4003" s="81"/>
    </row>
    <row r="4004" spans="4:5" s="15" customFormat="1">
      <c r="D4004" s="81"/>
      <c r="E4004" s="81"/>
    </row>
    <row r="4005" spans="4:5" s="15" customFormat="1">
      <c r="D4005" s="81"/>
      <c r="E4005" s="81"/>
    </row>
    <row r="4006" spans="4:5" s="15" customFormat="1">
      <c r="D4006" s="81"/>
      <c r="E4006" s="81"/>
    </row>
    <row r="4007" spans="4:5" s="15" customFormat="1">
      <c r="D4007" s="81"/>
      <c r="E4007" s="81"/>
    </row>
    <row r="4008" spans="4:5" s="15" customFormat="1">
      <c r="D4008" s="81"/>
      <c r="E4008" s="81"/>
    </row>
    <row r="4009" spans="4:5" s="15" customFormat="1">
      <c r="D4009" s="81"/>
      <c r="E4009" s="81"/>
    </row>
    <row r="4010" spans="4:5" s="15" customFormat="1">
      <c r="D4010" s="81"/>
      <c r="E4010" s="81"/>
    </row>
    <row r="4011" spans="4:5" s="15" customFormat="1">
      <c r="D4011" s="81"/>
      <c r="E4011" s="81"/>
    </row>
    <row r="4012" spans="4:5" s="15" customFormat="1">
      <c r="D4012" s="81"/>
      <c r="E4012" s="81"/>
    </row>
    <row r="4013" spans="4:5" s="15" customFormat="1">
      <c r="D4013" s="81"/>
      <c r="E4013" s="81"/>
    </row>
    <row r="4014" spans="4:5" s="15" customFormat="1">
      <c r="D4014" s="81"/>
      <c r="E4014" s="81"/>
    </row>
    <row r="4015" spans="4:5" s="15" customFormat="1">
      <c r="D4015" s="81"/>
      <c r="E4015" s="81"/>
    </row>
    <row r="4016" spans="4:5" s="15" customFormat="1">
      <c r="D4016" s="81"/>
      <c r="E4016" s="81"/>
    </row>
    <row r="4017" spans="4:5" s="15" customFormat="1">
      <c r="D4017" s="81"/>
      <c r="E4017" s="81"/>
    </row>
    <row r="4018" spans="4:5" s="15" customFormat="1">
      <c r="D4018" s="81"/>
      <c r="E4018" s="81"/>
    </row>
    <row r="4019" spans="4:5" s="15" customFormat="1">
      <c r="D4019" s="81"/>
      <c r="E4019" s="81"/>
    </row>
    <row r="4020" spans="4:5" s="15" customFormat="1">
      <c r="D4020" s="81"/>
      <c r="E4020" s="81"/>
    </row>
    <row r="4021" spans="4:5" s="15" customFormat="1">
      <c r="D4021" s="81"/>
      <c r="E4021" s="81"/>
    </row>
    <row r="4022" spans="4:5" s="15" customFormat="1">
      <c r="D4022" s="81"/>
      <c r="E4022" s="81"/>
    </row>
    <row r="4023" spans="4:5" s="15" customFormat="1">
      <c r="D4023" s="81"/>
      <c r="E4023" s="81"/>
    </row>
    <row r="4024" spans="4:5" s="15" customFormat="1">
      <c r="D4024" s="81"/>
      <c r="E4024" s="81"/>
    </row>
    <row r="4025" spans="4:5" s="15" customFormat="1">
      <c r="D4025" s="81"/>
      <c r="E4025" s="81"/>
    </row>
    <row r="4026" spans="4:5" s="15" customFormat="1">
      <c r="D4026" s="81"/>
      <c r="E4026" s="81"/>
    </row>
    <row r="4027" spans="4:5" s="15" customFormat="1">
      <c r="D4027" s="81"/>
      <c r="E4027" s="81"/>
    </row>
    <row r="4028" spans="4:5" s="15" customFormat="1">
      <c r="D4028" s="81"/>
      <c r="E4028" s="81"/>
    </row>
    <row r="4029" spans="4:5" s="15" customFormat="1">
      <c r="D4029" s="81"/>
      <c r="E4029" s="81"/>
    </row>
    <row r="4030" spans="4:5" s="15" customFormat="1">
      <c r="D4030" s="81"/>
      <c r="E4030" s="81"/>
    </row>
    <row r="4031" spans="4:5" s="15" customFormat="1">
      <c r="D4031" s="81"/>
      <c r="E4031" s="81"/>
    </row>
    <row r="4032" spans="4:5" s="15" customFormat="1">
      <c r="D4032" s="81"/>
      <c r="E4032" s="81"/>
    </row>
    <row r="4033" spans="4:5" s="15" customFormat="1">
      <c r="D4033" s="81"/>
      <c r="E4033" s="81"/>
    </row>
    <row r="4034" spans="4:5" s="15" customFormat="1">
      <c r="D4034" s="81"/>
      <c r="E4034" s="81"/>
    </row>
    <row r="4035" spans="4:5" s="15" customFormat="1">
      <c r="D4035" s="81"/>
      <c r="E4035" s="81"/>
    </row>
    <row r="4036" spans="4:5" s="15" customFormat="1">
      <c r="D4036" s="81"/>
      <c r="E4036" s="81"/>
    </row>
    <row r="4037" spans="4:5" s="15" customFormat="1">
      <c r="D4037" s="81"/>
      <c r="E4037" s="81"/>
    </row>
    <row r="4038" spans="4:5" s="15" customFormat="1">
      <c r="D4038" s="81"/>
      <c r="E4038" s="81"/>
    </row>
    <row r="4039" spans="4:5" s="15" customFormat="1">
      <c r="D4039" s="81"/>
      <c r="E4039" s="81"/>
    </row>
    <row r="4040" spans="4:5" s="15" customFormat="1">
      <c r="D4040" s="81"/>
      <c r="E4040" s="81"/>
    </row>
    <row r="4041" spans="4:5" s="15" customFormat="1">
      <c r="D4041" s="81"/>
      <c r="E4041" s="81"/>
    </row>
    <row r="4042" spans="4:5" s="15" customFormat="1">
      <c r="D4042" s="81"/>
      <c r="E4042" s="81"/>
    </row>
    <row r="4043" spans="4:5" s="15" customFormat="1">
      <c r="D4043" s="81"/>
      <c r="E4043" s="81"/>
    </row>
    <row r="4044" spans="4:5" s="15" customFormat="1">
      <c r="D4044" s="81"/>
      <c r="E4044" s="81"/>
    </row>
    <row r="4045" spans="4:5" s="15" customFormat="1">
      <c r="D4045" s="81"/>
      <c r="E4045" s="81"/>
    </row>
    <row r="4046" spans="4:5" s="15" customFormat="1">
      <c r="D4046" s="81"/>
      <c r="E4046" s="81"/>
    </row>
    <row r="4047" spans="4:5" s="15" customFormat="1">
      <c r="D4047" s="81"/>
      <c r="E4047" s="81"/>
    </row>
    <row r="4048" spans="4:5" s="15" customFormat="1">
      <c r="D4048" s="81"/>
      <c r="E4048" s="81"/>
    </row>
    <row r="4049" spans="4:5" s="15" customFormat="1">
      <c r="D4049" s="81"/>
      <c r="E4049" s="81"/>
    </row>
    <row r="4050" spans="4:5" s="15" customFormat="1">
      <c r="D4050" s="81"/>
      <c r="E4050" s="81"/>
    </row>
    <row r="4051" spans="4:5" s="15" customFormat="1">
      <c r="D4051" s="81"/>
      <c r="E4051" s="81"/>
    </row>
    <row r="4052" spans="4:5" s="15" customFormat="1">
      <c r="D4052" s="81"/>
      <c r="E4052" s="81"/>
    </row>
    <row r="4053" spans="4:5" s="15" customFormat="1">
      <c r="D4053" s="81"/>
      <c r="E4053" s="81"/>
    </row>
    <row r="4054" spans="4:5" s="15" customFormat="1">
      <c r="D4054" s="81"/>
      <c r="E4054" s="81"/>
    </row>
    <row r="4055" spans="4:5" s="15" customFormat="1">
      <c r="D4055" s="81"/>
      <c r="E4055" s="81"/>
    </row>
    <row r="4056" spans="4:5" s="15" customFormat="1">
      <c r="D4056" s="81"/>
      <c r="E4056" s="81"/>
    </row>
    <row r="4057" spans="4:5" s="15" customFormat="1">
      <c r="D4057" s="81"/>
      <c r="E4057" s="81"/>
    </row>
    <row r="4058" spans="4:5" s="15" customFormat="1">
      <c r="D4058" s="81"/>
      <c r="E4058" s="81"/>
    </row>
    <row r="4059" spans="4:5" s="15" customFormat="1">
      <c r="D4059" s="81"/>
      <c r="E4059" s="81"/>
    </row>
    <row r="4060" spans="4:5" s="15" customFormat="1">
      <c r="D4060" s="81"/>
      <c r="E4060" s="81"/>
    </row>
    <row r="4061" spans="4:5" s="15" customFormat="1">
      <c r="D4061" s="81"/>
      <c r="E4061" s="81"/>
    </row>
    <row r="4062" spans="4:5" s="15" customFormat="1">
      <c r="D4062" s="81"/>
      <c r="E4062" s="81"/>
    </row>
    <row r="4063" spans="4:5" s="15" customFormat="1">
      <c r="D4063" s="81"/>
      <c r="E4063" s="81"/>
    </row>
    <row r="4064" spans="4:5" s="15" customFormat="1">
      <c r="D4064" s="81"/>
      <c r="E4064" s="81"/>
    </row>
    <row r="4065" spans="4:5" s="15" customFormat="1">
      <c r="D4065" s="81"/>
      <c r="E4065" s="81"/>
    </row>
    <row r="4066" spans="4:5" s="15" customFormat="1">
      <c r="D4066" s="81"/>
      <c r="E4066" s="81"/>
    </row>
    <row r="4067" spans="4:5" s="15" customFormat="1">
      <c r="D4067" s="81"/>
      <c r="E4067" s="81"/>
    </row>
    <row r="4068" spans="4:5" s="15" customFormat="1">
      <c r="D4068" s="81"/>
      <c r="E4068" s="81"/>
    </row>
    <row r="4069" spans="4:5" s="15" customFormat="1">
      <c r="D4069" s="81"/>
      <c r="E4069" s="81"/>
    </row>
    <row r="4070" spans="4:5" s="15" customFormat="1">
      <c r="D4070" s="81"/>
      <c r="E4070" s="81"/>
    </row>
    <row r="4071" spans="4:5" s="15" customFormat="1">
      <c r="D4071" s="81"/>
      <c r="E4071" s="81"/>
    </row>
    <row r="4072" spans="4:5" s="15" customFormat="1">
      <c r="D4072" s="81"/>
      <c r="E4072" s="81"/>
    </row>
    <row r="4073" spans="4:5" s="15" customFormat="1">
      <c r="D4073" s="81"/>
      <c r="E4073" s="81"/>
    </row>
    <row r="4074" spans="4:5" s="15" customFormat="1">
      <c r="D4074" s="81"/>
      <c r="E4074" s="81"/>
    </row>
    <row r="4075" spans="4:5" s="15" customFormat="1">
      <c r="D4075" s="81"/>
      <c r="E4075" s="81"/>
    </row>
    <row r="4076" spans="4:5" s="15" customFormat="1">
      <c r="D4076" s="81"/>
      <c r="E4076" s="81"/>
    </row>
    <row r="4077" spans="4:5" s="15" customFormat="1">
      <c r="D4077" s="81"/>
      <c r="E4077" s="81"/>
    </row>
    <row r="4078" spans="4:5" s="15" customFormat="1">
      <c r="D4078" s="81"/>
      <c r="E4078" s="81"/>
    </row>
    <row r="4079" spans="4:5" s="15" customFormat="1">
      <c r="D4079" s="81"/>
      <c r="E4079" s="81"/>
    </row>
    <row r="4080" spans="4:5" s="15" customFormat="1">
      <c r="D4080" s="81"/>
      <c r="E4080" s="81"/>
    </row>
    <row r="4081" spans="4:5" s="15" customFormat="1">
      <c r="D4081" s="81"/>
      <c r="E4081" s="81"/>
    </row>
    <row r="4082" spans="4:5" s="15" customFormat="1">
      <c r="D4082" s="81"/>
      <c r="E4082" s="81"/>
    </row>
    <row r="4083" spans="4:5" s="15" customFormat="1">
      <c r="D4083" s="81"/>
      <c r="E4083" s="81"/>
    </row>
    <row r="4084" spans="4:5" s="15" customFormat="1">
      <c r="D4084" s="81"/>
      <c r="E4084" s="81"/>
    </row>
    <row r="4085" spans="4:5" s="15" customFormat="1">
      <c r="D4085" s="81"/>
      <c r="E4085" s="81"/>
    </row>
    <row r="4086" spans="4:5" s="15" customFormat="1">
      <c r="D4086" s="81"/>
      <c r="E4086" s="81"/>
    </row>
    <row r="4087" spans="4:5" s="15" customFormat="1">
      <c r="D4087" s="81"/>
      <c r="E4087" s="81"/>
    </row>
    <row r="4088" spans="4:5" s="15" customFormat="1">
      <c r="D4088" s="81"/>
      <c r="E4088" s="81"/>
    </row>
    <row r="4089" spans="4:5" s="15" customFormat="1">
      <c r="D4089" s="81"/>
      <c r="E4089" s="81"/>
    </row>
    <row r="4090" spans="4:5" s="15" customFormat="1">
      <c r="D4090" s="81"/>
      <c r="E4090" s="81"/>
    </row>
    <row r="4091" spans="4:5" s="15" customFormat="1">
      <c r="D4091" s="81"/>
      <c r="E4091" s="81"/>
    </row>
    <row r="4092" spans="4:5" s="15" customFormat="1">
      <c r="D4092" s="81"/>
      <c r="E4092" s="81"/>
    </row>
    <row r="4093" spans="4:5" s="15" customFormat="1">
      <c r="D4093" s="81"/>
      <c r="E4093" s="81"/>
    </row>
    <row r="4094" spans="4:5" s="15" customFormat="1">
      <c r="D4094" s="81"/>
      <c r="E4094" s="81"/>
    </row>
    <row r="4095" spans="4:5" s="15" customFormat="1">
      <c r="D4095" s="81"/>
      <c r="E4095" s="81"/>
    </row>
    <row r="4096" spans="4:5" s="15" customFormat="1">
      <c r="D4096" s="81"/>
      <c r="E4096" s="81"/>
    </row>
    <row r="4097" spans="4:5" s="15" customFormat="1">
      <c r="D4097" s="81"/>
      <c r="E4097" s="81"/>
    </row>
    <row r="4098" spans="4:5" s="15" customFormat="1">
      <c r="D4098" s="81"/>
      <c r="E4098" s="81"/>
    </row>
    <row r="4099" spans="4:5" s="15" customFormat="1">
      <c r="D4099" s="81"/>
      <c r="E4099" s="81"/>
    </row>
    <row r="4100" spans="4:5" s="15" customFormat="1">
      <c r="D4100" s="81"/>
      <c r="E4100" s="81"/>
    </row>
    <row r="4101" spans="4:5" s="15" customFormat="1">
      <c r="D4101" s="81"/>
      <c r="E4101" s="81"/>
    </row>
    <row r="4102" spans="4:5" s="15" customFormat="1">
      <c r="D4102" s="81"/>
      <c r="E4102" s="81"/>
    </row>
    <row r="4103" spans="4:5" s="15" customFormat="1">
      <c r="D4103" s="81"/>
      <c r="E4103" s="81"/>
    </row>
    <row r="4104" spans="4:5" s="15" customFormat="1">
      <c r="D4104" s="81"/>
      <c r="E4104" s="81"/>
    </row>
    <row r="4105" spans="4:5" s="15" customFormat="1">
      <c r="D4105" s="81"/>
      <c r="E4105" s="81"/>
    </row>
    <row r="4106" spans="4:5" s="15" customFormat="1">
      <c r="D4106" s="81"/>
      <c r="E4106" s="81"/>
    </row>
    <row r="4107" spans="4:5" s="15" customFormat="1">
      <c r="D4107" s="81"/>
      <c r="E4107" s="81"/>
    </row>
    <row r="4108" spans="4:5" s="15" customFormat="1">
      <c r="D4108" s="81"/>
      <c r="E4108" s="81"/>
    </row>
    <row r="4109" spans="4:5" s="15" customFormat="1">
      <c r="D4109" s="81"/>
      <c r="E4109" s="81"/>
    </row>
    <row r="4110" spans="4:5" s="15" customFormat="1">
      <c r="D4110" s="81"/>
      <c r="E4110" s="81"/>
    </row>
    <row r="4111" spans="4:5" s="15" customFormat="1">
      <c r="D4111" s="81"/>
      <c r="E4111" s="81"/>
    </row>
    <row r="4112" spans="4:5" s="15" customFormat="1">
      <c r="D4112" s="81"/>
      <c r="E4112" s="81"/>
    </row>
    <row r="4113" spans="4:5" s="15" customFormat="1">
      <c r="D4113" s="81"/>
      <c r="E4113" s="81"/>
    </row>
    <row r="4114" spans="4:5" s="15" customFormat="1">
      <c r="D4114" s="81"/>
      <c r="E4114" s="81"/>
    </row>
    <row r="4115" spans="4:5" s="15" customFormat="1">
      <c r="D4115" s="81"/>
      <c r="E4115" s="81"/>
    </row>
    <row r="4116" spans="4:5" s="15" customFormat="1">
      <c r="D4116" s="81"/>
      <c r="E4116" s="81"/>
    </row>
    <row r="4117" spans="4:5" s="15" customFormat="1">
      <c r="D4117" s="81"/>
      <c r="E4117" s="81"/>
    </row>
    <row r="4118" spans="4:5" s="15" customFormat="1">
      <c r="D4118" s="81"/>
      <c r="E4118" s="81"/>
    </row>
    <row r="4119" spans="4:5" s="15" customFormat="1">
      <c r="D4119" s="81"/>
      <c r="E4119" s="81"/>
    </row>
    <row r="4120" spans="4:5" s="15" customFormat="1">
      <c r="D4120" s="81"/>
      <c r="E4120" s="81"/>
    </row>
    <row r="4121" spans="4:5" s="15" customFormat="1">
      <c r="D4121" s="81"/>
      <c r="E4121" s="81"/>
    </row>
    <row r="4122" spans="4:5" s="15" customFormat="1">
      <c r="D4122" s="81"/>
      <c r="E4122" s="81"/>
    </row>
    <row r="4123" spans="4:5" s="15" customFormat="1">
      <c r="D4123" s="81"/>
      <c r="E4123" s="81"/>
    </row>
    <row r="4124" spans="4:5" s="15" customFormat="1">
      <c r="D4124" s="81"/>
      <c r="E4124" s="81"/>
    </row>
    <row r="4125" spans="4:5" s="15" customFormat="1">
      <c r="D4125" s="81"/>
      <c r="E4125" s="81"/>
    </row>
    <row r="4126" spans="4:5" s="15" customFormat="1">
      <c r="D4126" s="81"/>
      <c r="E4126" s="81"/>
    </row>
    <row r="4127" spans="4:5" s="15" customFormat="1">
      <c r="D4127" s="81"/>
      <c r="E4127" s="81"/>
    </row>
    <row r="4128" spans="4:5" s="15" customFormat="1">
      <c r="D4128" s="81"/>
      <c r="E4128" s="81"/>
    </row>
    <row r="4129" spans="4:5" s="15" customFormat="1">
      <c r="D4129" s="81"/>
      <c r="E4129" s="81"/>
    </row>
    <row r="4130" spans="4:5" s="15" customFormat="1">
      <c r="D4130" s="81"/>
      <c r="E4130" s="81"/>
    </row>
    <row r="4131" spans="4:5" s="15" customFormat="1">
      <c r="D4131" s="81"/>
      <c r="E4131" s="81"/>
    </row>
    <row r="4132" spans="4:5" s="15" customFormat="1">
      <c r="D4132" s="81"/>
      <c r="E4132" s="81"/>
    </row>
    <row r="4133" spans="4:5" s="15" customFormat="1">
      <c r="D4133" s="81"/>
      <c r="E4133" s="81"/>
    </row>
    <row r="4134" spans="4:5" s="15" customFormat="1">
      <c r="D4134" s="81"/>
      <c r="E4134" s="81"/>
    </row>
    <row r="4135" spans="4:5" s="15" customFormat="1">
      <c r="D4135" s="81"/>
      <c r="E4135" s="81"/>
    </row>
    <row r="4136" spans="4:5" s="15" customFormat="1">
      <c r="D4136" s="81"/>
      <c r="E4136" s="81"/>
    </row>
    <row r="4137" spans="4:5" s="15" customFormat="1">
      <c r="D4137" s="81"/>
      <c r="E4137" s="81"/>
    </row>
    <row r="4138" spans="4:5" s="15" customFormat="1">
      <c r="D4138" s="81"/>
      <c r="E4138" s="81"/>
    </row>
    <row r="4139" spans="4:5" s="15" customFormat="1">
      <c r="D4139" s="81"/>
      <c r="E4139" s="81"/>
    </row>
    <row r="4140" spans="4:5" s="15" customFormat="1">
      <c r="D4140" s="81"/>
      <c r="E4140" s="81"/>
    </row>
    <row r="4141" spans="4:5" s="15" customFormat="1">
      <c r="D4141" s="81"/>
      <c r="E4141" s="81"/>
    </row>
    <row r="4142" spans="4:5" s="15" customFormat="1">
      <c r="D4142" s="81"/>
      <c r="E4142" s="81"/>
    </row>
    <row r="4143" spans="4:5" s="15" customFormat="1">
      <c r="D4143" s="81"/>
      <c r="E4143" s="81"/>
    </row>
    <row r="4144" spans="4:5" s="15" customFormat="1">
      <c r="D4144" s="81"/>
      <c r="E4144" s="81"/>
    </row>
    <row r="4145" spans="1:7" s="15" customFormat="1">
      <c r="D4145" s="81"/>
      <c r="E4145" s="81"/>
    </row>
    <row r="4146" spans="1:7" s="15" customFormat="1">
      <c r="D4146" s="81"/>
      <c r="E4146" s="81"/>
    </row>
    <row r="4147" spans="1:7" s="15" customFormat="1">
      <c r="D4147" s="81"/>
      <c r="E4147" s="81"/>
    </row>
    <row r="4148" spans="1:7" s="15" customFormat="1">
      <c r="D4148" s="81"/>
      <c r="E4148" s="81"/>
    </row>
    <row r="4149" spans="1:7" s="15" customFormat="1">
      <c r="D4149" s="81"/>
      <c r="E4149" s="81"/>
    </row>
    <row r="4150" spans="1:7" s="15" customFormat="1">
      <c r="D4150" s="81"/>
      <c r="E4150" s="81"/>
    </row>
    <row r="4151" spans="1:7" s="15" customFormat="1">
      <c r="D4151" s="81"/>
      <c r="E4151" s="81"/>
    </row>
    <row r="4152" spans="1:7" s="15" customFormat="1">
      <c r="D4152" s="81"/>
      <c r="E4152" s="81"/>
    </row>
    <row r="4153" spans="1:7" s="15" customFormat="1">
      <c r="D4153" s="81"/>
      <c r="E4153" s="81"/>
    </row>
    <row r="4154" spans="1:7" s="15" customFormat="1">
      <c r="D4154" s="81"/>
      <c r="E4154" s="81"/>
    </row>
    <row r="4155" spans="1:7" s="15" customFormat="1">
      <c r="D4155" s="81"/>
      <c r="E4155" s="81"/>
    </row>
    <row r="4156" spans="1:7" s="15" customFormat="1">
      <c r="D4156" s="81"/>
      <c r="E4156" s="81"/>
    </row>
    <row r="4157" spans="1:7" s="15" customFormat="1">
      <c r="D4157" s="81"/>
      <c r="E4157" s="81"/>
    </row>
    <row r="4158" spans="1:7" s="15" customFormat="1">
      <c r="D4158" s="81"/>
      <c r="E4158" s="81"/>
    </row>
    <row r="4159" spans="1:7" s="15" customFormat="1">
      <c r="A4159"/>
      <c r="B4159"/>
      <c r="C4159"/>
      <c r="D4159" s="111"/>
      <c r="E4159" s="111"/>
      <c r="F4159"/>
      <c r="G4159"/>
    </row>
    <row r="4160" spans="1:7" s="15" customFormat="1">
      <c r="A4160"/>
      <c r="B4160"/>
      <c r="C4160"/>
      <c r="D4160" s="111"/>
      <c r="E4160" s="111"/>
      <c r="F4160"/>
      <c r="G4160"/>
    </row>
    <row r="4161" spans="1:7" s="15" customFormat="1">
      <c r="A4161"/>
      <c r="B4161"/>
      <c r="C4161"/>
      <c r="D4161" s="111"/>
      <c r="E4161" s="111"/>
      <c r="F4161"/>
      <c r="G4161"/>
    </row>
    <row r="4162" spans="1:7" s="15" customFormat="1">
      <c r="A4162"/>
      <c r="B4162"/>
      <c r="C4162"/>
      <c r="D4162" s="111"/>
      <c r="E4162" s="111"/>
      <c r="F4162"/>
      <c r="G4162"/>
    </row>
    <row r="4163" spans="1:7" s="15" customFormat="1">
      <c r="A4163"/>
      <c r="B4163"/>
      <c r="C4163"/>
      <c r="D4163" s="111"/>
      <c r="E4163" s="111"/>
      <c r="F4163"/>
      <c r="G4163"/>
    </row>
    <row r="4164" spans="1:7" s="15" customFormat="1">
      <c r="A4164"/>
      <c r="B4164"/>
      <c r="C4164"/>
      <c r="D4164" s="111"/>
      <c r="E4164" s="111"/>
      <c r="F4164"/>
      <c r="G4164"/>
    </row>
    <row r="4165" spans="1:7" s="15" customFormat="1">
      <c r="A4165"/>
      <c r="B4165"/>
      <c r="C4165"/>
      <c r="D4165" s="111"/>
      <c r="E4165" s="111"/>
      <c r="F4165"/>
      <c r="G4165"/>
    </row>
    <row r="4166" spans="1:7" s="15" customFormat="1">
      <c r="A4166"/>
      <c r="B4166"/>
      <c r="C4166"/>
      <c r="D4166" s="111"/>
      <c r="E4166" s="111"/>
      <c r="F4166"/>
      <c r="G4166"/>
    </row>
    <row r="4167" spans="1:7" s="15" customFormat="1">
      <c r="A4167"/>
      <c r="B4167"/>
      <c r="C4167"/>
      <c r="D4167" s="111"/>
      <c r="E4167" s="111"/>
      <c r="F4167"/>
      <c r="G4167"/>
    </row>
    <row r="4168" spans="1:7" s="15" customFormat="1">
      <c r="A4168"/>
      <c r="B4168"/>
      <c r="C4168"/>
      <c r="D4168" s="111"/>
      <c r="E4168" s="111"/>
      <c r="F4168"/>
      <c r="G4168"/>
    </row>
    <row r="4169" spans="1:7" s="15" customFormat="1">
      <c r="A4169"/>
      <c r="B4169"/>
      <c r="C4169"/>
      <c r="D4169" s="111"/>
      <c r="E4169" s="111"/>
      <c r="F4169"/>
      <c r="G4169"/>
    </row>
    <row r="4170" spans="1:7" s="15" customFormat="1">
      <c r="A4170"/>
      <c r="B4170"/>
      <c r="C4170"/>
      <c r="D4170" s="111"/>
      <c r="E4170" s="111"/>
      <c r="F4170"/>
      <c r="G4170"/>
    </row>
    <row r="4171" spans="1:7" s="15" customFormat="1">
      <c r="A4171"/>
      <c r="B4171"/>
      <c r="C4171"/>
      <c r="D4171" s="111"/>
      <c r="E4171" s="111"/>
      <c r="F4171"/>
      <c r="G4171"/>
    </row>
    <row r="4172" spans="1:7" s="15" customFormat="1">
      <c r="A4172"/>
      <c r="B4172"/>
      <c r="C4172"/>
      <c r="D4172" s="111"/>
      <c r="E4172" s="111"/>
      <c r="F4172"/>
      <c r="G4172"/>
    </row>
    <row r="4173" spans="1:7" s="15" customFormat="1">
      <c r="A4173"/>
      <c r="B4173"/>
      <c r="C4173"/>
      <c r="D4173" s="111"/>
      <c r="E4173" s="111"/>
      <c r="F4173"/>
      <c r="G4173"/>
    </row>
    <row r="4174" spans="1:7" s="15" customFormat="1">
      <c r="A4174"/>
      <c r="B4174"/>
      <c r="C4174"/>
      <c r="D4174" s="111"/>
      <c r="E4174" s="111"/>
      <c r="F4174"/>
      <c r="G4174"/>
    </row>
    <row r="4175" spans="1:7" s="15" customFormat="1">
      <c r="A4175"/>
      <c r="B4175"/>
      <c r="C4175"/>
      <c r="D4175" s="111"/>
      <c r="E4175" s="111"/>
      <c r="F4175"/>
      <c r="G4175"/>
    </row>
    <row r="4176" spans="1:7" s="15" customFormat="1">
      <c r="A4176"/>
      <c r="B4176"/>
      <c r="C4176"/>
      <c r="D4176" s="111"/>
      <c r="E4176" s="111"/>
      <c r="F4176"/>
      <c r="G4176"/>
    </row>
    <row r="4177" spans="1:7" s="15" customFormat="1">
      <c r="A4177"/>
      <c r="B4177"/>
      <c r="C4177"/>
      <c r="D4177" s="111"/>
      <c r="E4177" s="111"/>
      <c r="F4177"/>
      <c r="G4177"/>
    </row>
    <row r="4178" spans="1:7" s="15" customFormat="1">
      <c r="A4178"/>
      <c r="B4178"/>
      <c r="C4178"/>
      <c r="D4178" s="111"/>
      <c r="E4178" s="111"/>
      <c r="F4178"/>
      <c r="G4178"/>
    </row>
  </sheetData>
  <sortState ref="A17:G27">
    <sortCondition ref="C17:C27"/>
    <sortCondition ref="D17:D27"/>
  </sortState>
  <mergeCells count="18">
    <mergeCell ref="J7:N7"/>
    <mergeCell ref="A12:B12"/>
    <mergeCell ref="A1:D1"/>
    <mergeCell ref="C2:D2"/>
    <mergeCell ref="C3:D3"/>
    <mergeCell ref="A5:D5"/>
    <mergeCell ref="F56:G56"/>
    <mergeCell ref="D47:G47"/>
    <mergeCell ref="A48:G48"/>
    <mergeCell ref="B49:C49"/>
    <mergeCell ref="D49:G49"/>
    <mergeCell ref="A50:B50"/>
    <mergeCell ref="C50:G50"/>
    <mergeCell ref="A51:G52"/>
    <mergeCell ref="F53:G54"/>
    <mergeCell ref="B53:E53"/>
    <mergeCell ref="B54:E55"/>
    <mergeCell ref="B56:E56"/>
  </mergeCells>
  <pageMargins left="0.85" right="0.70866141732283472" top="0.28000000000000003" bottom="0.35" header="0.31496062992125984" footer="0.31496062992125984"/>
  <pageSetup scale="87" orientation="portrait" verticalDpi="0" r:id="rId1"/>
  <drawing r:id="rId2"/>
</worksheet>
</file>

<file path=xl/worksheets/sheet2.xml><?xml version="1.0" encoding="utf-8"?>
<worksheet xmlns="http://schemas.openxmlformats.org/spreadsheetml/2006/main" xmlns:r="http://schemas.openxmlformats.org/officeDocument/2006/relationships">
  <dimension ref="A1:L3468"/>
  <sheetViews>
    <sheetView tabSelected="1" view="pageBreakPreview" topLeftCell="B1" zoomScaleSheetLayoutView="100" workbookViewId="0">
      <selection activeCell="C61" sqref="C61:E62"/>
    </sheetView>
  </sheetViews>
  <sheetFormatPr baseColWidth="10" defaultRowHeight="15"/>
  <cols>
    <col min="1" max="1" width="6.140625" hidden="1" customWidth="1"/>
    <col min="2" max="2" width="8.85546875" customWidth="1"/>
    <col min="3" max="3" width="14.28515625" style="7" customWidth="1"/>
    <col min="4" max="4" width="41.7109375" customWidth="1"/>
    <col min="5" max="5" width="11.85546875" style="132" bestFit="1" customWidth="1"/>
    <col min="6" max="6" width="10.85546875" customWidth="1"/>
    <col min="7" max="7" width="16.42578125" bestFit="1" customWidth="1"/>
    <col min="8" max="8" width="11.5703125" bestFit="1" customWidth="1"/>
    <col min="9" max="9" width="15.140625" bestFit="1" customWidth="1"/>
    <col min="10" max="10" width="20.7109375" bestFit="1" customWidth="1"/>
  </cols>
  <sheetData>
    <row r="1" spans="2:12" ht="21.75" customHeight="1">
      <c r="B1" s="162" t="s">
        <v>43</v>
      </c>
      <c r="C1" s="162"/>
      <c r="D1" s="162"/>
      <c r="E1" s="163"/>
      <c r="F1" s="162"/>
      <c r="G1" s="164" t="s">
        <v>0</v>
      </c>
      <c r="H1" s="2"/>
      <c r="I1" s="2"/>
      <c r="J1" s="2"/>
      <c r="K1" s="2"/>
      <c r="L1" s="2"/>
    </row>
    <row r="2" spans="2:12">
      <c r="B2" s="15"/>
      <c r="C2" s="224" t="s">
        <v>31</v>
      </c>
      <c r="D2" s="224"/>
      <c r="E2" s="224"/>
      <c r="F2" s="224"/>
      <c r="G2" s="165" t="s">
        <v>70</v>
      </c>
    </row>
    <row r="3" spans="2:12">
      <c r="B3" s="15"/>
      <c r="C3" s="224" t="s">
        <v>32</v>
      </c>
      <c r="D3" s="224"/>
      <c r="E3" s="224"/>
      <c r="F3" s="224"/>
      <c r="G3" s="166" t="s">
        <v>1</v>
      </c>
    </row>
    <row r="4" spans="2:12" ht="3.75" customHeight="1">
      <c r="B4" s="152"/>
      <c r="C4" s="152"/>
      <c r="D4" s="152"/>
      <c r="E4" s="153"/>
      <c r="F4" s="152"/>
      <c r="G4" s="165"/>
    </row>
    <row r="5" spans="2:12">
      <c r="B5" s="15"/>
      <c r="C5" s="225" t="s">
        <v>29</v>
      </c>
      <c r="D5" s="225"/>
      <c r="E5" s="225"/>
      <c r="F5" s="225"/>
      <c r="G5" s="167"/>
    </row>
    <row r="6" spans="2:12" ht="6" customHeight="1">
      <c r="B6" s="230"/>
      <c r="C6" s="230"/>
      <c r="D6" s="230"/>
      <c r="E6" s="230"/>
      <c r="F6" s="230"/>
      <c r="G6" s="167"/>
    </row>
    <row r="7" spans="2:12">
      <c r="B7" s="160" t="s">
        <v>2</v>
      </c>
      <c r="C7" s="40"/>
      <c r="D7" s="154"/>
      <c r="E7" s="134"/>
      <c r="F7" s="19"/>
      <c r="G7" s="167"/>
      <c r="H7" s="53"/>
    </row>
    <row r="8" spans="2:12" ht="15" customHeight="1">
      <c r="B8" s="160" t="s">
        <v>3</v>
      </c>
      <c r="C8" s="40"/>
      <c r="D8" s="155"/>
      <c r="E8" s="134"/>
      <c r="F8" s="19"/>
      <c r="G8" s="168" t="s">
        <v>4</v>
      </c>
      <c r="H8" s="82"/>
    </row>
    <row r="9" spans="2:12" ht="15" customHeight="1">
      <c r="B9" s="160" t="s">
        <v>5</v>
      </c>
      <c r="C9" s="40"/>
      <c r="D9" s="155"/>
      <c r="E9" s="134"/>
      <c r="F9" s="19"/>
      <c r="G9" s="169"/>
      <c r="H9" s="82"/>
    </row>
    <row r="10" spans="2:12" ht="15" customHeight="1">
      <c r="B10" s="160" t="s">
        <v>6</v>
      </c>
      <c r="C10" s="40"/>
      <c r="D10" s="155"/>
      <c r="E10" s="134"/>
      <c r="F10" s="19"/>
      <c r="G10" s="168">
        <v>2</v>
      </c>
      <c r="H10" s="82"/>
    </row>
    <row r="11" spans="2:12" ht="15" customHeight="1">
      <c r="B11" s="157" t="s">
        <v>7</v>
      </c>
      <c r="C11" s="40"/>
      <c r="D11" s="155"/>
      <c r="E11" s="134"/>
      <c r="F11" s="19"/>
      <c r="G11" s="169"/>
      <c r="H11" s="82"/>
    </row>
    <row r="12" spans="2:12" ht="15" customHeight="1">
      <c r="B12" s="159" t="s">
        <v>8</v>
      </c>
      <c r="C12" s="40"/>
      <c r="D12" s="155"/>
      <c r="E12" s="134"/>
      <c r="F12" s="15"/>
      <c r="G12" s="169"/>
      <c r="H12" s="82"/>
    </row>
    <row r="13" spans="2:12" ht="15" customHeight="1">
      <c r="B13" s="160" t="s">
        <v>9</v>
      </c>
      <c r="C13" s="40"/>
      <c r="D13" s="155"/>
      <c r="E13" s="134"/>
      <c r="F13" s="159"/>
      <c r="G13" s="19"/>
      <c r="H13" s="82"/>
    </row>
    <row r="14" spans="2:12" ht="15" customHeight="1">
      <c r="B14" s="160" t="s">
        <v>10</v>
      </c>
      <c r="C14" s="40"/>
      <c r="D14" s="156"/>
      <c r="E14" s="134"/>
      <c r="F14" s="19"/>
      <c r="G14" s="158"/>
      <c r="H14" s="57"/>
    </row>
    <row r="15" spans="2:12" ht="6" customHeight="1" thickBot="1">
      <c r="B15" s="160"/>
      <c r="C15" s="156"/>
      <c r="D15" s="15"/>
      <c r="E15" s="134"/>
      <c r="F15" s="19"/>
      <c r="G15" s="158"/>
    </row>
    <row r="16" spans="2:12" ht="24.75" thickBot="1">
      <c r="B16" s="43" t="s">
        <v>11</v>
      </c>
      <c r="C16" s="161" t="s">
        <v>38</v>
      </c>
      <c r="D16" s="44" t="s">
        <v>13</v>
      </c>
      <c r="E16" s="44"/>
      <c r="F16" s="48" t="s">
        <v>14</v>
      </c>
      <c r="G16" s="43" t="s">
        <v>15</v>
      </c>
    </row>
    <row r="17" spans="1:10" ht="4.5" customHeight="1" thickBot="1">
      <c r="A17" s="58"/>
      <c r="B17" s="151"/>
      <c r="C17" s="48"/>
      <c r="D17" s="48"/>
      <c r="E17" s="48"/>
      <c r="F17" s="48"/>
      <c r="G17" s="107"/>
      <c r="H17" s="14"/>
      <c r="I17" s="14"/>
      <c r="J17" s="79"/>
    </row>
    <row r="18" spans="1:10" ht="18" customHeight="1">
      <c r="B18" s="171"/>
      <c r="C18" s="172"/>
      <c r="D18" s="170"/>
      <c r="E18" s="175"/>
      <c r="F18" s="83"/>
      <c r="G18" s="139"/>
      <c r="H18" s="138"/>
      <c r="I18" s="138"/>
      <c r="J18" s="79"/>
    </row>
    <row r="19" spans="1:10" ht="18" customHeight="1">
      <c r="B19" s="142"/>
      <c r="C19" s="172"/>
      <c r="D19" s="170"/>
      <c r="E19" s="175"/>
      <c r="F19" s="83"/>
      <c r="G19" s="139"/>
      <c r="H19" s="138"/>
      <c r="I19" s="138"/>
      <c r="J19" s="79"/>
    </row>
    <row r="20" spans="1:10" ht="18" customHeight="1">
      <c r="A20" s="177"/>
      <c r="B20" s="171"/>
      <c r="C20" s="172"/>
      <c r="D20" s="170"/>
      <c r="E20" s="175"/>
      <c r="F20" s="83"/>
      <c r="G20" s="139"/>
      <c r="H20" s="138"/>
      <c r="I20" s="138"/>
      <c r="J20" s="79"/>
    </row>
    <row r="21" spans="1:10" ht="18" customHeight="1">
      <c r="B21" s="142"/>
      <c r="C21" s="172"/>
      <c r="D21" s="170"/>
      <c r="E21" s="175"/>
      <c r="F21" s="83"/>
      <c r="G21" s="139"/>
      <c r="H21" s="138"/>
      <c r="I21" s="138"/>
      <c r="J21" s="79"/>
    </row>
    <row r="22" spans="1:10" ht="18" customHeight="1">
      <c r="B22" s="142"/>
      <c r="C22" s="172"/>
      <c r="D22" s="170"/>
      <c r="E22" s="175"/>
      <c r="F22" s="83"/>
      <c r="G22" s="139"/>
      <c r="H22" s="138"/>
      <c r="I22" s="138"/>
      <c r="J22" s="79"/>
    </row>
    <row r="23" spans="1:10" ht="18" customHeight="1">
      <c r="B23" s="142"/>
      <c r="C23" s="172"/>
      <c r="D23" s="170"/>
      <c r="E23" s="175"/>
      <c r="F23" s="83"/>
      <c r="G23" s="139"/>
      <c r="H23" s="138"/>
      <c r="I23" s="138"/>
      <c r="J23" s="79"/>
    </row>
    <row r="24" spans="1:10" ht="18" customHeight="1">
      <c r="B24" s="142"/>
      <c r="C24" s="172"/>
      <c r="D24" s="170"/>
      <c r="E24" s="175"/>
      <c r="F24" s="83"/>
      <c r="G24" s="139"/>
      <c r="H24" s="138"/>
      <c r="I24" s="138"/>
      <c r="J24" s="79"/>
    </row>
    <row r="25" spans="1:10" ht="18" customHeight="1">
      <c r="B25" s="142"/>
      <c r="C25" s="172"/>
      <c r="D25" s="170"/>
      <c r="E25" s="175"/>
      <c r="F25" s="83"/>
      <c r="G25" s="139"/>
      <c r="H25" s="138"/>
      <c r="I25" s="138"/>
      <c r="J25" s="79"/>
    </row>
    <row r="26" spans="1:10" ht="18" customHeight="1">
      <c r="B26" s="142"/>
      <c r="C26" s="172"/>
      <c r="D26" s="170"/>
      <c r="E26" s="175"/>
      <c r="F26" s="83"/>
      <c r="G26" s="139"/>
      <c r="H26" s="138"/>
      <c r="I26" s="138"/>
      <c r="J26" s="79"/>
    </row>
    <row r="27" spans="1:10" ht="18" customHeight="1">
      <c r="B27" s="142"/>
      <c r="C27" s="172"/>
      <c r="D27" s="170"/>
      <c r="E27" s="175"/>
      <c r="F27" s="83"/>
      <c r="G27" s="139"/>
      <c r="H27" s="138"/>
      <c r="I27" s="138"/>
      <c r="J27" s="79"/>
    </row>
    <row r="28" spans="1:10" ht="18" customHeight="1">
      <c r="B28" s="142"/>
      <c r="C28" s="172"/>
      <c r="D28" s="170"/>
      <c r="E28" s="175"/>
      <c r="F28" s="83"/>
      <c r="G28" s="139"/>
      <c r="H28" s="138"/>
      <c r="I28" s="138"/>
      <c r="J28" s="79"/>
    </row>
    <row r="29" spans="1:10" ht="18" customHeight="1">
      <c r="B29" s="142"/>
      <c r="C29" s="172"/>
      <c r="D29" s="170"/>
      <c r="E29" s="175"/>
      <c r="F29" s="83"/>
      <c r="G29" s="139"/>
      <c r="H29" s="138"/>
      <c r="I29" s="138"/>
      <c r="J29" s="79"/>
    </row>
    <row r="30" spans="1:10" ht="18" customHeight="1">
      <c r="B30" s="142"/>
      <c r="C30" s="172"/>
      <c r="D30" s="170"/>
      <c r="E30" s="175"/>
      <c r="F30" s="83"/>
      <c r="G30" s="139"/>
      <c r="H30" s="138"/>
      <c r="I30" s="138"/>
      <c r="J30" s="79"/>
    </row>
    <row r="31" spans="1:10" ht="18" customHeight="1">
      <c r="B31" s="142"/>
      <c r="C31" s="172"/>
      <c r="D31" s="170"/>
      <c r="E31" s="175"/>
      <c r="F31" s="83"/>
      <c r="G31" s="139"/>
      <c r="H31" s="138"/>
      <c r="I31" s="138"/>
      <c r="J31" s="79"/>
    </row>
    <row r="32" spans="1:10" ht="18" customHeight="1">
      <c r="A32" s="177"/>
      <c r="B32" s="142"/>
      <c r="C32" s="172"/>
      <c r="D32" s="170"/>
      <c r="E32" s="175"/>
      <c r="F32" s="83"/>
      <c r="G32" s="139"/>
      <c r="H32" s="138"/>
      <c r="I32" s="138"/>
      <c r="J32" s="79"/>
    </row>
    <row r="33" spans="1:12" ht="18" customHeight="1">
      <c r="A33" s="177"/>
      <c r="B33" s="142"/>
      <c r="C33" s="172"/>
      <c r="D33" s="170"/>
      <c r="E33" s="175"/>
      <c r="F33" s="83"/>
      <c r="G33" s="139"/>
      <c r="H33" s="138"/>
      <c r="I33" s="138"/>
      <c r="J33" s="79"/>
    </row>
    <row r="34" spans="1:12" ht="18" customHeight="1">
      <c r="B34" s="142"/>
      <c r="C34" s="172"/>
      <c r="D34" s="170"/>
      <c r="E34" s="175"/>
      <c r="F34" s="83"/>
      <c r="G34" s="139"/>
      <c r="H34" s="138"/>
      <c r="I34" s="138"/>
      <c r="J34" s="79"/>
    </row>
    <row r="35" spans="1:12" ht="18" customHeight="1">
      <c r="B35" s="142"/>
      <c r="C35" s="172"/>
      <c r="D35" s="170"/>
      <c r="E35" s="175"/>
      <c r="F35" s="83"/>
      <c r="G35" s="139"/>
      <c r="H35" s="138"/>
      <c r="I35" s="138"/>
      <c r="J35" s="79"/>
    </row>
    <row r="36" spans="1:12" ht="18" customHeight="1">
      <c r="A36" s="177"/>
      <c r="B36" s="142"/>
      <c r="C36" s="172"/>
      <c r="D36" s="170"/>
      <c r="E36" s="175"/>
      <c r="F36" s="83"/>
      <c r="G36" s="139"/>
      <c r="H36" s="138"/>
      <c r="I36" s="138"/>
      <c r="J36" s="79"/>
    </row>
    <row r="37" spans="1:12" ht="18" customHeight="1">
      <c r="B37" s="142"/>
      <c r="C37" s="172"/>
      <c r="D37" s="170"/>
      <c r="E37" s="175"/>
      <c r="F37" s="83"/>
      <c r="G37" s="139"/>
      <c r="H37" s="138"/>
      <c r="I37" s="138"/>
      <c r="J37" s="79"/>
    </row>
    <row r="38" spans="1:12" ht="18" customHeight="1">
      <c r="B38" s="142"/>
      <c r="C38" s="172"/>
      <c r="D38" s="170"/>
      <c r="E38" s="175"/>
      <c r="F38" s="83"/>
      <c r="G38" s="139"/>
      <c r="H38" s="138"/>
      <c r="I38" s="138"/>
      <c r="J38" s="79"/>
    </row>
    <row r="39" spans="1:12" ht="18" customHeight="1">
      <c r="B39" s="142"/>
      <c r="C39" s="172"/>
      <c r="D39" s="170"/>
      <c r="E39" s="175"/>
      <c r="F39" s="83"/>
      <c r="G39" s="139"/>
      <c r="H39" s="138"/>
      <c r="I39" s="138"/>
      <c r="J39" s="79"/>
    </row>
    <row r="40" spans="1:12" ht="18" customHeight="1">
      <c r="B40" s="142"/>
      <c r="C40" s="172"/>
      <c r="D40" s="170"/>
      <c r="E40" s="175"/>
      <c r="F40" s="83"/>
      <c r="G40" s="139"/>
      <c r="H40" s="138"/>
      <c r="I40" s="138"/>
      <c r="J40" s="79"/>
    </row>
    <row r="41" spans="1:12" ht="18" customHeight="1">
      <c r="B41" s="142"/>
      <c r="C41" s="172"/>
      <c r="D41" s="170"/>
      <c r="E41" s="175"/>
      <c r="F41" s="83"/>
      <c r="G41" s="139"/>
      <c r="H41" s="138"/>
      <c r="I41" s="138"/>
      <c r="J41" s="79"/>
    </row>
    <row r="42" spans="1:12" ht="18" customHeight="1">
      <c r="B42" s="142"/>
      <c r="C42" s="172"/>
      <c r="D42" s="170"/>
      <c r="E42" s="175"/>
      <c r="F42" s="83"/>
      <c r="G42" s="139"/>
      <c r="H42" s="138"/>
      <c r="I42" s="138"/>
      <c r="J42" s="79"/>
    </row>
    <row r="43" spans="1:12" ht="18" customHeight="1">
      <c r="B43" s="142"/>
      <c r="C43" s="172"/>
      <c r="D43" s="170"/>
      <c r="E43" s="175"/>
      <c r="F43" s="83"/>
      <c r="G43" s="139"/>
      <c r="H43" s="138"/>
      <c r="I43" s="138"/>
      <c r="J43" s="79"/>
    </row>
    <row r="44" spans="1:12" ht="18" customHeight="1">
      <c r="B44" s="142"/>
      <c r="C44" s="172"/>
      <c r="D44" s="170"/>
      <c r="E44" s="175"/>
      <c r="F44" s="83"/>
      <c r="G44" s="139"/>
      <c r="H44" s="138"/>
      <c r="I44" s="138"/>
      <c r="J44" s="79"/>
    </row>
    <row r="45" spans="1:12" ht="18" customHeight="1" thickBot="1">
      <c r="B45" s="141"/>
      <c r="C45" s="176"/>
      <c r="D45" s="173"/>
      <c r="E45" s="178"/>
      <c r="F45" s="80"/>
      <c r="G45" s="140"/>
      <c r="H45" s="138"/>
      <c r="I45" s="138"/>
    </row>
    <row r="46" spans="1:12" ht="6.75" customHeight="1">
      <c r="B46" s="86"/>
      <c r="C46" s="18"/>
      <c r="D46" s="19"/>
      <c r="E46" s="133"/>
      <c r="F46" s="20"/>
      <c r="G46" s="87"/>
      <c r="H46" s="22"/>
      <c r="I46" s="14"/>
      <c r="L46" s="22"/>
    </row>
    <row r="47" spans="1:12" ht="15" customHeight="1" thickBot="1">
      <c r="B47" s="127">
        <f>SUM(B18:B45)</f>
        <v>0</v>
      </c>
      <c r="C47" s="40" t="s">
        <v>16</v>
      </c>
      <c r="D47" s="15"/>
      <c r="E47" s="134"/>
      <c r="F47" s="89" t="s">
        <v>15</v>
      </c>
      <c r="G47" s="179"/>
      <c r="H47" s="104"/>
      <c r="I47" s="104"/>
      <c r="J47" s="104"/>
    </row>
    <row r="48" spans="1:12" ht="15" hidden="1" customHeight="1" thickBot="1">
      <c r="B48" s="136"/>
      <c r="C48" s="40"/>
      <c r="D48" s="15"/>
      <c r="E48" s="134"/>
      <c r="F48" s="89" t="s">
        <v>39</v>
      </c>
      <c r="G48" s="144">
        <v>0</v>
      </c>
      <c r="H48" s="104"/>
      <c r="I48" s="104"/>
      <c r="J48" s="104"/>
    </row>
    <row r="49" spans="1:10" ht="15" hidden="1" customHeight="1" thickBot="1">
      <c r="B49" s="136"/>
      <c r="C49" s="40"/>
      <c r="D49" s="15"/>
      <c r="E49" s="134"/>
      <c r="F49" s="89" t="s">
        <v>15</v>
      </c>
      <c r="G49" s="143">
        <f>SUM(G47:G48)</f>
        <v>0</v>
      </c>
      <c r="H49" s="104"/>
      <c r="I49" s="104"/>
      <c r="J49" s="104"/>
    </row>
    <row r="50" spans="1:10" ht="6" customHeight="1">
      <c r="B50" s="88"/>
      <c r="C50" s="40"/>
      <c r="D50" s="15"/>
      <c r="E50" s="134"/>
      <c r="F50" s="25"/>
      <c r="G50" s="90"/>
    </row>
    <row r="51" spans="1:10" s="33" customFormat="1" ht="9.75" customHeight="1">
      <c r="A51" s="29"/>
      <c r="B51" s="91"/>
      <c r="C51" s="31"/>
      <c r="D51" s="32" t="s">
        <v>33</v>
      </c>
      <c r="E51" s="135"/>
      <c r="F51" s="30"/>
      <c r="G51" s="92"/>
      <c r="I51" s="109"/>
    </row>
    <row r="52" spans="1:10" s="33" customFormat="1" ht="15" customHeight="1">
      <c r="A52" s="29"/>
      <c r="B52" s="93" t="s">
        <v>18</v>
      </c>
      <c r="C52" s="35">
        <v>1</v>
      </c>
      <c r="D52" s="35"/>
      <c r="E52" s="129"/>
      <c r="F52" s="29" t="s">
        <v>20</v>
      </c>
      <c r="G52" s="125"/>
    </row>
    <row r="53" spans="1:10" s="33" customFormat="1" ht="6.75" customHeight="1">
      <c r="A53" s="29"/>
      <c r="B53" s="94"/>
      <c r="C53" s="29"/>
      <c r="D53" s="29"/>
      <c r="E53" s="129"/>
      <c r="F53" s="36"/>
      <c r="G53" s="95"/>
    </row>
    <row r="54" spans="1:10" s="33" customFormat="1" ht="11.25" customHeight="1">
      <c r="A54" s="29"/>
      <c r="B54" s="96">
        <f>+G5+30</f>
        <v>30</v>
      </c>
      <c r="C54" s="29"/>
      <c r="D54" s="37">
        <f>G6</f>
        <v>0</v>
      </c>
      <c r="E54" s="130"/>
      <c r="F54" s="183"/>
      <c r="G54" s="184"/>
    </row>
    <row r="55" spans="1:10" s="33" customFormat="1">
      <c r="A55" s="29"/>
      <c r="B55" s="185" t="s">
        <v>34</v>
      </c>
      <c r="C55" s="186"/>
      <c r="D55" s="186"/>
      <c r="E55" s="186"/>
      <c r="F55" s="186"/>
      <c r="G55" s="187"/>
    </row>
    <row r="56" spans="1:10" s="33" customFormat="1">
      <c r="A56" s="38"/>
      <c r="B56" s="97" t="s">
        <v>21</v>
      </c>
      <c r="C56" s="231" t="s">
        <v>22</v>
      </c>
      <c r="D56" s="231"/>
      <c r="E56" s="131"/>
      <c r="F56" s="189" t="str">
        <f>CONCATENATE("el  dia  ",DAY(G5),"  del  mes  ",MONTH(B54),"  del  año  ",YEAR(B54))</f>
        <v>el  dia  0  del  mes  1  del  año  1900</v>
      </c>
      <c r="G56" s="190"/>
    </row>
    <row r="57" spans="1:10" s="33" customFormat="1" ht="11.25" customHeight="1">
      <c r="A57" s="38"/>
      <c r="B57" s="174" t="s">
        <v>23</v>
      </c>
      <c r="C57" s="192"/>
      <c r="D57" s="192"/>
      <c r="E57" s="192"/>
      <c r="F57" s="192"/>
      <c r="G57" s="193"/>
    </row>
    <row r="58" spans="1:10" s="33" customFormat="1">
      <c r="A58" s="36"/>
      <c r="B58" s="226" t="s">
        <v>24</v>
      </c>
      <c r="C58" s="227"/>
      <c r="D58" s="227"/>
      <c r="E58" s="227"/>
      <c r="F58" s="227"/>
      <c r="G58" s="228"/>
    </row>
    <row r="59" spans="1:10" s="33" customFormat="1">
      <c r="A59" s="36"/>
      <c r="B59" s="229"/>
      <c r="C59" s="227"/>
      <c r="D59" s="227"/>
      <c r="E59" s="227"/>
      <c r="F59" s="227"/>
      <c r="G59" s="228"/>
    </row>
    <row r="60" spans="1:10" s="33" customFormat="1">
      <c r="A60" s="36"/>
      <c r="B60" s="98" t="s">
        <v>25</v>
      </c>
      <c r="C60" s="218"/>
      <c r="D60" s="218"/>
      <c r="E60" s="219"/>
      <c r="F60" s="216" t="s">
        <v>26</v>
      </c>
      <c r="G60" s="201"/>
    </row>
    <row r="61" spans="1:10" s="33" customFormat="1" ht="15" customHeight="1">
      <c r="A61" s="36"/>
      <c r="B61" s="99" t="s">
        <v>27</v>
      </c>
      <c r="C61" s="206"/>
      <c r="D61" s="206"/>
      <c r="E61" s="207"/>
      <c r="F61" s="217"/>
      <c r="G61" s="203"/>
    </row>
    <row r="62" spans="1:10" s="33" customFormat="1" ht="11.25" customHeight="1" thickBot="1">
      <c r="A62" s="36"/>
      <c r="B62" s="102"/>
      <c r="C62" s="220"/>
      <c r="D62" s="220"/>
      <c r="E62" s="221"/>
      <c r="F62" s="222" t="s">
        <v>28</v>
      </c>
      <c r="G62" s="223"/>
    </row>
    <row r="63" spans="1:10" s="15" customFormat="1">
      <c r="C63" s="40"/>
      <c r="E63" s="134"/>
    </row>
    <row r="64" spans="1:10" s="15" customFormat="1">
      <c r="C64" s="40"/>
      <c r="E64" s="134"/>
    </row>
    <row r="65" spans="2:6" s="15" customFormat="1">
      <c r="C65" s="40"/>
      <c r="E65" s="134"/>
      <c r="F65" s="165"/>
    </row>
    <row r="66" spans="2:6" s="15" customFormat="1">
      <c r="C66" s="40"/>
      <c r="E66" s="134"/>
    </row>
    <row r="67" spans="2:6" s="15" customFormat="1">
      <c r="C67" s="40"/>
      <c r="E67" s="134"/>
    </row>
    <row r="68" spans="2:6" s="15" customFormat="1">
      <c r="C68" s="40"/>
      <c r="E68" s="134"/>
    </row>
    <row r="69" spans="2:6" s="15" customFormat="1">
      <c r="C69" s="40"/>
      <c r="E69" s="134"/>
    </row>
    <row r="70" spans="2:6" s="15" customFormat="1">
      <c r="C70" s="40"/>
      <c r="E70" s="134"/>
    </row>
    <row r="71" spans="2:6" s="15" customFormat="1">
      <c r="C71" s="40"/>
      <c r="E71" s="134"/>
    </row>
    <row r="72" spans="2:6" s="15" customFormat="1">
      <c r="B72" s="180"/>
      <c r="C72" s="40"/>
      <c r="E72" s="134"/>
    </row>
    <row r="73" spans="2:6" s="15" customFormat="1">
      <c r="C73" s="40"/>
      <c r="E73" s="134"/>
    </row>
    <row r="74" spans="2:6" s="15" customFormat="1">
      <c r="C74" s="40"/>
      <c r="E74" s="134"/>
    </row>
    <row r="75" spans="2:6" s="15" customFormat="1">
      <c r="C75" s="40"/>
      <c r="E75" s="134"/>
    </row>
    <row r="76" spans="2:6" s="15" customFormat="1">
      <c r="C76" s="40"/>
      <c r="E76" s="134"/>
    </row>
    <row r="77" spans="2:6" s="15" customFormat="1">
      <c r="C77" s="40"/>
      <c r="E77" s="134"/>
    </row>
    <row r="78" spans="2:6" s="15" customFormat="1">
      <c r="B78" s="180"/>
      <c r="C78" s="40"/>
      <c r="E78" s="134"/>
    </row>
    <row r="79" spans="2:6" s="15" customFormat="1">
      <c r="C79" s="40"/>
      <c r="E79" s="134"/>
    </row>
    <row r="80" spans="2:6" s="15" customFormat="1">
      <c r="C80" s="40"/>
      <c r="E80" s="134"/>
    </row>
    <row r="81" spans="2:5" s="15" customFormat="1">
      <c r="C81" s="40"/>
      <c r="E81" s="134"/>
    </row>
    <row r="82" spans="2:5" s="15" customFormat="1">
      <c r="C82" s="40"/>
      <c r="E82" s="134"/>
    </row>
    <row r="83" spans="2:5" s="15" customFormat="1">
      <c r="C83" s="40"/>
      <c r="E83" s="134"/>
    </row>
    <row r="84" spans="2:5" s="15" customFormat="1">
      <c r="B84" s="180"/>
      <c r="C84" s="40"/>
      <c r="E84" s="134"/>
    </row>
    <row r="85" spans="2:5" s="15" customFormat="1">
      <c r="C85" s="40"/>
      <c r="E85" s="134"/>
    </row>
    <row r="86" spans="2:5" s="15" customFormat="1">
      <c r="C86" s="40"/>
      <c r="E86" s="134"/>
    </row>
    <row r="87" spans="2:5" s="15" customFormat="1">
      <c r="C87" s="40"/>
      <c r="E87" s="134"/>
    </row>
    <row r="88" spans="2:5" s="15" customFormat="1">
      <c r="C88" s="40"/>
      <c r="E88" s="134"/>
    </row>
    <row r="89" spans="2:5" s="15" customFormat="1">
      <c r="C89" s="40"/>
      <c r="E89" s="134"/>
    </row>
    <row r="90" spans="2:5" s="15" customFormat="1">
      <c r="B90" s="180"/>
      <c r="C90" s="40"/>
      <c r="E90" s="134"/>
    </row>
    <row r="91" spans="2:5" s="15" customFormat="1">
      <c r="C91" s="40"/>
      <c r="E91" s="134"/>
    </row>
    <row r="92" spans="2:5" s="15" customFormat="1">
      <c r="C92" s="40"/>
      <c r="E92" s="134"/>
    </row>
    <row r="93" spans="2:5" s="15" customFormat="1">
      <c r="C93" s="40"/>
      <c r="E93" s="134"/>
    </row>
    <row r="94" spans="2:5" s="15" customFormat="1">
      <c r="C94" s="40"/>
      <c r="E94" s="134"/>
    </row>
    <row r="95" spans="2:5" s="15" customFormat="1">
      <c r="C95" s="40"/>
      <c r="E95" s="134"/>
    </row>
    <row r="96" spans="2:5" s="15" customFormat="1">
      <c r="B96" s="180"/>
      <c r="C96" s="40"/>
      <c r="E96" s="134"/>
    </row>
    <row r="97" spans="2:5" s="15" customFormat="1">
      <c r="C97" s="40"/>
      <c r="E97" s="134"/>
    </row>
    <row r="98" spans="2:5" s="15" customFormat="1">
      <c r="C98" s="40"/>
      <c r="E98" s="134"/>
    </row>
    <row r="99" spans="2:5" s="15" customFormat="1">
      <c r="C99" s="40"/>
      <c r="E99" s="134"/>
    </row>
    <row r="100" spans="2:5" s="15" customFormat="1">
      <c r="C100" s="40"/>
      <c r="E100" s="134"/>
    </row>
    <row r="101" spans="2:5" s="15" customFormat="1">
      <c r="C101" s="40"/>
      <c r="E101" s="134"/>
    </row>
    <row r="102" spans="2:5" s="15" customFormat="1">
      <c r="B102" s="180"/>
      <c r="C102" s="40"/>
      <c r="E102" s="134"/>
    </row>
    <row r="103" spans="2:5" s="15" customFormat="1">
      <c r="C103" s="40"/>
      <c r="E103" s="134"/>
    </row>
    <row r="104" spans="2:5" s="15" customFormat="1">
      <c r="C104" s="40"/>
      <c r="E104" s="134"/>
    </row>
    <row r="105" spans="2:5" s="15" customFormat="1">
      <c r="C105" s="40"/>
      <c r="E105" s="134"/>
    </row>
    <row r="106" spans="2:5" s="15" customFormat="1">
      <c r="C106" s="40"/>
      <c r="E106" s="134"/>
    </row>
    <row r="107" spans="2:5" s="15" customFormat="1">
      <c r="C107" s="40"/>
      <c r="E107" s="134"/>
    </row>
    <row r="108" spans="2:5" s="15" customFormat="1">
      <c r="B108" s="180"/>
      <c r="C108" s="40"/>
      <c r="E108" s="134"/>
    </row>
    <row r="109" spans="2:5" s="15" customFormat="1">
      <c r="C109" s="40"/>
      <c r="E109" s="134"/>
    </row>
    <row r="110" spans="2:5" s="15" customFormat="1">
      <c r="C110" s="40"/>
      <c r="E110" s="134"/>
    </row>
    <row r="111" spans="2:5" s="15" customFormat="1">
      <c r="C111" s="40"/>
      <c r="E111" s="134"/>
    </row>
    <row r="112" spans="2:5" s="15" customFormat="1">
      <c r="C112" s="40"/>
      <c r="E112" s="134"/>
    </row>
    <row r="113" spans="2:5" s="15" customFormat="1">
      <c r="C113" s="40"/>
      <c r="E113" s="134"/>
    </row>
    <row r="114" spans="2:5" s="15" customFormat="1">
      <c r="B114" s="180"/>
      <c r="C114" s="40"/>
      <c r="E114" s="134"/>
    </row>
    <row r="115" spans="2:5" s="15" customFormat="1">
      <c r="C115" s="40"/>
      <c r="E115" s="134"/>
    </row>
    <row r="116" spans="2:5" s="15" customFormat="1">
      <c r="C116" s="40"/>
      <c r="E116" s="134"/>
    </row>
    <row r="117" spans="2:5" s="15" customFormat="1">
      <c r="C117" s="40"/>
      <c r="E117" s="134"/>
    </row>
    <row r="118" spans="2:5" s="15" customFormat="1">
      <c r="C118" s="40"/>
      <c r="E118" s="134"/>
    </row>
    <row r="119" spans="2:5" s="15" customFormat="1">
      <c r="C119" s="40"/>
      <c r="E119" s="134"/>
    </row>
    <row r="120" spans="2:5" s="15" customFormat="1">
      <c r="B120" s="180"/>
      <c r="C120" s="40"/>
      <c r="E120" s="134"/>
    </row>
    <row r="121" spans="2:5" s="15" customFormat="1">
      <c r="C121" s="40"/>
      <c r="E121" s="134"/>
    </row>
    <row r="122" spans="2:5" s="15" customFormat="1">
      <c r="C122" s="40"/>
      <c r="E122" s="134"/>
    </row>
    <row r="123" spans="2:5" s="15" customFormat="1">
      <c r="C123" s="40"/>
      <c r="E123" s="134"/>
    </row>
    <row r="124" spans="2:5" s="15" customFormat="1">
      <c r="C124" s="40"/>
      <c r="E124" s="134"/>
    </row>
    <row r="125" spans="2:5" s="15" customFormat="1">
      <c r="C125" s="40"/>
      <c r="E125" s="134"/>
    </row>
    <row r="126" spans="2:5" s="15" customFormat="1">
      <c r="B126" s="180"/>
      <c r="C126" s="40"/>
      <c r="E126" s="134"/>
    </row>
    <row r="127" spans="2:5" s="15" customFormat="1">
      <c r="C127" s="40"/>
      <c r="E127" s="134"/>
    </row>
    <row r="128" spans="2:5" s="15" customFormat="1">
      <c r="C128" s="40"/>
      <c r="E128" s="134"/>
    </row>
    <row r="129" spans="2:5" s="15" customFormat="1">
      <c r="C129" s="40"/>
      <c r="E129" s="134"/>
    </row>
    <row r="130" spans="2:5" s="15" customFormat="1">
      <c r="C130" s="40"/>
      <c r="E130" s="134"/>
    </row>
    <row r="131" spans="2:5" s="15" customFormat="1">
      <c r="C131" s="40"/>
      <c r="E131" s="134"/>
    </row>
    <row r="132" spans="2:5" s="15" customFormat="1">
      <c r="B132" s="180"/>
      <c r="C132" s="40"/>
      <c r="E132" s="134"/>
    </row>
    <row r="133" spans="2:5" s="15" customFormat="1">
      <c r="C133" s="40"/>
      <c r="E133" s="134"/>
    </row>
    <row r="134" spans="2:5" s="15" customFormat="1">
      <c r="C134" s="40"/>
      <c r="E134" s="134"/>
    </row>
    <row r="135" spans="2:5" s="15" customFormat="1">
      <c r="C135" s="40"/>
      <c r="E135" s="134"/>
    </row>
    <row r="136" spans="2:5" s="15" customFormat="1">
      <c r="C136" s="40"/>
      <c r="E136" s="134"/>
    </row>
    <row r="137" spans="2:5" s="15" customFormat="1">
      <c r="C137" s="40"/>
      <c r="E137" s="134"/>
    </row>
    <row r="138" spans="2:5" s="15" customFormat="1">
      <c r="B138" s="180"/>
      <c r="C138" s="40"/>
      <c r="E138" s="134"/>
    </row>
    <row r="139" spans="2:5" s="15" customFormat="1">
      <c r="C139" s="40"/>
      <c r="E139" s="134"/>
    </row>
    <row r="140" spans="2:5" s="15" customFormat="1">
      <c r="C140" s="40"/>
      <c r="E140" s="134"/>
    </row>
    <row r="141" spans="2:5" s="15" customFormat="1">
      <c r="C141" s="40"/>
      <c r="E141" s="134"/>
    </row>
    <row r="142" spans="2:5" s="15" customFormat="1">
      <c r="C142" s="40"/>
      <c r="E142" s="134"/>
    </row>
    <row r="143" spans="2:5" s="15" customFormat="1">
      <c r="C143" s="40"/>
      <c r="E143" s="134"/>
    </row>
    <row r="144" spans="2:5" s="15" customFormat="1">
      <c r="B144" s="180"/>
      <c r="C144" s="40"/>
      <c r="E144" s="134"/>
    </row>
    <row r="145" spans="2:5" s="15" customFormat="1">
      <c r="C145" s="40"/>
      <c r="E145" s="134"/>
    </row>
    <row r="146" spans="2:5" s="15" customFormat="1">
      <c r="C146" s="40"/>
      <c r="E146" s="134"/>
    </row>
    <row r="147" spans="2:5" s="15" customFormat="1">
      <c r="C147" s="40"/>
      <c r="E147" s="134"/>
    </row>
    <row r="148" spans="2:5" s="15" customFormat="1">
      <c r="C148" s="40"/>
      <c r="E148" s="134"/>
    </row>
    <row r="149" spans="2:5" s="15" customFormat="1">
      <c r="C149" s="40"/>
      <c r="E149" s="134"/>
    </row>
    <row r="150" spans="2:5" s="15" customFormat="1">
      <c r="B150" s="180"/>
      <c r="C150" s="40"/>
      <c r="E150" s="134"/>
    </row>
    <row r="151" spans="2:5" s="15" customFormat="1">
      <c r="C151" s="40"/>
      <c r="E151" s="134"/>
    </row>
    <row r="152" spans="2:5" s="15" customFormat="1">
      <c r="C152" s="40"/>
      <c r="E152" s="134"/>
    </row>
    <row r="153" spans="2:5" s="15" customFormat="1">
      <c r="C153" s="40"/>
      <c r="E153" s="134"/>
    </row>
    <row r="154" spans="2:5" s="15" customFormat="1">
      <c r="C154" s="40"/>
      <c r="E154" s="134"/>
    </row>
    <row r="155" spans="2:5" s="15" customFormat="1">
      <c r="C155" s="40"/>
      <c r="E155" s="134"/>
    </row>
    <row r="156" spans="2:5" s="15" customFormat="1">
      <c r="B156" s="180"/>
      <c r="C156" s="40"/>
      <c r="E156" s="134"/>
    </row>
    <row r="157" spans="2:5" s="15" customFormat="1">
      <c r="C157" s="40"/>
      <c r="E157" s="134"/>
    </row>
    <row r="158" spans="2:5" s="15" customFormat="1">
      <c r="C158" s="40"/>
      <c r="E158" s="134"/>
    </row>
    <row r="159" spans="2:5" s="15" customFormat="1">
      <c r="C159" s="40"/>
      <c r="E159" s="134"/>
    </row>
    <row r="160" spans="2:5" s="15" customFormat="1">
      <c r="C160" s="40"/>
      <c r="E160" s="134"/>
    </row>
    <row r="161" spans="2:5" s="15" customFormat="1">
      <c r="C161" s="40"/>
      <c r="E161" s="134"/>
    </row>
    <row r="162" spans="2:5" s="15" customFormat="1">
      <c r="B162" s="180"/>
      <c r="C162" s="40"/>
      <c r="E162" s="134"/>
    </row>
    <row r="163" spans="2:5" s="15" customFormat="1">
      <c r="C163" s="40"/>
      <c r="E163" s="134"/>
    </row>
    <row r="164" spans="2:5" s="15" customFormat="1">
      <c r="C164" s="40"/>
      <c r="E164" s="134"/>
    </row>
    <row r="165" spans="2:5" s="15" customFormat="1">
      <c r="C165" s="40"/>
      <c r="E165" s="134"/>
    </row>
    <row r="166" spans="2:5" s="15" customFormat="1">
      <c r="C166" s="40"/>
      <c r="E166" s="134"/>
    </row>
    <row r="167" spans="2:5" s="15" customFormat="1">
      <c r="C167" s="40"/>
      <c r="E167" s="134"/>
    </row>
    <row r="168" spans="2:5" s="15" customFormat="1">
      <c r="B168" s="180"/>
      <c r="C168" s="40"/>
      <c r="E168" s="134"/>
    </row>
    <row r="169" spans="2:5" s="15" customFormat="1">
      <c r="C169" s="40"/>
      <c r="E169" s="134"/>
    </row>
    <row r="170" spans="2:5" s="15" customFormat="1">
      <c r="C170" s="40"/>
      <c r="E170" s="134"/>
    </row>
    <row r="171" spans="2:5" s="15" customFormat="1">
      <c r="C171" s="40"/>
      <c r="E171" s="134"/>
    </row>
    <row r="172" spans="2:5" s="15" customFormat="1">
      <c r="C172" s="40"/>
      <c r="E172" s="134"/>
    </row>
    <row r="173" spans="2:5" s="15" customFormat="1">
      <c r="C173" s="40"/>
      <c r="E173" s="134"/>
    </row>
    <row r="174" spans="2:5" s="15" customFormat="1">
      <c r="C174" s="40"/>
      <c r="E174" s="134"/>
    </row>
    <row r="175" spans="2:5" s="15" customFormat="1">
      <c r="C175" s="40"/>
      <c r="E175" s="134"/>
    </row>
    <row r="176" spans="2:5" s="15" customFormat="1">
      <c r="C176" s="40"/>
      <c r="E176" s="134"/>
    </row>
    <row r="177" spans="3:5" s="15" customFormat="1">
      <c r="C177" s="40"/>
      <c r="E177" s="134"/>
    </row>
    <row r="178" spans="3:5" s="15" customFormat="1">
      <c r="C178" s="40"/>
      <c r="E178" s="134"/>
    </row>
    <row r="179" spans="3:5" s="15" customFormat="1">
      <c r="C179" s="40"/>
      <c r="E179" s="134"/>
    </row>
    <row r="180" spans="3:5" s="15" customFormat="1">
      <c r="C180" s="40"/>
      <c r="E180" s="134"/>
    </row>
    <row r="181" spans="3:5" s="15" customFormat="1">
      <c r="C181" s="40"/>
      <c r="E181" s="134"/>
    </row>
    <row r="182" spans="3:5" s="15" customFormat="1">
      <c r="C182" s="40"/>
      <c r="E182" s="134"/>
    </row>
    <row r="183" spans="3:5" s="15" customFormat="1">
      <c r="C183" s="40"/>
      <c r="E183" s="134"/>
    </row>
    <row r="184" spans="3:5" s="15" customFormat="1">
      <c r="C184" s="40"/>
      <c r="E184" s="134"/>
    </row>
    <row r="185" spans="3:5" s="15" customFormat="1">
      <c r="C185" s="40"/>
      <c r="E185" s="134"/>
    </row>
    <row r="186" spans="3:5" s="15" customFormat="1">
      <c r="C186" s="40"/>
      <c r="E186" s="134"/>
    </row>
    <row r="187" spans="3:5" s="15" customFormat="1">
      <c r="C187" s="40"/>
      <c r="E187" s="134"/>
    </row>
    <row r="188" spans="3:5" s="15" customFormat="1">
      <c r="C188" s="40"/>
      <c r="E188" s="134"/>
    </row>
    <row r="189" spans="3:5" s="15" customFormat="1">
      <c r="C189" s="40"/>
      <c r="E189" s="134"/>
    </row>
    <row r="190" spans="3:5" s="15" customFormat="1">
      <c r="C190" s="40"/>
      <c r="E190" s="134"/>
    </row>
    <row r="191" spans="3:5" s="15" customFormat="1">
      <c r="C191" s="40"/>
      <c r="E191" s="134"/>
    </row>
    <row r="192" spans="3:5" s="15" customFormat="1">
      <c r="C192" s="40"/>
      <c r="E192" s="134"/>
    </row>
    <row r="193" spans="3:5" s="15" customFormat="1">
      <c r="C193" s="40"/>
      <c r="E193" s="134"/>
    </row>
    <row r="194" spans="3:5" s="15" customFormat="1">
      <c r="C194" s="40"/>
      <c r="E194" s="134"/>
    </row>
    <row r="195" spans="3:5" s="15" customFormat="1">
      <c r="C195" s="40"/>
      <c r="E195" s="134"/>
    </row>
    <row r="196" spans="3:5" s="15" customFormat="1">
      <c r="C196" s="40"/>
      <c r="E196" s="134"/>
    </row>
    <row r="197" spans="3:5" s="15" customFormat="1">
      <c r="C197" s="40"/>
      <c r="E197" s="134"/>
    </row>
    <row r="198" spans="3:5" s="15" customFormat="1">
      <c r="C198" s="40"/>
      <c r="E198" s="134"/>
    </row>
    <row r="199" spans="3:5" s="15" customFormat="1">
      <c r="C199" s="40"/>
      <c r="E199" s="134"/>
    </row>
    <row r="200" spans="3:5" s="15" customFormat="1">
      <c r="C200" s="40"/>
      <c r="E200" s="134"/>
    </row>
    <row r="201" spans="3:5" s="15" customFormat="1">
      <c r="C201" s="40"/>
      <c r="E201" s="134"/>
    </row>
    <row r="202" spans="3:5" s="15" customFormat="1">
      <c r="C202" s="40"/>
      <c r="E202" s="134"/>
    </row>
    <row r="203" spans="3:5" s="15" customFormat="1">
      <c r="C203" s="40"/>
      <c r="E203" s="134"/>
    </row>
    <row r="204" spans="3:5" s="15" customFormat="1">
      <c r="C204" s="40"/>
      <c r="E204" s="134"/>
    </row>
    <row r="205" spans="3:5" s="15" customFormat="1">
      <c r="C205" s="40"/>
      <c r="E205" s="134"/>
    </row>
    <row r="206" spans="3:5" s="15" customFormat="1">
      <c r="C206" s="40"/>
      <c r="E206" s="134"/>
    </row>
    <row r="207" spans="3:5" s="15" customFormat="1">
      <c r="C207" s="40"/>
      <c r="E207" s="134"/>
    </row>
    <row r="208" spans="3:5" s="15" customFormat="1">
      <c r="C208" s="40"/>
      <c r="E208" s="134"/>
    </row>
    <row r="209" spans="3:5" s="15" customFormat="1">
      <c r="C209" s="40"/>
      <c r="E209" s="134"/>
    </row>
    <row r="210" spans="3:5" s="15" customFormat="1">
      <c r="C210" s="40"/>
      <c r="E210" s="134"/>
    </row>
    <row r="211" spans="3:5" s="15" customFormat="1">
      <c r="C211" s="40"/>
      <c r="E211" s="134"/>
    </row>
    <row r="212" spans="3:5" s="15" customFormat="1">
      <c r="C212" s="40"/>
      <c r="E212" s="134"/>
    </row>
    <row r="213" spans="3:5" s="15" customFormat="1">
      <c r="C213" s="40"/>
      <c r="E213" s="134"/>
    </row>
    <row r="214" spans="3:5" s="15" customFormat="1">
      <c r="C214" s="40"/>
      <c r="E214" s="134"/>
    </row>
    <row r="215" spans="3:5" s="15" customFormat="1">
      <c r="C215" s="40"/>
      <c r="E215" s="134"/>
    </row>
    <row r="216" spans="3:5" s="15" customFormat="1">
      <c r="C216" s="40"/>
      <c r="E216" s="134"/>
    </row>
    <row r="217" spans="3:5" s="15" customFormat="1">
      <c r="C217" s="40"/>
      <c r="E217" s="134"/>
    </row>
    <row r="218" spans="3:5" s="15" customFormat="1">
      <c r="C218" s="40"/>
      <c r="E218" s="134"/>
    </row>
    <row r="219" spans="3:5" s="15" customFormat="1">
      <c r="C219" s="40"/>
      <c r="E219" s="134"/>
    </row>
    <row r="220" spans="3:5" s="15" customFormat="1">
      <c r="C220" s="40"/>
      <c r="E220" s="134"/>
    </row>
    <row r="221" spans="3:5" s="15" customFormat="1">
      <c r="C221" s="40"/>
      <c r="E221" s="134"/>
    </row>
    <row r="222" spans="3:5" s="15" customFormat="1">
      <c r="C222" s="40"/>
      <c r="E222" s="134"/>
    </row>
    <row r="223" spans="3:5" s="15" customFormat="1">
      <c r="C223" s="40"/>
      <c r="E223" s="134"/>
    </row>
    <row r="224" spans="3:5" s="15" customFormat="1">
      <c r="C224" s="40"/>
      <c r="E224" s="134"/>
    </row>
    <row r="225" spans="3:5" s="15" customFormat="1">
      <c r="C225" s="40"/>
      <c r="E225" s="134"/>
    </row>
    <row r="226" spans="3:5" s="15" customFormat="1">
      <c r="C226" s="40"/>
      <c r="E226" s="134"/>
    </row>
    <row r="227" spans="3:5" s="15" customFormat="1">
      <c r="C227" s="40"/>
      <c r="E227" s="134"/>
    </row>
    <row r="228" spans="3:5" s="15" customFormat="1">
      <c r="C228" s="40"/>
      <c r="E228" s="134"/>
    </row>
    <row r="229" spans="3:5" s="15" customFormat="1">
      <c r="C229" s="40"/>
      <c r="E229" s="134"/>
    </row>
    <row r="230" spans="3:5" s="15" customFormat="1">
      <c r="C230" s="40"/>
      <c r="E230" s="134"/>
    </row>
    <row r="231" spans="3:5" s="15" customFormat="1">
      <c r="C231" s="40"/>
      <c r="E231" s="134"/>
    </row>
    <row r="232" spans="3:5" s="15" customFormat="1">
      <c r="C232" s="40"/>
      <c r="E232" s="134"/>
    </row>
    <row r="233" spans="3:5" s="15" customFormat="1">
      <c r="C233" s="40"/>
      <c r="E233" s="134"/>
    </row>
    <row r="234" spans="3:5" s="15" customFormat="1">
      <c r="C234" s="40"/>
      <c r="E234" s="134"/>
    </row>
    <row r="235" spans="3:5" s="15" customFormat="1">
      <c r="C235" s="40"/>
      <c r="E235" s="134"/>
    </row>
    <row r="236" spans="3:5" s="15" customFormat="1">
      <c r="C236" s="40"/>
      <c r="E236" s="134"/>
    </row>
    <row r="237" spans="3:5" s="15" customFormat="1">
      <c r="C237" s="40"/>
      <c r="E237" s="134"/>
    </row>
    <row r="238" spans="3:5" s="15" customFormat="1">
      <c r="C238" s="40"/>
      <c r="E238" s="134"/>
    </row>
    <row r="239" spans="3:5" s="15" customFormat="1">
      <c r="C239" s="40"/>
      <c r="E239" s="134"/>
    </row>
    <row r="240" spans="3:5" s="15" customFormat="1">
      <c r="C240" s="40"/>
      <c r="E240" s="134"/>
    </row>
    <row r="241" spans="3:5" s="15" customFormat="1">
      <c r="C241" s="40"/>
      <c r="E241" s="134"/>
    </row>
    <row r="242" spans="3:5" s="15" customFormat="1">
      <c r="C242" s="40"/>
      <c r="E242" s="134"/>
    </row>
    <row r="243" spans="3:5" s="15" customFormat="1">
      <c r="C243" s="40"/>
      <c r="E243" s="134"/>
    </row>
    <row r="244" spans="3:5" s="15" customFormat="1">
      <c r="C244" s="40"/>
      <c r="E244" s="134"/>
    </row>
    <row r="245" spans="3:5" s="15" customFormat="1">
      <c r="C245" s="40"/>
      <c r="E245" s="134"/>
    </row>
    <row r="246" spans="3:5" s="15" customFormat="1">
      <c r="C246" s="40"/>
      <c r="E246" s="134"/>
    </row>
    <row r="247" spans="3:5" s="15" customFormat="1">
      <c r="C247" s="40"/>
      <c r="E247" s="134"/>
    </row>
    <row r="248" spans="3:5" s="15" customFormat="1">
      <c r="C248" s="40"/>
      <c r="E248" s="134"/>
    </row>
    <row r="249" spans="3:5" s="15" customFormat="1">
      <c r="C249" s="40"/>
      <c r="E249" s="134"/>
    </row>
    <row r="250" spans="3:5" s="15" customFormat="1">
      <c r="C250" s="40"/>
      <c r="E250" s="134"/>
    </row>
    <row r="251" spans="3:5" s="15" customFormat="1">
      <c r="C251" s="40"/>
      <c r="E251" s="134"/>
    </row>
    <row r="252" spans="3:5" s="15" customFormat="1">
      <c r="C252" s="40"/>
      <c r="E252" s="134"/>
    </row>
    <row r="253" spans="3:5" s="15" customFormat="1">
      <c r="C253" s="40"/>
      <c r="E253" s="134"/>
    </row>
    <row r="254" spans="3:5" s="15" customFormat="1">
      <c r="C254" s="40"/>
      <c r="E254" s="134"/>
    </row>
    <row r="255" spans="3:5" s="15" customFormat="1">
      <c r="C255" s="40"/>
      <c r="E255" s="134"/>
    </row>
    <row r="256" spans="3:5" s="15" customFormat="1">
      <c r="C256" s="40"/>
      <c r="E256" s="134"/>
    </row>
    <row r="257" spans="3:5" s="15" customFormat="1">
      <c r="C257" s="40"/>
      <c r="E257" s="134"/>
    </row>
    <row r="258" spans="3:5" s="15" customFormat="1">
      <c r="C258" s="40"/>
      <c r="E258" s="134"/>
    </row>
    <row r="259" spans="3:5" s="15" customFormat="1">
      <c r="C259" s="40"/>
      <c r="E259" s="134"/>
    </row>
    <row r="260" spans="3:5" s="15" customFormat="1">
      <c r="C260" s="40"/>
      <c r="E260" s="134"/>
    </row>
    <row r="261" spans="3:5" s="15" customFormat="1">
      <c r="C261" s="40"/>
      <c r="E261" s="134"/>
    </row>
    <row r="262" spans="3:5" s="15" customFormat="1">
      <c r="C262" s="40"/>
      <c r="E262" s="134"/>
    </row>
    <row r="263" spans="3:5" s="15" customFormat="1">
      <c r="C263" s="40"/>
      <c r="E263" s="134"/>
    </row>
    <row r="264" spans="3:5" s="15" customFormat="1">
      <c r="C264" s="40"/>
      <c r="E264" s="134"/>
    </row>
    <row r="265" spans="3:5" s="15" customFormat="1">
      <c r="C265" s="40"/>
      <c r="E265" s="134"/>
    </row>
    <row r="266" spans="3:5" s="15" customFormat="1">
      <c r="C266" s="40"/>
      <c r="E266" s="134"/>
    </row>
    <row r="267" spans="3:5" s="15" customFormat="1">
      <c r="C267" s="40"/>
      <c r="E267" s="134"/>
    </row>
    <row r="268" spans="3:5" s="15" customFormat="1">
      <c r="C268" s="40"/>
      <c r="E268" s="134"/>
    </row>
    <row r="269" spans="3:5" s="15" customFormat="1">
      <c r="C269" s="40"/>
      <c r="E269" s="134"/>
    </row>
    <row r="270" spans="3:5" s="15" customFormat="1">
      <c r="C270" s="40"/>
      <c r="E270" s="134"/>
    </row>
    <row r="271" spans="3:5" s="15" customFormat="1">
      <c r="C271" s="40"/>
      <c r="E271" s="134"/>
    </row>
    <row r="272" spans="3:5" s="15" customFormat="1">
      <c r="C272" s="40"/>
      <c r="E272" s="134"/>
    </row>
    <row r="273" spans="3:5" s="15" customFormat="1">
      <c r="C273" s="40"/>
      <c r="E273" s="134"/>
    </row>
    <row r="274" spans="3:5" s="15" customFormat="1">
      <c r="C274" s="40"/>
      <c r="E274" s="134"/>
    </row>
    <row r="275" spans="3:5" s="15" customFormat="1">
      <c r="C275" s="40"/>
      <c r="E275" s="134"/>
    </row>
    <row r="276" spans="3:5" s="15" customFormat="1">
      <c r="C276" s="40"/>
      <c r="E276" s="134"/>
    </row>
    <row r="277" spans="3:5" s="15" customFormat="1">
      <c r="C277" s="40"/>
      <c r="E277" s="134"/>
    </row>
    <row r="278" spans="3:5" s="15" customFormat="1">
      <c r="C278" s="40"/>
      <c r="E278" s="134"/>
    </row>
    <row r="279" spans="3:5" s="15" customFormat="1">
      <c r="C279" s="40"/>
      <c r="E279" s="134"/>
    </row>
    <row r="280" spans="3:5" s="15" customFormat="1">
      <c r="C280" s="40"/>
      <c r="E280" s="134"/>
    </row>
    <row r="281" spans="3:5" s="15" customFormat="1">
      <c r="C281" s="40"/>
      <c r="E281" s="134"/>
    </row>
    <row r="282" spans="3:5" s="15" customFormat="1">
      <c r="C282" s="40"/>
      <c r="E282" s="134"/>
    </row>
    <row r="283" spans="3:5" s="15" customFormat="1">
      <c r="C283" s="40"/>
      <c r="E283" s="134"/>
    </row>
    <row r="284" spans="3:5" s="15" customFormat="1">
      <c r="C284" s="40"/>
      <c r="E284" s="134"/>
    </row>
    <row r="285" spans="3:5" s="15" customFormat="1">
      <c r="C285" s="40"/>
      <c r="E285" s="134"/>
    </row>
    <row r="286" spans="3:5" s="15" customFormat="1">
      <c r="C286" s="40"/>
      <c r="E286" s="134"/>
    </row>
    <row r="287" spans="3:5" s="15" customFormat="1">
      <c r="C287" s="40"/>
      <c r="E287" s="134"/>
    </row>
    <row r="288" spans="3:5" s="15" customFormat="1">
      <c r="C288" s="40"/>
      <c r="E288" s="134"/>
    </row>
    <row r="289" spans="3:5" s="15" customFormat="1">
      <c r="C289" s="40"/>
      <c r="E289" s="134"/>
    </row>
    <row r="290" spans="3:5" s="15" customFormat="1">
      <c r="C290" s="40"/>
      <c r="E290" s="134"/>
    </row>
    <row r="291" spans="3:5" s="15" customFormat="1">
      <c r="C291" s="40"/>
      <c r="E291" s="134"/>
    </row>
    <row r="292" spans="3:5" s="15" customFormat="1">
      <c r="C292" s="40"/>
      <c r="E292" s="134"/>
    </row>
    <row r="293" spans="3:5" s="15" customFormat="1">
      <c r="C293" s="40"/>
      <c r="E293" s="134"/>
    </row>
    <row r="294" spans="3:5" s="15" customFormat="1">
      <c r="C294" s="40"/>
      <c r="E294" s="134"/>
    </row>
    <row r="295" spans="3:5" s="15" customFormat="1">
      <c r="C295" s="40"/>
      <c r="E295" s="134"/>
    </row>
    <row r="296" spans="3:5" s="15" customFormat="1">
      <c r="C296" s="40"/>
      <c r="E296" s="134"/>
    </row>
    <row r="297" spans="3:5" s="15" customFormat="1">
      <c r="C297" s="40"/>
      <c r="E297" s="134"/>
    </row>
    <row r="298" spans="3:5" s="15" customFormat="1">
      <c r="C298" s="40"/>
      <c r="E298" s="134"/>
    </row>
    <row r="299" spans="3:5" s="15" customFormat="1">
      <c r="C299" s="40"/>
      <c r="E299" s="134"/>
    </row>
    <row r="300" spans="3:5" s="15" customFormat="1">
      <c r="C300" s="40"/>
      <c r="E300" s="134"/>
    </row>
    <row r="301" spans="3:5" s="15" customFormat="1">
      <c r="C301" s="40"/>
      <c r="E301" s="134"/>
    </row>
    <row r="302" spans="3:5" s="15" customFormat="1">
      <c r="C302" s="40"/>
      <c r="E302" s="134"/>
    </row>
    <row r="303" spans="3:5" s="15" customFormat="1">
      <c r="C303" s="40"/>
      <c r="E303" s="134"/>
    </row>
    <row r="304" spans="3:5" s="15" customFormat="1">
      <c r="C304" s="40"/>
      <c r="E304" s="134"/>
    </row>
    <row r="305" spans="3:5" s="15" customFormat="1">
      <c r="C305" s="40"/>
      <c r="E305" s="134"/>
    </row>
    <row r="306" spans="3:5" s="15" customFormat="1">
      <c r="C306" s="40"/>
      <c r="E306" s="134"/>
    </row>
    <row r="307" spans="3:5" s="15" customFormat="1">
      <c r="C307" s="40"/>
      <c r="E307" s="134"/>
    </row>
    <row r="308" spans="3:5" s="15" customFormat="1">
      <c r="C308" s="40"/>
      <c r="E308" s="134"/>
    </row>
    <row r="309" spans="3:5" s="15" customFormat="1">
      <c r="C309" s="40"/>
      <c r="E309" s="134"/>
    </row>
    <row r="310" spans="3:5" s="15" customFormat="1">
      <c r="C310" s="40"/>
      <c r="E310" s="134"/>
    </row>
    <row r="311" spans="3:5" s="15" customFormat="1">
      <c r="C311" s="40"/>
      <c r="E311" s="134"/>
    </row>
    <row r="312" spans="3:5" s="15" customFormat="1">
      <c r="C312" s="40"/>
      <c r="E312" s="134"/>
    </row>
    <row r="313" spans="3:5" s="15" customFormat="1">
      <c r="C313" s="40"/>
      <c r="E313" s="134"/>
    </row>
    <row r="314" spans="3:5" s="15" customFormat="1">
      <c r="C314" s="40"/>
      <c r="E314" s="134"/>
    </row>
    <row r="315" spans="3:5" s="15" customFormat="1">
      <c r="C315" s="40"/>
      <c r="E315" s="134"/>
    </row>
    <row r="316" spans="3:5" s="15" customFormat="1">
      <c r="C316" s="40"/>
      <c r="E316" s="134"/>
    </row>
    <row r="317" spans="3:5" s="15" customFormat="1">
      <c r="C317" s="40"/>
      <c r="E317" s="134"/>
    </row>
    <row r="318" spans="3:5" s="15" customFormat="1">
      <c r="C318" s="40"/>
      <c r="E318" s="134"/>
    </row>
    <row r="319" spans="3:5" s="15" customFormat="1">
      <c r="C319" s="40"/>
      <c r="E319" s="134"/>
    </row>
    <row r="320" spans="3:5" s="15" customFormat="1">
      <c r="C320" s="40"/>
      <c r="E320" s="134"/>
    </row>
    <row r="321" spans="3:5" s="15" customFormat="1">
      <c r="C321" s="40"/>
      <c r="E321" s="134"/>
    </row>
    <row r="322" spans="3:5" s="15" customFormat="1">
      <c r="C322" s="40"/>
      <c r="E322" s="134"/>
    </row>
    <row r="323" spans="3:5" s="15" customFormat="1">
      <c r="C323" s="40"/>
      <c r="E323" s="134"/>
    </row>
    <row r="324" spans="3:5" s="15" customFormat="1">
      <c r="C324" s="40"/>
      <c r="E324" s="134"/>
    </row>
    <row r="325" spans="3:5" s="15" customFormat="1">
      <c r="C325" s="40"/>
      <c r="E325" s="134"/>
    </row>
    <row r="326" spans="3:5" s="15" customFormat="1">
      <c r="C326" s="40"/>
      <c r="E326" s="134"/>
    </row>
    <row r="327" spans="3:5" s="15" customFormat="1">
      <c r="C327" s="40"/>
      <c r="E327" s="134"/>
    </row>
    <row r="328" spans="3:5" s="15" customFormat="1">
      <c r="C328" s="40"/>
      <c r="E328" s="134"/>
    </row>
    <row r="329" spans="3:5" s="15" customFormat="1">
      <c r="C329" s="40"/>
      <c r="E329" s="134"/>
    </row>
    <row r="330" spans="3:5" s="15" customFormat="1">
      <c r="C330" s="40"/>
      <c r="E330" s="134"/>
    </row>
    <row r="331" spans="3:5" s="15" customFormat="1">
      <c r="C331" s="40"/>
      <c r="E331" s="134"/>
    </row>
    <row r="332" spans="3:5" s="15" customFormat="1">
      <c r="C332" s="40"/>
      <c r="E332" s="134"/>
    </row>
    <row r="333" spans="3:5" s="15" customFormat="1">
      <c r="C333" s="40"/>
      <c r="E333" s="134"/>
    </row>
    <row r="334" spans="3:5" s="15" customFormat="1">
      <c r="C334" s="40"/>
      <c r="E334" s="134"/>
    </row>
    <row r="335" spans="3:5" s="15" customFormat="1">
      <c r="C335" s="40"/>
      <c r="E335" s="134"/>
    </row>
    <row r="336" spans="3:5" s="15" customFormat="1">
      <c r="C336" s="40"/>
      <c r="E336" s="134"/>
    </row>
    <row r="337" spans="3:5" s="15" customFormat="1">
      <c r="C337" s="40"/>
      <c r="E337" s="134"/>
    </row>
    <row r="338" spans="3:5" s="15" customFormat="1">
      <c r="C338" s="40"/>
      <c r="E338" s="134"/>
    </row>
    <row r="339" spans="3:5" s="15" customFormat="1">
      <c r="C339" s="40"/>
      <c r="E339" s="134"/>
    </row>
    <row r="340" spans="3:5" s="15" customFormat="1">
      <c r="C340" s="40"/>
      <c r="E340" s="134"/>
    </row>
    <row r="341" spans="3:5" s="15" customFormat="1">
      <c r="C341" s="40"/>
      <c r="E341" s="134"/>
    </row>
    <row r="342" spans="3:5" s="15" customFormat="1">
      <c r="C342" s="40"/>
      <c r="E342" s="134"/>
    </row>
    <row r="343" spans="3:5" s="15" customFormat="1">
      <c r="C343" s="40"/>
      <c r="E343" s="134"/>
    </row>
    <row r="344" spans="3:5" s="15" customFormat="1">
      <c r="C344" s="40"/>
      <c r="E344" s="134"/>
    </row>
    <row r="345" spans="3:5" s="15" customFormat="1">
      <c r="C345" s="40"/>
      <c r="E345" s="134"/>
    </row>
    <row r="346" spans="3:5" s="15" customFormat="1">
      <c r="C346" s="40"/>
      <c r="E346" s="134"/>
    </row>
    <row r="347" spans="3:5" s="15" customFormat="1">
      <c r="C347" s="40"/>
      <c r="E347" s="134"/>
    </row>
    <row r="348" spans="3:5" s="15" customFormat="1">
      <c r="C348" s="40"/>
      <c r="E348" s="134"/>
    </row>
    <row r="349" spans="3:5" s="15" customFormat="1">
      <c r="C349" s="40"/>
      <c r="E349" s="134"/>
    </row>
    <row r="350" spans="3:5" s="15" customFormat="1">
      <c r="C350" s="40"/>
      <c r="E350" s="134"/>
    </row>
    <row r="351" spans="3:5" s="15" customFormat="1">
      <c r="C351" s="40"/>
      <c r="E351" s="134"/>
    </row>
    <row r="352" spans="3:5" s="15" customFormat="1">
      <c r="C352" s="40"/>
      <c r="E352" s="134"/>
    </row>
    <row r="353" spans="3:5" s="15" customFormat="1">
      <c r="C353" s="40"/>
      <c r="E353" s="134"/>
    </row>
    <row r="354" spans="3:5" s="15" customFormat="1">
      <c r="C354" s="40"/>
      <c r="E354" s="134"/>
    </row>
    <row r="355" spans="3:5" s="15" customFormat="1">
      <c r="C355" s="40"/>
      <c r="E355" s="134"/>
    </row>
    <row r="356" spans="3:5" s="15" customFormat="1">
      <c r="C356" s="40"/>
      <c r="E356" s="134"/>
    </row>
    <row r="357" spans="3:5" s="15" customFormat="1">
      <c r="C357" s="40"/>
      <c r="E357" s="134"/>
    </row>
    <row r="358" spans="3:5" s="15" customFormat="1">
      <c r="C358" s="40"/>
      <c r="E358" s="134"/>
    </row>
    <row r="359" spans="3:5" s="15" customFormat="1">
      <c r="C359" s="40"/>
      <c r="E359" s="134"/>
    </row>
    <row r="360" spans="3:5" s="15" customFormat="1">
      <c r="C360" s="40"/>
      <c r="E360" s="134"/>
    </row>
    <row r="361" spans="3:5" s="15" customFormat="1">
      <c r="C361" s="40"/>
      <c r="E361" s="134"/>
    </row>
    <row r="362" spans="3:5" s="15" customFormat="1">
      <c r="C362" s="40"/>
      <c r="E362" s="134"/>
    </row>
    <row r="363" spans="3:5" s="15" customFormat="1">
      <c r="C363" s="40"/>
      <c r="E363" s="134"/>
    </row>
    <row r="364" spans="3:5" s="15" customFormat="1">
      <c r="C364" s="40"/>
      <c r="E364" s="134"/>
    </row>
    <row r="365" spans="3:5" s="15" customFormat="1">
      <c r="C365" s="40"/>
      <c r="E365" s="134"/>
    </row>
    <row r="366" spans="3:5" s="15" customFormat="1">
      <c r="C366" s="40"/>
      <c r="E366" s="134"/>
    </row>
    <row r="367" spans="3:5" s="15" customFormat="1">
      <c r="C367" s="40"/>
      <c r="E367" s="134"/>
    </row>
    <row r="368" spans="3:5" s="15" customFormat="1">
      <c r="C368" s="40"/>
      <c r="E368" s="134"/>
    </row>
    <row r="369" spans="3:5" s="15" customFormat="1">
      <c r="C369" s="40"/>
      <c r="E369" s="134"/>
    </row>
    <row r="370" spans="3:5" s="15" customFormat="1">
      <c r="C370" s="40"/>
      <c r="E370" s="134"/>
    </row>
    <row r="371" spans="3:5" s="15" customFormat="1">
      <c r="C371" s="40"/>
      <c r="E371" s="134"/>
    </row>
    <row r="372" spans="3:5" s="15" customFormat="1">
      <c r="C372" s="40"/>
      <c r="E372" s="134"/>
    </row>
    <row r="373" spans="3:5" s="15" customFormat="1">
      <c r="C373" s="40"/>
      <c r="E373" s="134"/>
    </row>
    <row r="374" spans="3:5" s="15" customFormat="1">
      <c r="C374" s="40"/>
      <c r="E374" s="134"/>
    </row>
    <row r="375" spans="3:5" s="15" customFormat="1">
      <c r="C375" s="40"/>
      <c r="E375" s="134"/>
    </row>
    <row r="376" spans="3:5" s="15" customFormat="1">
      <c r="C376" s="40"/>
      <c r="E376" s="134"/>
    </row>
    <row r="377" spans="3:5" s="15" customFormat="1">
      <c r="C377" s="40"/>
      <c r="E377" s="134"/>
    </row>
    <row r="378" spans="3:5" s="15" customFormat="1">
      <c r="C378" s="40"/>
      <c r="E378" s="134"/>
    </row>
    <row r="379" spans="3:5" s="15" customFormat="1">
      <c r="C379" s="40"/>
      <c r="E379" s="134"/>
    </row>
    <row r="380" spans="3:5" s="15" customFormat="1">
      <c r="C380" s="40"/>
      <c r="E380" s="134"/>
    </row>
    <row r="381" spans="3:5" s="15" customFormat="1">
      <c r="C381" s="40"/>
      <c r="E381" s="134"/>
    </row>
    <row r="382" spans="3:5" s="15" customFormat="1">
      <c r="C382" s="40"/>
      <c r="E382" s="134"/>
    </row>
    <row r="383" spans="3:5" s="15" customFormat="1">
      <c r="C383" s="40"/>
      <c r="E383" s="134"/>
    </row>
    <row r="384" spans="3:5" s="15" customFormat="1">
      <c r="C384" s="40"/>
      <c r="E384" s="134"/>
    </row>
    <row r="385" spans="3:5" s="15" customFormat="1">
      <c r="C385" s="40"/>
      <c r="E385" s="134"/>
    </row>
    <row r="386" spans="3:5" s="15" customFormat="1">
      <c r="C386" s="40"/>
      <c r="E386" s="134"/>
    </row>
    <row r="387" spans="3:5" s="15" customFormat="1">
      <c r="C387" s="40"/>
      <c r="E387" s="134"/>
    </row>
    <row r="388" spans="3:5" s="15" customFormat="1">
      <c r="C388" s="40"/>
      <c r="E388" s="134"/>
    </row>
    <row r="389" spans="3:5" s="15" customFormat="1">
      <c r="C389" s="40"/>
      <c r="E389" s="134"/>
    </row>
    <row r="390" spans="3:5" s="15" customFormat="1">
      <c r="C390" s="40"/>
      <c r="E390" s="134"/>
    </row>
    <row r="391" spans="3:5" s="15" customFormat="1">
      <c r="C391" s="40"/>
      <c r="E391" s="134"/>
    </row>
    <row r="392" spans="3:5" s="15" customFormat="1">
      <c r="C392" s="40"/>
      <c r="E392" s="134"/>
    </row>
    <row r="393" spans="3:5" s="15" customFormat="1">
      <c r="C393" s="40"/>
      <c r="E393" s="134"/>
    </row>
    <row r="394" spans="3:5" s="15" customFormat="1">
      <c r="C394" s="40"/>
      <c r="E394" s="134"/>
    </row>
    <row r="395" spans="3:5" s="15" customFormat="1">
      <c r="C395" s="40"/>
      <c r="E395" s="134"/>
    </row>
    <row r="396" spans="3:5" s="15" customFormat="1">
      <c r="C396" s="40"/>
      <c r="E396" s="134"/>
    </row>
    <row r="397" spans="3:5" s="15" customFormat="1">
      <c r="C397" s="40"/>
      <c r="E397" s="134"/>
    </row>
    <row r="398" spans="3:5" s="15" customFormat="1">
      <c r="C398" s="40"/>
      <c r="E398" s="134"/>
    </row>
    <row r="399" spans="3:5" s="15" customFormat="1">
      <c r="C399" s="40"/>
      <c r="E399" s="134"/>
    </row>
    <row r="400" spans="3:5" s="15" customFormat="1">
      <c r="C400" s="40"/>
      <c r="E400" s="134"/>
    </row>
    <row r="401" spans="3:5" s="15" customFormat="1">
      <c r="C401" s="40"/>
      <c r="E401" s="134"/>
    </row>
    <row r="402" spans="3:5" s="15" customFormat="1">
      <c r="C402" s="40"/>
      <c r="E402" s="134"/>
    </row>
    <row r="403" spans="3:5" s="15" customFormat="1">
      <c r="C403" s="40"/>
      <c r="E403" s="134"/>
    </row>
    <row r="404" spans="3:5" s="15" customFormat="1">
      <c r="C404" s="40"/>
      <c r="E404" s="134"/>
    </row>
    <row r="405" spans="3:5" s="15" customFormat="1">
      <c r="C405" s="40"/>
      <c r="E405" s="134"/>
    </row>
    <row r="406" spans="3:5" s="15" customFormat="1">
      <c r="C406" s="40"/>
      <c r="E406" s="134"/>
    </row>
    <row r="407" spans="3:5" s="15" customFormat="1">
      <c r="C407" s="40"/>
      <c r="E407" s="134"/>
    </row>
    <row r="408" spans="3:5" s="15" customFormat="1">
      <c r="C408" s="40"/>
      <c r="E408" s="134"/>
    </row>
    <row r="409" spans="3:5" s="15" customFormat="1">
      <c r="C409" s="40"/>
      <c r="E409" s="134"/>
    </row>
    <row r="410" spans="3:5" s="15" customFormat="1">
      <c r="C410" s="40"/>
      <c r="E410" s="134"/>
    </row>
    <row r="411" spans="3:5" s="15" customFormat="1">
      <c r="C411" s="40"/>
      <c r="E411" s="134"/>
    </row>
    <row r="412" spans="3:5" s="15" customFormat="1">
      <c r="C412" s="40"/>
      <c r="E412" s="134"/>
    </row>
    <row r="413" spans="3:5" s="15" customFormat="1">
      <c r="C413" s="40"/>
      <c r="E413" s="134"/>
    </row>
    <row r="414" spans="3:5" s="15" customFormat="1">
      <c r="C414" s="40"/>
      <c r="E414" s="134"/>
    </row>
    <row r="415" spans="3:5" s="15" customFormat="1">
      <c r="C415" s="40"/>
      <c r="E415" s="134"/>
    </row>
    <row r="416" spans="3:5" s="15" customFormat="1">
      <c r="C416" s="40"/>
      <c r="E416" s="134"/>
    </row>
    <row r="417" spans="3:5" s="15" customFormat="1">
      <c r="C417" s="40"/>
      <c r="E417" s="134"/>
    </row>
    <row r="418" spans="3:5" s="15" customFormat="1">
      <c r="C418" s="40"/>
      <c r="E418" s="134"/>
    </row>
    <row r="419" spans="3:5" s="15" customFormat="1">
      <c r="C419" s="40"/>
      <c r="E419" s="134"/>
    </row>
    <row r="420" spans="3:5" s="15" customFormat="1">
      <c r="C420" s="40"/>
      <c r="E420" s="134"/>
    </row>
    <row r="421" spans="3:5" s="15" customFormat="1">
      <c r="C421" s="40"/>
      <c r="E421" s="134"/>
    </row>
    <row r="422" spans="3:5" s="15" customFormat="1">
      <c r="C422" s="40"/>
      <c r="E422" s="134"/>
    </row>
    <row r="423" spans="3:5" s="15" customFormat="1">
      <c r="C423" s="40"/>
      <c r="E423" s="134"/>
    </row>
    <row r="424" spans="3:5" s="15" customFormat="1">
      <c r="C424" s="40"/>
      <c r="E424" s="134"/>
    </row>
    <row r="425" spans="3:5" s="15" customFormat="1">
      <c r="C425" s="40"/>
      <c r="E425" s="134"/>
    </row>
    <row r="426" spans="3:5" s="15" customFormat="1">
      <c r="C426" s="40"/>
      <c r="E426" s="134"/>
    </row>
    <row r="427" spans="3:5" s="15" customFormat="1">
      <c r="C427" s="40"/>
      <c r="E427" s="134"/>
    </row>
    <row r="428" spans="3:5" s="15" customFormat="1">
      <c r="C428" s="40"/>
      <c r="E428" s="134"/>
    </row>
    <row r="429" spans="3:5" s="15" customFormat="1">
      <c r="C429" s="40"/>
      <c r="E429" s="134"/>
    </row>
    <row r="430" spans="3:5" s="15" customFormat="1">
      <c r="C430" s="40"/>
      <c r="E430" s="134"/>
    </row>
    <row r="431" spans="3:5" s="15" customFormat="1">
      <c r="C431" s="40"/>
      <c r="E431" s="134"/>
    </row>
    <row r="432" spans="3:5" s="15" customFormat="1">
      <c r="C432" s="40"/>
      <c r="E432" s="134"/>
    </row>
    <row r="433" spans="3:5" s="15" customFormat="1">
      <c r="C433" s="40"/>
      <c r="E433" s="134"/>
    </row>
    <row r="434" spans="3:5" s="15" customFormat="1">
      <c r="C434" s="40"/>
      <c r="E434" s="134"/>
    </row>
    <row r="435" spans="3:5" s="15" customFormat="1">
      <c r="C435" s="40"/>
      <c r="E435" s="134"/>
    </row>
    <row r="436" spans="3:5" s="15" customFormat="1">
      <c r="C436" s="40"/>
      <c r="E436" s="134"/>
    </row>
    <row r="437" spans="3:5" s="15" customFormat="1">
      <c r="C437" s="40"/>
      <c r="E437" s="134"/>
    </row>
    <row r="438" spans="3:5" s="15" customFormat="1">
      <c r="C438" s="40"/>
      <c r="E438" s="134"/>
    </row>
    <row r="439" spans="3:5" s="15" customFormat="1">
      <c r="C439" s="40"/>
      <c r="E439" s="134"/>
    </row>
    <row r="440" spans="3:5" s="15" customFormat="1">
      <c r="C440" s="40"/>
      <c r="E440" s="134"/>
    </row>
    <row r="441" spans="3:5" s="15" customFormat="1">
      <c r="C441" s="40"/>
      <c r="E441" s="134"/>
    </row>
    <row r="442" spans="3:5" s="15" customFormat="1">
      <c r="C442" s="40"/>
      <c r="E442" s="134"/>
    </row>
    <row r="443" spans="3:5" s="15" customFormat="1">
      <c r="C443" s="40"/>
      <c r="E443" s="134"/>
    </row>
    <row r="444" spans="3:5" s="15" customFormat="1">
      <c r="C444" s="40"/>
      <c r="E444" s="134"/>
    </row>
    <row r="445" spans="3:5" s="15" customFormat="1">
      <c r="C445" s="40"/>
      <c r="E445" s="134"/>
    </row>
    <row r="446" spans="3:5" s="15" customFormat="1">
      <c r="C446" s="40"/>
      <c r="E446" s="134"/>
    </row>
    <row r="447" spans="3:5" s="15" customFormat="1">
      <c r="C447" s="40"/>
      <c r="E447" s="134"/>
    </row>
    <row r="448" spans="3:5" s="15" customFormat="1">
      <c r="C448" s="40"/>
      <c r="E448" s="134"/>
    </row>
    <row r="449" spans="3:5" s="15" customFormat="1">
      <c r="C449" s="40"/>
      <c r="E449" s="134"/>
    </row>
    <row r="450" spans="3:5" s="15" customFormat="1">
      <c r="C450" s="40"/>
      <c r="E450" s="134"/>
    </row>
    <row r="451" spans="3:5" s="15" customFormat="1">
      <c r="C451" s="40"/>
      <c r="E451" s="134"/>
    </row>
    <row r="452" spans="3:5" s="15" customFormat="1">
      <c r="C452" s="40"/>
      <c r="E452" s="134"/>
    </row>
    <row r="453" spans="3:5" s="15" customFormat="1">
      <c r="C453" s="40"/>
      <c r="E453" s="134"/>
    </row>
    <row r="454" spans="3:5" s="15" customFormat="1">
      <c r="C454" s="40"/>
      <c r="E454" s="134"/>
    </row>
    <row r="455" spans="3:5" s="15" customFormat="1">
      <c r="C455" s="40"/>
      <c r="E455" s="134"/>
    </row>
    <row r="456" spans="3:5" s="15" customFormat="1">
      <c r="C456" s="40"/>
      <c r="E456" s="134"/>
    </row>
    <row r="457" spans="3:5" s="15" customFormat="1">
      <c r="C457" s="40"/>
      <c r="E457" s="134"/>
    </row>
    <row r="458" spans="3:5" s="15" customFormat="1">
      <c r="C458" s="40"/>
      <c r="E458" s="134"/>
    </row>
    <row r="459" spans="3:5" s="15" customFormat="1">
      <c r="C459" s="40"/>
      <c r="E459" s="134"/>
    </row>
    <row r="460" spans="3:5" s="15" customFormat="1">
      <c r="C460" s="40"/>
      <c r="E460" s="134"/>
    </row>
    <row r="461" spans="3:5" s="15" customFormat="1">
      <c r="C461" s="40"/>
      <c r="E461" s="134"/>
    </row>
    <row r="462" spans="3:5" s="15" customFormat="1">
      <c r="C462" s="40"/>
      <c r="E462" s="134"/>
    </row>
    <row r="463" spans="3:5" s="15" customFormat="1">
      <c r="C463" s="40"/>
      <c r="E463" s="134"/>
    </row>
    <row r="464" spans="3:5" s="15" customFormat="1">
      <c r="C464" s="40"/>
      <c r="E464" s="134"/>
    </row>
    <row r="465" spans="3:5" s="15" customFormat="1">
      <c r="C465" s="40"/>
      <c r="E465" s="134"/>
    </row>
    <row r="466" spans="3:5" s="15" customFormat="1">
      <c r="C466" s="40"/>
      <c r="E466" s="134"/>
    </row>
    <row r="467" spans="3:5" s="15" customFormat="1">
      <c r="C467" s="40"/>
      <c r="E467" s="134"/>
    </row>
    <row r="468" spans="3:5" s="15" customFormat="1">
      <c r="C468" s="40"/>
      <c r="E468" s="134"/>
    </row>
    <row r="469" spans="3:5" s="15" customFormat="1">
      <c r="C469" s="40"/>
      <c r="E469" s="134"/>
    </row>
    <row r="470" spans="3:5" s="15" customFormat="1">
      <c r="C470" s="40"/>
      <c r="E470" s="134"/>
    </row>
    <row r="471" spans="3:5" s="15" customFormat="1">
      <c r="C471" s="40"/>
      <c r="E471" s="134"/>
    </row>
    <row r="472" spans="3:5" s="15" customFormat="1">
      <c r="C472" s="40"/>
      <c r="E472" s="134"/>
    </row>
    <row r="473" spans="3:5" s="15" customFormat="1">
      <c r="C473" s="40"/>
      <c r="E473" s="134"/>
    </row>
    <row r="474" spans="3:5" s="15" customFormat="1">
      <c r="C474" s="40"/>
      <c r="E474" s="134"/>
    </row>
    <row r="475" spans="3:5" s="15" customFormat="1">
      <c r="C475" s="40"/>
      <c r="E475" s="134"/>
    </row>
    <row r="476" spans="3:5" s="15" customFormat="1">
      <c r="C476" s="40"/>
      <c r="E476" s="134"/>
    </row>
    <row r="477" spans="3:5" s="15" customFormat="1">
      <c r="C477" s="40"/>
      <c r="E477" s="134"/>
    </row>
    <row r="478" spans="3:5" s="15" customFormat="1">
      <c r="C478" s="40"/>
      <c r="E478" s="134"/>
    </row>
    <row r="479" spans="3:5" s="15" customFormat="1">
      <c r="C479" s="40"/>
      <c r="E479" s="134"/>
    </row>
    <row r="480" spans="3:5" s="15" customFormat="1">
      <c r="C480" s="40"/>
      <c r="E480" s="134"/>
    </row>
    <row r="481" spans="3:5" s="15" customFormat="1">
      <c r="C481" s="40"/>
      <c r="E481" s="134"/>
    </row>
    <row r="482" spans="3:5" s="15" customFormat="1">
      <c r="C482" s="40"/>
      <c r="E482" s="134"/>
    </row>
    <row r="483" spans="3:5" s="15" customFormat="1">
      <c r="C483" s="40"/>
      <c r="E483" s="134"/>
    </row>
    <row r="484" spans="3:5" s="15" customFormat="1">
      <c r="C484" s="40"/>
      <c r="E484" s="134"/>
    </row>
    <row r="485" spans="3:5" s="15" customFormat="1">
      <c r="C485" s="40"/>
      <c r="E485" s="134"/>
    </row>
    <row r="486" spans="3:5" s="15" customFormat="1">
      <c r="C486" s="40"/>
      <c r="E486" s="134"/>
    </row>
    <row r="487" spans="3:5" s="15" customFormat="1">
      <c r="C487" s="40"/>
      <c r="E487" s="134"/>
    </row>
    <row r="488" spans="3:5" s="15" customFormat="1">
      <c r="C488" s="40"/>
      <c r="E488" s="134"/>
    </row>
    <row r="489" spans="3:5" s="15" customFormat="1">
      <c r="C489" s="40"/>
      <c r="E489" s="134"/>
    </row>
    <row r="490" spans="3:5" s="15" customFormat="1">
      <c r="C490" s="40"/>
      <c r="E490" s="134"/>
    </row>
    <row r="491" spans="3:5" s="15" customFormat="1">
      <c r="C491" s="40"/>
      <c r="E491" s="134"/>
    </row>
    <row r="492" spans="3:5" s="15" customFormat="1">
      <c r="C492" s="40"/>
      <c r="E492" s="134"/>
    </row>
    <row r="493" spans="3:5" s="15" customFormat="1">
      <c r="C493" s="40"/>
      <c r="E493" s="134"/>
    </row>
    <row r="494" spans="3:5" s="15" customFormat="1">
      <c r="C494" s="40"/>
      <c r="E494" s="134"/>
    </row>
    <row r="495" spans="3:5" s="15" customFormat="1">
      <c r="C495" s="40"/>
      <c r="E495" s="134"/>
    </row>
    <row r="496" spans="3:5" s="15" customFormat="1">
      <c r="C496" s="40"/>
      <c r="E496" s="134"/>
    </row>
    <row r="497" spans="3:5" s="15" customFormat="1">
      <c r="C497" s="40"/>
      <c r="E497" s="134"/>
    </row>
    <row r="498" spans="3:5" s="15" customFormat="1">
      <c r="C498" s="40"/>
      <c r="E498" s="134"/>
    </row>
    <row r="499" spans="3:5" s="15" customFormat="1">
      <c r="C499" s="40"/>
      <c r="E499" s="134"/>
    </row>
    <row r="500" spans="3:5" s="15" customFormat="1">
      <c r="C500" s="40"/>
      <c r="E500" s="134"/>
    </row>
    <row r="501" spans="3:5" s="15" customFormat="1">
      <c r="C501" s="40"/>
      <c r="E501" s="134"/>
    </row>
    <row r="502" spans="3:5" s="15" customFormat="1">
      <c r="C502" s="40"/>
      <c r="E502" s="134"/>
    </row>
    <row r="503" spans="3:5" s="15" customFormat="1">
      <c r="C503" s="40"/>
      <c r="E503" s="134"/>
    </row>
    <row r="504" spans="3:5" s="15" customFormat="1">
      <c r="C504" s="40"/>
      <c r="E504" s="134"/>
    </row>
    <row r="505" spans="3:5" s="15" customFormat="1">
      <c r="C505" s="40"/>
      <c r="E505" s="134"/>
    </row>
    <row r="506" spans="3:5" s="15" customFormat="1">
      <c r="C506" s="40"/>
      <c r="E506" s="134"/>
    </row>
    <row r="507" spans="3:5" s="15" customFormat="1">
      <c r="C507" s="40"/>
      <c r="E507" s="134"/>
    </row>
    <row r="508" spans="3:5" s="15" customFormat="1">
      <c r="C508" s="40"/>
      <c r="E508" s="134"/>
    </row>
    <row r="509" spans="3:5" s="15" customFormat="1">
      <c r="C509" s="40"/>
      <c r="E509" s="134"/>
    </row>
    <row r="510" spans="3:5" s="15" customFormat="1">
      <c r="C510" s="40"/>
      <c r="E510" s="134"/>
    </row>
    <row r="511" spans="3:5" s="15" customFormat="1">
      <c r="C511" s="40"/>
      <c r="E511" s="134"/>
    </row>
    <row r="512" spans="3:5" s="15" customFormat="1">
      <c r="C512" s="40"/>
      <c r="E512" s="134"/>
    </row>
    <row r="513" spans="3:5" s="15" customFormat="1">
      <c r="C513" s="40"/>
      <c r="E513" s="134"/>
    </row>
    <row r="514" spans="3:5" s="15" customFormat="1">
      <c r="C514" s="40"/>
      <c r="E514" s="134"/>
    </row>
    <row r="515" spans="3:5" s="15" customFormat="1">
      <c r="C515" s="40"/>
      <c r="E515" s="134"/>
    </row>
    <row r="516" spans="3:5" s="15" customFormat="1">
      <c r="C516" s="40"/>
      <c r="E516" s="134"/>
    </row>
    <row r="517" spans="3:5" s="15" customFormat="1">
      <c r="C517" s="40"/>
      <c r="E517" s="134"/>
    </row>
    <row r="518" spans="3:5" s="15" customFormat="1">
      <c r="C518" s="40"/>
      <c r="E518" s="134"/>
    </row>
    <row r="519" spans="3:5" s="15" customFormat="1">
      <c r="C519" s="40"/>
      <c r="E519" s="134"/>
    </row>
    <row r="520" spans="3:5" s="15" customFormat="1">
      <c r="C520" s="40"/>
      <c r="E520" s="134"/>
    </row>
    <row r="521" spans="3:5" s="15" customFormat="1">
      <c r="C521" s="40"/>
      <c r="E521" s="134"/>
    </row>
    <row r="522" spans="3:5" s="15" customFormat="1">
      <c r="C522" s="40"/>
      <c r="E522" s="134"/>
    </row>
    <row r="523" spans="3:5" s="15" customFormat="1">
      <c r="C523" s="40"/>
      <c r="E523" s="134"/>
    </row>
    <row r="524" spans="3:5" s="15" customFormat="1">
      <c r="C524" s="40"/>
      <c r="E524" s="134"/>
    </row>
    <row r="525" spans="3:5" s="15" customFormat="1">
      <c r="C525" s="40"/>
      <c r="E525" s="134"/>
    </row>
    <row r="526" spans="3:5" s="15" customFormat="1">
      <c r="C526" s="40"/>
      <c r="E526" s="134"/>
    </row>
    <row r="527" spans="3:5" s="15" customFormat="1">
      <c r="C527" s="40"/>
      <c r="E527" s="134"/>
    </row>
    <row r="528" spans="3:5" s="15" customFormat="1">
      <c r="C528" s="40"/>
      <c r="E528" s="134"/>
    </row>
    <row r="529" spans="3:5" s="15" customFormat="1">
      <c r="C529" s="40"/>
      <c r="E529" s="134"/>
    </row>
    <row r="530" spans="3:5" s="15" customFormat="1">
      <c r="C530" s="40"/>
      <c r="E530" s="134"/>
    </row>
    <row r="531" spans="3:5" s="15" customFormat="1">
      <c r="C531" s="40"/>
      <c r="E531" s="134"/>
    </row>
    <row r="532" spans="3:5" s="15" customFormat="1">
      <c r="C532" s="40"/>
      <c r="E532" s="134"/>
    </row>
    <row r="533" spans="3:5" s="15" customFormat="1">
      <c r="C533" s="40"/>
      <c r="E533" s="134"/>
    </row>
    <row r="534" spans="3:5" s="15" customFormat="1">
      <c r="C534" s="40"/>
      <c r="E534" s="134"/>
    </row>
    <row r="535" spans="3:5" s="15" customFormat="1">
      <c r="C535" s="40"/>
      <c r="E535" s="134"/>
    </row>
    <row r="536" spans="3:5" s="15" customFormat="1">
      <c r="C536" s="40"/>
      <c r="E536" s="134"/>
    </row>
    <row r="537" spans="3:5" s="15" customFormat="1">
      <c r="C537" s="40"/>
      <c r="E537" s="134"/>
    </row>
    <row r="538" spans="3:5" s="15" customFormat="1">
      <c r="C538" s="40"/>
      <c r="E538" s="134"/>
    </row>
    <row r="539" spans="3:5" s="15" customFormat="1">
      <c r="C539" s="40"/>
      <c r="E539" s="134"/>
    </row>
    <row r="540" spans="3:5" s="15" customFormat="1">
      <c r="C540" s="40"/>
      <c r="E540" s="134"/>
    </row>
    <row r="541" spans="3:5" s="15" customFormat="1">
      <c r="C541" s="40"/>
      <c r="E541" s="134"/>
    </row>
    <row r="542" spans="3:5" s="15" customFormat="1">
      <c r="C542" s="40"/>
      <c r="E542" s="134"/>
    </row>
    <row r="543" spans="3:5" s="15" customFormat="1">
      <c r="C543" s="40"/>
      <c r="E543" s="134"/>
    </row>
    <row r="544" spans="3:5" s="15" customFormat="1">
      <c r="C544" s="40"/>
      <c r="E544" s="134"/>
    </row>
    <row r="545" spans="3:5" s="15" customFormat="1">
      <c r="C545" s="40"/>
      <c r="E545" s="134"/>
    </row>
    <row r="546" spans="3:5" s="15" customFormat="1">
      <c r="C546" s="40"/>
      <c r="E546" s="134"/>
    </row>
    <row r="547" spans="3:5" s="15" customFormat="1">
      <c r="C547" s="40"/>
      <c r="E547" s="134"/>
    </row>
    <row r="548" spans="3:5" s="15" customFormat="1">
      <c r="C548" s="40"/>
      <c r="E548" s="134"/>
    </row>
    <row r="549" spans="3:5" s="15" customFormat="1">
      <c r="C549" s="40"/>
      <c r="E549" s="134"/>
    </row>
    <row r="550" spans="3:5" s="15" customFormat="1">
      <c r="C550" s="40"/>
      <c r="E550" s="134"/>
    </row>
    <row r="551" spans="3:5" s="15" customFormat="1">
      <c r="C551" s="40"/>
      <c r="E551" s="134"/>
    </row>
    <row r="552" spans="3:5" s="15" customFormat="1">
      <c r="C552" s="40"/>
      <c r="E552" s="134"/>
    </row>
    <row r="553" spans="3:5" s="15" customFormat="1">
      <c r="C553" s="40"/>
      <c r="E553" s="134"/>
    </row>
    <row r="554" spans="3:5" s="15" customFormat="1">
      <c r="C554" s="40"/>
      <c r="E554" s="134"/>
    </row>
    <row r="555" spans="3:5" s="15" customFormat="1">
      <c r="C555" s="40"/>
      <c r="E555" s="134"/>
    </row>
    <row r="556" spans="3:5" s="15" customFormat="1">
      <c r="C556" s="40"/>
      <c r="E556" s="134"/>
    </row>
    <row r="557" spans="3:5" s="15" customFormat="1">
      <c r="C557" s="40"/>
      <c r="E557" s="134"/>
    </row>
    <row r="558" spans="3:5" s="15" customFormat="1">
      <c r="C558" s="40"/>
      <c r="E558" s="134"/>
    </row>
    <row r="559" spans="3:5" s="15" customFormat="1">
      <c r="C559" s="40"/>
      <c r="E559" s="134"/>
    </row>
    <row r="560" spans="3:5" s="15" customFormat="1">
      <c r="C560" s="40"/>
      <c r="E560" s="134"/>
    </row>
    <row r="561" spans="3:5" s="15" customFormat="1">
      <c r="C561" s="40"/>
      <c r="E561" s="134"/>
    </row>
    <row r="562" spans="3:5" s="15" customFormat="1">
      <c r="C562" s="40"/>
      <c r="E562" s="134"/>
    </row>
    <row r="563" spans="3:5" s="15" customFormat="1">
      <c r="C563" s="40"/>
      <c r="E563" s="134"/>
    </row>
    <row r="564" spans="3:5" s="15" customFormat="1">
      <c r="C564" s="40"/>
      <c r="E564" s="134"/>
    </row>
    <row r="565" spans="3:5" s="15" customFormat="1">
      <c r="C565" s="40"/>
      <c r="E565" s="134"/>
    </row>
    <row r="566" spans="3:5" s="15" customFormat="1">
      <c r="C566" s="40"/>
      <c r="E566" s="134"/>
    </row>
    <row r="567" spans="3:5" s="15" customFormat="1">
      <c r="C567" s="40"/>
      <c r="E567" s="134"/>
    </row>
    <row r="568" spans="3:5" s="15" customFormat="1">
      <c r="C568" s="40"/>
      <c r="E568" s="134"/>
    </row>
    <row r="569" spans="3:5" s="15" customFormat="1">
      <c r="C569" s="40"/>
      <c r="E569" s="134"/>
    </row>
    <row r="570" spans="3:5" s="15" customFormat="1">
      <c r="C570" s="40"/>
      <c r="E570" s="134"/>
    </row>
    <row r="571" spans="3:5" s="15" customFormat="1">
      <c r="C571" s="40"/>
      <c r="E571" s="134"/>
    </row>
    <row r="572" spans="3:5" s="15" customFormat="1">
      <c r="C572" s="40"/>
      <c r="E572" s="134"/>
    </row>
    <row r="573" spans="3:5" s="15" customFormat="1">
      <c r="C573" s="40"/>
      <c r="E573" s="134"/>
    </row>
    <row r="574" spans="3:5" s="15" customFormat="1">
      <c r="C574" s="40"/>
      <c r="E574" s="134"/>
    </row>
    <row r="575" spans="3:5" s="15" customFormat="1">
      <c r="C575" s="40"/>
      <c r="E575" s="134"/>
    </row>
    <row r="576" spans="3:5" s="15" customFormat="1">
      <c r="C576" s="40"/>
      <c r="E576" s="134"/>
    </row>
    <row r="577" spans="3:5" s="15" customFormat="1">
      <c r="C577" s="40"/>
      <c r="E577" s="134"/>
    </row>
    <row r="578" spans="3:5" s="15" customFormat="1">
      <c r="C578" s="40"/>
      <c r="E578" s="134"/>
    </row>
    <row r="579" spans="3:5" s="15" customFormat="1">
      <c r="C579" s="40"/>
      <c r="E579" s="134"/>
    </row>
    <row r="580" spans="3:5" s="15" customFormat="1">
      <c r="C580" s="40"/>
      <c r="E580" s="134"/>
    </row>
    <row r="581" spans="3:5" s="15" customFormat="1">
      <c r="C581" s="40"/>
      <c r="E581" s="134"/>
    </row>
    <row r="582" spans="3:5" s="15" customFormat="1">
      <c r="C582" s="40"/>
      <c r="E582" s="134"/>
    </row>
    <row r="583" spans="3:5" s="15" customFormat="1">
      <c r="C583" s="40"/>
      <c r="E583" s="134"/>
    </row>
    <row r="584" spans="3:5" s="15" customFormat="1">
      <c r="C584" s="40"/>
      <c r="E584" s="134"/>
    </row>
    <row r="585" spans="3:5" s="15" customFormat="1">
      <c r="C585" s="40"/>
      <c r="E585" s="134"/>
    </row>
    <row r="586" spans="3:5" s="15" customFormat="1">
      <c r="C586" s="40"/>
      <c r="E586" s="134"/>
    </row>
    <row r="587" spans="3:5" s="15" customFormat="1">
      <c r="C587" s="40"/>
      <c r="E587" s="134"/>
    </row>
    <row r="588" spans="3:5" s="15" customFormat="1">
      <c r="C588" s="40"/>
      <c r="E588" s="134"/>
    </row>
    <row r="589" spans="3:5" s="15" customFormat="1">
      <c r="C589" s="40"/>
      <c r="E589" s="134"/>
    </row>
    <row r="590" spans="3:5" s="15" customFormat="1">
      <c r="C590" s="40"/>
      <c r="E590" s="134"/>
    </row>
    <row r="591" spans="3:5" s="15" customFormat="1">
      <c r="C591" s="40"/>
      <c r="E591" s="134"/>
    </row>
    <row r="592" spans="3:5" s="15" customFormat="1">
      <c r="C592" s="40"/>
      <c r="E592" s="134"/>
    </row>
    <row r="593" spans="3:5" s="15" customFormat="1">
      <c r="C593" s="40"/>
      <c r="E593" s="134"/>
    </row>
    <row r="594" spans="3:5" s="15" customFormat="1">
      <c r="C594" s="40"/>
      <c r="E594" s="134"/>
    </row>
    <row r="595" spans="3:5" s="15" customFormat="1">
      <c r="C595" s="40"/>
      <c r="E595" s="134"/>
    </row>
    <row r="596" spans="3:5" s="15" customFormat="1">
      <c r="C596" s="40"/>
      <c r="E596" s="134"/>
    </row>
    <row r="597" spans="3:5" s="15" customFormat="1">
      <c r="C597" s="40"/>
      <c r="E597" s="134"/>
    </row>
    <row r="598" spans="3:5" s="15" customFormat="1">
      <c r="C598" s="40"/>
      <c r="E598" s="134"/>
    </row>
    <row r="599" spans="3:5" s="15" customFormat="1">
      <c r="C599" s="40"/>
      <c r="E599" s="134"/>
    </row>
    <row r="600" spans="3:5" s="15" customFormat="1">
      <c r="C600" s="40"/>
      <c r="E600" s="134"/>
    </row>
    <row r="601" spans="3:5" s="15" customFormat="1">
      <c r="C601" s="40"/>
      <c r="E601" s="134"/>
    </row>
    <row r="602" spans="3:5" s="15" customFormat="1">
      <c r="C602" s="40"/>
      <c r="E602" s="134"/>
    </row>
    <row r="603" spans="3:5" s="15" customFormat="1">
      <c r="C603" s="40"/>
      <c r="E603" s="134"/>
    </row>
    <row r="604" spans="3:5" s="15" customFormat="1">
      <c r="C604" s="40"/>
      <c r="E604" s="134"/>
    </row>
    <row r="605" spans="3:5" s="15" customFormat="1">
      <c r="C605" s="40"/>
      <c r="E605" s="134"/>
    </row>
    <row r="606" spans="3:5" s="15" customFormat="1">
      <c r="C606" s="40"/>
      <c r="E606" s="134"/>
    </row>
    <row r="607" spans="3:5" s="15" customFormat="1">
      <c r="C607" s="40"/>
      <c r="E607" s="134"/>
    </row>
    <row r="608" spans="3:5" s="15" customFormat="1">
      <c r="C608" s="40"/>
      <c r="E608" s="134"/>
    </row>
    <row r="609" spans="3:5" s="15" customFormat="1">
      <c r="C609" s="40"/>
      <c r="E609" s="134"/>
    </row>
    <row r="610" spans="3:5" s="15" customFormat="1">
      <c r="C610" s="40"/>
      <c r="E610" s="134"/>
    </row>
    <row r="611" spans="3:5" s="15" customFormat="1">
      <c r="C611" s="40"/>
      <c r="E611" s="134"/>
    </row>
    <row r="612" spans="3:5" s="15" customFormat="1">
      <c r="C612" s="40"/>
      <c r="E612" s="134"/>
    </row>
    <row r="613" spans="3:5" s="15" customFormat="1">
      <c r="C613" s="40"/>
      <c r="E613" s="134"/>
    </row>
    <row r="614" spans="3:5" s="15" customFormat="1">
      <c r="C614" s="40"/>
      <c r="E614" s="134"/>
    </row>
    <row r="615" spans="3:5" s="15" customFormat="1">
      <c r="C615" s="40"/>
      <c r="E615" s="134"/>
    </row>
    <row r="616" spans="3:5" s="15" customFormat="1">
      <c r="C616" s="40"/>
      <c r="E616" s="134"/>
    </row>
    <row r="617" spans="3:5" s="15" customFormat="1">
      <c r="C617" s="40"/>
      <c r="E617" s="134"/>
    </row>
    <row r="618" spans="3:5" s="15" customFormat="1">
      <c r="C618" s="40"/>
      <c r="E618" s="134"/>
    </row>
    <row r="619" spans="3:5" s="15" customFormat="1">
      <c r="C619" s="40"/>
      <c r="E619" s="134"/>
    </row>
    <row r="620" spans="3:5" s="15" customFormat="1">
      <c r="C620" s="40"/>
      <c r="E620" s="134"/>
    </row>
    <row r="621" spans="3:5" s="15" customFormat="1">
      <c r="C621" s="40"/>
      <c r="E621" s="134"/>
    </row>
    <row r="622" spans="3:5" s="15" customFormat="1">
      <c r="C622" s="40"/>
      <c r="E622" s="134"/>
    </row>
    <row r="623" spans="3:5" s="15" customFormat="1">
      <c r="C623" s="40"/>
      <c r="E623" s="134"/>
    </row>
    <row r="624" spans="3:5" s="15" customFormat="1">
      <c r="C624" s="40"/>
      <c r="E624" s="134"/>
    </row>
    <row r="625" spans="3:5" s="15" customFormat="1">
      <c r="C625" s="40"/>
      <c r="E625" s="134"/>
    </row>
    <row r="626" spans="3:5" s="15" customFormat="1">
      <c r="C626" s="40"/>
      <c r="E626" s="134"/>
    </row>
    <row r="627" spans="3:5" s="15" customFormat="1">
      <c r="C627" s="40"/>
      <c r="E627" s="134"/>
    </row>
    <row r="628" spans="3:5" s="15" customFormat="1">
      <c r="C628" s="40"/>
      <c r="E628" s="134"/>
    </row>
    <row r="629" spans="3:5" s="15" customFormat="1">
      <c r="C629" s="40"/>
      <c r="E629" s="134"/>
    </row>
    <row r="630" spans="3:5" s="15" customFormat="1">
      <c r="C630" s="40"/>
      <c r="E630" s="134"/>
    </row>
    <row r="631" spans="3:5" s="15" customFormat="1">
      <c r="C631" s="40"/>
      <c r="E631" s="134"/>
    </row>
    <row r="632" spans="3:5" s="15" customFormat="1">
      <c r="C632" s="40"/>
      <c r="E632" s="134"/>
    </row>
    <row r="633" spans="3:5" s="15" customFormat="1">
      <c r="C633" s="40"/>
      <c r="E633" s="134"/>
    </row>
    <row r="634" spans="3:5" s="15" customFormat="1">
      <c r="C634" s="40"/>
      <c r="E634" s="134"/>
    </row>
    <row r="635" spans="3:5" s="15" customFormat="1">
      <c r="C635" s="40"/>
      <c r="E635" s="134"/>
    </row>
    <row r="636" spans="3:5" s="15" customFormat="1">
      <c r="C636" s="40"/>
      <c r="E636" s="134"/>
    </row>
    <row r="637" spans="3:5" s="15" customFormat="1">
      <c r="C637" s="40"/>
      <c r="E637" s="134"/>
    </row>
    <row r="638" spans="3:5" s="15" customFormat="1">
      <c r="C638" s="40"/>
      <c r="E638" s="134"/>
    </row>
    <row r="639" spans="3:5" s="15" customFormat="1">
      <c r="C639" s="40"/>
      <c r="E639" s="134"/>
    </row>
    <row r="640" spans="3:5" s="15" customFormat="1">
      <c r="C640" s="40"/>
      <c r="E640" s="134"/>
    </row>
    <row r="641" spans="3:5" s="15" customFormat="1">
      <c r="C641" s="40"/>
      <c r="E641" s="134"/>
    </row>
    <row r="642" spans="3:5" s="15" customFormat="1">
      <c r="C642" s="40"/>
      <c r="E642" s="134"/>
    </row>
    <row r="643" spans="3:5" s="15" customFormat="1">
      <c r="C643" s="40"/>
      <c r="E643" s="134"/>
    </row>
    <row r="644" spans="3:5" s="15" customFormat="1">
      <c r="C644" s="40"/>
      <c r="E644" s="134"/>
    </row>
    <row r="645" spans="3:5" s="15" customFormat="1">
      <c r="C645" s="40"/>
      <c r="E645" s="134"/>
    </row>
    <row r="646" spans="3:5" s="15" customFormat="1">
      <c r="C646" s="40"/>
      <c r="E646" s="134"/>
    </row>
    <row r="647" spans="3:5" s="15" customFormat="1">
      <c r="C647" s="40"/>
      <c r="E647" s="134"/>
    </row>
    <row r="648" spans="3:5" s="15" customFormat="1">
      <c r="C648" s="40"/>
      <c r="E648" s="134"/>
    </row>
    <row r="649" spans="3:5" s="15" customFormat="1">
      <c r="C649" s="40"/>
      <c r="E649" s="134"/>
    </row>
    <row r="650" spans="3:5" s="15" customFormat="1">
      <c r="C650" s="40"/>
      <c r="E650" s="134"/>
    </row>
    <row r="651" spans="3:5" s="15" customFormat="1">
      <c r="C651" s="40"/>
      <c r="E651" s="134"/>
    </row>
    <row r="652" spans="3:5" s="15" customFormat="1">
      <c r="C652" s="40"/>
      <c r="E652" s="134"/>
    </row>
    <row r="653" spans="3:5" s="15" customFormat="1">
      <c r="C653" s="40"/>
      <c r="E653" s="134"/>
    </row>
    <row r="654" spans="3:5" s="15" customFormat="1">
      <c r="C654" s="40"/>
      <c r="E654" s="134"/>
    </row>
    <row r="655" spans="3:5" s="15" customFormat="1">
      <c r="C655" s="40"/>
      <c r="E655" s="134"/>
    </row>
    <row r="656" spans="3:5" s="15" customFormat="1">
      <c r="C656" s="40"/>
      <c r="E656" s="134"/>
    </row>
    <row r="657" spans="3:5" s="15" customFormat="1">
      <c r="C657" s="40"/>
      <c r="E657" s="134"/>
    </row>
    <row r="658" spans="3:5" s="15" customFormat="1">
      <c r="C658" s="40"/>
      <c r="E658" s="134"/>
    </row>
    <row r="659" spans="3:5" s="15" customFormat="1">
      <c r="C659" s="40"/>
      <c r="E659" s="134"/>
    </row>
    <row r="660" spans="3:5" s="15" customFormat="1">
      <c r="C660" s="40"/>
      <c r="E660" s="134"/>
    </row>
    <row r="661" spans="3:5" s="15" customFormat="1">
      <c r="C661" s="40"/>
      <c r="E661" s="134"/>
    </row>
    <row r="662" spans="3:5" s="15" customFormat="1">
      <c r="C662" s="40"/>
      <c r="E662" s="134"/>
    </row>
    <row r="663" spans="3:5" s="15" customFormat="1">
      <c r="C663" s="40"/>
      <c r="E663" s="134"/>
    </row>
    <row r="664" spans="3:5" s="15" customFormat="1">
      <c r="C664" s="40"/>
      <c r="E664" s="134"/>
    </row>
    <row r="665" spans="3:5" s="15" customFormat="1">
      <c r="C665" s="40"/>
      <c r="E665" s="134"/>
    </row>
    <row r="666" spans="3:5" s="15" customFormat="1">
      <c r="C666" s="40"/>
      <c r="E666" s="134"/>
    </row>
    <row r="667" spans="3:5" s="15" customFormat="1">
      <c r="C667" s="40"/>
      <c r="E667" s="134"/>
    </row>
    <row r="668" spans="3:5" s="15" customFormat="1">
      <c r="C668" s="40"/>
      <c r="E668" s="134"/>
    </row>
    <row r="669" spans="3:5" s="15" customFormat="1">
      <c r="C669" s="40"/>
      <c r="E669" s="134"/>
    </row>
    <row r="670" spans="3:5" s="15" customFormat="1">
      <c r="C670" s="40"/>
      <c r="E670" s="134"/>
    </row>
    <row r="671" spans="3:5" s="15" customFormat="1">
      <c r="C671" s="40"/>
      <c r="E671" s="134"/>
    </row>
    <row r="672" spans="3:5" s="15" customFormat="1">
      <c r="C672" s="40"/>
      <c r="E672" s="134"/>
    </row>
    <row r="673" spans="3:5" s="15" customFormat="1">
      <c r="C673" s="40"/>
      <c r="E673" s="134"/>
    </row>
    <row r="674" spans="3:5" s="15" customFormat="1">
      <c r="C674" s="40"/>
      <c r="E674" s="134"/>
    </row>
    <row r="675" spans="3:5" s="15" customFormat="1">
      <c r="C675" s="40"/>
      <c r="E675" s="134"/>
    </row>
    <row r="676" spans="3:5" s="15" customFormat="1">
      <c r="C676" s="40"/>
      <c r="E676" s="134"/>
    </row>
    <row r="677" spans="3:5" s="15" customFormat="1">
      <c r="C677" s="40"/>
      <c r="E677" s="134"/>
    </row>
    <row r="678" spans="3:5" s="15" customFormat="1">
      <c r="C678" s="40"/>
      <c r="E678" s="134"/>
    </row>
    <row r="679" spans="3:5" s="15" customFormat="1">
      <c r="C679" s="40"/>
      <c r="E679" s="134"/>
    </row>
    <row r="680" spans="3:5" s="15" customFormat="1">
      <c r="C680" s="40"/>
      <c r="E680" s="134"/>
    </row>
    <row r="681" spans="3:5" s="15" customFormat="1">
      <c r="C681" s="40"/>
      <c r="E681" s="134"/>
    </row>
    <row r="682" spans="3:5" s="15" customFormat="1">
      <c r="C682" s="40"/>
      <c r="E682" s="134"/>
    </row>
    <row r="683" spans="3:5" s="15" customFormat="1">
      <c r="C683" s="40"/>
      <c r="E683" s="134"/>
    </row>
    <row r="684" spans="3:5" s="15" customFormat="1">
      <c r="C684" s="40"/>
      <c r="E684" s="134"/>
    </row>
    <row r="685" spans="3:5" s="15" customFormat="1">
      <c r="C685" s="40"/>
      <c r="E685" s="134"/>
    </row>
    <row r="686" spans="3:5" s="15" customFormat="1">
      <c r="C686" s="40"/>
      <c r="E686" s="134"/>
    </row>
    <row r="687" spans="3:5" s="15" customFormat="1">
      <c r="C687" s="40"/>
      <c r="E687" s="134"/>
    </row>
    <row r="688" spans="3:5" s="15" customFormat="1">
      <c r="C688" s="40"/>
      <c r="E688" s="134"/>
    </row>
    <row r="689" spans="3:5" s="15" customFormat="1">
      <c r="C689" s="40"/>
      <c r="E689" s="134"/>
    </row>
    <row r="690" spans="3:5" s="15" customFormat="1">
      <c r="C690" s="40"/>
      <c r="E690" s="134"/>
    </row>
    <row r="691" spans="3:5" s="15" customFormat="1">
      <c r="C691" s="40"/>
      <c r="E691" s="134"/>
    </row>
    <row r="692" spans="3:5" s="15" customFormat="1">
      <c r="C692" s="40"/>
      <c r="E692" s="134"/>
    </row>
    <row r="693" spans="3:5" s="15" customFormat="1">
      <c r="C693" s="40"/>
      <c r="E693" s="134"/>
    </row>
    <row r="694" spans="3:5" s="15" customFormat="1">
      <c r="C694" s="40"/>
      <c r="E694" s="134"/>
    </row>
    <row r="695" spans="3:5" s="15" customFormat="1">
      <c r="C695" s="40"/>
      <c r="E695" s="134"/>
    </row>
    <row r="696" spans="3:5" s="15" customFormat="1">
      <c r="C696" s="40"/>
      <c r="E696" s="134"/>
    </row>
    <row r="697" spans="3:5" s="15" customFormat="1">
      <c r="C697" s="40"/>
      <c r="E697" s="134"/>
    </row>
    <row r="698" spans="3:5" s="15" customFormat="1">
      <c r="C698" s="40"/>
      <c r="E698" s="134"/>
    </row>
    <row r="699" spans="3:5" s="15" customFormat="1">
      <c r="C699" s="40"/>
      <c r="E699" s="134"/>
    </row>
    <row r="700" spans="3:5" s="15" customFormat="1">
      <c r="C700" s="40"/>
      <c r="E700" s="134"/>
    </row>
    <row r="701" spans="3:5" s="15" customFormat="1">
      <c r="C701" s="40"/>
      <c r="E701" s="134"/>
    </row>
    <row r="702" spans="3:5" s="15" customFormat="1">
      <c r="C702" s="40"/>
      <c r="E702" s="134"/>
    </row>
    <row r="703" spans="3:5" s="15" customFormat="1">
      <c r="C703" s="40"/>
      <c r="E703" s="134"/>
    </row>
    <row r="704" spans="3:5" s="15" customFormat="1">
      <c r="C704" s="40"/>
      <c r="E704" s="134"/>
    </row>
    <row r="705" spans="3:5" s="15" customFormat="1">
      <c r="C705" s="40"/>
      <c r="E705" s="134"/>
    </row>
    <row r="706" spans="3:5" s="15" customFormat="1">
      <c r="C706" s="40"/>
      <c r="E706" s="134"/>
    </row>
    <row r="707" spans="3:5" s="15" customFormat="1">
      <c r="C707" s="40"/>
      <c r="E707" s="134"/>
    </row>
    <row r="708" spans="3:5" s="15" customFormat="1">
      <c r="C708" s="40"/>
      <c r="E708" s="134"/>
    </row>
    <row r="709" spans="3:5" s="15" customFormat="1">
      <c r="C709" s="40"/>
      <c r="E709" s="134"/>
    </row>
    <row r="710" spans="3:5" s="15" customFormat="1">
      <c r="C710" s="40"/>
      <c r="E710" s="134"/>
    </row>
    <row r="711" spans="3:5" s="15" customFormat="1">
      <c r="C711" s="40"/>
      <c r="E711" s="134"/>
    </row>
    <row r="712" spans="3:5" s="15" customFormat="1">
      <c r="C712" s="40"/>
      <c r="E712" s="134"/>
    </row>
    <row r="713" spans="3:5" s="15" customFormat="1">
      <c r="C713" s="40"/>
      <c r="E713" s="134"/>
    </row>
    <row r="714" spans="3:5" s="15" customFormat="1">
      <c r="C714" s="40"/>
      <c r="E714" s="134"/>
    </row>
    <row r="715" spans="3:5" s="15" customFormat="1">
      <c r="C715" s="40"/>
      <c r="E715" s="134"/>
    </row>
    <row r="716" spans="3:5" s="15" customFormat="1">
      <c r="C716" s="40"/>
      <c r="E716" s="134"/>
    </row>
    <row r="717" spans="3:5" s="15" customFormat="1">
      <c r="C717" s="40"/>
      <c r="E717" s="134"/>
    </row>
    <row r="718" spans="3:5" s="15" customFormat="1">
      <c r="C718" s="40"/>
      <c r="E718" s="134"/>
    </row>
    <row r="719" spans="3:5" s="15" customFormat="1">
      <c r="C719" s="40"/>
      <c r="E719" s="134"/>
    </row>
    <row r="720" spans="3:5" s="15" customFormat="1">
      <c r="C720" s="40"/>
      <c r="E720" s="134"/>
    </row>
    <row r="721" spans="3:5" s="15" customFormat="1">
      <c r="C721" s="40"/>
      <c r="E721" s="134"/>
    </row>
    <row r="722" spans="3:5" s="15" customFormat="1">
      <c r="C722" s="40"/>
      <c r="E722" s="134"/>
    </row>
    <row r="723" spans="3:5" s="15" customFormat="1">
      <c r="C723" s="40"/>
      <c r="E723" s="134"/>
    </row>
    <row r="724" spans="3:5" s="15" customFormat="1">
      <c r="C724" s="40"/>
      <c r="E724" s="134"/>
    </row>
    <row r="725" spans="3:5" s="15" customFormat="1">
      <c r="C725" s="40"/>
      <c r="E725" s="134"/>
    </row>
    <row r="726" spans="3:5" s="15" customFormat="1">
      <c r="C726" s="40"/>
      <c r="E726" s="134"/>
    </row>
    <row r="727" spans="3:5" s="15" customFormat="1">
      <c r="C727" s="40"/>
      <c r="E727" s="134"/>
    </row>
    <row r="728" spans="3:5" s="15" customFormat="1">
      <c r="C728" s="40"/>
      <c r="E728" s="134"/>
    </row>
    <row r="729" spans="3:5" s="15" customFormat="1">
      <c r="C729" s="40"/>
      <c r="E729" s="134"/>
    </row>
    <row r="730" spans="3:5" s="15" customFormat="1">
      <c r="C730" s="40"/>
      <c r="E730" s="134"/>
    </row>
    <row r="731" spans="3:5" s="15" customFormat="1">
      <c r="C731" s="40"/>
      <c r="E731" s="134"/>
    </row>
    <row r="732" spans="3:5" s="15" customFormat="1">
      <c r="C732" s="40"/>
      <c r="E732" s="134"/>
    </row>
    <row r="733" spans="3:5" s="15" customFormat="1">
      <c r="C733" s="40"/>
      <c r="E733" s="134"/>
    </row>
    <row r="734" spans="3:5" s="15" customFormat="1">
      <c r="C734" s="40"/>
      <c r="E734" s="134"/>
    </row>
    <row r="735" spans="3:5" s="15" customFormat="1">
      <c r="C735" s="40"/>
      <c r="E735" s="134"/>
    </row>
    <row r="736" spans="3:5" s="15" customFormat="1">
      <c r="C736" s="40"/>
      <c r="E736" s="134"/>
    </row>
    <row r="737" spans="3:5" s="15" customFormat="1">
      <c r="C737" s="40"/>
      <c r="E737" s="134"/>
    </row>
    <row r="738" spans="3:5" s="15" customFormat="1">
      <c r="C738" s="40"/>
      <c r="E738" s="134"/>
    </row>
    <row r="739" spans="3:5" s="15" customFormat="1">
      <c r="C739" s="40"/>
      <c r="E739" s="134"/>
    </row>
    <row r="740" spans="3:5" s="15" customFormat="1">
      <c r="C740" s="40"/>
      <c r="E740" s="134"/>
    </row>
    <row r="741" spans="3:5" s="15" customFormat="1">
      <c r="C741" s="40"/>
      <c r="E741" s="134"/>
    </row>
    <row r="742" spans="3:5" s="15" customFormat="1">
      <c r="C742" s="40"/>
      <c r="E742" s="134"/>
    </row>
    <row r="743" spans="3:5" s="15" customFormat="1">
      <c r="C743" s="40"/>
      <c r="E743" s="134"/>
    </row>
    <row r="744" spans="3:5" s="15" customFormat="1">
      <c r="C744" s="40"/>
      <c r="E744" s="134"/>
    </row>
    <row r="745" spans="3:5" s="15" customFormat="1">
      <c r="C745" s="40"/>
      <c r="E745" s="134"/>
    </row>
    <row r="746" spans="3:5" s="15" customFormat="1">
      <c r="C746" s="40"/>
      <c r="E746" s="134"/>
    </row>
    <row r="747" spans="3:5" s="15" customFormat="1">
      <c r="C747" s="40"/>
      <c r="E747" s="134"/>
    </row>
    <row r="748" spans="3:5" s="15" customFormat="1">
      <c r="C748" s="40"/>
      <c r="E748" s="134"/>
    </row>
    <row r="749" spans="3:5" s="15" customFormat="1">
      <c r="C749" s="40"/>
      <c r="E749" s="134"/>
    </row>
    <row r="750" spans="3:5" s="15" customFormat="1">
      <c r="C750" s="40"/>
      <c r="E750" s="134"/>
    </row>
    <row r="751" spans="3:5" s="15" customFormat="1">
      <c r="C751" s="40"/>
      <c r="E751" s="134"/>
    </row>
    <row r="752" spans="3:5" s="15" customFormat="1">
      <c r="C752" s="40"/>
      <c r="E752" s="134"/>
    </row>
    <row r="753" spans="3:5" s="15" customFormat="1">
      <c r="C753" s="40"/>
      <c r="E753" s="134"/>
    </row>
    <row r="754" spans="3:5" s="15" customFormat="1">
      <c r="C754" s="40"/>
      <c r="E754" s="134"/>
    </row>
    <row r="755" spans="3:5" s="15" customFormat="1">
      <c r="C755" s="40"/>
      <c r="E755" s="134"/>
    </row>
    <row r="756" spans="3:5" s="15" customFormat="1">
      <c r="C756" s="40"/>
      <c r="E756" s="134"/>
    </row>
    <row r="757" spans="3:5" s="15" customFormat="1">
      <c r="C757" s="40"/>
      <c r="E757" s="134"/>
    </row>
    <row r="758" spans="3:5" s="15" customFormat="1">
      <c r="C758" s="40"/>
      <c r="E758" s="134"/>
    </row>
    <row r="759" spans="3:5" s="15" customFormat="1">
      <c r="C759" s="40"/>
      <c r="E759" s="134"/>
    </row>
    <row r="760" spans="3:5" s="15" customFormat="1">
      <c r="C760" s="40"/>
      <c r="E760" s="134"/>
    </row>
    <row r="761" spans="3:5" s="15" customFormat="1">
      <c r="C761" s="40"/>
      <c r="E761" s="134"/>
    </row>
    <row r="762" spans="3:5" s="15" customFormat="1">
      <c r="C762" s="40"/>
      <c r="E762" s="134"/>
    </row>
    <row r="763" spans="3:5" s="15" customFormat="1">
      <c r="C763" s="40"/>
      <c r="E763" s="134"/>
    </row>
    <row r="764" spans="3:5" s="15" customFormat="1">
      <c r="C764" s="40"/>
      <c r="E764" s="134"/>
    </row>
    <row r="765" spans="3:5" s="15" customFormat="1">
      <c r="C765" s="40"/>
      <c r="E765" s="134"/>
    </row>
    <row r="766" spans="3:5" s="15" customFormat="1">
      <c r="C766" s="40"/>
      <c r="E766" s="134"/>
    </row>
    <row r="767" spans="3:5" s="15" customFormat="1">
      <c r="C767" s="40"/>
      <c r="E767" s="134"/>
    </row>
    <row r="768" spans="3:5" s="15" customFormat="1">
      <c r="C768" s="40"/>
      <c r="E768" s="134"/>
    </row>
    <row r="769" spans="3:5" s="15" customFormat="1">
      <c r="C769" s="40"/>
      <c r="E769" s="134"/>
    </row>
    <row r="770" spans="3:5" s="15" customFormat="1">
      <c r="C770" s="40"/>
      <c r="E770" s="134"/>
    </row>
    <row r="771" spans="3:5" s="15" customFormat="1">
      <c r="C771" s="40"/>
      <c r="E771" s="134"/>
    </row>
    <row r="772" spans="3:5" s="15" customFormat="1">
      <c r="C772" s="40"/>
      <c r="E772" s="134"/>
    </row>
    <row r="773" spans="3:5" s="15" customFormat="1">
      <c r="C773" s="40"/>
      <c r="E773" s="134"/>
    </row>
    <row r="774" spans="3:5" s="15" customFormat="1">
      <c r="C774" s="40"/>
      <c r="E774" s="134"/>
    </row>
    <row r="775" spans="3:5" s="15" customFormat="1">
      <c r="C775" s="40"/>
      <c r="E775" s="134"/>
    </row>
    <row r="776" spans="3:5" s="15" customFormat="1">
      <c r="C776" s="40"/>
      <c r="E776" s="134"/>
    </row>
    <row r="777" spans="3:5" s="15" customFormat="1">
      <c r="C777" s="40"/>
      <c r="E777" s="134"/>
    </row>
    <row r="778" spans="3:5" s="15" customFormat="1">
      <c r="C778" s="40"/>
      <c r="E778" s="134"/>
    </row>
    <row r="779" spans="3:5" s="15" customFormat="1">
      <c r="C779" s="40"/>
      <c r="E779" s="134"/>
    </row>
    <row r="780" spans="3:5" s="15" customFormat="1">
      <c r="C780" s="40"/>
      <c r="E780" s="134"/>
    </row>
    <row r="781" spans="3:5" s="15" customFormat="1">
      <c r="C781" s="40"/>
      <c r="E781" s="134"/>
    </row>
    <row r="782" spans="3:5" s="15" customFormat="1">
      <c r="C782" s="40"/>
      <c r="E782" s="134"/>
    </row>
    <row r="783" spans="3:5" s="15" customFormat="1">
      <c r="C783" s="40"/>
      <c r="E783" s="134"/>
    </row>
    <row r="784" spans="3:5" s="15" customFormat="1">
      <c r="C784" s="40"/>
      <c r="E784" s="134"/>
    </row>
    <row r="785" spans="3:5" s="15" customFormat="1">
      <c r="C785" s="40"/>
      <c r="E785" s="134"/>
    </row>
    <row r="786" spans="3:5" s="15" customFormat="1">
      <c r="C786" s="40"/>
      <c r="E786" s="134"/>
    </row>
    <row r="787" spans="3:5" s="15" customFormat="1">
      <c r="C787" s="40"/>
      <c r="E787" s="134"/>
    </row>
    <row r="788" spans="3:5" s="15" customFormat="1">
      <c r="C788" s="40"/>
      <c r="E788" s="134"/>
    </row>
    <row r="789" spans="3:5" s="15" customFormat="1">
      <c r="C789" s="40"/>
      <c r="E789" s="134"/>
    </row>
    <row r="790" spans="3:5" s="15" customFormat="1">
      <c r="C790" s="40"/>
      <c r="E790" s="134"/>
    </row>
    <row r="791" spans="3:5" s="15" customFormat="1">
      <c r="C791" s="40"/>
      <c r="E791" s="134"/>
    </row>
    <row r="792" spans="3:5" s="15" customFormat="1">
      <c r="C792" s="40"/>
      <c r="E792" s="134"/>
    </row>
    <row r="793" spans="3:5" s="15" customFormat="1">
      <c r="C793" s="40"/>
      <c r="E793" s="134"/>
    </row>
    <row r="794" spans="3:5" s="15" customFormat="1">
      <c r="C794" s="40"/>
      <c r="E794" s="134"/>
    </row>
    <row r="795" spans="3:5" s="15" customFormat="1">
      <c r="C795" s="40"/>
      <c r="E795" s="134"/>
    </row>
    <row r="796" spans="3:5" s="15" customFormat="1">
      <c r="C796" s="40"/>
      <c r="E796" s="134"/>
    </row>
    <row r="797" spans="3:5" s="15" customFormat="1">
      <c r="C797" s="40"/>
      <c r="E797" s="134"/>
    </row>
    <row r="798" spans="3:5" s="15" customFormat="1">
      <c r="C798" s="40"/>
      <c r="E798" s="134"/>
    </row>
    <row r="799" spans="3:5" s="15" customFormat="1">
      <c r="C799" s="40"/>
      <c r="E799" s="134"/>
    </row>
    <row r="800" spans="3:5" s="15" customFormat="1">
      <c r="C800" s="40"/>
      <c r="E800" s="134"/>
    </row>
    <row r="801" spans="3:5" s="15" customFormat="1">
      <c r="C801" s="40"/>
      <c r="E801" s="134"/>
    </row>
    <row r="802" spans="3:5" s="15" customFormat="1">
      <c r="C802" s="40"/>
      <c r="E802" s="134"/>
    </row>
    <row r="803" spans="3:5" s="15" customFormat="1">
      <c r="C803" s="40"/>
      <c r="E803" s="134"/>
    </row>
    <row r="804" spans="3:5" s="15" customFormat="1">
      <c r="C804" s="40"/>
      <c r="E804" s="134"/>
    </row>
    <row r="805" spans="3:5" s="15" customFormat="1">
      <c r="C805" s="40"/>
      <c r="E805" s="134"/>
    </row>
    <row r="806" spans="3:5" s="15" customFormat="1">
      <c r="C806" s="40"/>
      <c r="E806" s="134"/>
    </row>
    <row r="807" spans="3:5" s="15" customFormat="1">
      <c r="C807" s="40"/>
      <c r="E807" s="134"/>
    </row>
    <row r="808" spans="3:5" s="15" customFormat="1">
      <c r="C808" s="40"/>
      <c r="E808" s="134"/>
    </row>
    <row r="809" spans="3:5" s="15" customFormat="1">
      <c r="C809" s="40"/>
      <c r="E809" s="134"/>
    </row>
    <row r="810" spans="3:5" s="15" customFormat="1">
      <c r="C810" s="40"/>
      <c r="E810" s="134"/>
    </row>
    <row r="811" spans="3:5" s="15" customFormat="1">
      <c r="C811" s="40"/>
      <c r="E811" s="134"/>
    </row>
    <row r="812" spans="3:5" s="15" customFormat="1">
      <c r="C812" s="40"/>
      <c r="E812" s="134"/>
    </row>
    <row r="813" spans="3:5" s="15" customFormat="1">
      <c r="C813" s="40"/>
      <c r="E813" s="134"/>
    </row>
    <row r="814" spans="3:5" s="15" customFormat="1">
      <c r="C814" s="40"/>
      <c r="E814" s="134"/>
    </row>
    <row r="815" spans="3:5" s="15" customFormat="1">
      <c r="C815" s="40"/>
      <c r="E815" s="134"/>
    </row>
    <row r="816" spans="3:5" s="15" customFormat="1">
      <c r="C816" s="40"/>
      <c r="E816" s="134"/>
    </row>
    <row r="817" spans="3:5" s="15" customFormat="1">
      <c r="C817" s="40"/>
      <c r="E817" s="134"/>
    </row>
    <row r="818" spans="3:5" s="15" customFormat="1">
      <c r="C818" s="40"/>
      <c r="E818" s="134"/>
    </row>
    <row r="819" spans="3:5" s="15" customFormat="1">
      <c r="C819" s="40"/>
      <c r="E819" s="134"/>
    </row>
    <row r="820" spans="3:5" s="15" customFormat="1">
      <c r="C820" s="40"/>
      <c r="E820" s="134"/>
    </row>
    <row r="821" spans="3:5" s="15" customFormat="1">
      <c r="C821" s="40"/>
      <c r="E821" s="134"/>
    </row>
    <row r="822" spans="3:5" s="15" customFormat="1">
      <c r="C822" s="40"/>
      <c r="E822" s="134"/>
    </row>
    <row r="823" spans="3:5" s="15" customFormat="1">
      <c r="C823" s="40"/>
      <c r="E823" s="134"/>
    </row>
    <row r="824" spans="3:5" s="15" customFormat="1">
      <c r="C824" s="40"/>
      <c r="E824" s="134"/>
    </row>
    <row r="825" spans="3:5" s="15" customFormat="1">
      <c r="C825" s="40"/>
      <c r="E825" s="134"/>
    </row>
    <row r="826" spans="3:5" s="15" customFormat="1">
      <c r="C826" s="40"/>
      <c r="E826" s="134"/>
    </row>
    <row r="827" spans="3:5" s="15" customFormat="1">
      <c r="C827" s="40"/>
      <c r="E827" s="134"/>
    </row>
    <row r="828" spans="3:5" s="15" customFormat="1">
      <c r="C828" s="40"/>
      <c r="E828" s="134"/>
    </row>
    <row r="829" spans="3:5" s="15" customFormat="1">
      <c r="C829" s="40"/>
      <c r="E829" s="134"/>
    </row>
    <row r="830" spans="3:5" s="15" customFormat="1">
      <c r="C830" s="40"/>
      <c r="E830" s="134"/>
    </row>
    <row r="831" spans="3:5" s="15" customFormat="1">
      <c r="C831" s="40"/>
      <c r="E831" s="134"/>
    </row>
    <row r="832" spans="3:5" s="15" customFormat="1">
      <c r="C832" s="40"/>
      <c r="E832" s="134"/>
    </row>
    <row r="833" spans="3:5" s="15" customFormat="1">
      <c r="C833" s="40"/>
      <c r="E833" s="134"/>
    </row>
    <row r="834" spans="3:5" s="15" customFormat="1">
      <c r="C834" s="40"/>
      <c r="E834" s="134"/>
    </row>
    <row r="835" spans="3:5" s="15" customFormat="1">
      <c r="C835" s="40"/>
      <c r="E835" s="134"/>
    </row>
    <row r="836" spans="3:5" s="15" customFormat="1">
      <c r="C836" s="40"/>
      <c r="E836" s="134"/>
    </row>
    <row r="837" spans="3:5" s="15" customFormat="1">
      <c r="C837" s="40"/>
      <c r="E837" s="134"/>
    </row>
    <row r="838" spans="3:5" s="15" customFormat="1">
      <c r="C838" s="40"/>
      <c r="E838" s="134"/>
    </row>
    <row r="839" spans="3:5" s="15" customFormat="1">
      <c r="C839" s="40"/>
      <c r="E839" s="134"/>
    </row>
    <row r="840" spans="3:5" s="15" customFormat="1">
      <c r="C840" s="40"/>
      <c r="E840" s="134"/>
    </row>
    <row r="841" spans="3:5" s="15" customFormat="1">
      <c r="C841" s="40"/>
      <c r="E841" s="134"/>
    </row>
    <row r="842" spans="3:5" s="15" customFormat="1">
      <c r="C842" s="40"/>
      <c r="E842" s="134"/>
    </row>
    <row r="843" spans="3:5" s="15" customFormat="1">
      <c r="C843" s="40"/>
      <c r="E843" s="134"/>
    </row>
    <row r="844" spans="3:5" s="15" customFormat="1">
      <c r="C844" s="40"/>
      <c r="E844" s="134"/>
    </row>
    <row r="845" spans="3:5" s="15" customFormat="1">
      <c r="C845" s="40"/>
      <c r="E845" s="134"/>
    </row>
    <row r="846" spans="3:5" s="15" customFormat="1">
      <c r="C846" s="40"/>
      <c r="E846" s="134"/>
    </row>
    <row r="847" spans="3:5" s="15" customFormat="1">
      <c r="C847" s="40"/>
      <c r="E847" s="134"/>
    </row>
    <row r="848" spans="3:5" s="15" customFormat="1">
      <c r="C848" s="40"/>
      <c r="E848" s="134"/>
    </row>
    <row r="849" spans="3:5" s="15" customFormat="1">
      <c r="C849" s="40"/>
      <c r="E849" s="134"/>
    </row>
    <row r="850" spans="3:5" s="15" customFormat="1">
      <c r="C850" s="40"/>
      <c r="E850" s="134"/>
    </row>
    <row r="851" spans="3:5" s="15" customFormat="1">
      <c r="C851" s="40"/>
      <c r="E851" s="134"/>
    </row>
    <row r="852" spans="3:5" s="15" customFormat="1">
      <c r="C852" s="40"/>
      <c r="E852" s="134"/>
    </row>
    <row r="853" spans="3:5" s="15" customFormat="1">
      <c r="C853" s="40"/>
      <c r="E853" s="134"/>
    </row>
    <row r="854" spans="3:5" s="15" customFormat="1">
      <c r="C854" s="40"/>
      <c r="E854" s="134"/>
    </row>
    <row r="855" spans="3:5" s="15" customFormat="1">
      <c r="C855" s="40"/>
      <c r="E855" s="134"/>
    </row>
    <row r="856" spans="3:5" s="15" customFormat="1">
      <c r="C856" s="40"/>
      <c r="E856" s="134"/>
    </row>
    <row r="857" spans="3:5" s="15" customFormat="1">
      <c r="C857" s="40"/>
      <c r="E857" s="134"/>
    </row>
    <row r="858" spans="3:5" s="15" customFormat="1">
      <c r="C858" s="40"/>
      <c r="E858" s="134"/>
    </row>
    <row r="859" spans="3:5" s="15" customFormat="1">
      <c r="C859" s="40"/>
      <c r="E859" s="134"/>
    </row>
    <row r="860" spans="3:5" s="15" customFormat="1">
      <c r="C860" s="40"/>
      <c r="E860" s="134"/>
    </row>
    <row r="861" spans="3:5" s="15" customFormat="1">
      <c r="C861" s="40"/>
      <c r="E861" s="134"/>
    </row>
    <row r="862" spans="3:5" s="15" customFormat="1">
      <c r="C862" s="40"/>
      <c r="E862" s="134"/>
    </row>
    <row r="863" spans="3:5" s="15" customFormat="1">
      <c r="C863" s="40"/>
      <c r="E863" s="134"/>
    </row>
    <row r="864" spans="3:5" s="15" customFormat="1">
      <c r="C864" s="40"/>
      <c r="E864" s="134"/>
    </row>
    <row r="865" spans="3:5" s="15" customFormat="1">
      <c r="C865" s="40"/>
      <c r="E865" s="134"/>
    </row>
    <row r="866" spans="3:5" s="15" customFormat="1">
      <c r="C866" s="40"/>
      <c r="E866" s="134"/>
    </row>
    <row r="867" spans="3:5" s="15" customFormat="1">
      <c r="C867" s="40"/>
      <c r="E867" s="134"/>
    </row>
    <row r="868" spans="3:5" s="15" customFormat="1">
      <c r="C868" s="40"/>
      <c r="E868" s="134"/>
    </row>
    <row r="869" spans="3:5" s="15" customFormat="1">
      <c r="C869" s="40"/>
      <c r="E869" s="134"/>
    </row>
    <row r="870" spans="3:5" s="15" customFormat="1">
      <c r="C870" s="40"/>
      <c r="E870" s="134"/>
    </row>
    <row r="871" spans="3:5" s="15" customFormat="1">
      <c r="C871" s="40"/>
      <c r="E871" s="134"/>
    </row>
    <row r="872" spans="3:5" s="15" customFormat="1">
      <c r="C872" s="40"/>
      <c r="E872" s="134"/>
    </row>
    <row r="873" spans="3:5" s="15" customFormat="1">
      <c r="C873" s="40"/>
      <c r="E873" s="134"/>
    </row>
    <row r="874" spans="3:5" s="15" customFormat="1">
      <c r="C874" s="40"/>
      <c r="E874" s="134"/>
    </row>
    <row r="875" spans="3:5" s="15" customFormat="1">
      <c r="C875" s="40"/>
      <c r="E875" s="134"/>
    </row>
    <row r="876" spans="3:5" s="15" customFormat="1">
      <c r="C876" s="40"/>
      <c r="E876" s="134"/>
    </row>
    <row r="877" spans="3:5" s="15" customFormat="1">
      <c r="C877" s="40"/>
      <c r="E877" s="134"/>
    </row>
    <row r="878" spans="3:5" s="15" customFormat="1">
      <c r="C878" s="40"/>
      <c r="E878" s="134"/>
    </row>
    <row r="879" spans="3:5" s="15" customFormat="1">
      <c r="C879" s="40"/>
      <c r="E879" s="134"/>
    </row>
    <row r="880" spans="3:5" s="15" customFormat="1">
      <c r="C880" s="40"/>
      <c r="E880" s="134"/>
    </row>
    <row r="881" spans="3:5" s="15" customFormat="1">
      <c r="C881" s="40"/>
      <c r="E881" s="134"/>
    </row>
    <row r="882" spans="3:5" s="15" customFormat="1">
      <c r="C882" s="40"/>
      <c r="E882" s="134"/>
    </row>
    <row r="883" spans="3:5" s="15" customFormat="1">
      <c r="C883" s="40"/>
      <c r="E883" s="134"/>
    </row>
    <row r="884" spans="3:5" s="15" customFormat="1">
      <c r="C884" s="40"/>
      <c r="E884" s="134"/>
    </row>
    <row r="885" spans="3:5" s="15" customFormat="1">
      <c r="C885" s="40"/>
      <c r="E885" s="134"/>
    </row>
    <row r="886" spans="3:5" s="15" customFormat="1">
      <c r="C886" s="40"/>
      <c r="E886" s="134"/>
    </row>
    <row r="887" spans="3:5" s="15" customFormat="1">
      <c r="C887" s="40"/>
      <c r="E887" s="134"/>
    </row>
    <row r="888" spans="3:5" s="15" customFormat="1">
      <c r="C888" s="40"/>
      <c r="E888" s="134"/>
    </row>
    <row r="889" spans="3:5" s="15" customFormat="1">
      <c r="C889" s="40"/>
      <c r="E889" s="134"/>
    </row>
    <row r="890" spans="3:5" s="15" customFormat="1">
      <c r="C890" s="40"/>
      <c r="E890" s="134"/>
    </row>
    <row r="891" spans="3:5" s="15" customFormat="1">
      <c r="C891" s="40"/>
      <c r="E891" s="134"/>
    </row>
    <row r="892" spans="3:5" s="15" customFormat="1">
      <c r="C892" s="40"/>
      <c r="E892" s="134"/>
    </row>
    <row r="893" spans="3:5" s="15" customFormat="1">
      <c r="C893" s="40"/>
      <c r="E893" s="134"/>
    </row>
    <row r="894" spans="3:5" s="15" customFormat="1">
      <c r="C894" s="40"/>
      <c r="E894" s="134"/>
    </row>
    <row r="895" spans="3:5" s="15" customFormat="1">
      <c r="C895" s="40"/>
      <c r="E895" s="134"/>
    </row>
    <row r="896" spans="3:5" s="15" customFormat="1">
      <c r="C896" s="40"/>
      <c r="E896" s="134"/>
    </row>
    <row r="897" spans="3:5" s="15" customFormat="1">
      <c r="C897" s="40"/>
      <c r="E897" s="134"/>
    </row>
    <row r="898" spans="3:5" s="15" customFormat="1">
      <c r="C898" s="40"/>
      <c r="E898" s="134"/>
    </row>
    <row r="899" spans="3:5" s="15" customFormat="1">
      <c r="C899" s="40"/>
      <c r="E899" s="134"/>
    </row>
    <row r="900" spans="3:5" s="15" customFormat="1">
      <c r="C900" s="40"/>
      <c r="E900" s="134"/>
    </row>
    <row r="901" spans="3:5" s="15" customFormat="1">
      <c r="C901" s="40"/>
      <c r="E901" s="134"/>
    </row>
    <row r="902" spans="3:5" s="15" customFormat="1">
      <c r="C902" s="40"/>
      <c r="E902" s="134"/>
    </row>
    <row r="903" spans="3:5" s="15" customFormat="1">
      <c r="C903" s="40"/>
      <c r="E903" s="134"/>
    </row>
    <row r="904" spans="3:5" s="15" customFormat="1">
      <c r="C904" s="40"/>
      <c r="E904" s="134"/>
    </row>
    <row r="905" spans="3:5" s="15" customFormat="1">
      <c r="C905" s="40"/>
      <c r="E905" s="134"/>
    </row>
    <row r="906" spans="3:5" s="15" customFormat="1">
      <c r="C906" s="40"/>
      <c r="E906" s="134"/>
    </row>
    <row r="907" spans="3:5" s="15" customFormat="1">
      <c r="C907" s="40"/>
      <c r="E907" s="134"/>
    </row>
    <row r="908" spans="3:5" s="15" customFormat="1">
      <c r="C908" s="40"/>
      <c r="E908" s="134"/>
    </row>
    <row r="909" spans="3:5" s="15" customFormat="1">
      <c r="C909" s="40"/>
      <c r="E909" s="134"/>
    </row>
    <row r="910" spans="3:5" s="15" customFormat="1">
      <c r="C910" s="40"/>
      <c r="E910" s="134"/>
    </row>
    <row r="911" spans="3:5" s="15" customFormat="1">
      <c r="C911" s="40"/>
      <c r="E911" s="134"/>
    </row>
    <row r="912" spans="3:5" s="15" customFormat="1">
      <c r="C912" s="40"/>
      <c r="E912" s="134"/>
    </row>
    <row r="913" spans="3:5" s="15" customFormat="1">
      <c r="C913" s="40"/>
      <c r="E913" s="134"/>
    </row>
    <row r="914" spans="3:5" s="15" customFormat="1">
      <c r="C914" s="40"/>
      <c r="E914" s="134"/>
    </row>
    <row r="915" spans="3:5" s="15" customFormat="1">
      <c r="C915" s="40"/>
      <c r="E915" s="134"/>
    </row>
    <row r="916" spans="3:5" s="15" customFormat="1">
      <c r="C916" s="40"/>
      <c r="E916" s="134"/>
    </row>
    <row r="917" spans="3:5" s="15" customFormat="1">
      <c r="C917" s="40"/>
      <c r="E917" s="134"/>
    </row>
    <row r="918" spans="3:5" s="15" customFormat="1">
      <c r="C918" s="40"/>
      <c r="E918" s="134"/>
    </row>
    <row r="919" spans="3:5" s="15" customFormat="1">
      <c r="C919" s="40"/>
      <c r="E919" s="134"/>
    </row>
    <row r="920" spans="3:5" s="15" customFormat="1">
      <c r="C920" s="40"/>
      <c r="E920" s="134"/>
    </row>
    <row r="921" spans="3:5" s="15" customFormat="1">
      <c r="C921" s="40"/>
      <c r="E921" s="134"/>
    </row>
    <row r="922" spans="3:5" s="15" customFormat="1">
      <c r="C922" s="40"/>
      <c r="E922" s="134"/>
    </row>
    <row r="923" spans="3:5" s="15" customFormat="1">
      <c r="C923" s="40"/>
      <c r="E923" s="134"/>
    </row>
    <row r="924" spans="3:5" s="15" customFormat="1">
      <c r="C924" s="40"/>
      <c r="E924" s="134"/>
    </row>
    <row r="925" spans="3:5" s="15" customFormat="1">
      <c r="C925" s="40"/>
      <c r="E925" s="134"/>
    </row>
    <row r="926" spans="3:5" s="15" customFormat="1">
      <c r="C926" s="40"/>
      <c r="E926" s="134"/>
    </row>
    <row r="927" spans="3:5" s="15" customFormat="1">
      <c r="C927" s="40"/>
      <c r="E927" s="134"/>
    </row>
    <row r="928" spans="3:5" s="15" customFormat="1">
      <c r="C928" s="40"/>
      <c r="E928" s="134"/>
    </row>
    <row r="929" spans="3:5" s="15" customFormat="1">
      <c r="C929" s="40"/>
      <c r="E929" s="134"/>
    </row>
    <row r="930" spans="3:5" s="15" customFormat="1">
      <c r="C930" s="40"/>
      <c r="E930" s="134"/>
    </row>
    <row r="931" spans="3:5" s="15" customFormat="1">
      <c r="C931" s="40"/>
      <c r="E931" s="134"/>
    </row>
    <row r="932" spans="3:5" s="15" customFormat="1">
      <c r="C932" s="40"/>
      <c r="E932" s="134"/>
    </row>
    <row r="933" spans="3:5" s="15" customFormat="1">
      <c r="C933" s="40"/>
      <c r="E933" s="134"/>
    </row>
    <row r="934" spans="3:5" s="15" customFormat="1">
      <c r="C934" s="40"/>
      <c r="E934" s="134"/>
    </row>
    <row r="935" spans="3:5" s="15" customFormat="1">
      <c r="C935" s="40"/>
      <c r="E935" s="134"/>
    </row>
    <row r="936" spans="3:5" s="15" customFormat="1">
      <c r="C936" s="40"/>
      <c r="E936" s="134"/>
    </row>
    <row r="937" spans="3:5" s="15" customFormat="1">
      <c r="C937" s="40"/>
      <c r="E937" s="134"/>
    </row>
    <row r="938" spans="3:5" s="15" customFormat="1">
      <c r="C938" s="40"/>
      <c r="E938" s="134"/>
    </row>
    <row r="939" spans="3:5" s="15" customFormat="1">
      <c r="C939" s="40"/>
      <c r="E939" s="134"/>
    </row>
    <row r="940" spans="3:5" s="15" customFormat="1">
      <c r="C940" s="40"/>
      <c r="E940" s="134"/>
    </row>
    <row r="941" spans="3:5" s="15" customFormat="1">
      <c r="C941" s="40"/>
      <c r="E941" s="134"/>
    </row>
    <row r="942" spans="3:5" s="15" customFormat="1">
      <c r="C942" s="40"/>
      <c r="E942" s="134"/>
    </row>
    <row r="943" spans="3:5" s="15" customFormat="1">
      <c r="C943" s="40"/>
      <c r="E943" s="134"/>
    </row>
    <row r="944" spans="3:5" s="15" customFormat="1">
      <c r="C944" s="40"/>
      <c r="E944" s="134"/>
    </row>
    <row r="945" spans="3:5" s="15" customFormat="1">
      <c r="C945" s="40"/>
      <c r="E945" s="134"/>
    </row>
    <row r="946" spans="3:5" s="15" customFormat="1">
      <c r="C946" s="40"/>
      <c r="E946" s="134"/>
    </row>
    <row r="947" spans="3:5" s="15" customFormat="1">
      <c r="C947" s="40"/>
      <c r="E947" s="134"/>
    </row>
    <row r="948" spans="3:5" s="15" customFormat="1">
      <c r="C948" s="40"/>
      <c r="E948" s="134"/>
    </row>
    <row r="949" spans="3:5" s="15" customFormat="1">
      <c r="C949" s="40"/>
      <c r="E949" s="134"/>
    </row>
    <row r="950" spans="3:5" s="15" customFormat="1">
      <c r="C950" s="40"/>
      <c r="E950" s="134"/>
    </row>
    <row r="951" spans="3:5" s="15" customFormat="1">
      <c r="C951" s="40"/>
      <c r="E951" s="134"/>
    </row>
    <row r="952" spans="3:5" s="15" customFormat="1">
      <c r="C952" s="40"/>
      <c r="E952" s="134"/>
    </row>
    <row r="953" spans="3:5" s="15" customFormat="1">
      <c r="C953" s="40"/>
      <c r="E953" s="134"/>
    </row>
    <row r="954" spans="3:5" s="15" customFormat="1">
      <c r="C954" s="40"/>
      <c r="E954" s="134"/>
    </row>
    <row r="955" spans="3:5" s="15" customFormat="1">
      <c r="C955" s="40"/>
      <c r="E955" s="134"/>
    </row>
    <row r="956" spans="3:5" s="15" customFormat="1">
      <c r="C956" s="40"/>
      <c r="E956" s="134"/>
    </row>
    <row r="957" spans="3:5" s="15" customFormat="1">
      <c r="C957" s="40"/>
      <c r="E957" s="134"/>
    </row>
    <row r="958" spans="3:5" s="15" customFormat="1">
      <c r="C958" s="40"/>
      <c r="E958" s="134"/>
    </row>
    <row r="959" spans="3:5" s="15" customFormat="1">
      <c r="C959" s="40"/>
      <c r="E959" s="134"/>
    </row>
    <row r="960" spans="3:5" s="15" customFormat="1">
      <c r="C960" s="40"/>
      <c r="E960" s="134"/>
    </row>
    <row r="961" spans="3:5" s="15" customFormat="1">
      <c r="C961" s="40"/>
      <c r="E961" s="134"/>
    </row>
    <row r="962" spans="3:5" s="15" customFormat="1">
      <c r="C962" s="40"/>
      <c r="E962" s="134"/>
    </row>
    <row r="963" spans="3:5" s="15" customFormat="1">
      <c r="C963" s="40"/>
      <c r="E963" s="134"/>
    </row>
    <row r="964" spans="3:5" s="15" customFormat="1">
      <c r="C964" s="40"/>
      <c r="E964" s="134"/>
    </row>
    <row r="965" spans="3:5" s="15" customFormat="1">
      <c r="C965" s="40"/>
      <c r="E965" s="134"/>
    </row>
    <row r="966" spans="3:5" s="15" customFormat="1">
      <c r="C966" s="40"/>
      <c r="E966" s="134"/>
    </row>
    <row r="967" spans="3:5" s="15" customFormat="1">
      <c r="C967" s="40"/>
      <c r="E967" s="134"/>
    </row>
    <row r="968" spans="3:5" s="15" customFormat="1">
      <c r="C968" s="40"/>
      <c r="E968" s="134"/>
    </row>
    <row r="969" spans="3:5" s="15" customFormat="1">
      <c r="C969" s="40"/>
      <c r="E969" s="134"/>
    </row>
    <row r="970" spans="3:5" s="15" customFormat="1">
      <c r="C970" s="40"/>
      <c r="E970" s="134"/>
    </row>
    <row r="971" spans="3:5" s="15" customFormat="1">
      <c r="C971" s="40"/>
      <c r="E971" s="134"/>
    </row>
    <row r="972" spans="3:5" s="15" customFormat="1">
      <c r="C972" s="40"/>
      <c r="E972" s="134"/>
    </row>
    <row r="973" spans="3:5" s="15" customFormat="1">
      <c r="C973" s="40"/>
      <c r="E973" s="134"/>
    </row>
    <row r="974" spans="3:5" s="15" customFormat="1">
      <c r="C974" s="40"/>
      <c r="E974" s="134"/>
    </row>
    <row r="975" spans="3:5" s="15" customFormat="1">
      <c r="C975" s="40"/>
      <c r="E975" s="134"/>
    </row>
    <row r="976" spans="3:5" s="15" customFormat="1">
      <c r="C976" s="40"/>
      <c r="E976" s="134"/>
    </row>
    <row r="977" spans="3:5" s="15" customFormat="1">
      <c r="C977" s="40"/>
      <c r="E977" s="134"/>
    </row>
    <row r="978" spans="3:5" s="15" customFormat="1">
      <c r="C978" s="40"/>
      <c r="E978" s="134"/>
    </row>
    <row r="979" spans="3:5" s="15" customFormat="1">
      <c r="C979" s="40"/>
      <c r="E979" s="134"/>
    </row>
    <row r="980" spans="3:5" s="15" customFormat="1">
      <c r="C980" s="40"/>
      <c r="E980" s="134"/>
    </row>
    <row r="981" spans="3:5" s="15" customFormat="1">
      <c r="C981" s="40"/>
      <c r="E981" s="134"/>
    </row>
    <row r="982" spans="3:5" s="15" customFormat="1">
      <c r="C982" s="40"/>
      <c r="E982" s="134"/>
    </row>
    <row r="983" spans="3:5" s="15" customFormat="1">
      <c r="C983" s="40"/>
      <c r="E983" s="134"/>
    </row>
    <row r="984" spans="3:5" s="15" customFormat="1">
      <c r="C984" s="40"/>
      <c r="E984" s="134"/>
    </row>
    <row r="985" spans="3:5" s="15" customFormat="1">
      <c r="C985" s="40"/>
      <c r="E985" s="134"/>
    </row>
    <row r="986" spans="3:5" s="15" customFormat="1">
      <c r="C986" s="40"/>
      <c r="E986" s="134"/>
    </row>
    <row r="987" spans="3:5" s="15" customFormat="1">
      <c r="C987" s="40"/>
      <c r="E987" s="134"/>
    </row>
    <row r="988" spans="3:5" s="15" customFormat="1">
      <c r="C988" s="40"/>
      <c r="E988" s="134"/>
    </row>
    <row r="989" spans="3:5" s="15" customFormat="1">
      <c r="C989" s="40"/>
      <c r="E989" s="134"/>
    </row>
    <row r="990" spans="3:5" s="15" customFormat="1">
      <c r="C990" s="40"/>
      <c r="E990" s="134"/>
    </row>
    <row r="991" spans="3:5" s="15" customFormat="1">
      <c r="C991" s="40"/>
      <c r="E991" s="134"/>
    </row>
    <row r="992" spans="3:5" s="15" customFormat="1">
      <c r="C992" s="40"/>
      <c r="E992" s="134"/>
    </row>
    <row r="993" spans="3:5" s="15" customFormat="1">
      <c r="C993" s="40"/>
      <c r="E993" s="134"/>
    </row>
    <row r="994" spans="3:5" s="15" customFormat="1">
      <c r="C994" s="40"/>
      <c r="E994" s="134"/>
    </row>
    <row r="995" spans="3:5" s="15" customFormat="1">
      <c r="C995" s="40"/>
      <c r="E995" s="134"/>
    </row>
    <row r="996" spans="3:5" s="15" customFormat="1">
      <c r="C996" s="40"/>
      <c r="E996" s="134"/>
    </row>
    <row r="997" spans="3:5" s="15" customFormat="1">
      <c r="C997" s="40"/>
      <c r="E997" s="134"/>
    </row>
    <row r="998" spans="3:5" s="15" customFormat="1">
      <c r="C998" s="40"/>
      <c r="E998" s="134"/>
    </row>
    <row r="999" spans="3:5" s="15" customFormat="1">
      <c r="C999" s="40"/>
      <c r="E999" s="134"/>
    </row>
    <row r="1000" spans="3:5" s="15" customFormat="1">
      <c r="C1000" s="40"/>
      <c r="E1000" s="134"/>
    </row>
    <row r="1001" spans="3:5" s="15" customFormat="1">
      <c r="C1001" s="40"/>
      <c r="E1001" s="134"/>
    </row>
    <row r="1002" spans="3:5" s="15" customFormat="1">
      <c r="C1002" s="40"/>
      <c r="E1002" s="134"/>
    </row>
    <row r="1003" spans="3:5" s="15" customFormat="1">
      <c r="C1003" s="40"/>
      <c r="E1003" s="134"/>
    </row>
    <row r="1004" spans="3:5" s="15" customFormat="1">
      <c r="C1004" s="40"/>
      <c r="E1004" s="134"/>
    </row>
    <row r="1005" spans="3:5" s="15" customFormat="1">
      <c r="C1005" s="40"/>
      <c r="E1005" s="134"/>
    </row>
    <row r="1006" spans="3:5" s="15" customFormat="1">
      <c r="C1006" s="40"/>
      <c r="E1006" s="134"/>
    </row>
    <row r="1007" spans="3:5" s="15" customFormat="1">
      <c r="C1007" s="40"/>
      <c r="E1007" s="134"/>
    </row>
    <row r="1008" spans="3:5" s="15" customFormat="1">
      <c r="C1008" s="40"/>
      <c r="E1008" s="134"/>
    </row>
    <row r="1009" spans="3:5" s="15" customFormat="1">
      <c r="C1009" s="40"/>
      <c r="E1009" s="134"/>
    </row>
    <row r="1010" spans="3:5" s="15" customFormat="1">
      <c r="C1010" s="40"/>
      <c r="E1010" s="134"/>
    </row>
    <row r="1011" spans="3:5" s="15" customFormat="1">
      <c r="C1011" s="40"/>
      <c r="E1011" s="134"/>
    </row>
    <row r="1012" spans="3:5" s="15" customFormat="1">
      <c r="C1012" s="40"/>
      <c r="E1012" s="134"/>
    </row>
    <row r="1013" spans="3:5" s="15" customFormat="1">
      <c r="C1013" s="40"/>
      <c r="E1013" s="134"/>
    </row>
    <row r="1014" spans="3:5" s="15" customFormat="1">
      <c r="C1014" s="40"/>
      <c r="E1014" s="134"/>
    </row>
    <row r="1015" spans="3:5" s="15" customFormat="1">
      <c r="C1015" s="40"/>
      <c r="E1015" s="134"/>
    </row>
    <row r="1016" spans="3:5" s="15" customFormat="1">
      <c r="C1016" s="40"/>
      <c r="E1016" s="134"/>
    </row>
    <row r="1017" spans="3:5" s="15" customFormat="1">
      <c r="C1017" s="40"/>
      <c r="E1017" s="134"/>
    </row>
    <row r="1018" spans="3:5" s="15" customFormat="1">
      <c r="C1018" s="40"/>
      <c r="E1018" s="134"/>
    </row>
    <row r="1019" spans="3:5" s="15" customFormat="1">
      <c r="C1019" s="40"/>
      <c r="E1019" s="134"/>
    </row>
    <row r="1020" spans="3:5" s="15" customFormat="1">
      <c r="C1020" s="40"/>
      <c r="E1020" s="134"/>
    </row>
    <row r="1021" spans="3:5" s="15" customFormat="1">
      <c r="C1021" s="40"/>
      <c r="E1021" s="134"/>
    </row>
    <row r="1022" spans="3:5" s="15" customFormat="1">
      <c r="C1022" s="40"/>
      <c r="E1022" s="134"/>
    </row>
    <row r="1023" spans="3:5" s="15" customFormat="1">
      <c r="C1023" s="40"/>
      <c r="E1023" s="134"/>
    </row>
    <row r="1024" spans="3:5" s="15" customFormat="1">
      <c r="C1024" s="40"/>
      <c r="E1024" s="134"/>
    </row>
    <row r="1025" spans="3:5" s="15" customFormat="1">
      <c r="C1025" s="40"/>
      <c r="E1025" s="134"/>
    </row>
    <row r="1026" spans="3:5" s="15" customFormat="1">
      <c r="C1026" s="40"/>
      <c r="E1026" s="134"/>
    </row>
    <row r="1027" spans="3:5" s="15" customFormat="1">
      <c r="C1027" s="40"/>
      <c r="E1027" s="134"/>
    </row>
    <row r="1028" spans="3:5" s="15" customFormat="1">
      <c r="C1028" s="40"/>
      <c r="E1028" s="134"/>
    </row>
    <row r="1029" spans="3:5" s="15" customFormat="1">
      <c r="C1029" s="40"/>
      <c r="E1029" s="134"/>
    </row>
    <row r="1030" spans="3:5" s="15" customFormat="1">
      <c r="C1030" s="40"/>
      <c r="E1030" s="134"/>
    </row>
    <row r="1031" spans="3:5" s="15" customFormat="1">
      <c r="C1031" s="40"/>
      <c r="E1031" s="134"/>
    </row>
    <row r="1032" spans="3:5" s="15" customFormat="1">
      <c r="C1032" s="40"/>
      <c r="E1032" s="134"/>
    </row>
    <row r="1033" spans="3:5" s="15" customFormat="1">
      <c r="C1033" s="40"/>
      <c r="E1033" s="134"/>
    </row>
    <row r="1034" spans="3:5" s="15" customFormat="1">
      <c r="C1034" s="40"/>
      <c r="E1034" s="134"/>
    </row>
    <row r="1035" spans="3:5" s="15" customFormat="1">
      <c r="C1035" s="40"/>
      <c r="E1035" s="134"/>
    </row>
    <row r="1036" spans="3:5" s="15" customFormat="1">
      <c r="C1036" s="40"/>
      <c r="E1036" s="134"/>
    </row>
    <row r="1037" spans="3:5" s="15" customFormat="1">
      <c r="C1037" s="40"/>
      <c r="E1037" s="134"/>
    </row>
    <row r="1038" spans="3:5" s="15" customFormat="1">
      <c r="C1038" s="40"/>
      <c r="E1038" s="134"/>
    </row>
    <row r="1039" spans="3:5" s="15" customFormat="1">
      <c r="C1039" s="40"/>
      <c r="E1039" s="134"/>
    </row>
    <row r="1040" spans="3:5" s="15" customFormat="1">
      <c r="C1040" s="40"/>
      <c r="E1040" s="134"/>
    </row>
    <row r="1041" spans="3:5" s="15" customFormat="1">
      <c r="C1041" s="40"/>
      <c r="E1041" s="134"/>
    </row>
    <row r="1042" spans="3:5" s="15" customFormat="1">
      <c r="C1042" s="40"/>
      <c r="E1042" s="134"/>
    </row>
    <row r="1043" spans="3:5" s="15" customFormat="1">
      <c r="C1043" s="40"/>
      <c r="E1043" s="134"/>
    </row>
    <row r="1044" spans="3:5" s="15" customFormat="1">
      <c r="C1044" s="40"/>
      <c r="E1044" s="134"/>
    </row>
    <row r="1045" spans="3:5" s="15" customFormat="1">
      <c r="C1045" s="40"/>
      <c r="E1045" s="134"/>
    </row>
    <row r="1046" spans="3:5" s="15" customFormat="1">
      <c r="C1046" s="40"/>
      <c r="E1046" s="134"/>
    </row>
    <row r="1047" spans="3:5" s="15" customFormat="1">
      <c r="C1047" s="40"/>
      <c r="E1047" s="134"/>
    </row>
    <row r="1048" spans="3:5" s="15" customFormat="1">
      <c r="C1048" s="40"/>
      <c r="E1048" s="134"/>
    </row>
    <row r="1049" spans="3:5" s="15" customFormat="1">
      <c r="C1049" s="40"/>
      <c r="E1049" s="134"/>
    </row>
    <row r="1050" spans="3:5" s="15" customFormat="1">
      <c r="C1050" s="40"/>
      <c r="E1050" s="134"/>
    </row>
    <row r="1051" spans="3:5" s="15" customFormat="1">
      <c r="C1051" s="40"/>
      <c r="E1051" s="134"/>
    </row>
    <row r="1052" spans="3:5" s="15" customFormat="1">
      <c r="C1052" s="40"/>
      <c r="E1052" s="134"/>
    </row>
    <row r="1053" spans="3:5" s="15" customFormat="1">
      <c r="C1053" s="40"/>
      <c r="E1053" s="134"/>
    </row>
    <row r="1054" spans="3:5" s="15" customFormat="1">
      <c r="C1054" s="40"/>
      <c r="E1054" s="134"/>
    </row>
    <row r="1055" spans="3:5" s="15" customFormat="1">
      <c r="C1055" s="40"/>
      <c r="E1055" s="134"/>
    </row>
    <row r="1056" spans="3:5" s="15" customFormat="1">
      <c r="C1056" s="40"/>
      <c r="E1056" s="134"/>
    </row>
    <row r="1057" spans="3:5" s="15" customFormat="1">
      <c r="C1057" s="40"/>
      <c r="E1057" s="134"/>
    </row>
    <row r="1058" spans="3:5" s="15" customFormat="1">
      <c r="C1058" s="40"/>
      <c r="E1058" s="134"/>
    </row>
    <row r="1059" spans="3:5" s="15" customFormat="1">
      <c r="C1059" s="40"/>
      <c r="E1059" s="134"/>
    </row>
    <row r="1060" spans="3:5" s="15" customFormat="1">
      <c r="C1060" s="40"/>
      <c r="E1060" s="134"/>
    </row>
    <row r="1061" spans="3:5" s="15" customFormat="1">
      <c r="C1061" s="40"/>
      <c r="E1061" s="134"/>
    </row>
    <row r="1062" spans="3:5" s="15" customFormat="1">
      <c r="C1062" s="40"/>
      <c r="E1062" s="134"/>
    </row>
    <row r="1063" spans="3:5" s="15" customFormat="1">
      <c r="C1063" s="40"/>
      <c r="E1063" s="134"/>
    </row>
    <row r="1064" spans="3:5" s="15" customFormat="1">
      <c r="C1064" s="40"/>
      <c r="E1064" s="134"/>
    </row>
    <row r="1065" spans="3:5" s="15" customFormat="1">
      <c r="C1065" s="40"/>
      <c r="E1065" s="134"/>
    </row>
    <row r="1066" spans="3:5" s="15" customFormat="1">
      <c r="C1066" s="40"/>
      <c r="E1066" s="134"/>
    </row>
    <row r="1067" spans="3:5" s="15" customFormat="1">
      <c r="C1067" s="40"/>
      <c r="E1067" s="134"/>
    </row>
    <row r="1068" spans="3:5" s="15" customFormat="1">
      <c r="C1068" s="40"/>
      <c r="E1068" s="134"/>
    </row>
    <row r="1069" spans="3:5" s="15" customFormat="1">
      <c r="C1069" s="40"/>
      <c r="E1069" s="134"/>
    </row>
    <row r="1070" spans="3:5" s="15" customFormat="1">
      <c r="C1070" s="40"/>
      <c r="E1070" s="134"/>
    </row>
    <row r="1071" spans="3:5" s="15" customFormat="1">
      <c r="C1071" s="40"/>
      <c r="E1071" s="134"/>
    </row>
    <row r="1072" spans="3:5" s="15" customFormat="1">
      <c r="C1072" s="40"/>
      <c r="E1072" s="134"/>
    </row>
    <row r="1073" spans="3:5" s="15" customFormat="1">
      <c r="C1073" s="40"/>
      <c r="E1073" s="134"/>
    </row>
    <row r="1074" spans="3:5" s="15" customFormat="1">
      <c r="C1074" s="40"/>
      <c r="E1074" s="134"/>
    </row>
    <row r="1075" spans="3:5" s="15" customFormat="1">
      <c r="C1075" s="40"/>
      <c r="E1075" s="134"/>
    </row>
    <row r="1076" spans="3:5" s="15" customFormat="1">
      <c r="C1076" s="40"/>
      <c r="E1076" s="134"/>
    </row>
    <row r="1077" spans="3:5" s="15" customFormat="1">
      <c r="C1077" s="40"/>
      <c r="E1077" s="134"/>
    </row>
    <row r="1078" spans="3:5" s="15" customFormat="1">
      <c r="C1078" s="40"/>
      <c r="E1078" s="134"/>
    </row>
    <row r="1079" spans="3:5" s="15" customFormat="1">
      <c r="C1079" s="40"/>
      <c r="E1079" s="134"/>
    </row>
    <row r="1080" spans="3:5" s="15" customFormat="1">
      <c r="C1080" s="40"/>
      <c r="E1080" s="134"/>
    </row>
    <row r="1081" spans="3:5" s="15" customFormat="1">
      <c r="C1081" s="40"/>
      <c r="E1081" s="134"/>
    </row>
    <row r="1082" spans="3:5" s="15" customFormat="1">
      <c r="C1082" s="40"/>
      <c r="E1082" s="134"/>
    </row>
    <row r="1083" spans="3:5" s="15" customFormat="1">
      <c r="C1083" s="40"/>
      <c r="E1083" s="134"/>
    </row>
    <row r="1084" spans="3:5" s="15" customFormat="1">
      <c r="C1084" s="40"/>
      <c r="E1084" s="134"/>
    </row>
    <row r="1085" spans="3:5" s="15" customFormat="1">
      <c r="C1085" s="40"/>
      <c r="E1085" s="134"/>
    </row>
    <row r="1086" spans="3:5" s="15" customFormat="1">
      <c r="C1086" s="40"/>
      <c r="E1086" s="134"/>
    </row>
    <row r="1087" spans="3:5" s="15" customFormat="1">
      <c r="C1087" s="40"/>
      <c r="E1087" s="134"/>
    </row>
    <row r="1088" spans="3:5" s="15" customFormat="1">
      <c r="C1088" s="40"/>
      <c r="E1088" s="134"/>
    </row>
    <row r="1089" spans="3:5" s="15" customFormat="1">
      <c r="C1089" s="40"/>
      <c r="E1089" s="134"/>
    </row>
    <row r="1090" spans="3:5" s="15" customFormat="1">
      <c r="C1090" s="40"/>
      <c r="E1090" s="134"/>
    </row>
    <row r="1091" spans="3:5" s="15" customFormat="1">
      <c r="C1091" s="40"/>
      <c r="E1091" s="134"/>
    </row>
    <row r="1092" spans="3:5" s="15" customFormat="1">
      <c r="C1092" s="40"/>
      <c r="E1092" s="134"/>
    </row>
    <row r="1093" spans="3:5" s="15" customFormat="1">
      <c r="C1093" s="40"/>
      <c r="E1093" s="134"/>
    </row>
    <row r="1094" spans="3:5" s="15" customFormat="1">
      <c r="C1094" s="40"/>
      <c r="E1094" s="134"/>
    </row>
    <row r="1095" spans="3:5" s="15" customFormat="1">
      <c r="C1095" s="40"/>
      <c r="E1095" s="134"/>
    </row>
    <row r="1096" spans="3:5" s="15" customFormat="1">
      <c r="C1096" s="40"/>
      <c r="E1096" s="134"/>
    </row>
    <row r="1097" spans="3:5" s="15" customFormat="1">
      <c r="C1097" s="40"/>
      <c r="E1097" s="134"/>
    </row>
    <row r="1098" spans="3:5" s="15" customFormat="1">
      <c r="C1098" s="40"/>
      <c r="E1098" s="134"/>
    </row>
    <row r="1099" spans="3:5" s="15" customFormat="1">
      <c r="C1099" s="40"/>
      <c r="E1099" s="134"/>
    </row>
    <row r="1100" spans="3:5" s="15" customFormat="1">
      <c r="C1100" s="40"/>
      <c r="E1100" s="134"/>
    </row>
    <row r="1101" spans="3:5" s="15" customFormat="1">
      <c r="C1101" s="40"/>
      <c r="E1101" s="134"/>
    </row>
    <row r="1102" spans="3:5" s="15" customFormat="1">
      <c r="C1102" s="40"/>
      <c r="E1102" s="134"/>
    </row>
    <row r="1103" spans="3:5" s="15" customFormat="1">
      <c r="C1103" s="40"/>
      <c r="E1103" s="134"/>
    </row>
    <row r="1104" spans="3:5" s="15" customFormat="1">
      <c r="C1104" s="40"/>
      <c r="E1104" s="134"/>
    </row>
    <row r="1105" spans="3:5" s="15" customFormat="1">
      <c r="C1105" s="40"/>
      <c r="E1105" s="134"/>
    </row>
    <row r="1106" spans="3:5" s="15" customFormat="1">
      <c r="C1106" s="40"/>
      <c r="E1106" s="134"/>
    </row>
    <row r="1107" spans="3:5" s="15" customFormat="1">
      <c r="C1107" s="40"/>
      <c r="E1107" s="134"/>
    </row>
    <row r="1108" spans="3:5" s="15" customFormat="1">
      <c r="C1108" s="40"/>
      <c r="E1108" s="134"/>
    </row>
    <row r="1109" spans="3:5" s="15" customFormat="1">
      <c r="C1109" s="40"/>
      <c r="E1109" s="134"/>
    </row>
    <row r="1110" spans="3:5" s="15" customFormat="1">
      <c r="C1110" s="40"/>
      <c r="E1110" s="134"/>
    </row>
    <row r="1111" spans="3:5" s="15" customFormat="1">
      <c r="C1111" s="40"/>
      <c r="E1111" s="134"/>
    </row>
    <row r="1112" spans="3:5" s="15" customFormat="1">
      <c r="C1112" s="40"/>
      <c r="E1112" s="134"/>
    </row>
    <row r="1113" spans="3:5" s="15" customFormat="1">
      <c r="C1113" s="40"/>
      <c r="E1113" s="134"/>
    </row>
    <row r="1114" spans="3:5" s="15" customFormat="1">
      <c r="C1114" s="40"/>
      <c r="E1114" s="134"/>
    </row>
    <row r="1115" spans="3:5" s="15" customFormat="1">
      <c r="C1115" s="40"/>
      <c r="E1115" s="134"/>
    </row>
    <row r="1116" spans="3:5" s="15" customFormat="1">
      <c r="C1116" s="40"/>
      <c r="E1116" s="134"/>
    </row>
    <row r="1117" spans="3:5" s="15" customFormat="1">
      <c r="C1117" s="40"/>
      <c r="E1117" s="134"/>
    </row>
    <row r="1118" spans="3:5" s="15" customFormat="1">
      <c r="C1118" s="40"/>
      <c r="E1118" s="134"/>
    </row>
    <row r="1119" spans="3:5" s="15" customFormat="1">
      <c r="C1119" s="40"/>
      <c r="E1119" s="134"/>
    </row>
    <row r="1120" spans="3:5" s="15" customFormat="1">
      <c r="C1120" s="40"/>
      <c r="E1120" s="134"/>
    </row>
    <row r="1121" spans="3:5" s="15" customFormat="1">
      <c r="C1121" s="40"/>
      <c r="E1121" s="134"/>
    </row>
    <row r="1122" spans="3:5" s="15" customFormat="1">
      <c r="C1122" s="40"/>
      <c r="E1122" s="134"/>
    </row>
    <row r="1123" spans="3:5" s="15" customFormat="1">
      <c r="C1123" s="40"/>
      <c r="E1123" s="134"/>
    </row>
    <row r="1124" spans="3:5" s="15" customFormat="1">
      <c r="C1124" s="40"/>
      <c r="E1124" s="134"/>
    </row>
    <row r="1125" spans="3:5" s="15" customFormat="1">
      <c r="C1125" s="40"/>
      <c r="E1125" s="134"/>
    </row>
    <row r="1126" spans="3:5" s="15" customFormat="1">
      <c r="C1126" s="40"/>
      <c r="E1126" s="134"/>
    </row>
    <row r="1127" spans="3:5" s="15" customFormat="1">
      <c r="C1127" s="40"/>
      <c r="E1127" s="134"/>
    </row>
    <row r="1128" spans="3:5" s="15" customFormat="1">
      <c r="C1128" s="40"/>
      <c r="E1128" s="134"/>
    </row>
    <row r="1129" spans="3:5" s="15" customFormat="1">
      <c r="C1129" s="40"/>
      <c r="E1129" s="134"/>
    </row>
    <row r="1130" spans="3:5" s="15" customFormat="1">
      <c r="C1130" s="40"/>
      <c r="E1130" s="134"/>
    </row>
    <row r="1131" spans="3:5" s="15" customFormat="1">
      <c r="C1131" s="40"/>
      <c r="E1131" s="134"/>
    </row>
    <row r="1132" spans="3:5" s="15" customFormat="1">
      <c r="C1132" s="40"/>
      <c r="E1132" s="134"/>
    </row>
    <row r="1133" spans="3:5" s="15" customFormat="1">
      <c r="C1133" s="40"/>
      <c r="E1133" s="134"/>
    </row>
    <row r="1134" spans="3:5" s="15" customFormat="1">
      <c r="C1134" s="40"/>
      <c r="E1134" s="134"/>
    </row>
    <row r="1135" spans="3:5" s="15" customFormat="1">
      <c r="C1135" s="40"/>
      <c r="E1135" s="134"/>
    </row>
    <row r="1136" spans="3:5" s="15" customFormat="1">
      <c r="C1136" s="40"/>
      <c r="E1136" s="134"/>
    </row>
    <row r="1137" spans="3:5" s="15" customFormat="1">
      <c r="C1137" s="40"/>
      <c r="E1137" s="134"/>
    </row>
    <row r="1138" spans="3:5" s="15" customFormat="1">
      <c r="C1138" s="40"/>
      <c r="E1138" s="134"/>
    </row>
    <row r="1139" spans="3:5" s="15" customFormat="1">
      <c r="C1139" s="40"/>
      <c r="E1139" s="134"/>
    </row>
    <row r="1140" spans="3:5" s="15" customFormat="1">
      <c r="C1140" s="40"/>
      <c r="E1140" s="134"/>
    </row>
    <row r="1141" spans="3:5" s="15" customFormat="1">
      <c r="C1141" s="40"/>
      <c r="E1141" s="134"/>
    </row>
    <row r="1142" spans="3:5" s="15" customFormat="1">
      <c r="C1142" s="40"/>
      <c r="E1142" s="134"/>
    </row>
    <row r="1143" spans="3:5" s="15" customFormat="1">
      <c r="C1143" s="40"/>
      <c r="E1143" s="134"/>
    </row>
    <row r="1144" spans="3:5" s="15" customFormat="1">
      <c r="C1144" s="40"/>
      <c r="E1144" s="134"/>
    </row>
    <row r="1145" spans="3:5" s="15" customFormat="1">
      <c r="C1145" s="40"/>
      <c r="E1145" s="134"/>
    </row>
    <row r="1146" spans="3:5" s="15" customFormat="1">
      <c r="C1146" s="40"/>
      <c r="E1146" s="134"/>
    </row>
    <row r="1147" spans="3:5" s="15" customFormat="1">
      <c r="C1147" s="40"/>
      <c r="E1147" s="134"/>
    </row>
    <row r="1148" spans="3:5" s="15" customFormat="1">
      <c r="C1148" s="40"/>
      <c r="E1148" s="134"/>
    </row>
    <row r="1149" spans="3:5" s="15" customFormat="1">
      <c r="C1149" s="40"/>
      <c r="E1149" s="134"/>
    </row>
    <row r="1150" spans="3:5" s="15" customFormat="1">
      <c r="C1150" s="40"/>
      <c r="E1150" s="134"/>
    </row>
    <row r="1151" spans="3:5" s="15" customFormat="1">
      <c r="C1151" s="40"/>
      <c r="E1151" s="134"/>
    </row>
    <row r="1152" spans="3:5" s="15" customFormat="1">
      <c r="C1152" s="40"/>
      <c r="E1152" s="134"/>
    </row>
    <row r="1153" spans="3:5" s="15" customFormat="1">
      <c r="C1153" s="40"/>
      <c r="E1153" s="134"/>
    </row>
    <row r="1154" spans="3:5" s="15" customFormat="1">
      <c r="C1154" s="40"/>
      <c r="E1154" s="134"/>
    </row>
    <row r="1155" spans="3:5" s="15" customFormat="1">
      <c r="C1155" s="40"/>
      <c r="E1155" s="134"/>
    </row>
    <row r="1156" spans="3:5" s="15" customFormat="1">
      <c r="C1156" s="40"/>
      <c r="E1156" s="134"/>
    </row>
    <row r="1157" spans="3:5" s="15" customFormat="1">
      <c r="C1157" s="40"/>
      <c r="E1157" s="134"/>
    </row>
    <row r="1158" spans="3:5" s="15" customFormat="1">
      <c r="C1158" s="40"/>
      <c r="E1158" s="134"/>
    </row>
    <row r="1159" spans="3:5" s="15" customFormat="1">
      <c r="C1159" s="40"/>
      <c r="E1159" s="134"/>
    </row>
    <row r="1160" spans="3:5" s="15" customFormat="1">
      <c r="C1160" s="40"/>
      <c r="E1160" s="134"/>
    </row>
    <row r="1161" spans="3:5" s="15" customFormat="1">
      <c r="C1161" s="40"/>
      <c r="E1161" s="134"/>
    </row>
    <row r="1162" spans="3:5" s="15" customFormat="1">
      <c r="C1162" s="40"/>
      <c r="E1162" s="134"/>
    </row>
    <row r="1163" spans="3:5" s="15" customFormat="1">
      <c r="C1163" s="40"/>
      <c r="E1163" s="134"/>
    </row>
    <row r="1164" spans="3:5" s="15" customFormat="1">
      <c r="C1164" s="40"/>
      <c r="E1164" s="134"/>
    </row>
    <row r="1165" spans="3:5" s="15" customFormat="1">
      <c r="C1165" s="40"/>
      <c r="E1165" s="134"/>
    </row>
    <row r="1166" spans="3:5" s="15" customFormat="1">
      <c r="C1166" s="40"/>
      <c r="E1166" s="134"/>
    </row>
    <row r="1167" spans="3:5" s="15" customFormat="1">
      <c r="C1167" s="40"/>
      <c r="E1167" s="134"/>
    </row>
    <row r="1168" spans="3:5" s="15" customFormat="1">
      <c r="C1168" s="40"/>
      <c r="E1168" s="134"/>
    </row>
    <row r="1169" spans="3:5" s="15" customFormat="1">
      <c r="C1169" s="40"/>
      <c r="E1169" s="134"/>
    </row>
    <row r="1170" spans="3:5" s="15" customFormat="1">
      <c r="C1170" s="40"/>
      <c r="E1170" s="134"/>
    </row>
    <row r="1171" spans="3:5" s="15" customFormat="1">
      <c r="C1171" s="40"/>
      <c r="E1171" s="134"/>
    </row>
    <row r="1172" spans="3:5" s="15" customFormat="1">
      <c r="C1172" s="40"/>
      <c r="E1172" s="134"/>
    </row>
    <row r="1173" spans="3:5" s="15" customFormat="1">
      <c r="C1173" s="40"/>
      <c r="E1173" s="134"/>
    </row>
    <row r="1174" spans="3:5" s="15" customFormat="1">
      <c r="C1174" s="40"/>
      <c r="E1174" s="134"/>
    </row>
    <row r="1175" spans="3:5" s="15" customFormat="1">
      <c r="C1175" s="40"/>
      <c r="E1175" s="134"/>
    </row>
    <row r="1176" spans="3:5" s="15" customFormat="1">
      <c r="C1176" s="40"/>
      <c r="E1176" s="134"/>
    </row>
    <row r="1177" spans="3:5" s="15" customFormat="1">
      <c r="C1177" s="40"/>
      <c r="E1177" s="134"/>
    </row>
    <row r="1178" spans="3:5" s="15" customFormat="1">
      <c r="C1178" s="40"/>
      <c r="E1178" s="134"/>
    </row>
    <row r="1179" spans="3:5" s="15" customFormat="1">
      <c r="C1179" s="40"/>
      <c r="E1179" s="134"/>
    </row>
    <row r="1180" spans="3:5" s="15" customFormat="1">
      <c r="C1180" s="40"/>
      <c r="E1180" s="134"/>
    </row>
    <row r="1181" spans="3:5" s="15" customFormat="1">
      <c r="C1181" s="40"/>
      <c r="E1181" s="134"/>
    </row>
    <row r="1182" spans="3:5" s="15" customFormat="1">
      <c r="C1182" s="40"/>
      <c r="E1182" s="134"/>
    </row>
    <row r="1183" spans="3:5" s="15" customFormat="1">
      <c r="C1183" s="40"/>
      <c r="E1183" s="134"/>
    </row>
    <row r="1184" spans="3:5" s="15" customFormat="1">
      <c r="C1184" s="40"/>
      <c r="E1184" s="134"/>
    </row>
    <row r="1185" spans="3:5" s="15" customFormat="1">
      <c r="C1185" s="40"/>
      <c r="E1185" s="134"/>
    </row>
    <row r="1186" spans="3:5" s="15" customFormat="1">
      <c r="C1186" s="40"/>
      <c r="E1186" s="134"/>
    </row>
    <row r="1187" spans="3:5" s="15" customFormat="1">
      <c r="C1187" s="40"/>
      <c r="E1187" s="134"/>
    </row>
    <row r="1188" spans="3:5" s="15" customFormat="1">
      <c r="C1188" s="40"/>
      <c r="E1188" s="134"/>
    </row>
    <row r="1189" spans="3:5" s="15" customFormat="1">
      <c r="C1189" s="40"/>
      <c r="E1189" s="134"/>
    </row>
    <row r="1190" spans="3:5" s="15" customFormat="1">
      <c r="C1190" s="40"/>
      <c r="E1190" s="134"/>
    </row>
    <row r="1191" spans="3:5" s="15" customFormat="1">
      <c r="C1191" s="40"/>
      <c r="E1191" s="134"/>
    </row>
    <row r="1192" spans="3:5" s="15" customFormat="1">
      <c r="C1192" s="40"/>
      <c r="E1192" s="134"/>
    </row>
    <row r="1193" spans="3:5" s="15" customFormat="1">
      <c r="C1193" s="40"/>
      <c r="E1193" s="134"/>
    </row>
    <row r="1194" spans="3:5" s="15" customFormat="1">
      <c r="C1194" s="40"/>
      <c r="E1194" s="134"/>
    </row>
    <row r="1195" spans="3:5" s="15" customFormat="1">
      <c r="C1195" s="40"/>
      <c r="E1195" s="134"/>
    </row>
    <row r="1196" spans="3:5" s="15" customFormat="1">
      <c r="C1196" s="40"/>
      <c r="E1196" s="134"/>
    </row>
    <row r="1197" spans="3:5" s="15" customFormat="1">
      <c r="C1197" s="40"/>
      <c r="E1197" s="134"/>
    </row>
    <row r="1198" spans="3:5" s="15" customFormat="1">
      <c r="C1198" s="40"/>
      <c r="E1198" s="134"/>
    </row>
    <row r="1199" spans="3:5" s="15" customFormat="1">
      <c r="C1199" s="40"/>
      <c r="E1199" s="134"/>
    </row>
    <row r="1200" spans="3:5" s="15" customFormat="1">
      <c r="C1200" s="40"/>
      <c r="E1200" s="134"/>
    </row>
    <row r="1201" spans="3:5" s="15" customFormat="1">
      <c r="C1201" s="40"/>
      <c r="E1201" s="134"/>
    </row>
    <row r="1202" spans="3:5" s="15" customFormat="1">
      <c r="C1202" s="40"/>
      <c r="E1202" s="134"/>
    </row>
    <row r="1203" spans="3:5" s="15" customFormat="1">
      <c r="C1203" s="40"/>
      <c r="E1203" s="134"/>
    </row>
    <row r="1204" spans="3:5" s="15" customFormat="1">
      <c r="C1204" s="40"/>
      <c r="E1204" s="134"/>
    </row>
    <row r="1205" spans="3:5" s="15" customFormat="1">
      <c r="C1205" s="40"/>
      <c r="E1205" s="134"/>
    </row>
    <row r="1206" spans="3:5" s="15" customFormat="1">
      <c r="C1206" s="40"/>
      <c r="E1206" s="134"/>
    </row>
    <row r="1207" spans="3:5" s="15" customFormat="1">
      <c r="C1207" s="40"/>
      <c r="E1207" s="134"/>
    </row>
    <row r="1208" spans="3:5" s="15" customFormat="1">
      <c r="C1208" s="40"/>
      <c r="E1208" s="134"/>
    </row>
    <row r="1209" spans="3:5" s="15" customFormat="1">
      <c r="C1209" s="40"/>
      <c r="E1209" s="134"/>
    </row>
    <row r="1210" spans="3:5" s="15" customFormat="1">
      <c r="C1210" s="40"/>
      <c r="E1210" s="134"/>
    </row>
    <row r="1211" spans="3:5" s="15" customFormat="1">
      <c r="C1211" s="40"/>
      <c r="E1211" s="134"/>
    </row>
    <row r="1212" spans="3:5" s="15" customFormat="1">
      <c r="C1212" s="40"/>
      <c r="E1212" s="134"/>
    </row>
    <row r="1213" spans="3:5" s="15" customFormat="1">
      <c r="C1213" s="40"/>
      <c r="E1213" s="134"/>
    </row>
    <row r="1214" spans="3:5" s="15" customFormat="1">
      <c r="C1214" s="40"/>
      <c r="E1214" s="134"/>
    </row>
    <row r="1215" spans="3:5" s="15" customFormat="1">
      <c r="C1215" s="40"/>
      <c r="E1215" s="134"/>
    </row>
    <row r="1216" spans="3:5" s="15" customFormat="1">
      <c r="C1216" s="40"/>
      <c r="E1216" s="134"/>
    </row>
    <row r="1217" spans="3:5" s="15" customFormat="1">
      <c r="C1217" s="40"/>
      <c r="E1217" s="134"/>
    </row>
    <row r="1218" spans="3:5" s="15" customFormat="1">
      <c r="C1218" s="40"/>
      <c r="E1218" s="134"/>
    </row>
    <row r="1219" spans="3:5" s="15" customFormat="1">
      <c r="C1219" s="40"/>
      <c r="E1219" s="134"/>
    </row>
    <row r="1220" spans="3:5" s="15" customFormat="1">
      <c r="C1220" s="40"/>
      <c r="E1220" s="134"/>
    </row>
    <row r="1221" spans="3:5" s="15" customFormat="1">
      <c r="C1221" s="40"/>
      <c r="E1221" s="134"/>
    </row>
    <row r="1222" spans="3:5" s="15" customFormat="1">
      <c r="C1222" s="40"/>
      <c r="E1222" s="134"/>
    </row>
    <row r="1223" spans="3:5" s="15" customFormat="1">
      <c r="C1223" s="40"/>
      <c r="E1223" s="134"/>
    </row>
    <row r="1224" spans="3:5" s="15" customFormat="1">
      <c r="C1224" s="40"/>
      <c r="E1224" s="134"/>
    </row>
    <row r="1225" spans="3:5" s="15" customFormat="1">
      <c r="C1225" s="40"/>
      <c r="E1225" s="134"/>
    </row>
    <row r="1226" spans="3:5" s="15" customFormat="1">
      <c r="C1226" s="40"/>
      <c r="E1226" s="134"/>
    </row>
    <row r="1227" spans="3:5" s="15" customFormat="1">
      <c r="C1227" s="40"/>
      <c r="E1227" s="134"/>
    </row>
    <row r="1228" spans="3:5" s="15" customFormat="1">
      <c r="C1228" s="40"/>
      <c r="E1228" s="134"/>
    </row>
    <row r="1229" spans="3:5" s="15" customFormat="1">
      <c r="C1229" s="40"/>
      <c r="E1229" s="134"/>
    </row>
    <row r="1230" spans="3:5" s="15" customFormat="1">
      <c r="C1230" s="40"/>
      <c r="E1230" s="134"/>
    </row>
    <row r="1231" spans="3:5" s="15" customFormat="1">
      <c r="C1231" s="40"/>
      <c r="E1231" s="134"/>
    </row>
    <row r="1232" spans="3:5" s="15" customFormat="1">
      <c r="C1232" s="40"/>
      <c r="E1232" s="134"/>
    </row>
    <row r="1233" spans="3:5" s="15" customFormat="1">
      <c r="C1233" s="40"/>
      <c r="E1233" s="134"/>
    </row>
    <row r="1234" spans="3:5" s="15" customFormat="1">
      <c r="C1234" s="40"/>
      <c r="E1234" s="134"/>
    </row>
    <row r="1235" spans="3:5" s="15" customFormat="1">
      <c r="C1235" s="40"/>
      <c r="E1235" s="134"/>
    </row>
    <row r="1236" spans="3:5" s="15" customFormat="1">
      <c r="C1236" s="40"/>
      <c r="E1236" s="134"/>
    </row>
    <row r="1237" spans="3:5" s="15" customFormat="1">
      <c r="C1237" s="40"/>
      <c r="E1237" s="134"/>
    </row>
    <row r="1238" spans="3:5" s="15" customFormat="1">
      <c r="C1238" s="40"/>
      <c r="E1238" s="134"/>
    </row>
    <row r="1239" spans="3:5" s="15" customFormat="1">
      <c r="C1239" s="40"/>
      <c r="E1239" s="134"/>
    </row>
    <row r="1240" spans="3:5" s="15" customFormat="1">
      <c r="C1240" s="40"/>
      <c r="E1240" s="134"/>
    </row>
    <row r="1241" spans="3:5" s="15" customFormat="1">
      <c r="C1241" s="40"/>
      <c r="E1241" s="134"/>
    </row>
    <row r="1242" spans="3:5" s="15" customFormat="1">
      <c r="C1242" s="40"/>
      <c r="E1242" s="134"/>
    </row>
    <row r="1243" spans="3:5" s="15" customFormat="1">
      <c r="C1243" s="40"/>
      <c r="E1243" s="134"/>
    </row>
    <row r="1244" spans="3:5" s="15" customFormat="1">
      <c r="C1244" s="40"/>
      <c r="E1244" s="134"/>
    </row>
    <row r="1245" spans="3:5" s="15" customFormat="1">
      <c r="C1245" s="40"/>
      <c r="E1245" s="134"/>
    </row>
    <row r="1246" spans="3:5" s="15" customFormat="1">
      <c r="C1246" s="40"/>
      <c r="E1246" s="134"/>
    </row>
    <row r="1247" spans="3:5" s="15" customFormat="1">
      <c r="C1247" s="40"/>
      <c r="E1247" s="134"/>
    </row>
    <row r="1248" spans="3:5" s="15" customFormat="1">
      <c r="C1248" s="40"/>
      <c r="E1248" s="134"/>
    </row>
    <row r="1249" spans="3:5" s="15" customFormat="1">
      <c r="C1249" s="40"/>
      <c r="E1249" s="134"/>
    </row>
    <row r="1250" spans="3:5" s="15" customFormat="1">
      <c r="C1250" s="40"/>
      <c r="E1250" s="134"/>
    </row>
    <row r="1251" spans="3:5" s="15" customFormat="1">
      <c r="C1251" s="40"/>
      <c r="E1251" s="134"/>
    </row>
    <row r="1252" spans="3:5" s="15" customFormat="1">
      <c r="C1252" s="40"/>
      <c r="E1252" s="134"/>
    </row>
    <row r="1253" spans="3:5" s="15" customFormat="1">
      <c r="C1253" s="40"/>
      <c r="E1253" s="134"/>
    </row>
    <row r="1254" spans="3:5" s="15" customFormat="1">
      <c r="C1254" s="40"/>
      <c r="E1254" s="134"/>
    </row>
    <row r="1255" spans="3:5" s="15" customFormat="1">
      <c r="C1255" s="40"/>
      <c r="E1255" s="134"/>
    </row>
    <row r="1256" spans="3:5" s="15" customFormat="1">
      <c r="C1256" s="40"/>
      <c r="E1256" s="134"/>
    </row>
    <row r="1257" spans="3:5" s="15" customFormat="1">
      <c r="C1257" s="40"/>
      <c r="E1257" s="134"/>
    </row>
    <row r="1258" spans="3:5" s="15" customFormat="1">
      <c r="C1258" s="40"/>
      <c r="E1258" s="134"/>
    </row>
    <row r="1259" spans="3:5" s="15" customFormat="1">
      <c r="C1259" s="40"/>
      <c r="E1259" s="134"/>
    </row>
    <row r="1260" spans="3:5" s="15" customFormat="1">
      <c r="C1260" s="40"/>
      <c r="E1260" s="134"/>
    </row>
    <row r="1261" spans="3:5" s="15" customFormat="1">
      <c r="C1261" s="40"/>
      <c r="E1261" s="134"/>
    </row>
    <row r="1262" spans="3:5" s="15" customFormat="1">
      <c r="C1262" s="40"/>
      <c r="E1262" s="134"/>
    </row>
    <row r="1263" spans="3:5" s="15" customFormat="1">
      <c r="C1263" s="40"/>
      <c r="E1263" s="134"/>
    </row>
    <row r="1264" spans="3:5" s="15" customFormat="1">
      <c r="C1264" s="40"/>
      <c r="E1264" s="134"/>
    </row>
    <row r="1265" spans="3:5" s="15" customFormat="1">
      <c r="C1265" s="40"/>
      <c r="E1265" s="134"/>
    </row>
    <row r="1266" spans="3:5" s="15" customFormat="1">
      <c r="C1266" s="40"/>
      <c r="E1266" s="134"/>
    </row>
    <row r="1267" spans="3:5" s="15" customFormat="1">
      <c r="C1267" s="40"/>
      <c r="E1267" s="134"/>
    </row>
    <row r="1268" spans="3:5" s="15" customFormat="1">
      <c r="C1268" s="40"/>
      <c r="E1268" s="134"/>
    </row>
    <row r="1269" spans="3:5" s="15" customFormat="1">
      <c r="C1269" s="40"/>
      <c r="E1269" s="134"/>
    </row>
    <row r="1270" spans="3:5" s="15" customFormat="1">
      <c r="C1270" s="40"/>
      <c r="E1270" s="134"/>
    </row>
    <row r="1271" spans="3:5" s="15" customFormat="1">
      <c r="C1271" s="40"/>
      <c r="E1271" s="134"/>
    </row>
    <row r="1272" spans="3:5" s="15" customFormat="1">
      <c r="C1272" s="40"/>
      <c r="E1272" s="134"/>
    </row>
    <row r="1273" spans="3:5" s="15" customFormat="1">
      <c r="C1273" s="40"/>
      <c r="E1273" s="134"/>
    </row>
    <row r="1274" spans="3:5" s="15" customFormat="1">
      <c r="C1274" s="40"/>
      <c r="E1274" s="134"/>
    </row>
    <row r="1275" spans="3:5" s="15" customFormat="1">
      <c r="C1275" s="40"/>
      <c r="E1275" s="134"/>
    </row>
    <row r="1276" spans="3:5" s="15" customFormat="1">
      <c r="C1276" s="40"/>
      <c r="E1276" s="134"/>
    </row>
    <row r="1277" spans="3:5" s="15" customFormat="1">
      <c r="C1277" s="40"/>
      <c r="E1277" s="134"/>
    </row>
    <row r="1278" spans="3:5" s="15" customFormat="1">
      <c r="C1278" s="40"/>
      <c r="E1278" s="134"/>
    </row>
    <row r="1279" spans="3:5" s="15" customFormat="1">
      <c r="C1279" s="40"/>
      <c r="E1279" s="134"/>
    </row>
    <row r="1280" spans="3:5" s="15" customFormat="1">
      <c r="C1280" s="40"/>
      <c r="E1280" s="134"/>
    </row>
    <row r="1281" spans="3:5" s="15" customFormat="1">
      <c r="C1281" s="40"/>
      <c r="E1281" s="134"/>
    </row>
    <row r="1282" spans="3:5" s="15" customFormat="1">
      <c r="C1282" s="40"/>
      <c r="E1282" s="134"/>
    </row>
    <row r="1283" spans="3:5" s="15" customFormat="1">
      <c r="C1283" s="40"/>
      <c r="E1283" s="134"/>
    </row>
    <row r="1284" spans="3:5" s="15" customFormat="1">
      <c r="C1284" s="40"/>
      <c r="E1284" s="134"/>
    </row>
    <row r="1285" spans="3:5" s="15" customFormat="1">
      <c r="C1285" s="40"/>
      <c r="E1285" s="134"/>
    </row>
    <row r="1286" spans="3:5" s="15" customFormat="1">
      <c r="C1286" s="40"/>
      <c r="E1286" s="134"/>
    </row>
    <row r="1287" spans="3:5" s="15" customFormat="1">
      <c r="C1287" s="40"/>
      <c r="E1287" s="134"/>
    </row>
    <row r="1288" spans="3:5" s="15" customFormat="1">
      <c r="C1288" s="40"/>
      <c r="E1288" s="134"/>
    </row>
    <row r="1289" spans="3:5" s="15" customFormat="1">
      <c r="C1289" s="40"/>
      <c r="E1289" s="134"/>
    </row>
    <row r="1290" spans="3:5" s="15" customFormat="1">
      <c r="C1290" s="40"/>
      <c r="E1290" s="134"/>
    </row>
    <row r="1291" spans="3:5" s="15" customFormat="1">
      <c r="C1291" s="40"/>
      <c r="E1291" s="134"/>
    </row>
    <row r="1292" spans="3:5" s="15" customFormat="1">
      <c r="C1292" s="40"/>
      <c r="E1292" s="134"/>
    </row>
    <row r="1293" spans="3:5" s="15" customFormat="1">
      <c r="C1293" s="40"/>
      <c r="E1293" s="134"/>
    </row>
    <row r="1294" spans="3:5" s="15" customFormat="1">
      <c r="C1294" s="40"/>
      <c r="E1294" s="134"/>
    </row>
    <row r="1295" spans="3:5" s="15" customFormat="1">
      <c r="C1295" s="40"/>
      <c r="E1295" s="134"/>
    </row>
    <row r="1296" spans="3:5" s="15" customFormat="1">
      <c r="C1296" s="40"/>
      <c r="E1296" s="134"/>
    </row>
    <row r="1297" spans="3:5" s="15" customFormat="1">
      <c r="C1297" s="40"/>
      <c r="E1297" s="134"/>
    </row>
    <row r="1298" spans="3:5" s="15" customFormat="1">
      <c r="C1298" s="40"/>
      <c r="E1298" s="134"/>
    </row>
    <row r="1299" spans="3:5" s="15" customFormat="1">
      <c r="C1299" s="40"/>
      <c r="E1299" s="134"/>
    </row>
    <row r="1300" spans="3:5" s="15" customFormat="1">
      <c r="C1300" s="40"/>
      <c r="E1300" s="134"/>
    </row>
    <row r="1301" spans="3:5" s="15" customFormat="1">
      <c r="C1301" s="40"/>
      <c r="E1301" s="134"/>
    </row>
    <row r="1302" spans="3:5" s="15" customFormat="1">
      <c r="C1302" s="40"/>
      <c r="E1302" s="134"/>
    </row>
    <row r="1303" spans="3:5" s="15" customFormat="1">
      <c r="C1303" s="40"/>
      <c r="E1303" s="134"/>
    </row>
    <row r="1304" spans="3:5" s="15" customFormat="1">
      <c r="C1304" s="40"/>
      <c r="E1304" s="134"/>
    </row>
    <row r="1305" spans="3:5" s="15" customFormat="1">
      <c r="C1305" s="40"/>
      <c r="E1305" s="134"/>
    </row>
    <row r="1306" spans="3:5" s="15" customFormat="1">
      <c r="C1306" s="40"/>
      <c r="E1306" s="134"/>
    </row>
    <row r="1307" spans="3:5" s="15" customFormat="1">
      <c r="C1307" s="40"/>
      <c r="E1307" s="134"/>
    </row>
    <row r="1308" spans="3:5" s="15" customFormat="1">
      <c r="C1308" s="40"/>
      <c r="E1308" s="134"/>
    </row>
    <row r="1309" spans="3:5" s="15" customFormat="1">
      <c r="C1309" s="40"/>
      <c r="E1309" s="134"/>
    </row>
    <row r="1310" spans="3:5" s="15" customFormat="1">
      <c r="C1310" s="40"/>
      <c r="E1310" s="134"/>
    </row>
    <row r="1311" spans="3:5" s="15" customFormat="1">
      <c r="C1311" s="40"/>
      <c r="E1311" s="134"/>
    </row>
    <row r="1312" spans="3:5" s="15" customFormat="1">
      <c r="C1312" s="40"/>
      <c r="E1312" s="134"/>
    </row>
    <row r="1313" spans="3:5" s="15" customFormat="1">
      <c r="C1313" s="40"/>
      <c r="E1313" s="134"/>
    </row>
    <row r="1314" spans="3:5" s="15" customFormat="1">
      <c r="C1314" s="40"/>
      <c r="E1314" s="134"/>
    </row>
    <row r="1315" spans="3:5" s="15" customFormat="1">
      <c r="C1315" s="40"/>
      <c r="E1315" s="134"/>
    </row>
    <row r="1316" spans="3:5" s="15" customFormat="1">
      <c r="C1316" s="40"/>
      <c r="E1316" s="134"/>
    </row>
    <row r="1317" spans="3:5" s="15" customFormat="1">
      <c r="C1317" s="40"/>
      <c r="E1317" s="134"/>
    </row>
    <row r="1318" spans="3:5" s="15" customFormat="1">
      <c r="C1318" s="40"/>
      <c r="E1318" s="134"/>
    </row>
    <row r="1319" spans="3:5" s="15" customFormat="1">
      <c r="C1319" s="40"/>
      <c r="E1319" s="134"/>
    </row>
    <row r="1320" spans="3:5" s="15" customFormat="1">
      <c r="C1320" s="40"/>
      <c r="E1320" s="134"/>
    </row>
    <row r="1321" spans="3:5" s="15" customFormat="1">
      <c r="C1321" s="40"/>
      <c r="E1321" s="134"/>
    </row>
    <row r="1322" spans="3:5" s="15" customFormat="1">
      <c r="C1322" s="40"/>
      <c r="E1322" s="134"/>
    </row>
    <row r="1323" spans="3:5" s="15" customFormat="1">
      <c r="C1323" s="40"/>
      <c r="E1323" s="134"/>
    </row>
    <row r="1324" spans="3:5" s="15" customFormat="1">
      <c r="C1324" s="40"/>
      <c r="E1324" s="134"/>
    </row>
    <row r="1325" spans="3:5" s="15" customFormat="1">
      <c r="C1325" s="40"/>
      <c r="E1325" s="134"/>
    </row>
    <row r="1326" spans="3:5" s="15" customFormat="1">
      <c r="C1326" s="40"/>
      <c r="E1326" s="134"/>
    </row>
    <row r="1327" spans="3:5" s="15" customFormat="1">
      <c r="C1327" s="40"/>
      <c r="E1327" s="134"/>
    </row>
    <row r="1328" spans="3:5" s="15" customFormat="1">
      <c r="C1328" s="40"/>
      <c r="E1328" s="134"/>
    </row>
    <row r="1329" spans="3:5" s="15" customFormat="1">
      <c r="C1329" s="40"/>
      <c r="E1329" s="134"/>
    </row>
    <row r="1330" spans="3:5" s="15" customFormat="1">
      <c r="C1330" s="40"/>
      <c r="E1330" s="134"/>
    </row>
    <row r="1331" spans="3:5" s="15" customFormat="1">
      <c r="C1331" s="40"/>
      <c r="E1331" s="134"/>
    </row>
    <row r="1332" spans="3:5" s="15" customFormat="1">
      <c r="C1332" s="40"/>
      <c r="E1332" s="134"/>
    </row>
    <row r="1333" spans="3:5" s="15" customFormat="1">
      <c r="C1333" s="40"/>
      <c r="E1333" s="134"/>
    </row>
    <row r="1334" spans="3:5" s="15" customFormat="1">
      <c r="C1334" s="40"/>
      <c r="E1334" s="134"/>
    </row>
    <row r="1335" spans="3:5" s="15" customFormat="1">
      <c r="C1335" s="40"/>
      <c r="E1335" s="134"/>
    </row>
    <row r="1336" spans="3:5" s="15" customFormat="1">
      <c r="C1336" s="40"/>
      <c r="E1336" s="134"/>
    </row>
    <row r="1337" spans="3:5" s="15" customFormat="1">
      <c r="C1337" s="40"/>
      <c r="E1337" s="134"/>
    </row>
    <row r="1338" spans="3:5" s="15" customFormat="1">
      <c r="C1338" s="40"/>
      <c r="E1338" s="134"/>
    </row>
    <row r="1339" spans="3:5" s="15" customFormat="1">
      <c r="C1339" s="40"/>
      <c r="E1339" s="134"/>
    </row>
    <row r="1340" spans="3:5" s="15" customFormat="1">
      <c r="C1340" s="40"/>
      <c r="E1340" s="134"/>
    </row>
    <row r="1341" spans="3:5" s="15" customFormat="1">
      <c r="C1341" s="40"/>
      <c r="E1341" s="134"/>
    </row>
    <row r="1342" spans="3:5" s="15" customFormat="1">
      <c r="C1342" s="40"/>
      <c r="E1342" s="134"/>
    </row>
    <row r="1343" spans="3:5" s="15" customFormat="1">
      <c r="C1343" s="40"/>
      <c r="E1343" s="134"/>
    </row>
    <row r="1344" spans="3:5" s="15" customFormat="1">
      <c r="C1344" s="40"/>
      <c r="E1344" s="134"/>
    </row>
    <row r="1345" spans="3:5" s="15" customFormat="1">
      <c r="C1345" s="40"/>
      <c r="E1345" s="134"/>
    </row>
    <row r="1346" spans="3:5" s="15" customFormat="1">
      <c r="C1346" s="40"/>
      <c r="E1346" s="134"/>
    </row>
    <row r="1347" spans="3:5" s="15" customFormat="1">
      <c r="C1347" s="40"/>
      <c r="E1347" s="134"/>
    </row>
    <row r="1348" spans="3:5" s="15" customFormat="1">
      <c r="C1348" s="40"/>
      <c r="E1348" s="134"/>
    </row>
    <row r="1349" spans="3:5" s="15" customFormat="1">
      <c r="C1349" s="40"/>
      <c r="E1349" s="134"/>
    </row>
    <row r="1350" spans="3:5" s="15" customFormat="1">
      <c r="C1350" s="40"/>
      <c r="E1350" s="134"/>
    </row>
    <row r="1351" spans="3:5" s="15" customFormat="1">
      <c r="C1351" s="40"/>
      <c r="E1351" s="134"/>
    </row>
    <row r="1352" spans="3:5" s="15" customFormat="1">
      <c r="C1352" s="40"/>
      <c r="E1352" s="134"/>
    </row>
    <row r="1353" spans="3:5" s="15" customFormat="1">
      <c r="C1353" s="40"/>
      <c r="E1353" s="134"/>
    </row>
    <row r="1354" spans="3:5" s="15" customFormat="1">
      <c r="C1354" s="40"/>
      <c r="E1354" s="134"/>
    </row>
    <row r="1355" spans="3:5" s="15" customFormat="1">
      <c r="C1355" s="40"/>
      <c r="E1355" s="134"/>
    </row>
    <row r="1356" spans="3:5" s="15" customFormat="1">
      <c r="C1356" s="40"/>
      <c r="E1356" s="134"/>
    </row>
    <row r="1357" spans="3:5" s="15" customFormat="1">
      <c r="C1357" s="40"/>
      <c r="E1357" s="134"/>
    </row>
    <row r="1358" spans="3:5" s="15" customFormat="1">
      <c r="C1358" s="40"/>
      <c r="E1358" s="134"/>
    </row>
    <row r="1359" spans="3:5" s="15" customFormat="1">
      <c r="C1359" s="40"/>
      <c r="E1359" s="134"/>
    </row>
    <row r="1360" spans="3:5" s="15" customFormat="1">
      <c r="C1360" s="40"/>
      <c r="E1360" s="134"/>
    </row>
    <row r="1361" spans="3:5" s="15" customFormat="1">
      <c r="C1361" s="40"/>
      <c r="E1361" s="134"/>
    </row>
    <row r="1362" spans="3:5" s="15" customFormat="1">
      <c r="C1362" s="40"/>
      <c r="E1362" s="134"/>
    </row>
    <row r="1363" spans="3:5" s="15" customFormat="1">
      <c r="C1363" s="40"/>
      <c r="E1363" s="134"/>
    </row>
    <row r="1364" spans="3:5" s="15" customFormat="1">
      <c r="C1364" s="40"/>
      <c r="E1364" s="134"/>
    </row>
    <row r="1365" spans="3:5" s="15" customFormat="1">
      <c r="C1365" s="40"/>
      <c r="E1365" s="134"/>
    </row>
    <row r="1366" spans="3:5" s="15" customFormat="1">
      <c r="C1366" s="40"/>
      <c r="E1366" s="134"/>
    </row>
    <row r="1367" spans="3:5" s="15" customFormat="1">
      <c r="C1367" s="40"/>
      <c r="E1367" s="134"/>
    </row>
    <row r="1368" spans="3:5" s="15" customFormat="1">
      <c r="C1368" s="40"/>
      <c r="E1368" s="134"/>
    </row>
    <row r="1369" spans="3:5" s="15" customFormat="1">
      <c r="C1369" s="40"/>
      <c r="E1369" s="134"/>
    </row>
    <row r="1370" spans="3:5" s="15" customFormat="1">
      <c r="C1370" s="40"/>
      <c r="E1370" s="134"/>
    </row>
    <row r="1371" spans="3:5" s="15" customFormat="1">
      <c r="C1371" s="40"/>
      <c r="E1371" s="134"/>
    </row>
    <row r="1372" spans="3:5" s="15" customFormat="1">
      <c r="C1372" s="40"/>
      <c r="E1372" s="134"/>
    </row>
    <row r="1373" spans="3:5" s="15" customFormat="1">
      <c r="C1373" s="40"/>
      <c r="E1373" s="134"/>
    </row>
    <row r="1374" spans="3:5" s="15" customFormat="1">
      <c r="C1374" s="40"/>
      <c r="E1374" s="134"/>
    </row>
    <row r="1375" spans="3:5" s="15" customFormat="1">
      <c r="C1375" s="40"/>
      <c r="E1375" s="134"/>
    </row>
    <row r="1376" spans="3:5" s="15" customFormat="1">
      <c r="C1376" s="40"/>
      <c r="E1376" s="134"/>
    </row>
    <row r="1377" spans="3:5" s="15" customFormat="1">
      <c r="C1377" s="40"/>
      <c r="E1377" s="134"/>
    </row>
    <row r="1378" spans="3:5" s="15" customFormat="1">
      <c r="C1378" s="40"/>
      <c r="E1378" s="134"/>
    </row>
    <row r="1379" spans="3:5" s="15" customFormat="1">
      <c r="C1379" s="40"/>
      <c r="E1379" s="134"/>
    </row>
    <row r="1380" spans="3:5" s="15" customFormat="1">
      <c r="C1380" s="40"/>
      <c r="E1380" s="134"/>
    </row>
    <row r="1381" spans="3:5" s="15" customFormat="1">
      <c r="C1381" s="40"/>
      <c r="E1381" s="134"/>
    </row>
    <row r="1382" spans="3:5" s="15" customFormat="1">
      <c r="C1382" s="40"/>
      <c r="E1382" s="134"/>
    </row>
    <row r="1383" spans="3:5" s="15" customFormat="1">
      <c r="C1383" s="40"/>
      <c r="E1383" s="134"/>
    </row>
    <row r="1384" spans="3:5" s="15" customFormat="1">
      <c r="C1384" s="40"/>
      <c r="E1384" s="134"/>
    </row>
    <row r="1385" spans="3:5" s="15" customFormat="1">
      <c r="C1385" s="40"/>
      <c r="E1385" s="134"/>
    </row>
    <row r="1386" spans="3:5" s="15" customFormat="1">
      <c r="C1386" s="40"/>
      <c r="E1386" s="134"/>
    </row>
    <row r="1387" spans="3:5" s="15" customFormat="1">
      <c r="C1387" s="40"/>
      <c r="E1387" s="134"/>
    </row>
    <row r="1388" spans="3:5" s="15" customFormat="1">
      <c r="C1388" s="40"/>
      <c r="E1388" s="134"/>
    </row>
    <row r="1389" spans="3:5" s="15" customFormat="1">
      <c r="C1389" s="40"/>
      <c r="E1389" s="134"/>
    </row>
    <row r="1390" spans="3:5" s="15" customFormat="1">
      <c r="C1390" s="40"/>
      <c r="E1390" s="134"/>
    </row>
    <row r="1391" spans="3:5" s="15" customFormat="1">
      <c r="C1391" s="40"/>
      <c r="E1391" s="134"/>
    </row>
    <row r="1392" spans="3:5" s="15" customFormat="1">
      <c r="C1392" s="40"/>
      <c r="E1392" s="134"/>
    </row>
    <row r="1393" spans="3:5" s="15" customFormat="1">
      <c r="C1393" s="40"/>
      <c r="E1393" s="134"/>
    </row>
    <row r="1394" spans="3:5" s="15" customFormat="1">
      <c r="C1394" s="40"/>
      <c r="E1394" s="134"/>
    </row>
    <row r="1395" spans="3:5" s="15" customFormat="1">
      <c r="C1395" s="40"/>
      <c r="E1395" s="134"/>
    </row>
    <row r="1396" spans="3:5" s="15" customFormat="1">
      <c r="C1396" s="40"/>
      <c r="E1396" s="134"/>
    </row>
    <row r="1397" spans="3:5" s="15" customFormat="1">
      <c r="C1397" s="40"/>
      <c r="E1397" s="134"/>
    </row>
    <row r="1398" spans="3:5" s="15" customFormat="1">
      <c r="C1398" s="40"/>
      <c r="E1398" s="134"/>
    </row>
    <row r="1399" spans="3:5" s="15" customFormat="1">
      <c r="C1399" s="40"/>
      <c r="E1399" s="134"/>
    </row>
    <row r="1400" spans="3:5" s="15" customFormat="1">
      <c r="C1400" s="40"/>
      <c r="E1400" s="134"/>
    </row>
    <row r="1401" spans="3:5" s="15" customFormat="1">
      <c r="C1401" s="40"/>
      <c r="E1401" s="134"/>
    </row>
    <row r="1402" spans="3:5" s="15" customFormat="1">
      <c r="C1402" s="40"/>
      <c r="E1402" s="134"/>
    </row>
    <row r="1403" spans="3:5" s="15" customFormat="1">
      <c r="C1403" s="40"/>
      <c r="E1403" s="134"/>
    </row>
    <row r="1404" spans="3:5" s="15" customFormat="1">
      <c r="C1404" s="40"/>
      <c r="E1404" s="134"/>
    </row>
    <row r="1405" spans="3:5" s="15" customFormat="1">
      <c r="C1405" s="40"/>
      <c r="E1405" s="134"/>
    </row>
    <row r="1406" spans="3:5" s="15" customFormat="1">
      <c r="C1406" s="40"/>
      <c r="E1406" s="134"/>
    </row>
    <row r="1407" spans="3:5" s="15" customFormat="1">
      <c r="C1407" s="40"/>
      <c r="E1407" s="134"/>
    </row>
    <row r="1408" spans="3:5" s="15" customFormat="1">
      <c r="C1408" s="40"/>
      <c r="E1408" s="134"/>
    </row>
    <row r="1409" spans="3:5" s="15" customFormat="1">
      <c r="C1409" s="40"/>
      <c r="E1409" s="134"/>
    </row>
    <row r="1410" spans="3:5" s="15" customFormat="1">
      <c r="C1410" s="40"/>
      <c r="E1410" s="134"/>
    </row>
    <row r="1411" spans="3:5" s="15" customFormat="1">
      <c r="C1411" s="40"/>
      <c r="E1411" s="134"/>
    </row>
    <row r="1412" spans="3:5" s="15" customFormat="1">
      <c r="C1412" s="40"/>
      <c r="E1412" s="134"/>
    </row>
    <row r="1413" spans="3:5" s="15" customFormat="1">
      <c r="C1413" s="40"/>
      <c r="E1413" s="134"/>
    </row>
    <row r="1414" spans="3:5" s="15" customFormat="1">
      <c r="C1414" s="40"/>
      <c r="E1414" s="134"/>
    </row>
    <row r="1415" spans="3:5" s="15" customFormat="1">
      <c r="C1415" s="40"/>
      <c r="E1415" s="134"/>
    </row>
    <row r="1416" spans="3:5" s="15" customFormat="1">
      <c r="C1416" s="40"/>
      <c r="E1416" s="134"/>
    </row>
    <row r="1417" spans="3:5" s="15" customFormat="1">
      <c r="C1417" s="40"/>
      <c r="E1417" s="134"/>
    </row>
    <row r="1418" spans="3:5" s="15" customFormat="1">
      <c r="C1418" s="40"/>
      <c r="E1418" s="134"/>
    </row>
    <row r="1419" spans="3:5" s="15" customFormat="1">
      <c r="C1419" s="40"/>
      <c r="E1419" s="134"/>
    </row>
    <row r="1420" spans="3:5" s="15" customFormat="1">
      <c r="C1420" s="40"/>
      <c r="E1420" s="134"/>
    </row>
    <row r="1421" spans="3:5" s="15" customFormat="1">
      <c r="C1421" s="40"/>
      <c r="E1421" s="134"/>
    </row>
    <row r="1422" spans="3:5" s="15" customFormat="1">
      <c r="C1422" s="40"/>
      <c r="E1422" s="134"/>
    </row>
    <row r="1423" spans="3:5" s="15" customFormat="1">
      <c r="C1423" s="40"/>
      <c r="E1423" s="134"/>
    </row>
    <row r="1424" spans="3:5" s="15" customFormat="1">
      <c r="C1424" s="40"/>
      <c r="E1424" s="134"/>
    </row>
    <row r="1425" spans="3:5" s="15" customFormat="1">
      <c r="C1425" s="40"/>
      <c r="E1425" s="134"/>
    </row>
    <row r="1426" spans="3:5" s="15" customFormat="1">
      <c r="C1426" s="40"/>
      <c r="E1426" s="134"/>
    </row>
    <row r="1427" spans="3:5" s="15" customFormat="1">
      <c r="C1427" s="40"/>
      <c r="E1427" s="134"/>
    </row>
    <row r="1428" spans="3:5" s="15" customFormat="1">
      <c r="C1428" s="40"/>
      <c r="E1428" s="134"/>
    </row>
    <row r="1429" spans="3:5" s="15" customFormat="1">
      <c r="C1429" s="40"/>
      <c r="E1429" s="134"/>
    </row>
    <row r="1430" spans="3:5" s="15" customFormat="1">
      <c r="C1430" s="40"/>
      <c r="E1430" s="134"/>
    </row>
    <row r="1431" spans="3:5" s="15" customFormat="1">
      <c r="C1431" s="40"/>
      <c r="E1431" s="134"/>
    </row>
    <row r="1432" spans="3:5" s="15" customFormat="1">
      <c r="C1432" s="40"/>
      <c r="E1432" s="134"/>
    </row>
    <row r="1433" spans="3:5" s="15" customFormat="1">
      <c r="C1433" s="40"/>
      <c r="E1433" s="134"/>
    </row>
    <row r="1434" spans="3:5" s="15" customFormat="1">
      <c r="C1434" s="40"/>
      <c r="E1434" s="134"/>
    </row>
    <row r="1435" spans="3:5" s="15" customFormat="1">
      <c r="C1435" s="40"/>
      <c r="E1435" s="134"/>
    </row>
    <row r="1436" spans="3:5" s="15" customFormat="1">
      <c r="C1436" s="40"/>
      <c r="E1436" s="134"/>
    </row>
    <row r="1437" spans="3:5" s="15" customFormat="1">
      <c r="C1437" s="40"/>
      <c r="E1437" s="134"/>
    </row>
    <row r="1438" spans="3:5" s="15" customFormat="1">
      <c r="C1438" s="40"/>
      <c r="E1438" s="134"/>
    </row>
    <row r="1439" spans="3:5" s="15" customFormat="1">
      <c r="C1439" s="40"/>
      <c r="E1439" s="134"/>
    </row>
    <row r="1440" spans="3:5" s="15" customFormat="1">
      <c r="C1440" s="40"/>
      <c r="E1440" s="134"/>
    </row>
    <row r="1441" spans="3:5" s="15" customFormat="1">
      <c r="C1441" s="40"/>
      <c r="E1441" s="134"/>
    </row>
    <row r="1442" spans="3:5" s="15" customFormat="1">
      <c r="C1442" s="40"/>
      <c r="E1442" s="134"/>
    </row>
    <row r="1443" spans="3:5" s="15" customFormat="1">
      <c r="C1443" s="40"/>
      <c r="E1443" s="134"/>
    </row>
    <row r="1444" spans="3:5" s="15" customFormat="1">
      <c r="C1444" s="40"/>
      <c r="E1444" s="134"/>
    </row>
    <row r="1445" spans="3:5" s="15" customFormat="1">
      <c r="C1445" s="40"/>
      <c r="E1445" s="134"/>
    </row>
    <row r="1446" spans="3:5" s="15" customFormat="1">
      <c r="C1446" s="40"/>
      <c r="E1446" s="134"/>
    </row>
    <row r="1447" spans="3:5" s="15" customFormat="1">
      <c r="C1447" s="40"/>
      <c r="E1447" s="134"/>
    </row>
    <row r="1448" spans="3:5" s="15" customFormat="1">
      <c r="C1448" s="40"/>
      <c r="E1448" s="134"/>
    </row>
    <row r="1449" spans="3:5" s="15" customFormat="1">
      <c r="C1449" s="40"/>
      <c r="E1449" s="134"/>
    </row>
    <row r="1450" spans="3:5" s="15" customFormat="1">
      <c r="C1450" s="40"/>
      <c r="E1450" s="134"/>
    </row>
    <row r="1451" spans="3:5" s="15" customFormat="1">
      <c r="C1451" s="40"/>
      <c r="E1451" s="134"/>
    </row>
    <row r="1452" spans="3:5" s="15" customFormat="1">
      <c r="C1452" s="40"/>
      <c r="E1452" s="134"/>
    </row>
    <row r="1453" spans="3:5" s="15" customFormat="1">
      <c r="C1453" s="40"/>
      <c r="E1453" s="134"/>
    </row>
    <row r="1454" spans="3:5" s="15" customFormat="1">
      <c r="C1454" s="40"/>
      <c r="E1454" s="134"/>
    </row>
    <row r="1455" spans="3:5" s="15" customFormat="1">
      <c r="C1455" s="40"/>
      <c r="E1455" s="134"/>
    </row>
    <row r="1456" spans="3:5" s="15" customFormat="1">
      <c r="C1456" s="40"/>
      <c r="E1456" s="134"/>
    </row>
    <row r="1457" spans="3:5" s="15" customFormat="1">
      <c r="C1457" s="40"/>
      <c r="E1457" s="134"/>
    </row>
    <row r="1458" spans="3:5" s="15" customFormat="1">
      <c r="C1458" s="40"/>
      <c r="E1458" s="134"/>
    </row>
    <row r="1459" spans="3:5" s="15" customFormat="1">
      <c r="C1459" s="40"/>
      <c r="E1459" s="134"/>
    </row>
    <row r="1460" spans="3:5" s="15" customFormat="1">
      <c r="C1460" s="40"/>
      <c r="E1460" s="134"/>
    </row>
    <row r="1461" spans="3:5" s="15" customFormat="1">
      <c r="C1461" s="40"/>
      <c r="E1461" s="134"/>
    </row>
    <row r="1462" spans="3:5" s="15" customFormat="1">
      <c r="C1462" s="40"/>
      <c r="E1462" s="134"/>
    </row>
    <row r="1463" spans="3:5" s="15" customFormat="1">
      <c r="C1463" s="40"/>
      <c r="E1463" s="134"/>
    </row>
    <row r="1464" spans="3:5" s="15" customFormat="1">
      <c r="C1464" s="40"/>
      <c r="E1464" s="134"/>
    </row>
    <row r="1465" spans="3:5" s="15" customFormat="1">
      <c r="C1465" s="40"/>
      <c r="E1465" s="134"/>
    </row>
    <row r="1466" spans="3:5" s="15" customFormat="1">
      <c r="C1466" s="40"/>
      <c r="E1466" s="134"/>
    </row>
    <row r="1467" spans="3:5" s="15" customFormat="1">
      <c r="C1467" s="40"/>
      <c r="E1467" s="134"/>
    </row>
    <row r="1468" spans="3:5" s="15" customFormat="1">
      <c r="C1468" s="40"/>
      <c r="E1468" s="134"/>
    </row>
    <row r="1469" spans="3:5" s="15" customFormat="1">
      <c r="C1469" s="40"/>
      <c r="E1469" s="134"/>
    </row>
    <row r="1470" spans="3:5" s="15" customFormat="1">
      <c r="C1470" s="40"/>
      <c r="E1470" s="134"/>
    </row>
    <row r="1471" spans="3:5" s="15" customFormat="1">
      <c r="C1471" s="40"/>
      <c r="E1471" s="134"/>
    </row>
    <row r="1472" spans="3:5" s="15" customFormat="1">
      <c r="C1472" s="40"/>
      <c r="E1472" s="134"/>
    </row>
    <row r="1473" spans="3:5" s="15" customFormat="1">
      <c r="C1473" s="40"/>
      <c r="E1473" s="134"/>
    </row>
    <row r="1474" spans="3:5" s="15" customFormat="1">
      <c r="C1474" s="40"/>
      <c r="E1474" s="134"/>
    </row>
    <row r="1475" spans="3:5" s="15" customFormat="1">
      <c r="C1475" s="40"/>
      <c r="E1475" s="134"/>
    </row>
    <row r="1476" spans="3:5" s="15" customFormat="1">
      <c r="C1476" s="40"/>
      <c r="E1476" s="134"/>
    </row>
    <row r="1477" spans="3:5" s="15" customFormat="1">
      <c r="C1477" s="40"/>
      <c r="E1477" s="134"/>
    </row>
    <row r="1478" spans="3:5" s="15" customFormat="1">
      <c r="C1478" s="40"/>
      <c r="E1478" s="134"/>
    </row>
    <row r="1479" spans="3:5" s="15" customFormat="1">
      <c r="C1479" s="40"/>
      <c r="E1479" s="134"/>
    </row>
    <row r="1480" spans="3:5" s="15" customFormat="1">
      <c r="C1480" s="40"/>
      <c r="E1480" s="134"/>
    </row>
    <row r="1481" spans="3:5" s="15" customFormat="1">
      <c r="C1481" s="40"/>
      <c r="E1481" s="134"/>
    </row>
    <row r="1482" spans="3:5" s="15" customFormat="1">
      <c r="C1482" s="40"/>
      <c r="E1482" s="134"/>
    </row>
    <row r="1483" spans="3:5" s="15" customFormat="1">
      <c r="C1483" s="40"/>
      <c r="E1483" s="134"/>
    </row>
    <row r="1484" spans="3:5" s="15" customFormat="1">
      <c r="C1484" s="40"/>
      <c r="E1484" s="134"/>
    </row>
    <row r="1485" spans="3:5" s="15" customFormat="1">
      <c r="C1485" s="40"/>
      <c r="E1485" s="134"/>
    </row>
    <row r="1486" spans="3:5" s="15" customFormat="1">
      <c r="C1486" s="40"/>
      <c r="E1486" s="134"/>
    </row>
    <row r="1487" spans="3:5" s="15" customFormat="1">
      <c r="C1487" s="40"/>
      <c r="E1487" s="134"/>
    </row>
    <row r="1488" spans="3:5" s="15" customFormat="1">
      <c r="C1488" s="40"/>
      <c r="E1488" s="134"/>
    </row>
    <row r="1489" spans="3:5" s="15" customFormat="1">
      <c r="C1489" s="40"/>
      <c r="E1489" s="134"/>
    </row>
    <row r="1490" spans="3:5" s="15" customFormat="1">
      <c r="C1490" s="40"/>
      <c r="E1490" s="134"/>
    </row>
    <row r="1491" spans="3:5" s="15" customFormat="1">
      <c r="C1491" s="40"/>
      <c r="E1491" s="134"/>
    </row>
    <row r="1492" spans="3:5" s="15" customFormat="1">
      <c r="C1492" s="40"/>
      <c r="E1492" s="134"/>
    </row>
    <row r="1493" spans="3:5" s="15" customFormat="1">
      <c r="C1493" s="40"/>
      <c r="E1493" s="134"/>
    </row>
    <row r="1494" spans="3:5" s="15" customFormat="1">
      <c r="C1494" s="40"/>
      <c r="E1494" s="134"/>
    </row>
    <row r="1495" spans="3:5" s="15" customFormat="1">
      <c r="C1495" s="40"/>
      <c r="E1495" s="134"/>
    </row>
    <row r="1496" spans="3:5" s="15" customFormat="1">
      <c r="C1496" s="40"/>
      <c r="E1496" s="134"/>
    </row>
    <row r="1497" spans="3:5" s="15" customFormat="1">
      <c r="C1497" s="40"/>
      <c r="E1497" s="134"/>
    </row>
    <row r="1498" spans="3:5" s="15" customFormat="1">
      <c r="C1498" s="40"/>
      <c r="E1498" s="134"/>
    </row>
    <row r="1499" spans="3:5" s="15" customFormat="1">
      <c r="C1499" s="40"/>
      <c r="E1499" s="134"/>
    </row>
    <row r="1500" spans="3:5" s="15" customFormat="1">
      <c r="C1500" s="40"/>
      <c r="E1500" s="134"/>
    </row>
    <row r="1501" spans="3:5" s="15" customFormat="1">
      <c r="C1501" s="40"/>
      <c r="E1501" s="134"/>
    </row>
    <row r="1502" spans="3:5" s="15" customFormat="1">
      <c r="C1502" s="40"/>
      <c r="E1502" s="134"/>
    </row>
    <row r="1503" spans="3:5" s="15" customFormat="1">
      <c r="C1503" s="40"/>
      <c r="E1503" s="134"/>
    </row>
    <row r="1504" spans="3:5" s="15" customFormat="1">
      <c r="C1504" s="40"/>
      <c r="E1504" s="134"/>
    </row>
    <row r="1505" spans="3:5" s="15" customFormat="1">
      <c r="C1505" s="40"/>
      <c r="E1505" s="134"/>
    </row>
    <row r="1506" spans="3:5" s="15" customFormat="1">
      <c r="C1506" s="40"/>
      <c r="E1506" s="134"/>
    </row>
    <row r="1507" spans="3:5" s="15" customFormat="1">
      <c r="C1507" s="40"/>
      <c r="E1507" s="134"/>
    </row>
    <row r="1508" spans="3:5" s="15" customFormat="1">
      <c r="C1508" s="40"/>
      <c r="E1508" s="134"/>
    </row>
    <row r="1509" spans="3:5" s="15" customFormat="1">
      <c r="C1509" s="40"/>
      <c r="E1509" s="134"/>
    </row>
    <row r="1510" spans="3:5" s="15" customFormat="1">
      <c r="C1510" s="40"/>
      <c r="E1510" s="134"/>
    </row>
    <row r="1511" spans="3:5" s="15" customFormat="1">
      <c r="C1511" s="40"/>
      <c r="E1511" s="134"/>
    </row>
    <row r="1512" spans="3:5" s="15" customFormat="1">
      <c r="C1512" s="40"/>
      <c r="E1512" s="134"/>
    </row>
    <row r="1513" spans="3:5" s="15" customFormat="1">
      <c r="C1513" s="40"/>
      <c r="E1513" s="134"/>
    </row>
    <row r="1514" spans="3:5" s="15" customFormat="1">
      <c r="C1514" s="40"/>
      <c r="E1514" s="134"/>
    </row>
    <row r="1515" spans="3:5" s="15" customFormat="1">
      <c r="C1515" s="40"/>
      <c r="E1515" s="134"/>
    </row>
    <row r="1516" spans="3:5" s="15" customFormat="1">
      <c r="C1516" s="40"/>
      <c r="E1516" s="134"/>
    </row>
    <row r="1517" spans="3:5" s="15" customFormat="1">
      <c r="C1517" s="40"/>
      <c r="E1517" s="134"/>
    </row>
    <row r="1518" spans="3:5" s="15" customFormat="1">
      <c r="C1518" s="40"/>
      <c r="E1518" s="134"/>
    </row>
    <row r="1519" spans="3:5" s="15" customFormat="1">
      <c r="C1519" s="40"/>
      <c r="E1519" s="134"/>
    </row>
    <row r="1520" spans="3:5" s="15" customFormat="1">
      <c r="C1520" s="40"/>
      <c r="E1520" s="134"/>
    </row>
    <row r="1521" spans="3:5" s="15" customFormat="1">
      <c r="C1521" s="40"/>
      <c r="E1521" s="134"/>
    </row>
    <row r="1522" spans="3:5" s="15" customFormat="1">
      <c r="C1522" s="40"/>
      <c r="E1522" s="134"/>
    </row>
    <row r="1523" spans="3:5" s="15" customFormat="1">
      <c r="C1523" s="40"/>
      <c r="E1523" s="134"/>
    </row>
    <row r="1524" spans="3:5" s="15" customFormat="1">
      <c r="C1524" s="40"/>
      <c r="E1524" s="134"/>
    </row>
    <row r="1525" spans="3:5" s="15" customFormat="1">
      <c r="C1525" s="40"/>
      <c r="E1525" s="134"/>
    </row>
    <row r="1526" spans="3:5" s="15" customFormat="1">
      <c r="C1526" s="40"/>
      <c r="E1526" s="134"/>
    </row>
    <row r="1527" spans="3:5" s="15" customFormat="1">
      <c r="C1527" s="40"/>
      <c r="E1527" s="134"/>
    </row>
    <row r="1528" spans="3:5" s="15" customFormat="1">
      <c r="C1528" s="40"/>
      <c r="E1528" s="134"/>
    </row>
    <row r="1529" spans="3:5" s="15" customFormat="1">
      <c r="C1529" s="40"/>
      <c r="E1529" s="134"/>
    </row>
    <row r="1530" spans="3:5" s="15" customFormat="1">
      <c r="C1530" s="40"/>
      <c r="E1530" s="134"/>
    </row>
    <row r="1531" spans="3:5" s="15" customFormat="1">
      <c r="C1531" s="40"/>
      <c r="E1531" s="134"/>
    </row>
    <row r="1532" spans="3:5" s="15" customFormat="1">
      <c r="C1532" s="40"/>
      <c r="E1532" s="134"/>
    </row>
    <row r="1533" spans="3:5" s="15" customFormat="1">
      <c r="C1533" s="40"/>
      <c r="E1533" s="134"/>
    </row>
    <row r="1534" spans="3:5" s="15" customFormat="1">
      <c r="C1534" s="40"/>
      <c r="E1534" s="134"/>
    </row>
    <row r="1535" spans="3:5" s="15" customFormat="1">
      <c r="C1535" s="40"/>
      <c r="E1535" s="134"/>
    </row>
    <row r="1536" spans="3:5" s="15" customFormat="1">
      <c r="C1536" s="40"/>
      <c r="E1536" s="134"/>
    </row>
    <row r="1537" spans="3:5" s="15" customFormat="1">
      <c r="C1537" s="40"/>
      <c r="E1537" s="134"/>
    </row>
    <row r="1538" spans="3:5" s="15" customFormat="1">
      <c r="C1538" s="40"/>
      <c r="E1538" s="134"/>
    </row>
    <row r="1539" spans="3:5" s="15" customFormat="1">
      <c r="C1539" s="40"/>
      <c r="E1539" s="134"/>
    </row>
    <row r="1540" spans="3:5" s="15" customFormat="1">
      <c r="C1540" s="40"/>
      <c r="E1540" s="134"/>
    </row>
    <row r="1541" spans="3:5" s="15" customFormat="1">
      <c r="C1541" s="40"/>
      <c r="E1541" s="134"/>
    </row>
    <row r="1542" spans="3:5" s="15" customFormat="1">
      <c r="C1542" s="40"/>
      <c r="E1542" s="134"/>
    </row>
    <row r="1543" spans="3:5" s="15" customFormat="1">
      <c r="C1543" s="40"/>
      <c r="E1543" s="134"/>
    </row>
    <row r="1544" spans="3:5" s="15" customFormat="1">
      <c r="C1544" s="40"/>
      <c r="E1544" s="134"/>
    </row>
    <row r="1545" spans="3:5" s="15" customFormat="1">
      <c r="C1545" s="40"/>
      <c r="E1545" s="134"/>
    </row>
    <row r="1546" spans="3:5" s="15" customFormat="1">
      <c r="C1546" s="40"/>
      <c r="E1546" s="134"/>
    </row>
    <row r="1547" spans="3:5" s="15" customFormat="1">
      <c r="C1547" s="40"/>
      <c r="E1547" s="134"/>
    </row>
    <row r="1548" spans="3:5" s="15" customFormat="1">
      <c r="C1548" s="40"/>
      <c r="E1548" s="134"/>
    </row>
    <row r="1549" spans="3:5" s="15" customFormat="1">
      <c r="C1549" s="40"/>
      <c r="E1549" s="134"/>
    </row>
    <row r="1550" spans="3:5" s="15" customFormat="1">
      <c r="C1550" s="40"/>
      <c r="E1550" s="134"/>
    </row>
    <row r="1551" spans="3:5" s="15" customFormat="1">
      <c r="C1551" s="40"/>
      <c r="E1551" s="134"/>
    </row>
    <row r="1552" spans="3:5" s="15" customFormat="1">
      <c r="C1552" s="40"/>
      <c r="E1552" s="134"/>
    </row>
    <row r="1553" spans="3:5" s="15" customFormat="1">
      <c r="C1553" s="40"/>
      <c r="E1553" s="134"/>
    </row>
    <row r="1554" spans="3:5" s="15" customFormat="1">
      <c r="C1554" s="40"/>
      <c r="E1554" s="134"/>
    </row>
    <row r="1555" spans="3:5" s="15" customFormat="1">
      <c r="C1555" s="40"/>
      <c r="E1555" s="134"/>
    </row>
    <row r="1556" spans="3:5" s="15" customFormat="1">
      <c r="C1556" s="40"/>
      <c r="E1556" s="134"/>
    </row>
    <row r="1557" spans="3:5" s="15" customFormat="1">
      <c r="C1557" s="40"/>
      <c r="E1557" s="134"/>
    </row>
    <row r="1558" spans="3:5" s="15" customFormat="1">
      <c r="C1558" s="40"/>
      <c r="E1558" s="134"/>
    </row>
    <row r="1559" spans="3:5" s="15" customFormat="1">
      <c r="C1559" s="40"/>
      <c r="E1559" s="134"/>
    </row>
    <row r="1560" spans="3:5" s="15" customFormat="1">
      <c r="C1560" s="40"/>
      <c r="E1560" s="134"/>
    </row>
    <row r="1561" spans="3:5" s="15" customFormat="1">
      <c r="C1561" s="40"/>
      <c r="E1561" s="134"/>
    </row>
    <row r="1562" spans="3:5" s="15" customFormat="1">
      <c r="C1562" s="40"/>
      <c r="E1562" s="134"/>
    </row>
    <row r="1563" spans="3:5" s="15" customFormat="1">
      <c r="C1563" s="40"/>
      <c r="E1563" s="134"/>
    </row>
    <row r="1564" spans="3:5" s="15" customFormat="1">
      <c r="C1564" s="40"/>
      <c r="E1564" s="134"/>
    </row>
    <row r="1565" spans="3:5" s="15" customFormat="1">
      <c r="C1565" s="40"/>
      <c r="E1565" s="134"/>
    </row>
    <row r="1566" spans="3:5" s="15" customFormat="1">
      <c r="C1566" s="40"/>
      <c r="E1566" s="134"/>
    </row>
    <row r="1567" spans="3:5" s="15" customFormat="1">
      <c r="C1567" s="40"/>
      <c r="E1567" s="134"/>
    </row>
    <row r="1568" spans="3:5" s="15" customFormat="1">
      <c r="C1568" s="40"/>
      <c r="E1568" s="134"/>
    </row>
    <row r="1569" spans="3:5" s="15" customFormat="1">
      <c r="C1569" s="40"/>
      <c r="E1569" s="134"/>
    </row>
    <row r="1570" spans="3:5" s="15" customFormat="1">
      <c r="C1570" s="40"/>
      <c r="E1570" s="134"/>
    </row>
    <row r="1571" spans="3:5" s="15" customFormat="1">
      <c r="C1571" s="40"/>
      <c r="E1571" s="134"/>
    </row>
    <row r="1572" spans="3:5" s="15" customFormat="1">
      <c r="C1572" s="40"/>
      <c r="E1572" s="134"/>
    </row>
    <row r="1573" spans="3:5" s="15" customFormat="1">
      <c r="C1573" s="40"/>
      <c r="E1573" s="134"/>
    </row>
    <row r="1574" spans="3:5" s="15" customFormat="1">
      <c r="C1574" s="40"/>
      <c r="E1574" s="134"/>
    </row>
    <row r="1575" spans="3:5" s="15" customFormat="1">
      <c r="C1575" s="40"/>
      <c r="E1575" s="134"/>
    </row>
    <row r="1576" spans="3:5" s="15" customFormat="1">
      <c r="C1576" s="40"/>
      <c r="E1576" s="134"/>
    </row>
    <row r="1577" spans="3:5" s="15" customFormat="1">
      <c r="C1577" s="40"/>
      <c r="E1577" s="134"/>
    </row>
    <row r="1578" spans="3:5" s="15" customFormat="1">
      <c r="C1578" s="40"/>
      <c r="E1578" s="134"/>
    </row>
    <row r="1579" spans="3:5" s="15" customFormat="1">
      <c r="C1579" s="40"/>
      <c r="E1579" s="134"/>
    </row>
    <row r="1580" spans="3:5" s="15" customFormat="1">
      <c r="C1580" s="40"/>
      <c r="E1580" s="134"/>
    </row>
    <row r="1581" spans="3:5" s="15" customFormat="1">
      <c r="C1581" s="40"/>
      <c r="E1581" s="134"/>
    </row>
    <row r="1582" spans="3:5" s="15" customFormat="1">
      <c r="C1582" s="40"/>
      <c r="E1582" s="134"/>
    </row>
    <row r="1583" spans="3:5" s="15" customFormat="1">
      <c r="C1583" s="40"/>
      <c r="E1583" s="134"/>
    </row>
    <row r="1584" spans="3:5" s="15" customFormat="1">
      <c r="C1584" s="40"/>
      <c r="E1584" s="134"/>
    </row>
    <row r="1585" spans="3:5" s="15" customFormat="1">
      <c r="C1585" s="40"/>
      <c r="E1585" s="134"/>
    </row>
    <row r="1586" spans="3:5" s="15" customFormat="1">
      <c r="C1586" s="40"/>
      <c r="E1586" s="134"/>
    </row>
    <row r="1587" spans="3:5" s="15" customFormat="1">
      <c r="C1587" s="40"/>
      <c r="E1587" s="134"/>
    </row>
    <row r="1588" spans="3:5" s="15" customFormat="1">
      <c r="C1588" s="40"/>
      <c r="E1588" s="134"/>
    </row>
    <row r="1589" spans="3:5" s="15" customFormat="1">
      <c r="C1589" s="40"/>
      <c r="E1589" s="134"/>
    </row>
    <row r="1590" spans="3:5" s="15" customFormat="1">
      <c r="C1590" s="40"/>
      <c r="E1590" s="134"/>
    </row>
    <row r="1591" spans="3:5" s="15" customFormat="1">
      <c r="C1591" s="40"/>
      <c r="E1591" s="134"/>
    </row>
    <row r="1592" spans="3:5" s="15" customFormat="1">
      <c r="C1592" s="40"/>
      <c r="E1592" s="134"/>
    </row>
    <row r="1593" spans="3:5" s="15" customFormat="1">
      <c r="C1593" s="40"/>
      <c r="E1593" s="134"/>
    </row>
    <row r="1594" spans="3:5" s="15" customFormat="1">
      <c r="C1594" s="40"/>
      <c r="E1594" s="134"/>
    </row>
    <row r="1595" spans="3:5" s="15" customFormat="1">
      <c r="C1595" s="40"/>
      <c r="E1595" s="134"/>
    </row>
    <row r="1596" spans="3:5" s="15" customFormat="1">
      <c r="C1596" s="40"/>
      <c r="E1596" s="134"/>
    </row>
    <row r="1597" spans="3:5" s="15" customFormat="1">
      <c r="C1597" s="40"/>
      <c r="E1597" s="134"/>
    </row>
    <row r="1598" spans="3:5" s="15" customFormat="1">
      <c r="C1598" s="40"/>
      <c r="E1598" s="134"/>
    </row>
    <row r="1599" spans="3:5" s="15" customFormat="1">
      <c r="C1599" s="40"/>
      <c r="E1599" s="134"/>
    </row>
    <row r="1600" spans="3:5" s="15" customFormat="1">
      <c r="C1600" s="40"/>
      <c r="E1600" s="134"/>
    </row>
    <row r="1601" spans="3:5" s="15" customFormat="1">
      <c r="C1601" s="40"/>
      <c r="E1601" s="134"/>
    </row>
    <row r="1602" spans="3:5" s="15" customFormat="1">
      <c r="C1602" s="40"/>
      <c r="E1602" s="134"/>
    </row>
    <row r="1603" spans="3:5" s="15" customFormat="1">
      <c r="C1603" s="40"/>
      <c r="E1603" s="134"/>
    </row>
    <row r="1604" spans="3:5" s="15" customFormat="1">
      <c r="C1604" s="40"/>
      <c r="E1604" s="134"/>
    </row>
    <row r="1605" spans="3:5" s="15" customFormat="1">
      <c r="C1605" s="40"/>
      <c r="E1605" s="134"/>
    </row>
    <row r="1606" spans="3:5" s="15" customFormat="1">
      <c r="C1606" s="40"/>
      <c r="E1606" s="134"/>
    </row>
    <row r="1607" spans="3:5" s="15" customFormat="1">
      <c r="C1607" s="40"/>
      <c r="E1607" s="134"/>
    </row>
    <row r="1608" spans="3:5" s="15" customFormat="1">
      <c r="C1608" s="40"/>
      <c r="E1608" s="134"/>
    </row>
    <row r="1609" spans="3:5" s="15" customFormat="1">
      <c r="C1609" s="40"/>
      <c r="E1609" s="134"/>
    </row>
    <row r="1610" spans="3:5" s="15" customFormat="1">
      <c r="C1610" s="40"/>
      <c r="E1610" s="134"/>
    </row>
    <row r="1611" spans="3:5" s="15" customFormat="1">
      <c r="C1611" s="40"/>
      <c r="E1611" s="134"/>
    </row>
    <row r="1612" spans="3:5" s="15" customFormat="1">
      <c r="C1612" s="40"/>
      <c r="E1612" s="134"/>
    </row>
    <row r="1613" spans="3:5" s="15" customFormat="1">
      <c r="C1613" s="40"/>
      <c r="E1613" s="134"/>
    </row>
    <row r="1614" spans="3:5" s="15" customFormat="1">
      <c r="C1614" s="40"/>
      <c r="E1614" s="134"/>
    </row>
    <row r="1615" spans="3:5" s="15" customFormat="1">
      <c r="C1615" s="40"/>
      <c r="E1615" s="134"/>
    </row>
    <row r="1616" spans="3:5" s="15" customFormat="1">
      <c r="C1616" s="40"/>
      <c r="E1616" s="134"/>
    </row>
    <row r="1617" spans="3:5" s="15" customFormat="1">
      <c r="C1617" s="40"/>
      <c r="E1617" s="134"/>
    </row>
    <row r="1618" spans="3:5" s="15" customFormat="1">
      <c r="C1618" s="40"/>
      <c r="E1618" s="134"/>
    </row>
    <row r="1619" spans="3:5" s="15" customFormat="1">
      <c r="C1619" s="40"/>
      <c r="E1619" s="134"/>
    </row>
    <row r="1620" spans="3:5" s="15" customFormat="1">
      <c r="C1620" s="40"/>
      <c r="E1620" s="134"/>
    </row>
    <row r="1621" spans="3:5" s="15" customFormat="1">
      <c r="C1621" s="40"/>
      <c r="E1621" s="134"/>
    </row>
    <row r="1622" spans="3:5" s="15" customFormat="1">
      <c r="C1622" s="40"/>
      <c r="E1622" s="134"/>
    </row>
    <row r="1623" spans="3:5" s="15" customFormat="1">
      <c r="C1623" s="40"/>
      <c r="E1623" s="134"/>
    </row>
    <row r="1624" spans="3:5" s="15" customFormat="1">
      <c r="C1624" s="40"/>
      <c r="E1624" s="134"/>
    </row>
    <row r="1625" spans="3:5" s="15" customFormat="1">
      <c r="C1625" s="40"/>
      <c r="E1625" s="134"/>
    </row>
    <row r="1626" spans="3:5" s="15" customFormat="1">
      <c r="C1626" s="40"/>
      <c r="E1626" s="134"/>
    </row>
    <row r="1627" spans="3:5" s="15" customFormat="1">
      <c r="C1627" s="40"/>
      <c r="E1627" s="134"/>
    </row>
    <row r="1628" spans="3:5" s="15" customFormat="1">
      <c r="C1628" s="40"/>
      <c r="E1628" s="134"/>
    </row>
    <row r="1629" spans="3:5" s="15" customFormat="1">
      <c r="C1629" s="40"/>
      <c r="E1629" s="134"/>
    </row>
    <row r="1630" spans="3:5" s="15" customFormat="1">
      <c r="C1630" s="40"/>
      <c r="E1630" s="134"/>
    </row>
    <row r="1631" spans="3:5" s="15" customFormat="1">
      <c r="C1631" s="40"/>
      <c r="E1631" s="134"/>
    </row>
    <row r="1632" spans="3:5" s="15" customFormat="1">
      <c r="C1632" s="40"/>
      <c r="E1632" s="134"/>
    </row>
    <row r="1633" spans="3:5" s="15" customFormat="1">
      <c r="C1633" s="40"/>
      <c r="E1633" s="134"/>
    </row>
    <row r="1634" spans="3:5" s="15" customFormat="1">
      <c r="C1634" s="40"/>
      <c r="E1634" s="134"/>
    </row>
    <row r="1635" spans="3:5" s="15" customFormat="1">
      <c r="C1635" s="40"/>
      <c r="E1635" s="134"/>
    </row>
    <row r="1636" spans="3:5" s="15" customFormat="1">
      <c r="C1636" s="40"/>
      <c r="E1636" s="134"/>
    </row>
    <row r="1637" spans="3:5" s="15" customFormat="1">
      <c r="C1637" s="40"/>
      <c r="E1637" s="134"/>
    </row>
    <row r="1638" spans="3:5" s="15" customFormat="1">
      <c r="C1638" s="40"/>
      <c r="E1638" s="134"/>
    </row>
    <row r="1639" spans="3:5" s="15" customFormat="1">
      <c r="C1639" s="40"/>
      <c r="E1639" s="134"/>
    </row>
    <row r="1640" spans="3:5" s="15" customFormat="1">
      <c r="C1640" s="40"/>
      <c r="E1640" s="134"/>
    </row>
    <row r="1641" spans="3:5" s="15" customFormat="1">
      <c r="C1641" s="40"/>
      <c r="E1641" s="134"/>
    </row>
    <row r="1642" spans="3:5" s="15" customFormat="1">
      <c r="C1642" s="40"/>
      <c r="E1642" s="134"/>
    </row>
    <row r="1643" spans="3:5" s="15" customFormat="1">
      <c r="C1643" s="40"/>
      <c r="E1643" s="134"/>
    </row>
    <row r="1644" spans="3:5" s="15" customFormat="1">
      <c r="C1644" s="40"/>
      <c r="E1644" s="134"/>
    </row>
    <row r="1645" spans="3:5" s="15" customFormat="1">
      <c r="C1645" s="40"/>
      <c r="E1645" s="134"/>
    </row>
    <row r="1646" spans="3:5" s="15" customFormat="1">
      <c r="C1646" s="40"/>
      <c r="E1646" s="134"/>
    </row>
    <row r="1647" spans="3:5" s="15" customFormat="1">
      <c r="C1647" s="40"/>
      <c r="E1647" s="134"/>
    </row>
    <row r="1648" spans="3:5" s="15" customFormat="1">
      <c r="C1648" s="40"/>
      <c r="E1648" s="134"/>
    </row>
    <row r="1649" spans="3:5" s="15" customFormat="1">
      <c r="C1649" s="40"/>
      <c r="E1649" s="134"/>
    </row>
    <row r="1650" spans="3:5" s="15" customFormat="1">
      <c r="C1650" s="40"/>
      <c r="E1650" s="134"/>
    </row>
    <row r="1651" spans="3:5" s="15" customFormat="1">
      <c r="C1651" s="40"/>
      <c r="E1651" s="134"/>
    </row>
    <row r="1652" spans="3:5" s="15" customFormat="1">
      <c r="C1652" s="40"/>
      <c r="E1652" s="134"/>
    </row>
    <row r="1653" spans="3:5" s="15" customFormat="1">
      <c r="C1653" s="40"/>
      <c r="E1653" s="134"/>
    </row>
    <row r="1654" spans="3:5" s="15" customFormat="1">
      <c r="C1654" s="40"/>
      <c r="E1654" s="134"/>
    </row>
    <row r="1655" spans="3:5" s="15" customFormat="1">
      <c r="C1655" s="40"/>
      <c r="E1655" s="134"/>
    </row>
    <row r="1656" spans="3:5" s="15" customFormat="1">
      <c r="C1656" s="40"/>
      <c r="E1656" s="134"/>
    </row>
    <row r="1657" spans="3:5" s="15" customFormat="1">
      <c r="C1657" s="40"/>
      <c r="E1657" s="134"/>
    </row>
    <row r="1658" spans="3:5" s="15" customFormat="1">
      <c r="C1658" s="40"/>
      <c r="E1658" s="134"/>
    </row>
    <row r="1659" spans="3:5" s="15" customFormat="1">
      <c r="C1659" s="40"/>
      <c r="E1659" s="134"/>
    </row>
    <row r="1660" spans="3:5" s="15" customFormat="1">
      <c r="C1660" s="40"/>
      <c r="E1660" s="134"/>
    </row>
    <row r="1661" spans="3:5" s="15" customFormat="1">
      <c r="C1661" s="40"/>
      <c r="E1661" s="134"/>
    </row>
    <row r="1662" spans="3:5" s="15" customFormat="1">
      <c r="C1662" s="40"/>
      <c r="E1662" s="134"/>
    </row>
    <row r="1663" spans="3:5" s="15" customFormat="1">
      <c r="C1663" s="40"/>
      <c r="E1663" s="134"/>
    </row>
    <row r="1664" spans="3:5" s="15" customFormat="1">
      <c r="C1664" s="40"/>
      <c r="E1664" s="134"/>
    </row>
    <row r="1665" spans="3:5" s="15" customFormat="1">
      <c r="C1665" s="40"/>
      <c r="E1665" s="134"/>
    </row>
    <row r="1666" spans="3:5" s="15" customFormat="1">
      <c r="C1666" s="40"/>
      <c r="E1666" s="134"/>
    </row>
    <row r="1667" spans="3:5" s="15" customFormat="1">
      <c r="C1667" s="40"/>
      <c r="E1667" s="134"/>
    </row>
    <row r="1668" spans="3:5" s="15" customFormat="1">
      <c r="C1668" s="40"/>
      <c r="E1668" s="134"/>
    </row>
    <row r="1669" spans="3:5" s="15" customFormat="1">
      <c r="C1669" s="40"/>
      <c r="E1669" s="134"/>
    </row>
    <row r="1670" spans="3:5" s="15" customFormat="1">
      <c r="C1670" s="40"/>
      <c r="E1670" s="134"/>
    </row>
    <row r="1671" spans="3:5" s="15" customFormat="1">
      <c r="C1671" s="40"/>
      <c r="E1671" s="134"/>
    </row>
    <row r="1672" spans="3:5" s="15" customFormat="1">
      <c r="C1672" s="40"/>
      <c r="E1672" s="134"/>
    </row>
    <row r="1673" spans="3:5" s="15" customFormat="1">
      <c r="C1673" s="40"/>
      <c r="E1673" s="134"/>
    </row>
    <row r="1674" spans="3:5" s="15" customFormat="1">
      <c r="C1674" s="40"/>
      <c r="E1674" s="134"/>
    </row>
    <row r="1675" spans="3:5" s="15" customFormat="1">
      <c r="C1675" s="40"/>
      <c r="E1675" s="134"/>
    </row>
    <row r="1676" spans="3:5" s="15" customFormat="1">
      <c r="C1676" s="40"/>
      <c r="E1676" s="134"/>
    </row>
    <row r="1677" spans="3:5" s="15" customFormat="1">
      <c r="C1677" s="40"/>
      <c r="E1677" s="134"/>
    </row>
    <row r="1678" spans="3:5" s="15" customFormat="1">
      <c r="C1678" s="40"/>
      <c r="E1678" s="134"/>
    </row>
    <row r="1679" spans="3:5" s="15" customFormat="1">
      <c r="C1679" s="40"/>
      <c r="E1679" s="134"/>
    </row>
    <row r="1680" spans="3:5" s="15" customFormat="1">
      <c r="C1680" s="40"/>
      <c r="E1680" s="134"/>
    </row>
    <row r="1681" spans="3:5" s="15" customFormat="1">
      <c r="C1681" s="40"/>
      <c r="E1681" s="134"/>
    </row>
    <row r="1682" spans="3:5" s="15" customFormat="1">
      <c r="C1682" s="40"/>
      <c r="E1682" s="134"/>
    </row>
    <row r="1683" spans="3:5" s="15" customFormat="1">
      <c r="C1683" s="40"/>
      <c r="E1683" s="134"/>
    </row>
    <row r="1684" spans="3:5" s="15" customFormat="1">
      <c r="C1684" s="40"/>
      <c r="E1684" s="134"/>
    </row>
    <row r="1685" spans="3:5" s="15" customFormat="1">
      <c r="C1685" s="40"/>
      <c r="E1685" s="134"/>
    </row>
    <row r="1686" spans="3:5" s="15" customFormat="1">
      <c r="C1686" s="40"/>
      <c r="E1686" s="134"/>
    </row>
    <row r="1687" spans="3:5" s="15" customFormat="1">
      <c r="C1687" s="40"/>
      <c r="E1687" s="134"/>
    </row>
    <row r="1688" spans="3:5" s="15" customFormat="1">
      <c r="C1688" s="40"/>
      <c r="E1688" s="134"/>
    </row>
    <row r="1689" spans="3:5" s="15" customFormat="1">
      <c r="C1689" s="40"/>
      <c r="E1689" s="134"/>
    </row>
    <row r="1690" spans="3:5" s="15" customFormat="1">
      <c r="C1690" s="40"/>
      <c r="E1690" s="134"/>
    </row>
    <row r="1691" spans="3:5" s="15" customFormat="1">
      <c r="C1691" s="40"/>
      <c r="E1691" s="134"/>
    </row>
    <row r="1692" spans="3:5" s="15" customFormat="1">
      <c r="C1692" s="40"/>
      <c r="E1692" s="134"/>
    </row>
    <row r="1693" spans="3:5" s="15" customFormat="1">
      <c r="C1693" s="40"/>
      <c r="E1693" s="134"/>
    </row>
    <row r="1694" spans="3:5" s="15" customFormat="1">
      <c r="C1694" s="40"/>
      <c r="E1694" s="134"/>
    </row>
    <row r="1695" spans="3:5" s="15" customFormat="1">
      <c r="C1695" s="40"/>
      <c r="E1695" s="134"/>
    </row>
    <row r="1696" spans="3:5" s="15" customFormat="1">
      <c r="C1696" s="40"/>
      <c r="E1696" s="134"/>
    </row>
    <row r="1697" spans="3:5" s="15" customFormat="1">
      <c r="C1697" s="40"/>
      <c r="E1697" s="134"/>
    </row>
    <row r="1698" spans="3:5" s="15" customFormat="1">
      <c r="C1698" s="40"/>
      <c r="E1698" s="134"/>
    </row>
    <row r="1699" spans="3:5" s="15" customFormat="1">
      <c r="C1699" s="40"/>
      <c r="E1699" s="134"/>
    </row>
    <row r="1700" spans="3:5" s="15" customFormat="1">
      <c r="C1700" s="40"/>
      <c r="E1700" s="134"/>
    </row>
    <row r="1701" spans="3:5" s="15" customFormat="1">
      <c r="C1701" s="40"/>
      <c r="E1701" s="134"/>
    </row>
    <row r="1702" spans="3:5" s="15" customFormat="1">
      <c r="C1702" s="40"/>
      <c r="E1702" s="134"/>
    </row>
    <row r="1703" spans="3:5" s="15" customFormat="1">
      <c r="C1703" s="40"/>
      <c r="E1703" s="134"/>
    </row>
    <row r="1704" spans="3:5" s="15" customFormat="1">
      <c r="C1704" s="40"/>
      <c r="E1704" s="134"/>
    </row>
    <row r="1705" spans="3:5" s="15" customFormat="1">
      <c r="C1705" s="40"/>
      <c r="E1705" s="134"/>
    </row>
    <row r="1706" spans="3:5" s="15" customFormat="1">
      <c r="C1706" s="40"/>
      <c r="E1706" s="134"/>
    </row>
    <row r="1707" spans="3:5" s="15" customFormat="1">
      <c r="C1707" s="40"/>
      <c r="E1707" s="134"/>
    </row>
    <row r="1708" spans="3:5" s="15" customFormat="1">
      <c r="C1708" s="40"/>
      <c r="E1708" s="134"/>
    </row>
    <row r="1709" spans="3:5" s="15" customFormat="1">
      <c r="C1709" s="40"/>
      <c r="E1709" s="134"/>
    </row>
    <row r="1710" spans="3:5" s="15" customFormat="1">
      <c r="C1710" s="40"/>
      <c r="E1710" s="134"/>
    </row>
    <row r="1711" spans="3:5" s="15" customFormat="1">
      <c r="C1711" s="40"/>
      <c r="E1711" s="134"/>
    </row>
    <row r="1712" spans="3:5" s="15" customFormat="1">
      <c r="C1712" s="40"/>
      <c r="E1712" s="134"/>
    </row>
    <row r="1713" spans="3:5" s="15" customFormat="1">
      <c r="C1713" s="40"/>
      <c r="E1713" s="134"/>
    </row>
    <row r="1714" spans="3:5" s="15" customFormat="1">
      <c r="C1714" s="40"/>
      <c r="E1714" s="134"/>
    </row>
    <row r="1715" spans="3:5" s="15" customFormat="1">
      <c r="C1715" s="40"/>
      <c r="E1715" s="134"/>
    </row>
    <row r="1716" spans="3:5" s="15" customFormat="1">
      <c r="C1716" s="40"/>
      <c r="E1716" s="134"/>
    </row>
    <row r="1717" spans="3:5" s="15" customFormat="1">
      <c r="C1717" s="40"/>
      <c r="E1717" s="134"/>
    </row>
    <row r="1718" spans="3:5" s="15" customFormat="1">
      <c r="C1718" s="40"/>
      <c r="E1718" s="134"/>
    </row>
    <row r="1719" spans="3:5" s="15" customFormat="1">
      <c r="C1719" s="40"/>
      <c r="E1719" s="134"/>
    </row>
    <row r="1720" spans="3:5" s="15" customFormat="1">
      <c r="C1720" s="40"/>
      <c r="E1720" s="134"/>
    </row>
    <row r="1721" spans="3:5" s="15" customFormat="1">
      <c r="C1721" s="40"/>
      <c r="E1721" s="134"/>
    </row>
    <row r="1722" spans="3:5" s="15" customFormat="1">
      <c r="C1722" s="40"/>
      <c r="E1722" s="134"/>
    </row>
    <row r="1723" spans="3:5" s="15" customFormat="1">
      <c r="C1723" s="40"/>
      <c r="E1723" s="134"/>
    </row>
    <row r="1724" spans="3:5" s="15" customFormat="1">
      <c r="C1724" s="40"/>
      <c r="E1724" s="134"/>
    </row>
    <row r="1725" spans="3:5" s="15" customFormat="1">
      <c r="C1725" s="40"/>
      <c r="E1725" s="134"/>
    </row>
    <row r="1726" spans="3:5" s="15" customFormat="1">
      <c r="C1726" s="40"/>
      <c r="E1726" s="134"/>
    </row>
    <row r="1727" spans="3:5" s="15" customFormat="1">
      <c r="C1727" s="40"/>
      <c r="E1727" s="134"/>
    </row>
    <row r="1728" spans="3:5" s="15" customFormat="1">
      <c r="C1728" s="40"/>
      <c r="E1728" s="134"/>
    </row>
    <row r="1729" spans="3:5" s="15" customFormat="1">
      <c r="C1729" s="40"/>
      <c r="E1729" s="134"/>
    </row>
    <row r="1730" spans="3:5" s="15" customFormat="1">
      <c r="C1730" s="40"/>
      <c r="E1730" s="134"/>
    </row>
    <row r="1731" spans="3:5" s="15" customFormat="1">
      <c r="C1731" s="40"/>
      <c r="E1731" s="134"/>
    </row>
    <row r="1732" spans="3:5" s="15" customFormat="1">
      <c r="C1732" s="40"/>
      <c r="E1732" s="134"/>
    </row>
    <row r="1733" spans="3:5" s="15" customFormat="1">
      <c r="C1733" s="40"/>
      <c r="E1733" s="134"/>
    </row>
    <row r="1734" spans="3:5" s="15" customFormat="1">
      <c r="C1734" s="40"/>
      <c r="E1734" s="134"/>
    </row>
    <row r="1735" spans="3:5" s="15" customFormat="1">
      <c r="C1735" s="40"/>
      <c r="E1735" s="134"/>
    </row>
    <row r="1736" spans="3:5" s="15" customFormat="1">
      <c r="C1736" s="40"/>
      <c r="E1736" s="134"/>
    </row>
    <row r="1737" spans="3:5" s="15" customFormat="1">
      <c r="C1737" s="40"/>
      <c r="E1737" s="134"/>
    </row>
    <row r="1738" spans="3:5" s="15" customFormat="1">
      <c r="C1738" s="40"/>
      <c r="E1738" s="134"/>
    </row>
    <row r="1739" spans="3:5" s="15" customFormat="1">
      <c r="C1739" s="40"/>
      <c r="E1739" s="134"/>
    </row>
    <row r="1740" spans="3:5" s="15" customFormat="1">
      <c r="C1740" s="40"/>
      <c r="E1740" s="134"/>
    </row>
    <row r="1741" spans="3:5" s="15" customFormat="1">
      <c r="C1741" s="40"/>
      <c r="E1741" s="134"/>
    </row>
    <row r="1742" spans="3:5" s="15" customFormat="1">
      <c r="C1742" s="40"/>
      <c r="E1742" s="134"/>
    </row>
    <row r="1743" spans="3:5" s="15" customFormat="1">
      <c r="C1743" s="40"/>
      <c r="E1743" s="134"/>
    </row>
    <row r="1744" spans="3:5" s="15" customFormat="1">
      <c r="C1744" s="40"/>
      <c r="E1744" s="134"/>
    </row>
    <row r="1745" spans="3:5" s="15" customFormat="1">
      <c r="C1745" s="40"/>
      <c r="E1745" s="134"/>
    </row>
    <row r="1746" spans="3:5" s="15" customFormat="1">
      <c r="C1746" s="40"/>
      <c r="E1746" s="134"/>
    </row>
    <row r="1747" spans="3:5" s="15" customFormat="1">
      <c r="C1747" s="40"/>
      <c r="E1747" s="134"/>
    </row>
    <row r="1748" spans="3:5" s="15" customFormat="1">
      <c r="C1748" s="40"/>
      <c r="E1748" s="134"/>
    </row>
    <row r="1749" spans="3:5" s="15" customFormat="1">
      <c r="C1749" s="40"/>
      <c r="E1749" s="134"/>
    </row>
    <row r="1750" spans="3:5" s="15" customFormat="1">
      <c r="C1750" s="40"/>
      <c r="E1750" s="134"/>
    </row>
    <row r="1751" spans="3:5" s="15" customFormat="1">
      <c r="C1751" s="40"/>
      <c r="E1751" s="134"/>
    </row>
    <row r="1752" spans="3:5" s="15" customFormat="1">
      <c r="C1752" s="40"/>
      <c r="E1752" s="134"/>
    </row>
    <row r="1753" spans="3:5" s="15" customFormat="1">
      <c r="C1753" s="40"/>
      <c r="E1753" s="134"/>
    </row>
    <row r="1754" spans="3:5" s="15" customFormat="1">
      <c r="C1754" s="40"/>
      <c r="E1754" s="134"/>
    </row>
    <row r="1755" spans="3:5" s="15" customFormat="1">
      <c r="C1755" s="40"/>
      <c r="E1755" s="134"/>
    </row>
    <row r="1756" spans="3:5" s="15" customFormat="1">
      <c r="C1756" s="40"/>
      <c r="E1756" s="134"/>
    </row>
    <row r="1757" spans="3:5" s="15" customFormat="1">
      <c r="C1757" s="40"/>
      <c r="E1757" s="134"/>
    </row>
    <row r="1758" spans="3:5" s="15" customFormat="1">
      <c r="C1758" s="40"/>
      <c r="E1758" s="134"/>
    </row>
    <row r="1759" spans="3:5" s="15" customFormat="1">
      <c r="C1759" s="40"/>
      <c r="E1759" s="134"/>
    </row>
    <row r="1760" spans="3:5" s="15" customFormat="1">
      <c r="C1760" s="40"/>
      <c r="E1760" s="134"/>
    </row>
    <row r="1761" spans="3:5" s="15" customFormat="1">
      <c r="C1761" s="40"/>
      <c r="E1761" s="134"/>
    </row>
    <row r="1762" spans="3:5" s="15" customFormat="1">
      <c r="C1762" s="40"/>
      <c r="E1762" s="134"/>
    </row>
    <row r="1763" spans="3:5" s="15" customFormat="1">
      <c r="C1763" s="40"/>
      <c r="E1763" s="134"/>
    </row>
    <row r="1764" spans="3:5" s="15" customFormat="1">
      <c r="C1764" s="40"/>
      <c r="E1764" s="134"/>
    </row>
    <row r="1765" spans="3:5" s="15" customFormat="1">
      <c r="C1765" s="40"/>
      <c r="E1765" s="134"/>
    </row>
    <row r="1766" spans="3:5" s="15" customFormat="1">
      <c r="C1766" s="40"/>
      <c r="E1766" s="134"/>
    </row>
    <row r="1767" spans="3:5" s="15" customFormat="1">
      <c r="C1767" s="40"/>
      <c r="E1767" s="134"/>
    </row>
    <row r="1768" spans="3:5" s="15" customFormat="1">
      <c r="C1768" s="40"/>
      <c r="E1768" s="134"/>
    </row>
    <row r="1769" spans="3:5" s="15" customFormat="1">
      <c r="C1769" s="40"/>
      <c r="E1769" s="134"/>
    </row>
    <row r="1770" spans="3:5" s="15" customFormat="1">
      <c r="C1770" s="40"/>
      <c r="E1770" s="134"/>
    </row>
    <row r="1771" spans="3:5" s="15" customFormat="1">
      <c r="C1771" s="40"/>
      <c r="E1771" s="134"/>
    </row>
    <row r="1772" spans="3:5" s="15" customFormat="1">
      <c r="C1772" s="40"/>
      <c r="E1772" s="134"/>
    </row>
    <row r="1773" spans="3:5" s="15" customFormat="1">
      <c r="C1773" s="40"/>
      <c r="E1773" s="134"/>
    </row>
    <row r="1774" spans="3:5" s="15" customFormat="1">
      <c r="C1774" s="40"/>
      <c r="E1774" s="134"/>
    </row>
    <row r="1775" spans="3:5" s="15" customFormat="1">
      <c r="C1775" s="40"/>
      <c r="E1775" s="134"/>
    </row>
    <row r="1776" spans="3:5" s="15" customFormat="1">
      <c r="C1776" s="40"/>
      <c r="E1776" s="134"/>
    </row>
    <row r="1777" spans="3:5" s="15" customFormat="1">
      <c r="C1777" s="40"/>
      <c r="E1777" s="134"/>
    </row>
    <row r="1778" spans="3:5" s="15" customFormat="1">
      <c r="C1778" s="40"/>
      <c r="E1778" s="134"/>
    </row>
    <row r="1779" spans="3:5" s="15" customFormat="1">
      <c r="C1779" s="40"/>
      <c r="E1779" s="134"/>
    </row>
    <row r="1780" spans="3:5" s="15" customFormat="1">
      <c r="C1780" s="40"/>
      <c r="E1780" s="134"/>
    </row>
    <row r="1781" spans="3:5" s="15" customFormat="1">
      <c r="C1781" s="40"/>
      <c r="E1781" s="134"/>
    </row>
    <row r="1782" spans="3:5" s="15" customFormat="1">
      <c r="C1782" s="40"/>
      <c r="E1782" s="134"/>
    </row>
    <row r="1783" spans="3:5" s="15" customFormat="1">
      <c r="C1783" s="40"/>
      <c r="E1783" s="134"/>
    </row>
    <row r="1784" spans="3:5" s="15" customFormat="1">
      <c r="C1784" s="40"/>
      <c r="E1784" s="134"/>
    </row>
    <row r="1785" spans="3:5" s="15" customFormat="1">
      <c r="C1785" s="40"/>
      <c r="E1785" s="134"/>
    </row>
    <row r="1786" spans="3:5" s="15" customFormat="1">
      <c r="C1786" s="40"/>
      <c r="E1786" s="134"/>
    </row>
    <row r="1787" spans="3:5" s="15" customFormat="1">
      <c r="C1787" s="40"/>
      <c r="E1787" s="134"/>
    </row>
    <row r="1788" spans="3:5" s="15" customFormat="1">
      <c r="C1788" s="40"/>
      <c r="E1788" s="134"/>
    </row>
    <row r="1789" spans="3:5" s="15" customFormat="1">
      <c r="C1789" s="40"/>
      <c r="E1789" s="134"/>
    </row>
    <row r="1790" spans="3:5" s="15" customFormat="1">
      <c r="C1790" s="40"/>
      <c r="E1790" s="134"/>
    </row>
    <row r="1791" spans="3:5" s="15" customFormat="1">
      <c r="C1791" s="40"/>
      <c r="E1791" s="134"/>
    </row>
    <row r="1792" spans="3:5" s="15" customFormat="1">
      <c r="C1792" s="40"/>
      <c r="E1792" s="134"/>
    </row>
    <row r="1793" spans="3:5" s="15" customFormat="1">
      <c r="C1793" s="40"/>
      <c r="E1793" s="134"/>
    </row>
    <row r="1794" spans="3:5" s="15" customFormat="1">
      <c r="C1794" s="40"/>
      <c r="E1794" s="134"/>
    </row>
    <row r="1795" spans="3:5" s="15" customFormat="1">
      <c r="C1795" s="40"/>
      <c r="E1795" s="134"/>
    </row>
    <row r="1796" spans="3:5" s="15" customFormat="1">
      <c r="C1796" s="40"/>
      <c r="E1796" s="134"/>
    </row>
    <row r="1797" spans="3:5" s="15" customFormat="1">
      <c r="C1797" s="40"/>
      <c r="E1797" s="134"/>
    </row>
    <row r="1798" spans="3:5" s="15" customFormat="1">
      <c r="C1798" s="40"/>
      <c r="E1798" s="134"/>
    </row>
    <row r="1799" spans="3:5" s="15" customFormat="1">
      <c r="C1799" s="40"/>
      <c r="E1799" s="134"/>
    </row>
    <row r="1800" spans="3:5" s="15" customFormat="1">
      <c r="C1800" s="40"/>
      <c r="E1800" s="134"/>
    </row>
    <row r="1801" spans="3:5" s="15" customFormat="1">
      <c r="C1801" s="40"/>
      <c r="E1801" s="134"/>
    </row>
    <row r="1802" spans="3:5" s="15" customFormat="1">
      <c r="C1802" s="40"/>
      <c r="E1802" s="134"/>
    </row>
    <row r="1803" spans="3:5" s="15" customFormat="1">
      <c r="C1803" s="40"/>
      <c r="E1803" s="134"/>
    </row>
    <row r="1804" spans="3:5" s="15" customFormat="1">
      <c r="C1804" s="40"/>
      <c r="E1804" s="134"/>
    </row>
    <row r="1805" spans="3:5" s="15" customFormat="1">
      <c r="C1805" s="40"/>
      <c r="E1805" s="134"/>
    </row>
    <row r="1806" spans="3:5" s="15" customFormat="1">
      <c r="C1806" s="40"/>
      <c r="E1806" s="134"/>
    </row>
    <row r="1807" spans="3:5" s="15" customFormat="1">
      <c r="C1807" s="40"/>
      <c r="E1807" s="134"/>
    </row>
    <row r="1808" spans="3:5" s="15" customFormat="1">
      <c r="C1808" s="40"/>
      <c r="E1808" s="134"/>
    </row>
    <row r="1809" spans="3:5" s="15" customFormat="1">
      <c r="C1809" s="40"/>
      <c r="E1809" s="134"/>
    </row>
    <row r="1810" spans="3:5" s="15" customFormat="1">
      <c r="C1810" s="40"/>
      <c r="E1810" s="134"/>
    </row>
    <row r="1811" spans="3:5" s="15" customFormat="1">
      <c r="C1811" s="40"/>
      <c r="E1811" s="134"/>
    </row>
    <row r="1812" spans="3:5" s="15" customFormat="1">
      <c r="C1812" s="40"/>
      <c r="E1812" s="134"/>
    </row>
    <row r="1813" spans="3:5" s="15" customFormat="1">
      <c r="C1813" s="40"/>
      <c r="E1813" s="134"/>
    </row>
    <row r="1814" spans="3:5" s="15" customFormat="1">
      <c r="C1814" s="40"/>
      <c r="E1814" s="134"/>
    </row>
    <row r="1815" spans="3:5" s="15" customFormat="1">
      <c r="C1815" s="40"/>
      <c r="E1815" s="134"/>
    </row>
    <row r="1816" spans="3:5" s="15" customFormat="1">
      <c r="C1816" s="40"/>
      <c r="E1816" s="134"/>
    </row>
    <row r="1817" spans="3:5" s="15" customFormat="1">
      <c r="C1817" s="40"/>
      <c r="E1817" s="134"/>
    </row>
    <row r="1818" spans="3:5" s="15" customFormat="1">
      <c r="C1818" s="40"/>
      <c r="E1818" s="134"/>
    </row>
    <row r="1819" spans="3:5" s="15" customFormat="1">
      <c r="C1819" s="40"/>
      <c r="E1819" s="134"/>
    </row>
    <row r="1820" spans="3:5" s="15" customFormat="1">
      <c r="C1820" s="40"/>
      <c r="E1820" s="134"/>
    </row>
    <row r="1821" spans="3:5" s="15" customFormat="1">
      <c r="C1821" s="40"/>
      <c r="E1821" s="134"/>
    </row>
    <row r="1822" spans="3:5" s="15" customFormat="1">
      <c r="C1822" s="40"/>
      <c r="E1822" s="134"/>
    </row>
    <row r="1823" spans="3:5" s="15" customFormat="1">
      <c r="C1823" s="40"/>
      <c r="E1823" s="134"/>
    </row>
    <row r="1824" spans="3:5" s="15" customFormat="1">
      <c r="C1824" s="40"/>
      <c r="E1824" s="134"/>
    </row>
    <row r="1825" spans="3:5" s="15" customFormat="1">
      <c r="C1825" s="40"/>
      <c r="E1825" s="134"/>
    </row>
    <row r="1826" spans="3:5" s="15" customFormat="1">
      <c r="C1826" s="40"/>
      <c r="E1826" s="134"/>
    </row>
    <row r="1827" spans="3:5" s="15" customFormat="1">
      <c r="C1827" s="40"/>
      <c r="E1827" s="134"/>
    </row>
    <row r="1828" spans="3:5" s="15" customFormat="1">
      <c r="C1828" s="40"/>
      <c r="E1828" s="134"/>
    </row>
    <row r="1829" spans="3:5" s="15" customFormat="1">
      <c r="C1829" s="40"/>
      <c r="E1829" s="134"/>
    </row>
    <row r="1830" spans="3:5" s="15" customFormat="1">
      <c r="C1830" s="40"/>
      <c r="E1830" s="134"/>
    </row>
    <row r="1831" spans="3:5" s="15" customFormat="1">
      <c r="C1831" s="40"/>
      <c r="E1831" s="134"/>
    </row>
    <row r="1832" spans="3:5" s="15" customFormat="1">
      <c r="C1832" s="40"/>
      <c r="E1832" s="134"/>
    </row>
    <row r="1833" spans="3:5" s="15" customFormat="1">
      <c r="C1833" s="40"/>
      <c r="E1833" s="134"/>
    </row>
    <row r="1834" spans="3:5" s="15" customFormat="1">
      <c r="C1834" s="40"/>
      <c r="E1834" s="134"/>
    </row>
    <row r="1835" spans="3:5" s="15" customFormat="1">
      <c r="C1835" s="40"/>
      <c r="E1835" s="134"/>
    </row>
    <row r="1836" spans="3:5" s="15" customFormat="1">
      <c r="C1836" s="40"/>
      <c r="E1836" s="134"/>
    </row>
    <row r="1837" spans="3:5" s="15" customFormat="1">
      <c r="C1837" s="40"/>
      <c r="E1837" s="134"/>
    </row>
    <row r="1838" spans="3:5" s="15" customFormat="1">
      <c r="C1838" s="40"/>
      <c r="E1838" s="134"/>
    </row>
    <row r="1839" spans="3:5" s="15" customFormat="1">
      <c r="C1839" s="40"/>
      <c r="E1839" s="134"/>
    </row>
    <row r="1840" spans="3:5" s="15" customFormat="1">
      <c r="C1840" s="40"/>
      <c r="E1840" s="134"/>
    </row>
    <row r="1841" spans="3:5" s="15" customFormat="1">
      <c r="C1841" s="40"/>
      <c r="E1841" s="134"/>
    </row>
    <row r="1842" spans="3:5" s="15" customFormat="1">
      <c r="C1842" s="40"/>
      <c r="E1842" s="134"/>
    </row>
    <row r="1843" spans="3:5" s="15" customFormat="1">
      <c r="C1843" s="40"/>
      <c r="E1843" s="134"/>
    </row>
    <row r="1844" spans="3:5" s="15" customFormat="1">
      <c r="C1844" s="40"/>
      <c r="E1844" s="134"/>
    </row>
    <row r="1845" spans="3:5" s="15" customFormat="1">
      <c r="C1845" s="40"/>
      <c r="E1845" s="134"/>
    </row>
    <row r="1846" spans="3:5" s="15" customFormat="1">
      <c r="C1846" s="40"/>
      <c r="E1846" s="134"/>
    </row>
    <row r="1847" spans="3:5" s="15" customFormat="1">
      <c r="C1847" s="40"/>
      <c r="E1847" s="134"/>
    </row>
    <row r="1848" spans="3:5" s="15" customFormat="1">
      <c r="C1848" s="40"/>
      <c r="E1848" s="134"/>
    </row>
    <row r="1849" spans="3:5" s="15" customFormat="1">
      <c r="C1849" s="40"/>
      <c r="E1849" s="134"/>
    </row>
    <row r="1850" spans="3:5" s="15" customFormat="1">
      <c r="C1850" s="40"/>
      <c r="E1850" s="134"/>
    </row>
    <row r="1851" spans="3:5" s="15" customFormat="1">
      <c r="C1851" s="40"/>
      <c r="E1851" s="134"/>
    </row>
    <row r="1852" spans="3:5" s="15" customFormat="1">
      <c r="C1852" s="40"/>
      <c r="E1852" s="134"/>
    </row>
    <row r="1853" spans="3:5" s="15" customFormat="1">
      <c r="C1853" s="40"/>
      <c r="E1853" s="134"/>
    </row>
    <row r="1854" spans="3:5" s="15" customFormat="1">
      <c r="C1854" s="40"/>
      <c r="E1854" s="134"/>
    </row>
    <row r="1855" spans="3:5" s="15" customFormat="1">
      <c r="C1855" s="40"/>
      <c r="E1855" s="134"/>
    </row>
    <row r="1856" spans="3:5" s="15" customFormat="1">
      <c r="C1856" s="40"/>
      <c r="E1856" s="134"/>
    </row>
    <row r="1857" spans="3:5" s="15" customFormat="1">
      <c r="C1857" s="40"/>
      <c r="E1857" s="134"/>
    </row>
    <row r="1858" spans="3:5" s="15" customFormat="1">
      <c r="C1858" s="40"/>
      <c r="E1858" s="134"/>
    </row>
    <row r="1859" spans="3:5" s="15" customFormat="1">
      <c r="C1859" s="40"/>
      <c r="E1859" s="134"/>
    </row>
    <row r="1860" spans="3:5" s="15" customFormat="1">
      <c r="C1860" s="40"/>
      <c r="E1860" s="134"/>
    </row>
    <row r="1861" spans="3:5" s="15" customFormat="1">
      <c r="C1861" s="40"/>
      <c r="E1861" s="134"/>
    </row>
    <row r="1862" spans="3:5" s="15" customFormat="1">
      <c r="C1862" s="40"/>
      <c r="E1862" s="134"/>
    </row>
    <row r="1863" spans="3:5" s="15" customFormat="1">
      <c r="C1863" s="40"/>
      <c r="E1863" s="134"/>
    </row>
    <row r="1864" spans="3:5" s="15" customFormat="1">
      <c r="C1864" s="40"/>
      <c r="E1864" s="134"/>
    </row>
    <row r="1865" spans="3:5" s="15" customFormat="1">
      <c r="C1865" s="40"/>
      <c r="E1865" s="134"/>
    </row>
    <row r="1866" spans="3:5" s="15" customFormat="1">
      <c r="C1866" s="40"/>
      <c r="E1866" s="134"/>
    </row>
    <row r="1867" spans="3:5" s="15" customFormat="1">
      <c r="C1867" s="40"/>
      <c r="E1867" s="134"/>
    </row>
    <row r="1868" spans="3:5" s="15" customFormat="1">
      <c r="C1868" s="40"/>
      <c r="E1868" s="134"/>
    </row>
    <row r="1869" spans="3:5" s="15" customFormat="1">
      <c r="C1869" s="40"/>
      <c r="E1869" s="134"/>
    </row>
    <row r="1870" spans="3:5" s="15" customFormat="1">
      <c r="C1870" s="40"/>
      <c r="E1870" s="134"/>
    </row>
    <row r="1871" spans="3:5" s="15" customFormat="1">
      <c r="C1871" s="40"/>
      <c r="E1871" s="134"/>
    </row>
    <row r="1872" spans="3:5" s="15" customFormat="1">
      <c r="C1872" s="40"/>
      <c r="E1872" s="134"/>
    </row>
    <row r="1873" spans="3:5" s="15" customFormat="1">
      <c r="C1873" s="40"/>
      <c r="E1873" s="134"/>
    </row>
    <row r="1874" spans="3:5" s="15" customFormat="1">
      <c r="C1874" s="40"/>
      <c r="E1874" s="134"/>
    </row>
    <row r="1875" spans="3:5" s="15" customFormat="1">
      <c r="C1875" s="40"/>
      <c r="E1875" s="134"/>
    </row>
    <row r="1876" spans="3:5" s="15" customFormat="1">
      <c r="C1876" s="40"/>
      <c r="E1876" s="134"/>
    </row>
    <row r="1877" spans="3:5" s="15" customFormat="1">
      <c r="C1877" s="40"/>
      <c r="E1877" s="134"/>
    </row>
    <row r="1878" spans="3:5" s="15" customFormat="1">
      <c r="C1878" s="40"/>
      <c r="E1878" s="134"/>
    </row>
    <row r="1879" spans="3:5" s="15" customFormat="1">
      <c r="C1879" s="40"/>
      <c r="E1879" s="134"/>
    </row>
    <row r="1880" spans="3:5" s="15" customFormat="1">
      <c r="C1880" s="40"/>
      <c r="E1880" s="134"/>
    </row>
    <row r="1881" spans="3:5" s="15" customFormat="1">
      <c r="C1881" s="40"/>
      <c r="E1881" s="134"/>
    </row>
    <row r="1882" spans="3:5" s="15" customFormat="1">
      <c r="C1882" s="40"/>
      <c r="E1882" s="134"/>
    </row>
    <row r="1883" spans="3:5" s="15" customFormat="1">
      <c r="C1883" s="40"/>
      <c r="E1883" s="134"/>
    </row>
    <row r="1884" spans="3:5" s="15" customFormat="1">
      <c r="C1884" s="40"/>
      <c r="E1884" s="134"/>
    </row>
    <row r="1885" spans="3:5" s="15" customFormat="1">
      <c r="C1885" s="40"/>
      <c r="E1885" s="134"/>
    </row>
    <row r="1886" spans="3:5" s="15" customFormat="1">
      <c r="C1886" s="40"/>
      <c r="E1886" s="134"/>
    </row>
    <row r="1887" spans="3:5" s="15" customFormat="1">
      <c r="C1887" s="40"/>
      <c r="E1887" s="134"/>
    </row>
    <row r="1888" spans="3:5" s="15" customFormat="1">
      <c r="C1888" s="40"/>
      <c r="E1888" s="134"/>
    </row>
    <row r="1889" spans="3:5" s="15" customFormat="1">
      <c r="C1889" s="40"/>
      <c r="E1889" s="134"/>
    </row>
    <row r="1890" spans="3:5" s="15" customFormat="1">
      <c r="C1890" s="40"/>
      <c r="E1890" s="134"/>
    </row>
    <row r="1891" spans="3:5" s="15" customFormat="1">
      <c r="C1891" s="40"/>
      <c r="E1891" s="134"/>
    </row>
    <row r="1892" spans="3:5" s="15" customFormat="1">
      <c r="C1892" s="40"/>
      <c r="E1892" s="134"/>
    </row>
    <row r="1893" spans="3:5" s="15" customFormat="1">
      <c r="C1893" s="40"/>
      <c r="E1893" s="134"/>
    </row>
    <row r="1894" spans="3:5" s="15" customFormat="1">
      <c r="C1894" s="40"/>
      <c r="E1894" s="134"/>
    </row>
    <row r="1895" spans="3:5" s="15" customFormat="1">
      <c r="C1895" s="40"/>
      <c r="E1895" s="134"/>
    </row>
    <row r="1896" spans="3:5" s="15" customFormat="1">
      <c r="C1896" s="40"/>
      <c r="E1896" s="134"/>
    </row>
    <row r="1897" spans="3:5" s="15" customFormat="1">
      <c r="C1897" s="40"/>
      <c r="E1897" s="134"/>
    </row>
    <row r="1898" spans="3:5" s="15" customFormat="1">
      <c r="C1898" s="40"/>
      <c r="E1898" s="134"/>
    </row>
    <row r="1899" spans="3:5" s="15" customFormat="1">
      <c r="C1899" s="40"/>
      <c r="E1899" s="134"/>
    </row>
    <row r="1900" spans="3:5" s="15" customFormat="1">
      <c r="C1900" s="40"/>
      <c r="E1900" s="134"/>
    </row>
    <row r="1901" spans="3:5" s="15" customFormat="1">
      <c r="C1901" s="40"/>
      <c r="E1901" s="134"/>
    </row>
    <row r="1902" spans="3:5" s="15" customFormat="1">
      <c r="C1902" s="40"/>
      <c r="E1902" s="134"/>
    </row>
    <row r="1903" spans="3:5" s="15" customFormat="1">
      <c r="C1903" s="40"/>
      <c r="E1903" s="134"/>
    </row>
    <row r="1904" spans="3:5" s="15" customFormat="1">
      <c r="C1904" s="40"/>
      <c r="E1904" s="134"/>
    </row>
    <row r="1905" spans="3:5" s="15" customFormat="1">
      <c r="C1905" s="40"/>
      <c r="E1905" s="134"/>
    </row>
    <row r="1906" spans="3:5" s="15" customFormat="1">
      <c r="C1906" s="40"/>
      <c r="E1906" s="134"/>
    </row>
    <row r="1907" spans="3:5" s="15" customFormat="1">
      <c r="C1907" s="40"/>
      <c r="E1907" s="134"/>
    </row>
    <row r="1908" spans="3:5" s="15" customFormat="1">
      <c r="C1908" s="40"/>
      <c r="E1908" s="134"/>
    </row>
    <row r="1909" spans="3:5" s="15" customFormat="1">
      <c r="C1909" s="40"/>
      <c r="E1909" s="134"/>
    </row>
    <row r="1910" spans="3:5" s="15" customFormat="1">
      <c r="C1910" s="40"/>
      <c r="E1910" s="134"/>
    </row>
    <row r="1911" spans="3:5" s="15" customFormat="1">
      <c r="C1911" s="40"/>
      <c r="E1911" s="134"/>
    </row>
    <row r="1912" spans="3:5" s="15" customFormat="1">
      <c r="C1912" s="40"/>
      <c r="E1912" s="134"/>
    </row>
    <row r="1913" spans="3:5" s="15" customFormat="1">
      <c r="C1913" s="40"/>
      <c r="E1913" s="134"/>
    </row>
    <row r="1914" spans="3:5" s="15" customFormat="1">
      <c r="C1914" s="40"/>
      <c r="E1914" s="134"/>
    </row>
    <row r="1915" spans="3:5" s="15" customFormat="1">
      <c r="C1915" s="40"/>
      <c r="E1915" s="134"/>
    </row>
    <row r="1916" spans="3:5" s="15" customFormat="1">
      <c r="C1916" s="40"/>
      <c r="E1916" s="134"/>
    </row>
    <row r="1917" spans="3:5" s="15" customFormat="1">
      <c r="C1917" s="40"/>
      <c r="E1917" s="134"/>
    </row>
    <row r="1918" spans="3:5" s="15" customFormat="1">
      <c r="C1918" s="40"/>
      <c r="E1918" s="134"/>
    </row>
    <row r="1919" spans="3:5" s="15" customFormat="1">
      <c r="C1919" s="40"/>
      <c r="E1919" s="134"/>
    </row>
    <row r="1920" spans="3:5" s="15" customFormat="1">
      <c r="C1920" s="40"/>
      <c r="E1920" s="134"/>
    </row>
    <row r="1921" spans="3:5" s="15" customFormat="1">
      <c r="C1921" s="40"/>
      <c r="E1921" s="134"/>
    </row>
    <row r="1922" spans="3:5" s="15" customFormat="1">
      <c r="C1922" s="40"/>
      <c r="E1922" s="134"/>
    </row>
    <row r="1923" spans="3:5" s="15" customFormat="1">
      <c r="C1923" s="40"/>
      <c r="E1923" s="134"/>
    </row>
    <row r="1924" spans="3:5" s="15" customFormat="1">
      <c r="C1924" s="40"/>
      <c r="E1924" s="134"/>
    </row>
    <row r="1925" spans="3:5" s="15" customFormat="1">
      <c r="C1925" s="40"/>
      <c r="E1925" s="134"/>
    </row>
    <row r="1926" spans="3:5" s="15" customFormat="1">
      <c r="C1926" s="40"/>
      <c r="E1926" s="134"/>
    </row>
    <row r="1927" spans="3:5" s="15" customFormat="1">
      <c r="C1927" s="40"/>
      <c r="E1927" s="134"/>
    </row>
    <row r="1928" spans="3:5" s="15" customFormat="1">
      <c r="C1928" s="40"/>
      <c r="E1928" s="134"/>
    </row>
    <row r="1929" spans="3:5" s="15" customFormat="1">
      <c r="C1929" s="40"/>
      <c r="E1929" s="134"/>
    </row>
    <row r="1930" spans="3:5" s="15" customFormat="1">
      <c r="C1930" s="40"/>
      <c r="E1930" s="134"/>
    </row>
    <row r="1931" spans="3:5" s="15" customFormat="1">
      <c r="C1931" s="40"/>
      <c r="E1931" s="134"/>
    </row>
    <row r="1932" spans="3:5" s="15" customFormat="1">
      <c r="C1932" s="40"/>
      <c r="E1932" s="134"/>
    </row>
    <row r="1933" spans="3:5" s="15" customFormat="1">
      <c r="C1933" s="40"/>
      <c r="E1933" s="134"/>
    </row>
    <row r="1934" spans="3:5" s="15" customFormat="1">
      <c r="C1934" s="40"/>
      <c r="E1934" s="134"/>
    </row>
    <row r="1935" spans="3:5" s="15" customFormat="1">
      <c r="C1935" s="40"/>
      <c r="E1935" s="134"/>
    </row>
    <row r="1936" spans="3:5" s="15" customFormat="1">
      <c r="C1936" s="40"/>
      <c r="E1936" s="134"/>
    </row>
    <row r="1937" spans="3:5" s="15" customFormat="1">
      <c r="C1937" s="40"/>
      <c r="E1937" s="134"/>
    </row>
    <row r="1938" spans="3:5" s="15" customFormat="1">
      <c r="C1938" s="40"/>
      <c r="E1938" s="134"/>
    </row>
    <row r="1939" spans="3:5" s="15" customFormat="1">
      <c r="C1939" s="40"/>
      <c r="E1939" s="134"/>
    </row>
    <row r="1940" spans="3:5" s="15" customFormat="1">
      <c r="C1940" s="40"/>
      <c r="E1940" s="134"/>
    </row>
    <row r="1941" spans="3:5" s="15" customFormat="1">
      <c r="C1941" s="40"/>
      <c r="E1941" s="134"/>
    </row>
    <row r="1942" spans="3:5" s="15" customFormat="1">
      <c r="C1942" s="40"/>
      <c r="E1942" s="134"/>
    </row>
    <row r="1943" spans="3:5" s="15" customFormat="1">
      <c r="C1943" s="40"/>
      <c r="E1943" s="134"/>
    </row>
    <row r="1944" spans="3:5" s="15" customFormat="1">
      <c r="C1944" s="40"/>
      <c r="E1944" s="134"/>
    </row>
    <row r="1945" spans="3:5" s="15" customFormat="1">
      <c r="C1945" s="40"/>
      <c r="E1945" s="134"/>
    </row>
    <row r="1946" spans="3:5" s="15" customFormat="1">
      <c r="C1946" s="40"/>
      <c r="E1946" s="134"/>
    </row>
    <row r="1947" spans="3:5" s="15" customFormat="1">
      <c r="C1947" s="40"/>
      <c r="E1947" s="134"/>
    </row>
    <row r="1948" spans="3:5" s="15" customFormat="1">
      <c r="C1948" s="40"/>
      <c r="E1948" s="134"/>
    </row>
    <row r="1949" spans="3:5" s="15" customFormat="1">
      <c r="C1949" s="40"/>
      <c r="E1949" s="134"/>
    </row>
    <row r="1950" spans="3:5" s="15" customFormat="1">
      <c r="C1950" s="40"/>
      <c r="E1950" s="134"/>
    </row>
    <row r="1951" spans="3:5" s="15" customFormat="1">
      <c r="C1951" s="40"/>
      <c r="E1951" s="134"/>
    </row>
    <row r="1952" spans="3:5" s="15" customFormat="1">
      <c r="C1952" s="40"/>
      <c r="E1952" s="134"/>
    </row>
    <row r="1953" spans="3:5" s="15" customFormat="1">
      <c r="C1953" s="40"/>
      <c r="E1953" s="134"/>
    </row>
    <row r="1954" spans="3:5" s="15" customFormat="1">
      <c r="C1954" s="40"/>
      <c r="E1954" s="134"/>
    </row>
    <row r="1955" spans="3:5" s="15" customFormat="1">
      <c r="C1955" s="40"/>
      <c r="E1955" s="134"/>
    </row>
    <row r="1956" spans="3:5" s="15" customFormat="1">
      <c r="C1956" s="40"/>
      <c r="E1956" s="134"/>
    </row>
    <row r="1957" spans="3:5" s="15" customFormat="1">
      <c r="C1957" s="40"/>
      <c r="E1957" s="134"/>
    </row>
    <row r="1958" spans="3:5" s="15" customFormat="1">
      <c r="C1958" s="40"/>
      <c r="E1958" s="134"/>
    </row>
    <row r="1959" spans="3:5" s="15" customFormat="1">
      <c r="C1959" s="40"/>
      <c r="E1959" s="134"/>
    </row>
    <row r="1960" spans="3:5" s="15" customFormat="1">
      <c r="C1960" s="40"/>
      <c r="E1960" s="134"/>
    </row>
    <row r="1961" spans="3:5" s="15" customFormat="1">
      <c r="C1961" s="40"/>
      <c r="E1961" s="134"/>
    </row>
    <row r="1962" spans="3:5" s="15" customFormat="1">
      <c r="C1962" s="40"/>
      <c r="E1962" s="134"/>
    </row>
    <row r="1963" spans="3:5" s="15" customFormat="1">
      <c r="C1963" s="40"/>
      <c r="E1963" s="134"/>
    </row>
    <row r="1964" spans="3:5" s="15" customFormat="1">
      <c r="C1964" s="40"/>
      <c r="E1964" s="134"/>
    </row>
    <row r="1965" spans="3:5" s="15" customFormat="1">
      <c r="C1965" s="40"/>
      <c r="E1965" s="134"/>
    </row>
    <row r="1966" spans="3:5" s="15" customFormat="1">
      <c r="C1966" s="40"/>
      <c r="E1966" s="134"/>
    </row>
    <row r="1967" spans="3:5" s="15" customFormat="1">
      <c r="C1967" s="40"/>
      <c r="E1967" s="134"/>
    </row>
    <row r="1968" spans="3:5" s="15" customFormat="1">
      <c r="C1968" s="40"/>
      <c r="E1968" s="134"/>
    </row>
    <row r="1969" spans="3:5" s="15" customFormat="1">
      <c r="C1969" s="40"/>
      <c r="E1969" s="134"/>
    </row>
    <row r="1970" spans="3:5" s="15" customFormat="1">
      <c r="C1970" s="40"/>
      <c r="E1970" s="134"/>
    </row>
    <row r="1971" spans="3:5" s="15" customFormat="1">
      <c r="C1971" s="40"/>
      <c r="E1971" s="134"/>
    </row>
    <row r="1972" spans="3:5" s="15" customFormat="1">
      <c r="C1972" s="40"/>
      <c r="E1972" s="134"/>
    </row>
    <row r="1973" spans="3:5" s="15" customFormat="1">
      <c r="C1973" s="40"/>
      <c r="E1973" s="134"/>
    </row>
    <row r="1974" spans="3:5" s="15" customFormat="1">
      <c r="C1974" s="40"/>
      <c r="E1974" s="134"/>
    </row>
    <row r="1975" spans="3:5" s="15" customFormat="1">
      <c r="C1975" s="40"/>
      <c r="E1975" s="134"/>
    </row>
    <row r="1976" spans="3:5" s="15" customFormat="1">
      <c r="C1976" s="40"/>
      <c r="E1976" s="134"/>
    </row>
    <row r="1977" spans="3:5" s="15" customFormat="1">
      <c r="C1977" s="40"/>
      <c r="E1977" s="134"/>
    </row>
    <row r="1978" spans="3:5" s="15" customFormat="1">
      <c r="C1978" s="40"/>
      <c r="E1978" s="134"/>
    </row>
    <row r="1979" spans="3:5" s="15" customFormat="1">
      <c r="C1979" s="40"/>
      <c r="E1979" s="134"/>
    </row>
    <row r="1980" spans="3:5" s="15" customFormat="1">
      <c r="C1980" s="40"/>
      <c r="E1980" s="134"/>
    </row>
    <row r="1981" spans="3:5" s="15" customFormat="1">
      <c r="C1981" s="40"/>
      <c r="E1981" s="134"/>
    </row>
    <row r="1982" spans="3:5" s="15" customFormat="1">
      <c r="C1982" s="40"/>
      <c r="E1982" s="134"/>
    </row>
    <row r="1983" spans="3:5" s="15" customFormat="1">
      <c r="C1983" s="40"/>
      <c r="E1983" s="134"/>
    </row>
    <row r="1984" spans="3:5" s="15" customFormat="1">
      <c r="C1984" s="40"/>
      <c r="E1984" s="134"/>
    </row>
    <row r="1985" spans="3:5" s="15" customFormat="1">
      <c r="C1985" s="40"/>
      <c r="E1985" s="134"/>
    </row>
    <row r="1986" spans="3:5" s="15" customFormat="1">
      <c r="C1986" s="40"/>
      <c r="E1986" s="134"/>
    </row>
    <row r="1987" spans="3:5" s="15" customFormat="1">
      <c r="C1987" s="40"/>
      <c r="E1987" s="134"/>
    </row>
    <row r="1988" spans="3:5" s="15" customFormat="1">
      <c r="C1988" s="40"/>
      <c r="E1988" s="134"/>
    </row>
    <row r="1989" spans="3:5" s="15" customFormat="1">
      <c r="C1989" s="40"/>
      <c r="E1989" s="134"/>
    </row>
    <row r="1990" spans="3:5" s="15" customFormat="1">
      <c r="C1990" s="40"/>
      <c r="E1990" s="134"/>
    </row>
    <row r="1991" spans="3:5" s="15" customFormat="1">
      <c r="C1991" s="40"/>
      <c r="E1991" s="134"/>
    </row>
    <row r="1992" spans="3:5" s="15" customFormat="1">
      <c r="C1992" s="40"/>
      <c r="E1992" s="134"/>
    </row>
    <row r="1993" spans="3:5" s="15" customFormat="1">
      <c r="C1993" s="40"/>
      <c r="E1993" s="134"/>
    </row>
    <row r="1994" spans="3:5" s="15" customFormat="1">
      <c r="C1994" s="40"/>
      <c r="E1994" s="134"/>
    </row>
    <row r="1995" spans="3:5" s="15" customFormat="1">
      <c r="C1995" s="40"/>
      <c r="E1995" s="134"/>
    </row>
    <row r="1996" spans="3:5" s="15" customFormat="1">
      <c r="C1996" s="40"/>
      <c r="E1996" s="134"/>
    </row>
    <row r="1997" spans="3:5" s="15" customFormat="1">
      <c r="C1997" s="40"/>
      <c r="E1997" s="134"/>
    </row>
    <row r="1998" spans="3:5" s="15" customFormat="1">
      <c r="C1998" s="40"/>
      <c r="E1998" s="134"/>
    </row>
    <row r="1999" spans="3:5" s="15" customFormat="1">
      <c r="C1999" s="40"/>
      <c r="E1999" s="134"/>
    </row>
    <row r="2000" spans="3:5" s="15" customFormat="1">
      <c r="C2000" s="40"/>
      <c r="E2000" s="134"/>
    </row>
    <row r="2001" spans="3:5" s="15" customFormat="1">
      <c r="C2001" s="40"/>
      <c r="E2001" s="134"/>
    </row>
    <row r="2002" spans="3:5" s="15" customFormat="1">
      <c r="C2002" s="40"/>
      <c r="E2002" s="134"/>
    </row>
    <row r="2003" spans="3:5" s="15" customFormat="1">
      <c r="C2003" s="40"/>
      <c r="E2003" s="134"/>
    </row>
    <row r="2004" spans="3:5" s="15" customFormat="1">
      <c r="C2004" s="40"/>
      <c r="E2004" s="134"/>
    </row>
    <row r="2005" spans="3:5" s="15" customFormat="1">
      <c r="C2005" s="40"/>
      <c r="E2005" s="134"/>
    </row>
    <row r="2006" spans="3:5" s="15" customFormat="1">
      <c r="C2006" s="40"/>
      <c r="E2006" s="134"/>
    </row>
    <row r="2007" spans="3:5" s="15" customFormat="1">
      <c r="C2007" s="40"/>
      <c r="E2007" s="134"/>
    </row>
    <row r="2008" spans="3:5" s="15" customFormat="1">
      <c r="C2008" s="40"/>
      <c r="E2008" s="134"/>
    </row>
    <row r="2009" spans="3:5" s="15" customFormat="1">
      <c r="C2009" s="40"/>
      <c r="E2009" s="134"/>
    </row>
    <row r="2010" spans="3:5" s="15" customFormat="1">
      <c r="C2010" s="40"/>
      <c r="E2010" s="134"/>
    </row>
    <row r="2011" spans="3:5" s="15" customFormat="1">
      <c r="C2011" s="40"/>
      <c r="E2011" s="134"/>
    </row>
    <row r="2012" spans="3:5" s="15" customFormat="1">
      <c r="C2012" s="40"/>
      <c r="E2012" s="134"/>
    </row>
    <row r="2013" spans="3:5" s="15" customFormat="1">
      <c r="C2013" s="40"/>
      <c r="E2013" s="134"/>
    </row>
    <row r="2014" spans="3:5" s="15" customFormat="1">
      <c r="C2014" s="40"/>
      <c r="E2014" s="134"/>
    </row>
    <row r="2015" spans="3:5" s="15" customFormat="1">
      <c r="C2015" s="40"/>
      <c r="E2015" s="134"/>
    </row>
    <row r="2016" spans="3:5" s="15" customFormat="1">
      <c r="C2016" s="40"/>
      <c r="E2016" s="134"/>
    </row>
    <row r="2017" spans="3:5" s="15" customFormat="1">
      <c r="C2017" s="40"/>
      <c r="E2017" s="134"/>
    </row>
    <row r="2018" spans="3:5" s="15" customFormat="1">
      <c r="C2018" s="40"/>
      <c r="E2018" s="134"/>
    </row>
    <row r="2019" spans="3:5" s="15" customFormat="1">
      <c r="C2019" s="40"/>
      <c r="E2019" s="134"/>
    </row>
    <row r="2020" spans="3:5" s="15" customFormat="1">
      <c r="C2020" s="40"/>
      <c r="E2020" s="134"/>
    </row>
    <row r="2021" spans="3:5" s="15" customFormat="1">
      <c r="C2021" s="40"/>
      <c r="E2021" s="134"/>
    </row>
    <row r="2022" spans="3:5" s="15" customFormat="1">
      <c r="C2022" s="40"/>
      <c r="E2022" s="134"/>
    </row>
    <row r="2023" spans="3:5" s="15" customFormat="1">
      <c r="C2023" s="40"/>
      <c r="E2023" s="134"/>
    </row>
    <row r="2024" spans="3:5" s="15" customFormat="1">
      <c r="C2024" s="40"/>
      <c r="E2024" s="134"/>
    </row>
    <row r="2025" spans="3:5" s="15" customFormat="1">
      <c r="C2025" s="40"/>
      <c r="E2025" s="134"/>
    </row>
    <row r="2026" spans="3:5" s="15" customFormat="1">
      <c r="C2026" s="40"/>
      <c r="E2026" s="134"/>
    </row>
    <row r="2027" spans="3:5" s="15" customFormat="1">
      <c r="C2027" s="40"/>
      <c r="E2027" s="134"/>
    </row>
    <row r="2028" spans="3:5" s="15" customFormat="1">
      <c r="C2028" s="40"/>
      <c r="E2028" s="134"/>
    </row>
    <row r="2029" spans="3:5" s="15" customFormat="1">
      <c r="C2029" s="40"/>
      <c r="E2029" s="134"/>
    </row>
    <row r="2030" spans="3:5" s="15" customFormat="1">
      <c r="C2030" s="40"/>
      <c r="E2030" s="134"/>
    </row>
    <row r="2031" spans="3:5" s="15" customFormat="1">
      <c r="C2031" s="40"/>
      <c r="E2031" s="134"/>
    </row>
    <row r="2032" spans="3:5" s="15" customFormat="1">
      <c r="C2032" s="40"/>
      <c r="E2032" s="134"/>
    </row>
    <row r="2033" spans="3:5" s="15" customFormat="1">
      <c r="C2033" s="40"/>
      <c r="E2033" s="134"/>
    </row>
    <row r="2034" spans="3:5" s="15" customFormat="1">
      <c r="C2034" s="40"/>
      <c r="E2034" s="134"/>
    </row>
    <row r="2035" spans="3:5" s="15" customFormat="1">
      <c r="C2035" s="40"/>
      <c r="E2035" s="134"/>
    </row>
    <row r="2036" spans="3:5" s="15" customFormat="1">
      <c r="C2036" s="40"/>
      <c r="E2036" s="134"/>
    </row>
    <row r="2037" spans="3:5" s="15" customFormat="1">
      <c r="C2037" s="40"/>
      <c r="E2037" s="134"/>
    </row>
    <row r="2038" spans="3:5" s="15" customFormat="1">
      <c r="C2038" s="40"/>
      <c r="E2038" s="134"/>
    </row>
    <row r="2039" spans="3:5" s="15" customFormat="1">
      <c r="C2039" s="40"/>
      <c r="E2039" s="134"/>
    </row>
    <row r="2040" spans="3:5" s="15" customFormat="1">
      <c r="C2040" s="40"/>
      <c r="E2040" s="134"/>
    </row>
    <row r="2041" spans="3:5" s="15" customFormat="1">
      <c r="C2041" s="40"/>
      <c r="E2041" s="134"/>
    </row>
    <row r="2042" spans="3:5" s="15" customFormat="1">
      <c r="C2042" s="40"/>
      <c r="E2042" s="134"/>
    </row>
    <row r="2043" spans="3:5" s="15" customFormat="1">
      <c r="C2043" s="40"/>
      <c r="E2043" s="134"/>
    </row>
    <row r="2044" spans="3:5" s="15" customFormat="1">
      <c r="C2044" s="40"/>
      <c r="E2044" s="134"/>
    </row>
    <row r="2045" spans="3:5" s="15" customFormat="1">
      <c r="C2045" s="40"/>
      <c r="E2045" s="134"/>
    </row>
    <row r="2046" spans="3:5" s="15" customFormat="1">
      <c r="C2046" s="40"/>
      <c r="E2046" s="134"/>
    </row>
    <row r="2047" spans="3:5" s="15" customFormat="1">
      <c r="C2047" s="40"/>
      <c r="E2047" s="134"/>
    </row>
    <row r="2048" spans="3:5" s="15" customFormat="1">
      <c r="C2048" s="40"/>
      <c r="E2048" s="134"/>
    </row>
    <row r="2049" spans="3:5" s="15" customFormat="1">
      <c r="C2049" s="40"/>
      <c r="E2049" s="134"/>
    </row>
    <row r="2050" spans="3:5" s="15" customFormat="1">
      <c r="C2050" s="40"/>
      <c r="E2050" s="134"/>
    </row>
    <row r="2051" spans="3:5" s="15" customFormat="1">
      <c r="C2051" s="40"/>
      <c r="E2051" s="134"/>
    </row>
    <row r="2052" spans="3:5" s="15" customFormat="1">
      <c r="C2052" s="40"/>
      <c r="E2052" s="134"/>
    </row>
    <row r="2053" spans="3:5" s="15" customFormat="1">
      <c r="C2053" s="40"/>
      <c r="E2053" s="134"/>
    </row>
    <row r="2054" spans="3:5" s="15" customFormat="1">
      <c r="C2054" s="40"/>
      <c r="E2054" s="134"/>
    </row>
    <row r="2055" spans="3:5" s="15" customFormat="1">
      <c r="C2055" s="40"/>
      <c r="E2055" s="134"/>
    </row>
    <row r="2056" spans="3:5" s="15" customFormat="1">
      <c r="C2056" s="40"/>
      <c r="E2056" s="134"/>
    </row>
    <row r="2057" spans="3:5" s="15" customFormat="1">
      <c r="C2057" s="40"/>
      <c r="E2057" s="134"/>
    </row>
    <row r="2058" spans="3:5" s="15" customFormat="1">
      <c r="C2058" s="40"/>
      <c r="E2058" s="134"/>
    </row>
    <row r="2059" spans="3:5" s="15" customFormat="1">
      <c r="C2059" s="40"/>
      <c r="E2059" s="134"/>
    </row>
    <row r="2060" spans="3:5" s="15" customFormat="1">
      <c r="C2060" s="40"/>
      <c r="E2060" s="134"/>
    </row>
    <row r="2061" spans="3:5" s="15" customFormat="1">
      <c r="C2061" s="40"/>
      <c r="E2061" s="134"/>
    </row>
    <row r="2062" spans="3:5" s="15" customFormat="1">
      <c r="C2062" s="40"/>
      <c r="E2062" s="134"/>
    </row>
    <row r="2063" spans="3:5" s="15" customFormat="1">
      <c r="C2063" s="40"/>
      <c r="E2063" s="134"/>
    </row>
    <row r="2064" spans="3:5" s="15" customFormat="1">
      <c r="C2064" s="40"/>
      <c r="E2064" s="134"/>
    </row>
    <row r="2065" spans="3:5" s="15" customFormat="1">
      <c r="C2065" s="40"/>
      <c r="E2065" s="134"/>
    </row>
    <row r="2066" spans="3:5" s="15" customFormat="1">
      <c r="C2066" s="40"/>
      <c r="E2066" s="134"/>
    </row>
    <row r="2067" spans="3:5" s="15" customFormat="1">
      <c r="C2067" s="40"/>
      <c r="E2067" s="134"/>
    </row>
    <row r="2068" spans="3:5" s="15" customFormat="1">
      <c r="C2068" s="40"/>
      <c r="E2068" s="134"/>
    </row>
    <row r="2069" spans="3:5" s="15" customFormat="1">
      <c r="C2069" s="40"/>
      <c r="E2069" s="134"/>
    </row>
    <row r="2070" spans="3:5" s="15" customFormat="1">
      <c r="C2070" s="40"/>
      <c r="E2070" s="134"/>
    </row>
    <row r="2071" spans="3:5" s="15" customFormat="1">
      <c r="C2071" s="40"/>
      <c r="E2071" s="134"/>
    </row>
    <row r="2072" spans="3:5" s="15" customFormat="1">
      <c r="C2072" s="40"/>
      <c r="E2072" s="134"/>
    </row>
    <row r="2073" spans="3:5" s="15" customFormat="1">
      <c r="C2073" s="40"/>
      <c r="E2073" s="134"/>
    </row>
    <row r="2074" spans="3:5" s="15" customFormat="1">
      <c r="C2074" s="40"/>
      <c r="E2074" s="134"/>
    </row>
    <row r="2075" spans="3:5" s="15" customFormat="1">
      <c r="C2075" s="40"/>
      <c r="E2075" s="134"/>
    </row>
    <row r="2076" spans="3:5" s="15" customFormat="1">
      <c r="C2076" s="40"/>
      <c r="E2076" s="134"/>
    </row>
    <row r="2077" spans="3:5" s="15" customFormat="1">
      <c r="C2077" s="40"/>
      <c r="E2077" s="134"/>
    </row>
    <row r="2078" spans="3:5" s="15" customFormat="1">
      <c r="C2078" s="40"/>
      <c r="E2078" s="134"/>
    </row>
    <row r="2079" spans="3:5" s="15" customFormat="1">
      <c r="C2079" s="40"/>
      <c r="E2079" s="134"/>
    </row>
    <row r="2080" spans="3:5" s="15" customFormat="1">
      <c r="C2080" s="40"/>
      <c r="E2080" s="134"/>
    </row>
    <row r="2081" spans="3:5" s="15" customFormat="1">
      <c r="C2081" s="40"/>
      <c r="E2081" s="134"/>
    </row>
    <row r="2082" spans="3:5" s="15" customFormat="1">
      <c r="C2082" s="40"/>
      <c r="E2082" s="134"/>
    </row>
    <row r="2083" spans="3:5" s="15" customFormat="1">
      <c r="C2083" s="40"/>
      <c r="E2083" s="134"/>
    </row>
    <row r="2084" spans="3:5" s="15" customFormat="1">
      <c r="C2084" s="40"/>
      <c r="E2084" s="134"/>
    </row>
    <row r="2085" spans="3:5" s="15" customFormat="1">
      <c r="C2085" s="40"/>
      <c r="E2085" s="134"/>
    </row>
    <row r="2086" spans="3:5" s="15" customFormat="1">
      <c r="C2086" s="40"/>
      <c r="E2086" s="134"/>
    </row>
    <row r="2087" spans="3:5" s="15" customFormat="1">
      <c r="C2087" s="40"/>
      <c r="E2087" s="134"/>
    </row>
    <row r="2088" spans="3:5" s="15" customFormat="1">
      <c r="C2088" s="40"/>
      <c r="E2088" s="134"/>
    </row>
    <row r="2089" spans="3:5" s="15" customFormat="1">
      <c r="C2089" s="40"/>
      <c r="E2089" s="134"/>
    </row>
    <row r="2090" spans="3:5" s="15" customFormat="1">
      <c r="C2090" s="40"/>
      <c r="E2090" s="134"/>
    </row>
    <row r="2091" spans="3:5" s="15" customFormat="1">
      <c r="C2091" s="40"/>
      <c r="E2091" s="134"/>
    </row>
    <row r="2092" spans="3:5" s="15" customFormat="1">
      <c r="C2092" s="40"/>
      <c r="E2092" s="134"/>
    </row>
    <row r="2093" spans="3:5" s="15" customFormat="1">
      <c r="C2093" s="40"/>
      <c r="E2093" s="134"/>
    </row>
    <row r="2094" spans="3:5" s="15" customFormat="1">
      <c r="C2094" s="40"/>
      <c r="E2094" s="134"/>
    </row>
    <row r="2095" spans="3:5" s="15" customFormat="1">
      <c r="C2095" s="40"/>
      <c r="E2095" s="134"/>
    </row>
    <row r="2096" spans="3:5" s="15" customFormat="1">
      <c r="C2096" s="40"/>
      <c r="E2096" s="134"/>
    </row>
    <row r="2097" spans="3:5" s="15" customFormat="1">
      <c r="C2097" s="40"/>
      <c r="E2097" s="134"/>
    </row>
    <row r="2098" spans="3:5" s="15" customFormat="1">
      <c r="C2098" s="40"/>
      <c r="E2098" s="134"/>
    </row>
    <row r="2099" spans="3:5" s="15" customFormat="1">
      <c r="C2099" s="40"/>
      <c r="E2099" s="134"/>
    </row>
    <row r="2100" spans="3:5" s="15" customFormat="1">
      <c r="C2100" s="40"/>
      <c r="E2100" s="134"/>
    </row>
    <row r="2101" spans="3:5" s="15" customFormat="1">
      <c r="C2101" s="40"/>
      <c r="E2101" s="134"/>
    </row>
    <row r="2102" spans="3:5" s="15" customFormat="1">
      <c r="C2102" s="40"/>
      <c r="E2102" s="134"/>
    </row>
    <row r="2103" spans="3:5" s="15" customFormat="1">
      <c r="C2103" s="40"/>
      <c r="E2103" s="134"/>
    </row>
    <row r="2104" spans="3:5" s="15" customFormat="1">
      <c r="C2104" s="40"/>
      <c r="E2104" s="134"/>
    </row>
    <row r="2105" spans="3:5" s="15" customFormat="1">
      <c r="C2105" s="40"/>
      <c r="E2105" s="134"/>
    </row>
    <row r="2106" spans="3:5" s="15" customFormat="1">
      <c r="C2106" s="40"/>
      <c r="E2106" s="134"/>
    </row>
    <row r="2107" spans="3:5" s="15" customFormat="1">
      <c r="C2107" s="40"/>
      <c r="E2107" s="134"/>
    </row>
    <row r="2108" spans="3:5" s="15" customFormat="1">
      <c r="C2108" s="40"/>
      <c r="E2108" s="134"/>
    </row>
    <row r="2109" spans="3:5" s="15" customFormat="1">
      <c r="C2109" s="40"/>
      <c r="E2109" s="134"/>
    </row>
    <row r="2110" spans="3:5" s="15" customFormat="1">
      <c r="C2110" s="40"/>
      <c r="E2110" s="134"/>
    </row>
    <row r="2111" spans="3:5" s="15" customFormat="1">
      <c r="C2111" s="40"/>
      <c r="E2111" s="134"/>
    </row>
    <row r="2112" spans="3:5" s="15" customFormat="1">
      <c r="C2112" s="40"/>
      <c r="E2112" s="134"/>
    </row>
    <row r="2113" spans="3:5" s="15" customFormat="1">
      <c r="C2113" s="40"/>
      <c r="E2113" s="134"/>
    </row>
    <row r="2114" spans="3:5" s="15" customFormat="1">
      <c r="C2114" s="40"/>
      <c r="E2114" s="134"/>
    </row>
    <row r="2115" spans="3:5" s="15" customFormat="1">
      <c r="C2115" s="40"/>
      <c r="E2115" s="134"/>
    </row>
    <row r="2116" spans="3:5" s="15" customFormat="1">
      <c r="C2116" s="40"/>
      <c r="E2116" s="134"/>
    </row>
    <row r="2117" spans="3:5" s="15" customFormat="1">
      <c r="C2117" s="40"/>
      <c r="E2117" s="134"/>
    </row>
    <row r="2118" spans="3:5" s="15" customFormat="1">
      <c r="C2118" s="40"/>
      <c r="E2118" s="134"/>
    </row>
    <row r="2119" spans="3:5" s="15" customFormat="1">
      <c r="C2119" s="40"/>
      <c r="E2119" s="134"/>
    </row>
    <row r="2120" spans="3:5" s="15" customFormat="1">
      <c r="C2120" s="40"/>
      <c r="E2120" s="134"/>
    </row>
    <row r="2121" spans="3:5" s="15" customFormat="1">
      <c r="C2121" s="40"/>
      <c r="E2121" s="134"/>
    </row>
    <row r="2122" spans="3:5" s="15" customFormat="1">
      <c r="C2122" s="40"/>
      <c r="E2122" s="134"/>
    </row>
    <row r="2123" spans="3:5" s="15" customFormat="1">
      <c r="C2123" s="40"/>
      <c r="E2123" s="134"/>
    </row>
    <row r="2124" spans="3:5" s="15" customFormat="1">
      <c r="C2124" s="40"/>
      <c r="E2124" s="134"/>
    </row>
    <row r="2125" spans="3:5" s="15" customFormat="1">
      <c r="C2125" s="40"/>
      <c r="E2125" s="134"/>
    </row>
    <row r="2126" spans="3:5" s="15" customFormat="1">
      <c r="C2126" s="40"/>
      <c r="E2126" s="134"/>
    </row>
    <row r="2127" spans="3:5" s="15" customFormat="1">
      <c r="C2127" s="40"/>
      <c r="E2127" s="134"/>
    </row>
    <row r="2128" spans="3:5" s="15" customFormat="1">
      <c r="C2128" s="40"/>
      <c r="E2128" s="134"/>
    </row>
    <row r="2129" spans="3:5" s="15" customFormat="1">
      <c r="C2129" s="40"/>
      <c r="E2129" s="134"/>
    </row>
    <row r="2130" spans="3:5" s="15" customFormat="1">
      <c r="C2130" s="40"/>
      <c r="E2130" s="134"/>
    </row>
    <row r="2131" spans="3:5" s="15" customFormat="1">
      <c r="C2131" s="40"/>
      <c r="E2131" s="134"/>
    </row>
    <row r="2132" spans="3:5" s="15" customFormat="1">
      <c r="C2132" s="40"/>
      <c r="E2132" s="134"/>
    </row>
    <row r="2133" spans="3:5" s="15" customFormat="1">
      <c r="C2133" s="40"/>
      <c r="E2133" s="134"/>
    </row>
    <row r="2134" spans="3:5" s="15" customFormat="1">
      <c r="C2134" s="40"/>
      <c r="E2134" s="134"/>
    </row>
    <row r="2135" spans="3:5" s="15" customFormat="1">
      <c r="C2135" s="40"/>
      <c r="E2135" s="134"/>
    </row>
    <row r="2136" spans="3:5" s="15" customFormat="1">
      <c r="C2136" s="40"/>
      <c r="E2136" s="134"/>
    </row>
    <row r="2137" spans="3:5" s="15" customFormat="1">
      <c r="C2137" s="40"/>
      <c r="E2137" s="134"/>
    </row>
    <row r="2138" spans="3:5" s="15" customFormat="1">
      <c r="C2138" s="40"/>
      <c r="E2138" s="134"/>
    </row>
    <row r="2139" spans="3:5" s="15" customFormat="1">
      <c r="C2139" s="40"/>
      <c r="E2139" s="134"/>
    </row>
    <row r="2140" spans="3:5" s="15" customFormat="1">
      <c r="C2140" s="40"/>
      <c r="E2140" s="134"/>
    </row>
    <row r="2141" spans="3:5" s="15" customFormat="1">
      <c r="C2141" s="40"/>
      <c r="E2141" s="134"/>
    </row>
    <row r="2142" spans="3:5" s="15" customFormat="1">
      <c r="C2142" s="40"/>
      <c r="E2142" s="134"/>
    </row>
    <row r="2143" spans="3:5" s="15" customFormat="1">
      <c r="C2143" s="40"/>
      <c r="E2143" s="134"/>
    </row>
    <row r="2144" spans="3:5" s="15" customFormat="1">
      <c r="C2144" s="40"/>
      <c r="E2144" s="134"/>
    </row>
    <row r="2145" spans="3:5" s="15" customFormat="1">
      <c r="C2145" s="40"/>
      <c r="E2145" s="134"/>
    </row>
    <row r="2146" spans="3:5" s="15" customFormat="1">
      <c r="C2146" s="40"/>
      <c r="E2146" s="134"/>
    </row>
    <row r="2147" spans="3:5" s="15" customFormat="1">
      <c r="C2147" s="40"/>
      <c r="E2147" s="134"/>
    </row>
    <row r="2148" spans="3:5" s="15" customFormat="1">
      <c r="C2148" s="40"/>
      <c r="E2148" s="134"/>
    </row>
    <row r="2149" spans="3:5" s="15" customFormat="1">
      <c r="C2149" s="40"/>
      <c r="E2149" s="134"/>
    </row>
    <row r="2150" spans="3:5" s="15" customFormat="1">
      <c r="C2150" s="40"/>
      <c r="E2150" s="134"/>
    </row>
    <row r="2151" spans="3:5" s="15" customFormat="1">
      <c r="C2151" s="40"/>
      <c r="E2151" s="134"/>
    </row>
    <row r="2152" spans="3:5" s="15" customFormat="1">
      <c r="C2152" s="40"/>
      <c r="E2152" s="134"/>
    </row>
    <row r="2153" spans="3:5" s="15" customFormat="1">
      <c r="C2153" s="40"/>
      <c r="E2153" s="134"/>
    </row>
    <row r="2154" spans="3:5" s="15" customFormat="1">
      <c r="C2154" s="40"/>
      <c r="E2154" s="134"/>
    </row>
    <row r="2155" spans="3:5" s="15" customFormat="1">
      <c r="C2155" s="40"/>
      <c r="E2155" s="134"/>
    </row>
    <row r="2156" spans="3:5" s="15" customFormat="1">
      <c r="C2156" s="40"/>
      <c r="E2156" s="134"/>
    </row>
    <row r="2157" spans="3:5" s="15" customFormat="1">
      <c r="C2157" s="40"/>
      <c r="E2157" s="134"/>
    </row>
    <row r="2158" spans="3:5" s="15" customFormat="1">
      <c r="C2158" s="40"/>
      <c r="E2158" s="134"/>
    </row>
    <row r="2159" spans="3:5" s="15" customFormat="1">
      <c r="C2159" s="40"/>
      <c r="E2159" s="134"/>
    </row>
    <row r="2160" spans="3:5" s="15" customFormat="1">
      <c r="C2160" s="40"/>
      <c r="E2160" s="134"/>
    </row>
    <row r="2161" spans="3:5" s="15" customFormat="1">
      <c r="C2161" s="40"/>
      <c r="E2161" s="134"/>
    </row>
    <row r="2162" spans="3:5" s="15" customFormat="1">
      <c r="C2162" s="40"/>
      <c r="E2162" s="134"/>
    </row>
    <row r="2163" spans="3:5" s="15" customFormat="1">
      <c r="C2163" s="40"/>
      <c r="E2163" s="134"/>
    </row>
    <row r="2164" spans="3:5" s="15" customFormat="1">
      <c r="C2164" s="40"/>
      <c r="E2164" s="134"/>
    </row>
    <row r="2165" spans="3:5" s="15" customFormat="1">
      <c r="C2165" s="40"/>
      <c r="E2165" s="134"/>
    </row>
    <row r="2166" spans="3:5" s="15" customFormat="1">
      <c r="C2166" s="40"/>
      <c r="E2166" s="134"/>
    </row>
    <row r="2167" spans="3:5" s="15" customFormat="1">
      <c r="C2167" s="40"/>
      <c r="E2167" s="134"/>
    </row>
    <row r="2168" spans="3:5" s="15" customFormat="1">
      <c r="C2168" s="40"/>
      <c r="E2168" s="134"/>
    </row>
    <row r="2169" spans="3:5" s="15" customFormat="1">
      <c r="C2169" s="40"/>
      <c r="E2169" s="134"/>
    </row>
    <row r="2170" spans="3:5" s="15" customFormat="1">
      <c r="C2170" s="40"/>
      <c r="E2170" s="134"/>
    </row>
    <row r="2171" spans="3:5" s="15" customFormat="1">
      <c r="C2171" s="40"/>
      <c r="E2171" s="134"/>
    </row>
    <row r="2172" spans="3:5" s="15" customFormat="1">
      <c r="C2172" s="40"/>
      <c r="E2172" s="134"/>
    </row>
    <row r="2173" spans="3:5" s="15" customFormat="1">
      <c r="C2173" s="40"/>
      <c r="E2173" s="134"/>
    </row>
    <row r="2174" spans="3:5" s="15" customFormat="1">
      <c r="C2174" s="40"/>
      <c r="E2174" s="134"/>
    </row>
    <row r="2175" spans="3:5" s="15" customFormat="1">
      <c r="C2175" s="40"/>
      <c r="E2175" s="134"/>
    </row>
    <row r="2176" spans="3:5" s="15" customFormat="1">
      <c r="C2176" s="40"/>
      <c r="E2176" s="134"/>
    </row>
    <row r="2177" spans="3:5" s="15" customFormat="1">
      <c r="C2177" s="40"/>
      <c r="E2177" s="134"/>
    </row>
    <row r="2178" spans="3:5" s="15" customFormat="1">
      <c r="C2178" s="40"/>
      <c r="E2178" s="134"/>
    </row>
    <row r="2179" spans="3:5" s="15" customFormat="1">
      <c r="C2179" s="40"/>
      <c r="E2179" s="134"/>
    </row>
    <row r="2180" spans="3:5" s="15" customFormat="1">
      <c r="C2180" s="40"/>
      <c r="E2180" s="134"/>
    </row>
    <row r="2181" spans="3:5" s="15" customFormat="1">
      <c r="C2181" s="40"/>
      <c r="E2181" s="134"/>
    </row>
    <row r="2182" spans="3:5" s="15" customFormat="1">
      <c r="C2182" s="40"/>
      <c r="E2182" s="134"/>
    </row>
    <row r="2183" spans="3:5" s="15" customFormat="1">
      <c r="C2183" s="40"/>
      <c r="E2183" s="134"/>
    </row>
    <row r="2184" spans="3:5" s="15" customFormat="1">
      <c r="C2184" s="40"/>
      <c r="E2184" s="134"/>
    </row>
    <row r="2185" spans="3:5" s="15" customFormat="1">
      <c r="C2185" s="40"/>
      <c r="E2185" s="134"/>
    </row>
    <row r="2186" spans="3:5" s="15" customFormat="1">
      <c r="C2186" s="40"/>
      <c r="E2186" s="134"/>
    </row>
    <row r="2187" spans="3:5" s="15" customFormat="1">
      <c r="C2187" s="40"/>
      <c r="E2187" s="134"/>
    </row>
    <row r="2188" spans="3:5" s="15" customFormat="1">
      <c r="C2188" s="40"/>
      <c r="E2188" s="134"/>
    </row>
    <row r="2189" spans="3:5" s="15" customFormat="1">
      <c r="C2189" s="40"/>
      <c r="E2189" s="134"/>
    </row>
    <row r="2190" spans="3:5" s="15" customFormat="1">
      <c r="C2190" s="40"/>
      <c r="E2190" s="134"/>
    </row>
    <row r="2191" spans="3:5" s="15" customFormat="1">
      <c r="C2191" s="40"/>
      <c r="E2191" s="134"/>
    </row>
    <row r="2192" spans="3:5" s="15" customFormat="1">
      <c r="C2192" s="40"/>
      <c r="E2192" s="134"/>
    </row>
    <row r="2193" spans="3:5" s="15" customFormat="1">
      <c r="C2193" s="40"/>
      <c r="E2193" s="134"/>
    </row>
    <row r="2194" spans="3:5" s="15" customFormat="1">
      <c r="C2194" s="40"/>
      <c r="E2194" s="134"/>
    </row>
    <row r="2195" spans="3:5" s="15" customFormat="1">
      <c r="C2195" s="40"/>
      <c r="E2195" s="134"/>
    </row>
    <row r="2196" spans="3:5" s="15" customFormat="1">
      <c r="C2196" s="40"/>
      <c r="E2196" s="134"/>
    </row>
    <row r="2197" spans="3:5" s="15" customFormat="1">
      <c r="C2197" s="40"/>
      <c r="E2197" s="134"/>
    </row>
    <row r="2198" spans="3:5" s="15" customFormat="1">
      <c r="C2198" s="40"/>
      <c r="E2198" s="134"/>
    </row>
    <row r="2199" spans="3:5" s="15" customFormat="1">
      <c r="C2199" s="40"/>
      <c r="E2199" s="134"/>
    </row>
    <row r="2200" spans="3:5" s="15" customFormat="1">
      <c r="C2200" s="40"/>
      <c r="E2200" s="134"/>
    </row>
    <row r="2201" spans="3:5" s="15" customFormat="1">
      <c r="C2201" s="40"/>
      <c r="E2201" s="134"/>
    </row>
    <row r="2202" spans="3:5" s="15" customFormat="1">
      <c r="C2202" s="40"/>
      <c r="E2202" s="134"/>
    </row>
    <row r="2203" spans="3:5" s="15" customFormat="1">
      <c r="C2203" s="40"/>
      <c r="E2203" s="134"/>
    </row>
    <row r="2204" spans="3:5" s="15" customFormat="1">
      <c r="C2204" s="40"/>
      <c r="E2204" s="134"/>
    </row>
    <row r="2205" spans="3:5" s="15" customFormat="1">
      <c r="C2205" s="40"/>
      <c r="E2205" s="134"/>
    </row>
    <row r="2206" spans="3:5" s="15" customFormat="1">
      <c r="C2206" s="40"/>
      <c r="E2206" s="134"/>
    </row>
    <row r="2207" spans="3:5" s="15" customFormat="1">
      <c r="C2207" s="40"/>
      <c r="E2207" s="134"/>
    </row>
    <row r="2208" spans="3:5" s="15" customFormat="1">
      <c r="C2208" s="40"/>
      <c r="E2208" s="134"/>
    </row>
    <row r="2209" spans="3:5" s="15" customFormat="1">
      <c r="C2209" s="40"/>
      <c r="E2209" s="134"/>
    </row>
    <row r="2210" spans="3:5" s="15" customFormat="1">
      <c r="C2210" s="40"/>
      <c r="E2210" s="134"/>
    </row>
    <row r="2211" spans="3:5" s="15" customFormat="1">
      <c r="C2211" s="40"/>
      <c r="E2211" s="134"/>
    </row>
    <row r="2212" spans="3:5" s="15" customFormat="1">
      <c r="C2212" s="40"/>
      <c r="E2212" s="134"/>
    </row>
    <row r="2213" spans="3:5" s="15" customFormat="1">
      <c r="C2213" s="40"/>
      <c r="E2213" s="134"/>
    </row>
    <row r="2214" spans="3:5" s="15" customFormat="1">
      <c r="C2214" s="40"/>
      <c r="E2214" s="134"/>
    </row>
    <row r="2215" spans="3:5" s="15" customFormat="1">
      <c r="C2215" s="40"/>
      <c r="E2215" s="134"/>
    </row>
    <row r="2216" spans="3:5" s="15" customFormat="1">
      <c r="C2216" s="40"/>
      <c r="E2216" s="134"/>
    </row>
    <row r="2217" spans="3:5" s="15" customFormat="1">
      <c r="C2217" s="40"/>
      <c r="E2217" s="134"/>
    </row>
    <row r="2218" spans="3:5" s="15" customFormat="1">
      <c r="C2218" s="40"/>
      <c r="E2218" s="134"/>
    </row>
    <row r="2219" spans="3:5" s="15" customFormat="1">
      <c r="C2219" s="40"/>
      <c r="E2219" s="134"/>
    </row>
    <row r="2220" spans="3:5" s="15" customFormat="1">
      <c r="C2220" s="40"/>
      <c r="E2220" s="134"/>
    </row>
    <row r="2221" spans="3:5" s="15" customFormat="1">
      <c r="C2221" s="40"/>
      <c r="E2221" s="134"/>
    </row>
    <row r="2222" spans="3:5" s="15" customFormat="1">
      <c r="C2222" s="40"/>
      <c r="E2222" s="134"/>
    </row>
    <row r="2223" spans="3:5" s="15" customFormat="1">
      <c r="C2223" s="40"/>
      <c r="E2223" s="134"/>
    </row>
    <row r="2224" spans="3:5" s="15" customFormat="1">
      <c r="C2224" s="40"/>
      <c r="E2224" s="134"/>
    </row>
    <row r="2225" spans="3:5" s="15" customFormat="1">
      <c r="C2225" s="40"/>
      <c r="E2225" s="134"/>
    </row>
    <row r="2226" spans="3:5" s="15" customFormat="1">
      <c r="C2226" s="40"/>
      <c r="E2226" s="134"/>
    </row>
    <row r="2227" spans="3:5" s="15" customFormat="1">
      <c r="C2227" s="40"/>
      <c r="E2227" s="134"/>
    </row>
    <row r="2228" spans="3:5" s="15" customFormat="1">
      <c r="C2228" s="40"/>
      <c r="E2228" s="134"/>
    </row>
    <row r="2229" spans="3:5" s="15" customFormat="1">
      <c r="C2229" s="40"/>
      <c r="E2229" s="134"/>
    </row>
    <row r="2230" spans="3:5" s="15" customFormat="1">
      <c r="C2230" s="40"/>
      <c r="E2230" s="134"/>
    </row>
    <row r="2231" spans="3:5" s="15" customFormat="1">
      <c r="C2231" s="40"/>
      <c r="E2231" s="134"/>
    </row>
    <row r="2232" spans="3:5" s="15" customFormat="1">
      <c r="C2232" s="40"/>
      <c r="E2232" s="134"/>
    </row>
    <row r="2233" spans="3:5" s="15" customFormat="1">
      <c r="C2233" s="40"/>
      <c r="E2233" s="134"/>
    </row>
    <row r="2234" spans="3:5" s="15" customFormat="1">
      <c r="C2234" s="40"/>
      <c r="E2234" s="134"/>
    </row>
    <row r="2235" spans="3:5" s="15" customFormat="1">
      <c r="C2235" s="40"/>
      <c r="E2235" s="134"/>
    </row>
    <row r="2236" spans="3:5" s="15" customFormat="1">
      <c r="C2236" s="40"/>
      <c r="E2236" s="134"/>
    </row>
    <row r="2237" spans="3:5" s="15" customFormat="1">
      <c r="C2237" s="40"/>
      <c r="E2237" s="134"/>
    </row>
    <row r="2238" spans="3:5" s="15" customFormat="1">
      <c r="C2238" s="40"/>
      <c r="E2238" s="134"/>
    </row>
    <row r="2239" spans="3:5" s="15" customFormat="1">
      <c r="C2239" s="40"/>
      <c r="E2239" s="134"/>
    </row>
    <row r="2240" spans="3:5" s="15" customFormat="1">
      <c r="C2240" s="40"/>
      <c r="E2240" s="134"/>
    </row>
    <row r="2241" spans="3:5" s="15" customFormat="1">
      <c r="C2241" s="40"/>
      <c r="E2241" s="134"/>
    </row>
    <row r="2242" spans="3:5" s="15" customFormat="1">
      <c r="C2242" s="40"/>
      <c r="E2242" s="134"/>
    </row>
    <row r="2243" spans="3:5" s="15" customFormat="1">
      <c r="C2243" s="40"/>
      <c r="E2243" s="134"/>
    </row>
    <row r="2244" spans="3:5" s="15" customFormat="1">
      <c r="C2244" s="40"/>
      <c r="E2244" s="134"/>
    </row>
    <row r="2245" spans="3:5" s="15" customFormat="1">
      <c r="C2245" s="40"/>
      <c r="E2245" s="134"/>
    </row>
    <row r="2246" spans="3:5" s="15" customFormat="1">
      <c r="C2246" s="40"/>
      <c r="E2246" s="134"/>
    </row>
    <row r="2247" spans="3:5" s="15" customFormat="1">
      <c r="C2247" s="40"/>
      <c r="E2247" s="134"/>
    </row>
    <row r="2248" spans="3:5" s="15" customFormat="1">
      <c r="C2248" s="40"/>
      <c r="E2248" s="134"/>
    </row>
    <row r="2249" spans="3:5" s="15" customFormat="1">
      <c r="C2249" s="40"/>
      <c r="E2249" s="134"/>
    </row>
    <row r="2250" spans="3:5" s="15" customFormat="1">
      <c r="C2250" s="40"/>
      <c r="E2250" s="134"/>
    </row>
    <row r="2251" spans="3:5" s="15" customFormat="1">
      <c r="C2251" s="40"/>
      <c r="E2251" s="134"/>
    </row>
    <row r="2252" spans="3:5" s="15" customFormat="1">
      <c r="C2252" s="40"/>
      <c r="E2252" s="134"/>
    </row>
    <row r="2253" spans="3:5" s="15" customFormat="1">
      <c r="C2253" s="40"/>
      <c r="E2253" s="134"/>
    </row>
    <row r="2254" spans="3:5" s="15" customFormat="1">
      <c r="C2254" s="40"/>
      <c r="E2254" s="134"/>
    </row>
    <row r="2255" spans="3:5" s="15" customFormat="1">
      <c r="C2255" s="40"/>
      <c r="E2255" s="134"/>
    </row>
    <row r="2256" spans="3:5" s="15" customFormat="1">
      <c r="C2256" s="40"/>
      <c r="E2256" s="134"/>
    </row>
    <row r="2257" spans="3:5" s="15" customFormat="1">
      <c r="C2257" s="40"/>
      <c r="E2257" s="134"/>
    </row>
    <row r="2258" spans="3:5" s="15" customFormat="1">
      <c r="C2258" s="40"/>
      <c r="E2258" s="134"/>
    </row>
    <row r="2259" spans="3:5" s="15" customFormat="1">
      <c r="C2259" s="40"/>
      <c r="E2259" s="134"/>
    </row>
    <row r="2260" spans="3:5" s="15" customFormat="1">
      <c r="C2260" s="40"/>
      <c r="E2260" s="134"/>
    </row>
    <row r="2261" spans="3:5" s="15" customFormat="1">
      <c r="C2261" s="40"/>
      <c r="E2261" s="134"/>
    </row>
    <row r="2262" spans="3:5" s="15" customFormat="1">
      <c r="C2262" s="40"/>
      <c r="E2262" s="134"/>
    </row>
    <row r="2263" spans="3:5" s="15" customFormat="1">
      <c r="C2263" s="40"/>
      <c r="E2263" s="134"/>
    </row>
    <row r="2264" spans="3:5" s="15" customFormat="1">
      <c r="C2264" s="40"/>
      <c r="E2264" s="134"/>
    </row>
    <row r="2265" spans="3:5" s="15" customFormat="1">
      <c r="C2265" s="40"/>
      <c r="E2265" s="134"/>
    </row>
    <row r="2266" spans="3:5" s="15" customFormat="1">
      <c r="C2266" s="40"/>
      <c r="E2266" s="134"/>
    </row>
    <row r="2267" spans="3:5" s="15" customFormat="1">
      <c r="C2267" s="40"/>
      <c r="E2267" s="134"/>
    </row>
    <row r="2268" spans="3:5" s="15" customFormat="1">
      <c r="C2268" s="40"/>
      <c r="E2268" s="134"/>
    </row>
    <row r="2269" spans="3:5" s="15" customFormat="1">
      <c r="C2269" s="40"/>
      <c r="E2269" s="134"/>
    </row>
    <row r="2270" spans="3:5" s="15" customFormat="1">
      <c r="C2270" s="40"/>
      <c r="E2270" s="134"/>
    </row>
    <row r="2271" spans="3:5" s="15" customFormat="1">
      <c r="C2271" s="40"/>
      <c r="E2271" s="134"/>
    </row>
    <row r="2272" spans="3:5" s="15" customFormat="1">
      <c r="C2272" s="40"/>
      <c r="E2272" s="134"/>
    </row>
    <row r="2273" spans="3:5" s="15" customFormat="1">
      <c r="C2273" s="40"/>
      <c r="E2273" s="134"/>
    </row>
    <row r="2274" spans="3:5" s="15" customFormat="1">
      <c r="C2274" s="40"/>
      <c r="E2274" s="134"/>
    </row>
    <row r="2275" spans="3:5" s="15" customFormat="1">
      <c r="C2275" s="40"/>
      <c r="E2275" s="134"/>
    </row>
    <row r="2276" spans="3:5" s="15" customFormat="1">
      <c r="C2276" s="40"/>
      <c r="E2276" s="134"/>
    </row>
    <row r="2277" spans="3:5" s="15" customFormat="1">
      <c r="C2277" s="40"/>
      <c r="E2277" s="134"/>
    </row>
    <row r="2278" spans="3:5" s="15" customFormat="1">
      <c r="C2278" s="40"/>
      <c r="E2278" s="134"/>
    </row>
    <row r="2279" spans="3:5" s="15" customFormat="1">
      <c r="C2279" s="40"/>
      <c r="E2279" s="134"/>
    </row>
    <row r="2280" spans="3:5" s="15" customFormat="1">
      <c r="C2280" s="40"/>
      <c r="E2280" s="134"/>
    </row>
    <row r="2281" spans="3:5" s="15" customFormat="1">
      <c r="C2281" s="40"/>
      <c r="E2281" s="134"/>
    </row>
    <row r="2282" spans="3:5" s="15" customFormat="1">
      <c r="C2282" s="40"/>
      <c r="E2282" s="134"/>
    </row>
    <row r="2283" spans="3:5" s="15" customFormat="1">
      <c r="C2283" s="40"/>
      <c r="E2283" s="134"/>
    </row>
    <row r="2284" spans="3:5" s="15" customFormat="1">
      <c r="C2284" s="40"/>
      <c r="E2284" s="134"/>
    </row>
    <row r="2285" spans="3:5" s="15" customFormat="1">
      <c r="C2285" s="40"/>
      <c r="E2285" s="134"/>
    </row>
    <row r="2286" spans="3:5" s="15" customFormat="1">
      <c r="C2286" s="40"/>
      <c r="E2286" s="134"/>
    </row>
    <row r="2287" spans="3:5" s="15" customFormat="1">
      <c r="C2287" s="40"/>
      <c r="E2287" s="134"/>
    </row>
    <row r="2288" spans="3:5" s="15" customFormat="1">
      <c r="C2288" s="40"/>
      <c r="E2288" s="134"/>
    </row>
    <row r="2289" spans="3:5" s="15" customFormat="1">
      <c r="C2289" s="40"/>
      <c r="E2289" s="134"/>
    </row>
    <row r="2290" spans="3:5" s="15" customFormat="1">
      <c r="C2290" s="40"/>
      <c r="E2290" s="134"/>
    </row>
    <row r="2291" spans="3:5" s="15" customFormat="1">
      <c r="C2291" s="40"/>
      <c r="E2291" s="134"/>
    </row>
    <row r="2292" spans="3:5" s="15" customFormat="1">
      <c r="C2292" s="40"/>
      <c r="E2292" s="134"/>
    </row>
    <row r="2293" spans="3:5" s="15" customFormat="1">
      <c r="C2293" s="40"/>
      <c r="E2293" s="134"/>
    </row>
    <row r="2294" spans="3:5" s="15" customFormat="1">
      <c r="C2294" s="40"/>
      <c r="E2294" s="134"/>
    </row>
    <row r="2295" spans="3:5" s="15" customFormat="1">
      <c r="C2295" s="40"/>
      <c r="E2295" s="134"/>
    </row>
    <row r="2296" spans="3:5" s="15" customFormat="1">
      <c r="C2296" s="40"/>
      <c r="E2296" s="134"/>
    </row>
    <row r="2297" spans="3:5" s="15" customFormat="1">
      <c r="C2297" s="40"/>
      <c r="E2297" s="134"/>
    </row>
    <row r="2298" spans="3:5" s="15" customFormat="1">
      <c r="C2298" s="40"/>
      <c r="E2298" s="134"/>
    </row>
    <row r="2299" spans="3:5" s="15" customFormat="1">
      <c r="C2299" s="40"/>
      <c r="E2299" s="134"/>
    </row>
    <row r="2300" spans="3:5" s="15" customFormat="1">
      <c r="C2300" s="40"/>
      <c r="E2300" s="134"/>
    </row>
    <row r="2301" spans="3:5" s="15" customFormat="1">
      <c r="C2301" s="40"/>
      <c r="E2301" s="134"/>
    </row>
    <row r="2302" spans="3:5" s="15" customFormat="1">
      <c r="C2302" s="40"/>
      <c r="E2302" s="134"/>
    </row>
    <row r="2303" spans="3:5" s="15" customFormat="1">
      <c r="C2303" s="40"/>
      <c r="E2303" s="134"/>
    </row>
    <row r="2304" spans="3:5" s="15" customFormat="1">
      <c r="C2304" s="40"/>
      <c r="E2304" s="134"/>
    </row>
    <row r="2305" spans="3:5" s="15" customFormat="1">
      <c r="C2305" s="40"/>
      <c r="E2305" s="134"/>
    </row>
    <row r="2306" spans="3:5" s="15" customFormat="1">
      <c r="C2306" s="40"/>
      <c r="E2306" s="134"/>
    </row>
    <row r="2307" spans="3:5" s="15" customFormat="1">
      <c r="C2307" s="40"/>
      <c r="E2307" s="134"/>
    </row>
    <row r="2308" spans="3:5" s="15" customFormat="1">
      <c r="C2308" s="40"/>
      <c r="E2308" s="134"/>
    </row>
    <row r="2309" spans="3:5" s="15" customFormat="1">
      <c r="C2309" s="40"/>
      <c r="E2309" s="134"/>
    </row>
    <row r="2310" spans="3:5" s="15" customFormat="1">
      <c r="C2310" s="40"/>
      <c r="E2310" s="134"/>
    </row>
    <row r="2311" spans="3:5" s="15" customFormat="1">
      <c r="C2311" s="40"/>
      <c r="E2311" s="134"/>
    </row>
    <row r="2312" spans="3:5" s="15" customFormat="1">
      <c r="C2312" s="40"/>
      <c r="E2312" s="134"/>
    </row>
    <row r="2313" spans="3:5" s="15" customFormat="1">
      <c r="C2313" s="40"/>
      <c r="E2313" s="134"/>
    </row>
    <row r="2314" spans="3:5" s="15" customFormat="1">
      <c r="C2314" s="40"/>
      <c r="E2314" s="134"/>
    </row>
    <row r="2315" spans="3:5" s="15" customFormat="1">
      <c r="C2315" s="40"/>
      <c r="E2315" s="134"/>
    </row>
    <row r="2316" spans="3:5" s="15" customFormat="1">
      <c r="C2316" s="40"/>
      <c r="E2316" s="134"/>
    </row>
    <row r="2317" spans="3:5" s="15" customFormat="1">
      <c r="C2317" s="40"/>
      <c r="E2317" s="134"/>
    </row>
    <row r="2318" spans="3:5" s="15" customFormat="1">
      <c r="C2318" s="40"/>
      <c r="E2318" s="134"/>
    </row>
    <row r="2319" spans="3:5" s="15" customFormat="1">
      <c r="C2319" s="40"/>
      <c r="E2319" s="134"/>
    </row>
    <row r="2320" spans="3:5" s="15" customFormat="1">
      <c r="C2320" s="40"/>
      <c r="E2320" s="134"/>
    </row>
    <row r="2321" spans="3:5" s="15" customFormat="1">
      <c r="C2321" s="40"/>
      <c r="E2321" s="134"/>
    </row>
    <row r="2322" spans="3:5" s="15" customFormat="1">
      <c r="C2322" s="40"/>
      <c r="E2322" s="134"/>
    </row>
    <row r="2323" spans="3:5" s="15" customFormat="1">
      <c r="C2323" s="40"/>
      <c r="E2323" s="134"/>
    </row>
    <row r="2324" spans="3:5" s="15" customFormat="1">
      <c r="C2324" s="40"/>
      <c r="E2324" s="134"/>
    </row>
    <row r="2325" spans="3:5" s="15" customFormat="1">
      <c r="C2325" s="40"/>
      <c r="E2325" s="134"/>
    </row>
    <row r="2326" spans="3:5" s="15" customFormat="1">
      <c r="C2326" s="40"/>
      <c r="E2326" s="134"/>
    </row>
    <row r="2327" spans="3:5" s="15" customFormat="1">
      <c r="C2327" s="40"/>
      <c r="E2327" s="134"/>
    </row>
    <row r="2328" spans="3:5" s="15" customFormat="1">
      <c r="C2328" s="40"/>
      <c r="E2328" s="134"/>
    </row>
    <row r="2329" spans="3:5" s="15" customFormat="1">
      <c r="C2329" s="40"/>
      <c r="E2329" s="134"/>
    </row>
    <row r="2330" spans="3:5" s="15" customFormat="1">
      <c r="C2330" s="40"/>
      <c r="E2330" s="134"/>
    </row>
    <row r="2331" spans="3:5" s="15" customFormat="1">
      <c r="C2331" s="40"/>
      <c r="E2331" s="134"/>
    </row>
    <row r="2332" spans="3:5" s="15" customFormat="1">
      <c r="C2332" s="40"/>
      <c r="E2332" s="134"/>
    </row>
    <row r="2333" spans="3:5" s="15" customFormat="1">
      <c r="C2333" s="40"/>
      <c r="E2333" s="134"/>
    </row>
    <row r="2334" spans="3:5" s="15" customFormat="1">
      <c r="C2334" s="40"/>
      <c r="E2334" s="134"/>
    </row>
    <row r="2335" spans="3:5" s="15" customFormat="1">
      <c r="C2335" s="40"/>
      <c r="E2335" s="134"/>
    </row>
    <row r="2336" spans="3:5" s="15" customFormat="1">
      <c r="C2336" s="40"/>
      <c r="E2336" s="134"/>
    </row>
    <row r="2337" spans="3:5" s="15" customFormat="1">
      <c r="C2337" s="40"/>
      <c r="E2337" s="134"/>
    </row>
    <row r="2338" spans="3:5" s="15" customFormat="1">
      <c r="C2338" s="40"/>
      <c r="E2338" s="134"/>
    </row>
    <row r="2339" spans="3:5" s="15" customFormat="1">
      <c r="C2339" s="40"/>
      <c r="E2339" s="134"/>
    </row>
    <row r="2340" spans="3:5" s="15" customFormat="1">
      <c r="C2340" s="40"/>
      <c r="E2340" s="134"/>
    </row>
    <row r="2341" spans="3:5" s="15" customFormat="1">
      <c r="C2341" s="40"/>
      <c r="E2341" s="134"/>
    </row>
    <row r="2342" spans="3:5" s="15" customFormat="1">
      <c r="C2342" s="40"/>
      <c r="E2342" s="134"/>
    </row>
    <row r="2343" spans="3:5" s="15" customFormat="1">
      <c r="C2343" s="40"/>
      <c r="E2343" s="134"/>
    </row>
    <row r="2344" spans="3:5" s="15" customFormat="1">
      <c r="C2344" s="40"/>
      <c r="E2344" s="134"/>
    </row>
    <row r="2345" spans="3:5" s="15" customFormat="1">
      <c r="C2345" s="40"/>
      <c r="E2345" s="134"/>
    </row>
    <row r="2346" spans="3:5" s="15" customFormat="1">
      <c r="C2346" s="40"/>
      <c r="E2346" s="134"/>
    </row>
    <row r="2347" spans="3:5" s="15" customFormat="1">
      <c r="C2347" s="40"/>
      <c r="E2347" s="134"/>
    </row>
    <row r="2348" spans="3:5" s="15" customFormat="1">
      <c r="C2348" s="40"/>
      <c r="E2348" s="134"/>
    </row>
    <row r="2349" spans="3:5" s="15" customFormat="1">
      <c r="C2349" s="40"/>
      <c r="E2349" s="134"/>
    </row>
    <row r="2350" spans="3:5" s="15" customFormat="1">
      <c r="C2350" s="40"/>
      <c r="E2350" s="134"/>
    </row>
    <row r="2351" spans="3:5" s="15" customFormat="1">
      <c r="C2351" s="40"/>
      <c r="E2351" s="134"/>
    </row>
    <row r="2352" spans="3:5" s="15" customFormat="1">
      <c r="C2352" s="40"/>
      <c r="E2352" s="134"/>
    </row>
    <row r="2353" spans="3:5" s="15" customFormat="1">
      <c r="C2353" s="40"/>
      <c r="E2353" s="134"/>
    </row>
    <row r="2354" spans="3:5" s="15" customFormat="1">
      <c r="C2354" s="40"/>
      <c r="E2354" s="134"/>
    </row>
    <row r="2355" spans="3:5" s="15" customFormat="1">
      <c r="C2355" s="40"/>
      <c r="E2355" s="134"/>
    </row>
    <row r="2356" spans="3:5" s="15" customFormat="1">
      <c r="C2356" s="40"/>
      <c r="E2356" s="134"/>
    </row>
    <row r="2357" spans="3:5" s="15" customFormat="1">
      <c r="C2357" s="40"/>
      <c r="E2357" s="134"/>
    </row>
    <row r="2358" spans="3:5" s="15" customFormat="1">
      <c r="C2358" s="40"/>
      <c r="E2358" s="134"/>
    </row>
    <row r="2359" spans="3:5" s="15" customFormat="1">
      <c r="C2359" s="40"/>
      <c r="E2359" s="134"/>
    </row>
    <row r="2360" spans="3:5" s="15" customFormat="1">
      <c r="C2360" s="40"/>
      <c r="E2360" s="134"/>
    </row>
    <row r="2361" spans="3:5" s="15" customFormat="1">
      <c r="C2361" s="40"/>
      <c r="E2361" s="134"/>
    </row>
    <row r="2362" spans="3:5" s="15" customFormat="1">
      <c r="C2362" s="40"/>
      <c r="E2362" s="134"/>
    </row>
    <row r="2363" spans="3:5" s="15" customFormat="1">
      <c r="C2363" s="40"/>
      <c r="E2363" s="134"/>
    </row>
    <row r="2364" spans="3:5" s="15" customFormat="1">
      <c r="C2364" s="40"/>
      <c r="E2364" s="134"/>
    </row>
    <row r="2365" spans="3:5" s="15" customFormat="1">
      <c r="C2365" s="40"/>
      <c r="E2365" s="134"/>
    </row>
    <row r="2366" spans="3:5" s="15" customFormat="1">
      <c r="C2366" s="40"/>
      <c r="E2366" s="134"/>
    </row>
    <row r="2367" spans="3:5" s="15" customFormat="1">
      <c r="C2367" s="40"/>
      <c r="E2367" s="134"/>
    </row>
    <row r="2368" spans="3:5" s="15" customFormat="1">
      <c r="C2368" s="40"/>
      <c r="E2368" s="134"/>
    </row>
    <row r="2369" spans="3:5" s="15" customFormat="1">
      <c r="C2369" s="40"/>
      <c r="E2369" s="134"/>
    </row>
    <row r="2370" spans="3:5" s="15" customFormat="1">
      <c r="C2370" s="40"/>
      <c r="E2370" s="134"/>
    </row>
    <row r="2371" spans="3:5" s="15" customFormat="1">
      <c r="C2371" s="40"/>
      <c r="E2371" s="134"/>
    </row>
    <row r="2372" spans="3:5" s="15" customFormat="1">
      <c r="C2372" s="40"/>
      <c r="E2372" s="134"/>
    </row>
    <row r="2373" spans="3:5" s="15" customFormat="1">
      <c r="C2373" s="40"/>
      <c r="E2373" s="134"/>
    </row>
    <row r="2374" spans="3:5" s="15" customFormat="1">
      <c r="C2374" s="40"/>
      <c r="E2374" s="134"/>
    </row>
    <row r="2375" spans="3:5" s="15" customFormat="1">
      <c r="C2375" s="40"/>
      <c r="E2375" s="134"/>
    </row>
    <row r="2376" spans="3:5" s="15" customFormat="1">
      <c r="C2376" s="40"/>
      <c r="E2376" s="134"/>
    </row>
    <row r="2377" spans="3:5" s="15" customFormat="1">
      <c r="C2377" s="40"/>
      <c r="E2377" s="134"/>
    </row>
    <row r="2378" spans="3:5" s="15" customFormat="1">
      <c r="C2378" s="40"/>
      <c r="E2378" s="134"/>
    </row>
    <row r="2379" spans="3:5" s="15" customFormat="1">
      <c r="C2379" s="40"/>
      <c r="E2379" s="134"/>
    </row>
    <row r="2380" spans="3:5" s="15" customFormat="1">
      <c r="C2380" s="40"/>
      <c r="E2380" s="134"/>
    </row>
    <row r="2381" spans="3:5" s="15" customFormat="1">
      <c r="C2381" s="40"/>
      <c r="E2381" s="134"/>
    </row>
    <row r="2382" spans="3:5" s="15" customFormat="1">
      <c r="C2382" s="40"/>
      <c r="E2382" s="134"/>
    </row>
    <row r="2383" spans="3:5" s="15" customFormat="1">
      <c r="C2383" s="40"/>
      <c r="E2383" s="134"/>
    </row>
    <row r="2384" spans="3:5" s="15" customFormat="1">
      <c r="C2384" s="40"/>
      <c r="E2384" s="134"/>
    </row>
    <row r="2385" spans="3:5" s="15" customFormat="1">
      <c r="C2385" s="40"/>
      <c r="E2385" s="134"/>
    </row>
    <row r="2386" spans="3:5" s="15" customFormat="1">
      <c r="C2386" s="40"/>
      <c r="E2386" s="134"/>
    </row>
    <row r="2387" spans="3:5" s="15" customFormat="1">
      <c r="C2387" s="40"/>
      <c r="E2387" s="134"/>
    </row>
    <row r="2388" spans="3:5" s="15" customFormat="1">
      <c r="C2388" s="40"/>
      <c r="E2388" s="134"/>
    </row>
    <row r="2389" spans="3:5" s="15" customFormat="1">
      <c r="C2389" s="40"/>
      <c r="E2389" s="134"/>
    </row>
    <row r="2390" spans="3:5" s="15" customFormat="1">
      <c r="C2390" s="40"/>
      <c r="E2390" s="134"/>
    </row>
    <row r="2391" spans="3:5" s="15" customFormat="1">
      <c r="C2391" s="40"/>
      <c r="E2391" s="134"/>
    </row>
    <row r="2392" spans="3:5" s="15" customFormat="1">
      <c r="C2392" s="40"/>
      <c r="E2392" s="134"/>
    </row>
    <row r="2393" spans="3:5" s="15" customFormat="1">
      <c r="C2393" s="40"/>
      <c r="E2393" s="134"/>
    </row>
    <row r="2394" spans="3:5" s="15" customFormat="1">
      <c r="C2394" s="40"/>
      <c r="E2394" s="134"/>
    </row>
    <row r="2395" spans="3:5" s="15" customFormat="1">
      <c r="C2395" s="40"/>
      <c r="E2395" s="134"/>
    </row>
    <row r="2396" spans="3:5" s="15" customFormat="1">
      <c r="C2396" s="40"/>
      <c r="E2396" s="134"/>
    </row>
    <row r="2397" spans="3:5" s="15" customFormat="1">
      <c r="C2397" s="40"/>
      <c r="E2397" s="134"/>
    </row>
    <row r="2398" spans="3:5" s="15" customFormat="1">
      <c r="C2398" s="40"/>
      <c r="E2398" s="134"/>
    </row>
    <row r="2399" spans="3:5" s="15" customFormat="1">
      <c r="C2399" s="40"/>
      <c r="E2399" s="134"/>
    </row>
    <row r="2400" spans="3:5" s="15" customFormat="1">
      <c r="C2400" s="40"/>
      <c r="E2400" s="134"/>
    </row>
    <row r="2401" spans="3:5" s="15" customFormat="1">
      <c r="C2401" s="40"/>
      <c r="E2401" s="134"/>
    </row>
    <row r="2402" spans="3:5" s="15" customFormat="1">
      <c r="C2402" s="40"/>
      <c r="E2402" s="134"/>
    </row>
    <row r="2403" spans="3:5" s="15" customFormat="1">
      <c r="C2403" s="40"/>
      <c r="E2403" s="134"/>
    </row>
    <row r="2404" spans="3:5" s="15" customFormat="1">
      <c r="C2404" s="40"/>
      <c r="E2404" s="134"/>
    </row>
    <row r="2405" spans="3:5" s="15" customFormat="1">
      <c r="C2405" s="40"/>
      <c r="E2405" s="134"/>
    </row>
    <row r="2406" spans="3:5" s="15" customFormat="1">
      <c r="C2406" s="40"/>
      <c r="E2406" s="134"/>
    </row>
    <row r="2407" spans="3:5" s="15" customFormat="1">
      <c r="C2407" s="40"/>
      <c r="E2407" s="134"/>
    </row>
    <row r="2408" spans="3:5" s="15" customFormat="1">
      <c r="C2408" s="40"/>
      <c r="E2408" s="134"/>
    </row>
    <row r="2409" spans="3:5" s="15" customFormat="1">
      <c r="C2409" s="40"/>
      <c r="E2409" s="134"/>
    </row>
    <row r="2410" spans="3:5" s="15" customFormat="1">
      <c r="C2410" s="40"/>
      <c r="E2410" s="134"/>
    </row>
    <row r="2411" spans="3:5" s="15" customFormat="1">
      <c r="C2411" s="40"/>
      <c r="E2411" s="134"/>
    </row>
    <row r="2412" spans="3:5" s="15" customFormat="1">
      <c r="C2412" s="40"/>
      <c r="E2412" s="134"/>
    </row>
    <row r="2413" spans="3:5" s="15" customFormat="1">
      <c r="C2413" s="40"/>
      <c r="E2413" s="134"/>
    </row>
    <row r="2414" spans="3:5" s="15" customFormat="1">
      <c r="C2414" s="40"/>
      <c r="E2414" s="134"/>
    </row>
    <row r="2415" spans="3:5" s="15" customFormat="1">
      <c r="C2415" s="40"/>
      <c r="E2415" s="134"/>
    </row>
    <row r="2416" spans="3:5" s="15" customFormat="1">
      <c r="C2416" s="40"/>
      <c r="E2416" s="134"/>
    </row>
    <row r="2417" spans="3:5" s="15" customFormat="1">
      <c r="C2417" s="40"/>
      <c r="E2417" s="134"/>
    </row>
    <row r="2418" spans="3:5" s="15" customFormat="1">
      <c r="C2418" s="40"/>
      <c r="E2418" s="134"/>
    </row>
    <row r="2419" spans="3:5" s="15" customFormat="1">
      <c r="C2419" s="40"/>
      <c r="E2419" s="134"/>
    </row>
    <row r="2420" spans="3:5" s="15" customFormat="1">
      <c r="C2420" s="40"/>
      <c r="E2420" s="134"/>
    </row>
    <row r="2421" spans="3:5" s="15" customFormat="1">
      <c r="C2421" s="40"/>
      <c r="E2421" s="134"/>
    </row>
    <row r="2422" spans="3:5" s="15" customFormat="1">
      <c r="C2422" s="40"/>
      <c r="E2422" s="134"/>
    </row>
    <row r="2423" spans="3:5" s="15" customFormat="1">
      <c r="C2423" s="40"/>
      <c r="E2423" s="134"/>
    </row>
    <row r="2424" spans="3:5" s="15" customFormat="1">
      <c r="C2424" s="40"/>
      <c r="E2424" s="134"/>
    </row>
    <row r="2425" spans="3:5" s="15" customFormat="1">
      <c r="C2425" s="40"/>
      <c r="E2425" s="134"/>
    </row>
    <row r="2426" spans="3:5" s="15" customFormat="1">
      <c r="C2426" s="40"/>
      <c r="E2426" s="134"/>
    </row>
    <row r="2427" spans="3:5" s="15" customFormat="1">
      <c r="C2427" s="40"/>
      <c r="E2427" s="134"/>
    </row>
    <row r="2428" spans="3:5" s="15" customFormat="1">
      <c r="C2428" s="40"/>
      <c r="E2428" s="134"/>
    </row>
    <row r="2429" spans="3:5" s="15" customFormat="1">
      <c r="C2429" s="40"/>
      <c r="E2429" s="134"/>
    </row>
    <row r="2430" spans="3:5" s="15" customFormat="1">
      <c r="C2430" s="40"/>
      <c r="E2430" s="134"/>
    </row>
    <row r="2431" spans="3:5" s="15" customFormat="1">
      <c r="C2431" s="40"/>
      <c r="E2431" s="134"/>
    </row>
    <row r="2432" spans="3:5" s="15" customFormat="1">
      <c r="C2432" s="40"/>
      <c r="E2432" s="134"/>
    </row>
    <row r="2433" spans="3:5" s="15" customFormat="1">
      <c r="C2433" s="40"/>
      <c r="E2433" s="134"/>
    </row>
    <row r="2434" spans="3:5" s="15" customFormat="1">
      <c r="C2434" s="40"/>
      <c r="E2434" s="134"/>
    </row>
    <row r="2435" spans="3:5" s="15" customFormat="1">
      <c r="C2435" s="40"/>
      <c r="E2435" s="134"/>
    </row>
    <row r="2436" spans="3:5" s="15" customFormat="1">
      <c r="C2436" s="40"/>
      <c r="E2436" s="134"/>
    </row>
    <row r="2437" spans="3:5" s="15" customFormat="1">
      <c r="C2437" s="40"/>
      <c r="E2437" s="134"/>
    </row>
    <row r="2438" spans="3:5" s="15" customFormat="1">
      <c r="C2438" s="40"/>
      <c r="E2438" s="134"/>
    </row>
    <row r="2439" spans="3:5" s="15" customFormat="1">
      <c r="C2439" s="40"/>
      <c r="E2439" s="134"/>
    </row>
    <row r="2440" spans="3:5" s="15" customFormat="1">
      <c r="C2440" s="40"/>
      <c r="E2440" s="134"/>
    </row>
    <row r="2441" spans="3:5" s="15" customFormat="1">
      <c r="C2441" s="40"/>
      <c r="E2441" s="134"/>
    </row>
    <row r="2442" spans="3:5" s="15" customFormat="1">
      <c r="C2442" s="40"/>
      <c r="E2442" s="134"/>
    </row>
    <row r="2443" spans="3:5" s="15" customFormat="1">
      <c r="C2443" s="40"/>
      <c r="E2443" s="134"/>
    </row>
    <row r="2444" spans="3:5" s="15" customFormat="1">
      <c r="C2444" s="40"/>
      <c r="E2444" s="134"/>
    </row>
    <row r="2445" spans="3:5" s="15" customFormat="1">
      <c r="C2445" s="40"/>
      <c r="E2445" s="134"/>
    </row>
    <row r="2446" spans="3:5" s="15" customFormat="1">
      <c r="C2446" s="40"/>
      <c r="E2446" s="134"/>
    </row>
    <row r="2447" spans="3:5" s="15" customFormat="1">
      <c r="C2447" s="40"/>
      <c r="E2447" s="134"/>
    </row>
    <row r="2448" spans="3:5" s="15" customFormat="1">
      <c r="C2448" s="40"/>
      <c r="E2448" s="134"/>
    </row>
    <row r="2449" spans="3:5" s="15" customFormat="1">
      <c r="C2449" s="40"/>
      <c r="E2449" s="134"/>
    </row>
    <row r="2450" spans="3:5" s="15" customFormat="1">
      <c r="C2450" s="40"/>
      <c r="E2450" s="134"/>
    </row>
    <row r="2451" spans="3:5" s="15" customFormat="1">
      <c r="C2451" s="40"/>
      <c r="E2451" s="134"/>
    </row>
    <row r="2452" spans="3:5" s="15" customFormat="1">
      <c r="C2452" s="40"/>
      <c r="E2452" s="134"/>
    </row>
    <row r="2453" spans="3:5" s="15" customFormat="1">
      <c r="C2453" s="40"/>
      <c r="E2453" s="134"/>
    </row>
    <row r="2454" spans="3:5" s="15" customFormat="1">
      <c r="C2454" s="40"/>
      <c r="E2454" s="134"/>
    </row>
    <row r="2455" spans="3:5" s="15" customFormat="1">
      <c r="C2455" s="40"/>
      <c r="E2455" s="134"/>
    </row>
    <row r="2456" spans="3:5" s="15" customFormat="1">
      <c r="C2456" s="40"/>
      <c r="E2456" s="134"/>
    </row>
    <row r="2457" spans="3:5" s="15" customFormat="1">
      <c r="C2457" s="40"/>
      <c r="E2457" s="134"/>
    </row>
    <row r="2458" spans="3:5" s="15" customFormat="1">
      <c r="C2458" s="40"/>
      <c r="E2458" s="134"/>
    </row>
    <row r="2459" spans="3:5" s="15" customFormat="1">
      <c r="C2459" s="40"/>
      <c r="E2459" s="134"/>
    </row>
    <row r="2460" spans="3:5" s="15" customFormat="1">
      <c r="C2460" s="40"/>
      <c r="E2460" s="134"/>
    </row>
    <row r="2461" spans="3:5" s="15" customFormat="1">
      <c r="C2461" s="40"/>
      <c r="E2461" s="134"/>
    </row>
    <row r="2462" spans="3:5" s="15" customFormat="1">
      <c r="C2462" s="40"/>
      <c r="E2462" s="134"/>
    </row>
    <row r="2463" spans="3:5" s="15" customFormat="1">
      <c r="C2463" s="40"/>
      <c r="E2463" s="134"/>
    </row>
    <row r="2464" spans="3:5" s="15" customFormat="1">
      <c r="C2464" s="40"/>
      <c r="E2464" s="134"/>
    </row>
    <row r="2465" spans="3:5" s="15" customFormat="1">
      <c r="C2465" s="40"/>
      <c r="E2465" s="134"/>
    </row>
    <row r="2466" spans="3:5" s="15" customFormat="1">
      <c r="C2466" s="40"/>
      <c r="E2466" s="134"/>
    </row>
    <row r="2467" spans="3:5" s="15" customFormat="1">
      <c r="C2467" s="40"/>
      <c r="E2467" s="134"/>
    </row>
    <row r="2468" spans="3:5" s="15" customFormat="1">
      <c r="C2468" s="40"/>
      <c r="E2468" s="134"/>
    </row>
    <row r="2469" spans="3:5" s="15" customFormat="1">
      <c r="C2469" s="40"/>
      <c r="E2469" s="134"/>
    </row>
    <row r="2470" spans="3:5" s="15" customFormat="1">
      <c r="C2470" s="40"/>
      <c r="E2470" s="134"/>
    </row>
    <row r="2471" spans="3:5" s="15" customFormat="1">
      <c r="C2471" s="40"/>
      <c r="E2471" s="134"/>
    </row>
    <row r="2472" spans="3:5" s="15" customFormat="1">
      <c r="C2472" s="40"/>
      <c r="E2472" s="134"/>
    </row>
    <row r="2473" spans="3:5" s="15" customFormat="1">
      <c r="C2473" s="40"/>
      <c r="E2473" s="134"/>
    </row>
    <row r="2474" spans="3:5" s="15" customFormat="1">
      <c r="C2474" s="40"/>
      <c r="E2474" s="134"/>
    </row>
    <row r="2475" spans="3:5" s="15" customFormat="1">
      <c r="C2475" s="40"/>
      <c r="E2475" s="134"/>
    </row>
    <row r="2476" spans="3:5" s="15" customFormat="1">
      <c r="C2476" s="40"/>
      <c r="E2476" s="134"/>
    </row>
    <row r="2477" spans="3:5" s="15" customFormat="1">
      <c r="C2477" s="40"/>
      <c r="E2477" s="134"/>
    </row>
    <row r="2478" spans="3:5" s="15" customFormat="1">
      <c r="C2478" s="40"/>
      <c r="E2478" s="134"/>
    </row>
    <row r="2479" spans="3:5" s="15" customFormat="1">
      <c r="C2479" s="40"/>
      <c r="E2479" s="134"/>
    </row>
    <row r="2480" spans="3:5" s="15" customFormat="1">
      <c r="C2480" s="40"/>
      <c r="E2480" s="134"/>
    </row>
    <row r="2481" spans="3:5" s="15" customFormat="1">
      <c r="C2481" s="40"/>
      <c r="E2481" s="134"/>
    </row>
    <row r="2482" spans="3:5" s="15" customFormat="1">
      <c r="C2482" s="40"/>
      <c r="E2482" s="134"/>
    </row>
    <row r="2483" spans="3:5" s="15" customFormat="1">
      <c r="C2483" s="40"/>
      <c r="E2483" s="134"/>
    </row>
    <row r="2484" spans="3:5" s="15" customFormat="1">
      <c r="C2484" s="40"/>
      <c r="E2484" s="134"/>
    </row>
    <row r="2485" spans="3:5" s="15" customFormat="1">
      <c r="C2485" s="40"/>
      <c r="E2485" s="134"/>
    </row>
    <row r="2486" spans="3:5" s="15" customFormat="1">
      <c r="C2486" s="40"/>
      <c r="E2486" s="134"/>
    </row>
    <row r="2487" spans="3:5" s="15" customFormat="1">
      <c r="C2487" s="40"/>
      <c r="E2487" s="134"/>
    </row>
    <row r="2488" spans="3:5" s="15" customFormat="1">
      <c r="C2488" s="40"/>
      <c r="E2488" s="134"/>
    </row>
    <row r="2489" spans="3:5" s="15" customFormat="1">
      <c r="C2489" s="40"/>
      <c r="E2489" s="134"/>
    </row>
    <row r="2490" spans="3:5" s="15" customFormat="1">
      <c r="C2490" s="40"/>
      <c r="E2490" s="134"/>
    </row>
    <row r="2491" spans="3:5" s="15" customFormat="1">
      <c r="C2491" s="40"/>
      <c r="E2491" s="134"/>
    </row>
    <row r="2492" spans="3:5" s="15" customFormat="1">
      <c r="C2492" s="40"/>
      <c r="E2492" s="134"/>
    </row>
    <row r="2493" spans="3:5" s="15" customFormat="1">
      <c r="C2493" s="40"/>
      <c r="E2493" s="134"/>
    </row>
    <row r="2494" spans="3:5" s="15" customFormat="1">
      <c r="C2494" s="40"/>
      <c r="E2494" s="134"/>
    </row>
    <row r="2495" spans="3:5" s="15" customFormat="1">
      <c r="C2495" s="40"/>
      <c r="E2495" s="134"/>
    </row>
    <row r="2496" spans="3:5" s="15" customFormat="1">
      <c r="C2496" s="40"/>
      <c r="E2496" s="134"/>
    </row>
    <row r="2497" spans="3:5" s="15" customFormat="1">
      <c r="C2497" s="40"/>
      <c r="E2497" s="134"/>
    </row>
    <row r="2498" spans="3:5" s="15" customFormat="1">
      <c r="C2498" s="40"/>
      <c r="E2498" s="134"/>
    </row>
    <row r="2499" spans="3:5" s="15" customFormat="1">
      <c r="C2499" s="40"/>
      <c r="E2499" s="134"/>
    </row>
    <row r="2500" spans="3:5" s="15" customFormat="1">
      <c r="C2500" s="40"/>
      <c r="E2500" s="134"/>
    </row>
    <row r="2501" spans="3:5" s="15" customFormat="1">
      <c r="C2501" s="40"/>
      <c r="E2501" s="134"/>
    </row>
    <row r="2502" spans="3:5" s="15" customFormat="1">
      <c r="C2502" s="40"/>
      <c r="E2502" s="134"/>
    </row>
    <row r="2503" spans="3:5" s="15" customFormat="1">
      <c r="C2503" s="40"/>
      <c r="E2503" s="134"/>
    </row>
    <row r="2504" spans="3:5" s="15" customFormat="1">
      <c r="C2504" s="40"/>
      <c r="E2504" s="134"/>
    </row>
    <row r="2505" spans="3:5" s="15" customFormat="1">
      <c r="C2505" s="40"/>
      <c r="E2505" s="134"/>
    </row>
    <row r="2506" spans="3:5" s="15" customFormat="1">
      <c r="C2506" s="40"/>
      <c r="E2506" s="134"/>
    </row>
    <row r="2507" spans="3:5" s="15" customFormat="1">
      <c r="C2507" s="40"/>
      <c r="E2507" s="134"/>
    </row>
    <row r="2508" spans="3:5" s="15" customFormat="1">
      <c r="C2508" s="40"/>
      <c r="E2508" s="134"/>
    </row>
    <row r="2509" spans="3:5" s="15" customFormat="1">
      <c r="C2509" s="40"/>
      <c r="E2509" s="134"/>
    </row>
    <row r="2510" spans="3:5" s="15" customFormat="1">
      <c r="C2510" s="40"/>
      <c r="E2510" s="134"/>
    </row>
    <row r="2511" spans="3:5" s="15" customFormat="1">
      <c r="C2511" s="40"/>
      <c r="E2511" s="134"/>
    </row>
    <row r="2512" spans="3:5" s="15" customFormat="1">
      <c r="C2512" s="40"/>
      <c r="E2512" s="134"/>
    </row>
    <row r="2513" spans="3:5" s="15" customFormat="1">
      <c r="C2513" s="40"/>
      <c r="E2513" s="134"/>
    </row>
    <row r="2514" spans="3:5" s="15" customFormat="1">
      <c r="C2514" s="40"/>
      <c r="E2514" s="134"/>
    </row>
    <row r="2515" spans="3:5" s="15" customFormat="1">
      <c r="C2515" s="40"/>
      <c r="E2515" s="134"/>
    </row>
    <row r="2516" spans="3:5" s="15" customFormat="1">
      <c r="C2516" s="40"/>
      <c r="E2516" s="134"/>
    </row>
    <row r="2517" spans="3:5" s="15" customFormat="1">
      <c r="C2517" s="40"/>
      <c r="E2517" s="134"/>
    </row>
    <row r="2518" spans="3:5" s="15" customFormat="1">
      <c r="C2518" s="40"/>
      <c r="E2518" s="134"/>
    </row>
    <row r="2519" spans="3:5" s="15" customFormat="1">
      <c r="C2519" s="40"/>
      <c r="E2519" s="134"/>
    </row>
    <row r="2520" spans="3:5" s="15" customFormat="1">
      <c r="C2520" s="40"/>
      <c r="E2520" s="134"/>
    </row>
    <row r="2521" spans="3:5" s="15" customFormat="1">
      <c r="C2521" s="40"/>
      <c r="E2521" s="134"/>
    </row>
    <row r="2522" spans="3:5" s="15" customFormat="1">
      <c r="C2522" s="40"/>
      <c r="E2522" s="134"/>
    </row>
    <row r="2523" spans="3:5" s="15" customFormat="1">
      <c r="C2523" s="40"/>
      <c r="E2523" s="134"/>
    </row>
    <row r="2524" spans="3:5" s="15" customFormat="1">
      <c r="C2524" s="40"/>
      <c r="E2524" s="134"/>
    </row>
    <row r="2525" spans="3:5" s="15" customFormat="1">
      <c r="C2525" s="40"/>
      <c r="E2525" s="134"/>
    </row>
    <row r="2526" spans="3:5" s="15" customFormat="1">
      <c r="C2526" s="40"/>
      <c r="E2526" s="134"/>
    </row>
    <row r="2527" spans="3:5" s="15" customFormat="1">
      <c r="C2527" s="40"/>
      <c r="E2527" s="134"/>
    </row>
    <row r="2528" spans="3:5" s="15" customFormat="1">
      <c r="C2528" s="40"/>
      <c r="E2528" s="134"/>
    </row>
    <row r="2529" spans="3:5" s="15" customFormat="1">
      <c r="C2529" s="40"/>
      <c r="E2529" s="134"/>
    </row>
    <row r="2530" spans="3:5" s="15" customFormat="1">
      <c r="C2530" s="40"/>
      <c r="E2530" s="134"/>
    </row>
    <row r="2531" spans="3:5" s="15" customFormat="1">
      <c r="C2531" s="40"/>
      <c r="E2531" s="134"/>
    </row>
    <row r="2532" spans="3:5" s="15" customFormat="1">
      <c r="C2532" s="40"/>
      <c r="E2532" s="134"/>
    </row>
    <row r="2533" spans="3:5" s="15" customFormat="1">
      <c r="C2533" s="40"/>
      <c r="E2533" s="134"/>
    </row>
    <row r="2534" spans="3:5" s="15" customFormat="1">
      <c r="C2534" s="40"/>
      <c r="E2534" s="134"/>
    </row>
    <row r="2535" spans="3:5" s="15" customFormat="1">
      <c r="C2535" s="40"/>
      <c r="E2535" s="134"/>
    </row>
    <row r="2536" spans="3:5" s="15" customFormat="1">
      <c r="C2536" s="40"/>
      <c r="E2536" s="134"/>
    </row>
    <row r="2537" spans="3:5" s="15" customFormat="1">
      <c r="C2537" s="40"/>
      <c r="E2537" s="134"/>
    </row>
    <row r="2538" spans="3:5" s="15" customFormat="1">
      <c r="C2538" s="40"/>
      <c r="E2538" s="134"/>
    </row>
    <row r="2539" spans="3:5" s="15" customFormat="1">
      <c r="C2539" s="40"/>
      <c r="E2539" s="134"/>
    </row>
    <row r="2540" spans="3:5" s="15" customFormat="1">
      <c r="C2540" s="40"/>
      <c r="E2540" s="134"/>
    </row>
    <row r="2541" spans="3:5" s="15" customFormat="1">
      <c r="C2541" s="40"/>
      <c r="E2541" s="134"/>
    </row>
    <row r="2542" spans="3:5" s="15" customFormat="1">
      <c r="C2542" s="40"/>
      <c r="E2542" s="134"/>
    </row>
    <row r="2543" spans="3:5" s="15" customFormat="1">
      <c r="C2543" s="40"/>
      <c r="E2543" s="134"/>
    </row>
    <row r="2544" spans="3:5" s="15" customFormat="1">
      <c r="C2544" s="40"/>
      <c r="E2544" s="134"/>
    </row>
    <row r="2545" spans="3:5" s="15" customFormat="1">
      <c r="C2545" s="40"/>
      <c r="E2545" s="134"/>
    </row>
    <row r="2546" spans="3:5" s="15" customFormat="1">
      <c r="C2546" s="40"/>
      <c r="E2546" s="134"/>
    </row>
    <row r="2547" spans="3:5" s="15" customFormat="1">
      <c r="C2547" s="40"/>
      <c r="E2547" s="134"/>
    </row>
    <row r="2548" spans="3:5" s="15" customFormat="1">
      <c r="C2548" s="40"/>
      <c r="E2548" s="134"/>
    </row>
    <row r="2549" spans="3:5" s="15" customFormat="1">
      <c r="C2549" s="40"/>
      <c r="E2549" s="134"/>
    </row>
    <row r="2550" spans="3:5" s="15" customFormat="1">
      <c r="C2550" s="40"/>
      <c r="E2550" s="134"/>
    </row>
    <row r="2551" spans="3:5" s="15" customFormat="1">
      <c r="C2551" s="40"/>
      <c r="E2551" s="134"/>
    </row>
    <row r="2552" spans="3:5" s="15" customFormat="1">
      <c r="C2552" s="40"/>
      <c r="E2552" s="134"/>
    </row>
    <row r="2553" spans="3:5" s="15" customFormat="1">
      <c r="C2553" s="40"/>
      <c r="E2553" s="134"/>
    </row>
    <row r="2554" spans="3:5" s="15" customFormat="1">
      <c r="C2554" s="40"/>
      <c r="E2554" s="134"/>
    </row>
    <row r="2555" spans="3:5" s="15" customFormat="1">
      <c r="C2555" s="40"/>
      <c r="E2555" s="134"/>
    </row>
    <row r="2556" spans="3:5" s="15" customFormat="1">
      <c r="C2556" s="40"/>
      <c r="E2556" s="134"/>
    </row>
    <row r="2557" spans="3:5" s="15" customFormat="1">
      <c r="C2557" s="40"/>
      <c r="E2557" s="134"/>
    </row>
    <row r="2558" spans="3:5" s="15" customFormat="1">
      <c r="C2558" s="40"/>
      <c r="E2558" s="134"/>
    </row>
    <row r="2559" spans="3:5" s="15" customFormat="1">
      <c r="C2559" s="40"/>
      <c r="E2559" s="134"/>
    </row>
    <row r="2560" spans="3:5" s="15" customFormat="1">
      <c r="C2560" s="40"/>
      <c r="E2560" s="134"/>
    </row>
    <row r="2561" spans="3:5" s="15" customFormat="1">
      <c r="C2561" s="40"/>
      <c r="E2561" s="134"/>
    </row>
    <row r="2562" spans="3:5" s="15" customFormat="1">
      <c r="C2562" s="40"/>
      <c r="E2562" s="134"/>
    </row>
    <row r="2563" spans="3:5" s="15" customFormat="1">
      <c r="C2563" s="40"/>
      <c r="E2563" s="134"/>
    </row>
    <row r="2564" spans="3:5" s="15" customFormat="1">
      <c r="C2564" s="40"/>
      <c r="E2564" s="134"/>
    </row>
    <row r="2565" spans="3:5" s="15" customFormat="1">
      <c r="C2565" s="40"/>
      <c r="E2565" s="134"/>
    </row>
    <row r="2566" spans="3:5" s="15" customFormat="1">
      <c r="C2566" s="40"/>
      <c r="E2566" s="134"/>
    </row>
    <row r="2567" spans="3:5" s="15" customFormat="1">
      <c r="C2567" s="40"/>
      <c r="E2567" s="134"/>
    </row>
    <row r="2568" spans="3:5" s="15" customFormat="1">
      <c r="C2568" s="40"/>
      <c r="E2568" s="134"/>
    </row>
    <row r="2569" spans="3:5" s="15" customFormat="1">
      <c r="C2569" s="40"/>
      <c r="E2569" s="134"/>
    </row>
    <row r="2570" spans="3:5" s="15" customFormat="1">
      <c r="C2570" s="40"/>
      <c r="E2570" s="134"/>
    </row>
    <row r="2571" spans="3:5" s="15" customFormat="1">
      <c r="C2571" s="40"/>
      <c r="E2571" s="134"/>
    </row>
    <row r="2572" spans="3:5" s="15" customFormat="1">
      <c r="C2572" s="40"/>
      <c r="E2572" s="134"/>
    </row>
    <row r="2573" spans="3:5" s="15" customFormat="1">
      <c r="C2573" s="40"/>
      <c r="E2573" s="134"/>
    </row>
    <row r="2574" spans="3:5" s="15" customFormat="1">
      <c r="C2574" s="40"/>
      <c r="E2574" s="134"/>
    </row>
    <row r="2575" spans="3:5" s="15" customFormat="1">
      <c r="C2575" s="40"/>
      <c r="E2575" s="134"/>
    </row>
    <row r="2576" spans="3:5" s="15" customFormat="1">
      <c r="C2576" s="40"/>
      <c r="E2576" s="134"/>
    </row>
    <row r="2577" spans="3:5" s="15" customFormat="1">
      <c r="C2577" s="40"/>
      <c r="E2577" s="134"/>
    </row>
    <row r="2578" spans="3:5" s="15" customFormat="1">
      <c r="C2578" s="40"/>
      <c r="E2578" s="134"/>
    </row>
    <row r="2579" spans="3:5" s="15" customFormat="1">
      <c r="C2579" s="40"/>
      <c r="E2579" s="134"/>
    </row>
    <row r="2580" spans="3:5" s="15" customFormat="1">
      <c r="C2580" s="40"/>
      <c r="E2580" s="134"/>
    </row>
    <row r="2581" spans="3:5" s="15" customFormat="1">
      <c r="C2581" s="40"/>
      <c r="E2581" s="134"/>
    </row>
    <row r="2582" spans="3:5" s="15" customFormat="1">
      <c r="C2582" s="40"/>
      <c r="E2582" s="134"/>
    </row>
    <row r="2583" spans="3:5" s="15" customFormat="1">
      <c r="C2583" s="40"/>
      <c r="E2583" s="134"/>
    </row>
    <row r="2584" spans="3:5" s="15" customFormat="1">
      <c r="C2584" s="40"/>
      <c r="E2584" s="134"/>
    </row>
    <row r="2585" spans="3:5" s="15" customFormat="1">
      <c r="C2585" s="40"/>
      <c r="E2585" s="134"/>
    </row>
    <row r="2586" spans="3:5" s="15" customFormat="1">
      <c r="C2586" s="40"/>
      <c r="E2586" s="134"/>
    </row>
    <row r="2587" spans="3:5" s="15" customFormat="1">
      <c r="C2587" s="40"/>
      <c r="E2587" s="134"/>
    </row>
    <row r="2588" spans="3:5" s="15" customFormat="1">
      <c r="C2588" s="40"/>
      <c r="E2588" s="134"/>
    </row>
    <row r="2589" spans="3:5" s="15" customFormat="1">
      <c r="C2589" s="40"/>
      <c r="E2589" s="134"/>
    </row>
    <row r="2590" spans="3:5" s="15" customFormat="1">
      <c r="C2590" s="40"/>
      <c r="E2590" s="134"/>
    </row>
    <row r="2591" spans="3:5" s="15" customFormat="1">
      <c r="C2591" s="40"/>
      <c r="E2591" s="134"/>
    </row>
    <row r="2592" spans="3:5" s="15" customFormat="1">
      <c r="C2592" s="40"/>
      <c r="E2592" s="134"/>
    </row>
    <row r="2593" spans="3:5" s="15" customFormat="1">
      <c r="C2593" s="40"/>
      <c r="E2593" s="134"/>
    </row>
    <row r="2594" spans="3:5" s="15" customFormat="1">
      <c r="C2594" s="40"/>
      <c r="E2594" s="134"/>
    </row>
    <row r="2595" spans="3:5" s="15" customFormat="1">
      <c r="C2595" s="40"/>
      <c r="E2595" s="134"/>
    </row>
    <row r="2596" spans="3:5" s="15" customFormat="1">
      <c r="C2596" s="40"/>
      <c r="E2596" s="134"/>
    </row>
    <row r="2597" spans="3:5" s="15" customFormat="1">
      <c r="C2597" s="40"/>
      <c r="E2597" s="134"/>
    </row>
    <row r="2598" spans="3:5" s="15" customFormat="1">
      <c r="C2598" s="40"/>
      <c r="E2598" s="134"/>
    </row>
    <row r="2599" spans="3:5" s="15" customFormat="1">
      <c r="C2599" s="40"/>
      <c r="E2599" s="134"/>
    </row>
    <row r="2600" spans="3:5" s="15" customFormat="1">
      <c r="C2600" s="40"/>
      <c r="E2600" s="134"/>
    </row>
    <row r="2601" spans="3:5" s="15" customFormat="1">
      <c r="C2601" s="40"/>
      <c r="E2601" s="134"/>
    </row>
    <row r="2602" spans="3:5" s="15" customFormat="1">
      <c r="C2602" s="40"/>
      <c r="E2602" s="134"/>
    </row>
    <row r="2603" spans="3:5" s="15" customFormat="1">
      <c r="C2603" s="40"/>
      <c r="E2603" s="134"/>
    </row>
    <row r="2604" spans="3:5" s="15" customFormat="1">
      <c r="C2604" s="40"/>
      <c r="E2604" s="134"/>
    </row>
    <row r="2605" spans="3:5" s="15" customFormat="1">
      <c r="C2605" s="40"/>
      <c r="E2605" s="134"/>
    </row>
    <row r="2606" spans="3:5" s="15" customFormat="1">
      <c r="C2606" s="40"/>
      <c r="E2606" s="134"/>
    </row>
    <row r="2607" spans="3:5" s="15" customFormat="1">
      <c r="C2607" s="40"/>
      <c r="E2607" s="134"/>
    </row>
    <row r="2608" spans="3:5" s="15" customFormat="1">
      <c r="C2608" s="40"/>
      <c r="E2608" s="134"/>
    </row>
    <row r="2609" spans="3:5" s="15" customFormat="1">
      <c r="C2609" s="40"/>
      <c r="E2609" s="134"/>
    </row>
    <row r="2610" spans="3:5" s="15" customFormat="1">
      <c r="C2610" s="40"/>
      <c r="E2610" s="134"/>
    </row>
    <row r="2611" spans="3:5" s="15" customFormat="1">
      <c r="C2611" s="40"/>
      <c r="E2611" s="134"/>
    </row>
    <row r="2612" spans="3:5" s="15" customFormat="1">
      <c r="C2612" s="40"/>
      <c r="E2612" s="134"/>
    </row>
    <row r="2613" spans="3:5" s="15" customFormat="1">
      <c r="C2613" s="40"/>
      <c r="E2613" s="134"/>
    </row>
    <row r="2614" spans="3:5" s="15" customFormat="1">
      <c r="C2614" s="40"/>
      <c r="E2614" s="134"/>
    </row>
    <row r="2615" spans="3:5" s="15" customFormat="1">
      <c r="C2615" s="40"/>
      <c r="E2615" s="134"/>
    </row>
    <row r="2616" spans="3:5" s="15" customFormat="1">
      <c r="C2616" s="40"/>
      <c r="E2616" s="134"/>
    </row>
    <row r="2617" spans="3:5" s="15" customFormat="1">
      <c r="C2617" s="40"/>
      <c r="E2617" s="134"/>
    </row>
    <row r="2618" spans="3:5" s="15" customFormat="1">
      <c r="C2618" s="40"/>
      <c r="E2618" s="134"/>
    </row>
    <row r="2619" spans="3:5" s="15" customFormat="1">
      <c r="C2619" s="40"/>
      <c r="E2619" s="134"/>
    </row>
    <row r="2620" spans="3:5" s="15" customFormat="1">
      <c r="C2620" s="40"/>
      <c r="E2620" s="134"/>
    </row>
    <row r="2621" spans="3:5" s="15" customFormat="1">
      <c r="C2621" s="40"/>
      <c r="E2621" s="134"/>
    </row>
    <row r="2622" spans="3:5" s="15" customFormat="1">
      <c r="C2622" s="40"/>
      <c r="E2622" s="134"/>
    </row>
    <row r="2623" spans="3:5" s="15" customFormat="1">
      <c r="C2623" s="40"/>
      <c r="E2623" s="134"/>
    </row>
    <row r="2624" spans="3:5" s="15" customFormat="1">
      <c r="C2624" s="40"/>
      <c r="E2624" s="134"/>
    </row>
    <row r="2625" spans="3:5" s="15" customFormat="1">
      <c r="C2625" s="40"/>
      <c r="E2625" s="134"/>
    </row>
    <row r="2626" spans="3:5" s="15" customFormat="1">
      <c r="C2626" s="40"/>
      <c r="E2626" s="134"/>
    </row>
    <row r="2627" spans="3:5" s="15" customFormat="1">
      <c r="C2627" s="40"/>
      <c r="E2627" s="134"/>
    </row>
    <row r="2628" spans="3:5" s="15" customFormat="1">
      <c r="C2628" s="40"/>
      <c r="E2628" s="134"/>
    </row>
    <row r="2629" spans="3:5" s="15" customFormat="1">
      <c r="C2629" s="40"/>
      <c r="E2629" s="134"/>
    </row>
    <row r="2630" spans="3:5" s="15" customFormat="1">
      <c r="C2630" s="40"/>
      <c r="E2630" s="134"/>
    </row>
    <row r="2631" spans="3:5" s="15" customFormat="1">
      <c r="C2631" s="40"/>
      <c r="E2631" s="134"/>
    </row>
    <row r="2632" spans="3:5" s="15" customFormat="1">
      <c r="C2632" s="40"/>
      <c r="E2632" s="134"/>
    </row>
    <row r="2633" spans="3:5" s="15" customFormat="1">
      <c r="C2633" s="40"/>
      <c r="E2633" s="134"/>
    </row>
    <row r="2634" spans="3:5" s="15" customFormat="1">
      <c r="C2634" s="40"/>
      <c r="E2634" s="134"/>
    </row>
    <row r="2635" spans="3:5" s="15" customFormat="1">
      <c r="C2635" s="40"/>
      <c r="E2635" s="134"/>
    </row>
    <row r="2636" spans="3:5" s="15" customFormat="1">
      <c r="C2636" s="40"/>
      <c r="E2636" s="134"/>
    </row>
    <row r="2637" spans="3:5" s="15" customFormat="1">
      <c r="C2637" s="40"/>
      <c r="E2637" s="134"/>
    </row>
    <row r="2638" spans="3:5" s="15" customFormat="1">
      <c r="C2638" s="40"/>
      <c r="E2638" s="134"/>
    </row>
    <row r="2639" spans="3:5" s="15" customFormat="1">
      <c r="C2639" s="40"/>
      <c r="E2639" s="134"/>
    </row>
    <row r="2640" spans="3:5" s="15" customFormat="1">
      <c r="C2640" s="40"/>
      <c r="E2640" s="134"/>
    </row>
    <row r="2641" spans="3:5" s="15" customFormat="1">
      <c r="C2641" s="40"/>
      <c r="E2641" s="134"/>
    </row>
    <row r="2642" spans="3:5" s="15" customFormat="1">
      <c r="C2642" s="40"/>
      <c r="E2642" s="134"/>
    </row>
    <row r="2643" spans="3:5" s="15" customFormat="1">
      <c r="C2643" s="40"/>
      <c r="E2643" s="134"/>
    </row>
    <row r="2644" spans="3:5" s="15" customFormat="1">
      <c r="C2644" s="40"/>
      <c r="E2644" s="134"/>
    </row>
    <row r="2645" spans="3:5" s="15" customFormat="1">
      <c r="C2645" s="40"/>
      <c r="E2645" s="134"/>
    </row>
    <row r="2646" spans="3:5" s="15" customFormat="1">
      <c r="C2646" s="40"/>
      <c r="E2646" s="134"/>
    </row>
    <row r="2647" spans="3:5" s="15" customFormat="1">
      <c r="C2647" s="40"/>
      <c r="E2647" s="134"/>
    </row>
    <row r="2648" spans="3:5" s="15" customFormat="1">
      <c r="C2648" s="40"/>
      <c r="E2648" s="134"/>
    </row>
    <row r="2649" spans="3:5" s="15" customFormat="1">
      <c r="C2649" s="40"/>
      <c r="E2649" s="134"/>
    </row>
    <row r="2650" spans="3:5" s="15" customFormat="1">
      <c r="C2650" s="40"/>
      <c r="E2650" s="134"/>
    </row>
    <row r="2651" spans="3:5" s="15" customFormat="1">
      <c r="C2651" s="40"/>
      <c r="E2651" s="134"/>
    </row>
    <row r="2652" spans="3:5" s="15" customFormat="1">
      <c r="C2652" s="40"/>
      <c r="E2652" s="134"/>
    </row>
    <row r="2653" spans="3:5" s="15" customFormat="1">
      <c r="C2653" s="40"/>
      <c r="E2653" s="134"/>
    </row>
    <row r="2654" spans="3:5" s="15" customFormat="1">
      <c r="C2654" s="40"/>
      <c r="E2654" s="134"/>
    </row>
    <row r="2655" spans="3:5" s="15" customFormat="1">
      <c r="C2655" s="40"/>
      <c r="E2655" s="134"/>
    </row>
    <row r="2656" spans="3:5" s="15" customFormat="1">
      <c r="C2656" s="40"/>
      <c r="E2656" s="134"/>
    </row>
    <row r="2657" spans="3:5" s="15" customFormat="1">
      <c r="C2657" s="40"/>
      <c r="E2657" s="134"/>
    </row>
    <row r="2658" spans="3:5" s="15" customFormat="1">
      <c r="C2658" s="40"/>
      <c r="E2658" s="134"/>
    </row>
    <row r="2659" spans="3:5" s="15" customFormat="1">
      <c r="C2659" s="40"/>
      <c r="E2659" s="134"/>
    </row>
    <row r="2660" spans="3:5" s="15" customFormat="1">
      <c r="C2660" s="40"/>
      <c r="E2660" s="134"/>
    </row>
    <row r="2661" spans="3:5" s="15" customFormat="1">
      <c r="C2661" s="40"/>
      <c r="E2661" s="134"/>
    </row>
    <row r="2662" spans="3:5" s="15" customFormat="1">
      <c r="C2662" s="40"/>
      <c r="E2662" s="134"/>
    </row>
    <row r="2663" spans="3:5" s="15" customFormat="1">
      <c r="C2663" s="40"/>
      <c r="E2663" s="134"/>
    </row>
    <row r="2664" spans="3:5" s="15" customFormat="1">
      <c r="C2664" s="40"/>
      <c r="E2664" s="134"/>
    </row>
    <row r="2665" spans="3:5" s="15" customFormat="1">
      <c r="C2665" s="40"/>
      <c r="E2665" s="134"/>
    </row>
    <row r="2666" spans="3:5" s="15" customFormat="1">
      <c r="C2666" s="40"/>
      <c r="E2666" s="134"/>
    </row>
    <row r="2667" spans="3:5" s="15" customFormat="1">
      <c r="C2667" s="40"/>
      <c r="E2667" s="134"/>
    </row>
    <row r="2668" spans="3:5" s="15" customFormat="1">
      <c r="C2668" s="40"/>
      <c r="E2668" s="134"/>
    </row>
    <row r="2669" spans="3:5" s="15" customFormat="1">
      <c r="C2669" s="40"/>
      <c r="E2669" s="134"/>
    </row>
    <row r="2670" spans="3:5" s="15" customFormat="1">
      <c r="C2670" s="40"/>
      <c r="E2670" s="134"/>
    </row>
    <row r="2671" spans="3:5" s="15" customFormat="1">
      <c r="C2671" s="40"/>
      <c r="E2671" s="134"/>
    </row>
    <row r="2672" spans="3:5" s="15" customFormat="1">
      <c r="C2672" s="40"/>
      <c r="E2672" s="134"/>
    </row>
    <row r="2673" spans="3:5" s="15" customFormat="1">
      <c r="C2673" s="40"/>
      <c r="E2673" s="134"/>
    </row>
    <row r="2674" spans="3:5" s="15" customFormat="1">
      <c r="C2674" s="40"/>
      <c r="E2674" s="134"/>
    </row>
    <row r="2675" spans="3:5" s="15" customFormat="1">
      <c r="C2675" s="40"/>
      <c r="E2675" s="134"/>
    </row>
    <row r="2676" spans="3:5" s="15" customFormat="1">
      <c r="C2676" s="40"/>
      <c r="E2676" s="134"/>
    </row>
    <row r="2677" spans="3:5" s="15" customFormat="1">
      <c r="C2677" s="40"/>
      <c r="E2677" s="134"/>
    </row>
    <row r="2678" spans="3:5" s="15" customFormat="1">
      <c r="C2678" s="40"/>
      <c r="E2678" s="134"/>
    </row>
    <row r="2679" spans="3:5" s="15" customFormat="1">
      <c r="C2679" s="40"/>
      <c r="E2679" s="134"/>
    </row>
    <row r="2680" spans="3:5" s="15" customFormat="1">
      <c r="C2680" s="40"/>
      <c r="E2680" s="134"/>
    </row>
    <row r="2681" spans="3:5" s="15" customFormat="1">
      <c r="C2681" s="40"/>
      <c r="E2681" s="134"/>
    </row>
    <row r="2682" spans="3:5" s="15" customFormat="1">
      <c r="C2682" s="40"/>
      <c r="E2682" s="134"/>
    </row>
    <row r="2683" spans="3:5" s="15" customFormat="1">
      <c r="C2683" s="40"/>
      <c r="E2683" s="134"/>
    </row>
    <row r="2684" spans="3:5" s="15" customFormat="1">
      <c r="C2684" s="40"/>
      <c r="E2684" s="134"/>
    </row>
    <row r="2685" spans="3:5" s="15" customFormat="1">
      <c r="C2685" s="40"/>
      <c r="E2685" s="134"/>
    </row>
    <row r="2686" spans="3:5" s="15" customFormat="1">
      <c r="C2686" s="40"/>
      <c r="E2686" s="134"/>
    </row>
    <row r="2687" spans="3:5" s="15" customFormat="1">
      <c r="C2687" s="40"/>
      <c r="E2687" s="134"/>
    </row>
    <row r="2688" spans="3:5" s="15" customFormat="1">
      <c r="C2688" s="40"/>
      <c r="E2688" s="134"/>
    </row>
    <row r="2689" spans="3:5" s="15" customFormat="1">
      <c r="C2689" s="40"/>
      <c r="E2689" s="134"/>
    </row>
    <row r="2690" spans="3:5" s="15" customFormat="1">
      <c r="C2690" s="40"/>
      <c r="E2690" s="134"/>
    </row>
    <row r="2691" spans="3:5" s="15" customFormat="1">
      <c r="C2691" s="40"/>
      <c r="E2691" s="134"/>
    </row>
    <row r="2692" spans="3:5" s="15" customFormat="1">
      <c r="C2692" s="40"/>
      <c r="E2692" s="134"/>
    </row>
    <row r="2693" spans="3:5" s="15" customFormat="1">
      <c r="C2693" s="40"/>
      <c r="E2693" s="134"/>
    </row>
    <row r="2694" spans="3:5" s="15" customFormat="1">
      <c r="C2694" s="40"/>
      <c r="E2694" s="134"/>
    </row>
    <row r="2695" spans="3:5" s="15" customFormat="1">
      <c r="C2695" s="40"/>
      <c r="E2695" s="134"/>
    </row>
    <row r="2696" spans="3:5" s="15" customFormat="1">
      <c r="C2696" s="40"/>
      <c r="E2696" s="134"/>
    </row>
    <row r="2697" spans="3:5" s="15" customFormat="1">
      <c r="C2697" s="40"/>
      <c r="E2697" s="134"/>
    </row>
    <row r="2698" spans="3:5" s="15" customFormat="1">
      <c r="C2698" s="40"/>
      <c r="E2698" s="134"/>
    </row>
    <row r="2699" spans="3:5" s="15" customFormat="1">
      <c r="C2699" s="40"/>
      <c r="E2699" s="134"/>
    </row>
    <row r="2700" spans="3:5" s="15" customFormat="1">
      <c r="C2700" s="40"/>
      <c r="E2700" s="134"/>
    </row>
    <row r="2701" spans="3:5" s="15" customFormat="1">
      <c r="C2701" s="40"/>
      <c r="E2701" s="134"/>
    </row>
    <row r="2702" spans="3:5" s="15" customFormat="1">
      <c r="C2702" s="40"/>
      <c r="E2702" s="134"/>
    </row>
    <row r="2703" spans="3:5" s="15" customFormat="1">
      <c r="C2703" s="40"/>
      <c r="E2703" s="134"/>
    </row>
    <row r="2704" spans="3:5" s="15" customFormat="1">
      <c r="C2704" s="40"/>
      <c r="E2704" s="134"/>
    </row>
    <row r="2705" spans="3:5" s="15" customFormat="1">
      <c r="C2705" s="40"/>
      <c r="E2705" s="134"/>
    </row>
    <row r="2706" spans="3:5" s="15" customFormat="1">
      <c r="C2706" s="40"/>
      <c r="E2706" s="134"/>
    </row>
    <row r="2707" spans="3:5" s="15" customFormat="1">
      <c r="C2707" s="40"/>
      <c r="E2707" s="134"/>
    </row>
    <row r="2708" spans="3:5" s="15" customFormat="1">
      <c r="C2708" s="40"/>
      <c r="E2708" s="134"/>
    </row>
    <row r="2709" spans="3:5" s="15" customFormat="1">
      <c r="C2709" s="40"/>
      <c r="E2709" s="134"/>
    </row>
    <row r="2710" spans="3:5" s="15" customFormat="1">
      <c r="C2710" s="40"/>
      <c r="E2710" s="134"/>
    </row>
    <row r="2711" spans="3:5" s="15" customFormat="1">
      <c r="C2711" s="40"/>
      <c r="E2711" s="134"/>
    </row>
    <row r="2712" spans="3:5" s="15" customFormat="1">
      <c r="C2712" s="40"/>
      <c r="E2712" s="134"/>
    </row>
    <row r="2713" spans="3:5" s="15" customFormat="1">
      <c r="C2713" s="40"/>
      <c r="E2713" s="134"/>
    </row>
    <row r="2714" spans="3:5" s="15" customFormat="1">
      <c r="C2714" s="40"/>
      <c r="E2714" s="134"/>
    </row>
    <row r="2715" spans="3:5" s="15" customFormat="1">
      <c r="C2715" s="40"/>
      <c r="E2715" s="134"/>
    </row>
    <row r="2716" spans="3:5" s="15" customFormat="1">
      <c r="C2716" s="40"/>
      <c r="E2716" s="134"/>
    </row>
    <row r="2717" spans="3:5" s="15" customFormat="1">
      <c r="C2717" s="40"/>
      <c r="E2717" s="134"/>
    </row>
    <row r="2718" spans="3:5" s="15" customFormat="1">
      <c r="C2718" s="40"/>
      <c r="E2718" s="134"/>
    </row>
    <row r="2719" spans="3:5" s="15" customFormat="1">
      <c r="C2719" s="40"/>
      <c r="E2719" s="134"/>
    </row>
    <row r="2720" spans="3:5" s="15" customFormat="1">
      <c r="C2720" s="40"/>
      <c r="E2720" s="134"/>
    </row>
    <row r="2721" spans="3:5" s="15" customFormat="1">
      <c r="C2721" s="40"/>
      <c r="E2721" s="134"/>
    </row>
    <row r="2722" spans="3:5" s="15" customFormat="1">
      <c r="C2722" s="40"/>
      <c r="E2722" s="134"/>
    </row>
    <row r="2723" spans="3:5" s="15" customFormat="1">
      <c r="C2723" s="40"/>
      <c r="E2723" s="134"/>
    </row>
    <row r="2724" spans="3:5" s="15" customFormat="1">
      <c r="C2724" s="40"/>
      <c r="E2724" s="134"/>
    </row>
    <row r="2725" spans="3:5" s="15" customFormat="1">
      <c r="C2725" s="40"/>
      <c r="E2725" s="134"/>
    </row>
    <row r="2726" spans="3:5" s="15" customFormat="1">
      <c r="C2726" s="40"/>
      <c r="E2726" s="134"/>
    </row>
    <row r="2727" spans="3:5" s="15" customFormat="1">
      <c r="C2727" s="40"/>
      <c r="E2727" s="134"/>
    </row>
    <row r="2728" spans="3:5" s="15" customFormat="1">
      <c r="C2728" s="40"/>
      <c r="E2728" s="134"/>
    </row>
    <row r="2729" spans="3:5" s="15" customFormat="1">
      <c r="C2729" s="40"/>
      <c r="E2729" s="134"/>
    </row>
    <row r="2730" spans="3:5" s="15" customFormat="1">
      <c r="C2730" s="40"/>
      <c r="E2730" s="134"/>
    </row>
    <row r="2731" spans="3:5" s="15" customFormat="1">
      <c r="C2731" s="40"/>
      <c r="E2731" s="134"/>
    </row>
    <row r="2732" spans="3:5" s="15" customFormat="1">
      <c r="C2732" s="40"/>
      <c r="E2732" s="134"/>
    </row>
    <row r="2733" spans="3:5" s="15" customFormat="1">
      <c r="C2733" s="40"/>
      <c r="E2733" s="134"/>
    </row>
    <row r="2734" spans="3:5" s="15" customFormat="1">
      <c r="C2734" s="40"/>
      <c r="E2734" s="134"/>
    </row>
    <row r="2735" spans="3:5" s="15" customFormat="1">
      <c r="C2735" s="40"/>
      <c r="E2735" s="134"/>
    </row>
    <row r="2736" spans="3:5" s="15" customFormat="1">
      <c r="C2736" s="40"/>
      <c r="E2736" s="134"/>
    </row>
    <row r="2737" spans="3:5" s="15" customFormat="1">
      <c r="C2737" s="40"/>
      <c r="E2737" s="134"/>
    </row>
    <row r="2738" spans="3:5" s="15" customFormat="1">
      <c r="C2738" s="40"/>
      <c r="E2738" s="134"/>
    </row>
    <row r="2739" spans="3:5" s="15" customFormat="1">
      <c r="C2739" s="40"/>
      <c r="E2739" s="134"/>
    </row>
    <row r="2740" spans="3:5" s="15" customFormat="1">
      <c r="C2740" s="40"/>
      <c r="E2740" s="134"/>
    </row>
    <row r="2741" spans="3:5" s="15" customFormat="1">
      <c r="C2741" s="40"/>
      <c r="E2741" s="134"/>
    </row>
    <row r="2742" spans="3:5" s="15" customFormat="1">
      <c r="C2742" s="40"/>
      <c r="E2742" s="134"/>
    </row>
    <row r="2743" spans="3:5" s="15" customFormat="1">
      <c r="C2743" s="40"/>
      <c r="E2743" s="134"/>
    </row>
    <row r="2744" spans="3:5" s="15" customFormat="1">
      <c r="C2744" s="40"/>
      <c r="E2744" s="134"/>
    </row>
    <row r="2745" spans="3:5" s="15" customFormat="1">
      <c r="C2745" s="40"/>
      <c r="E2745" s="134"/>
    </row>
    <row r="2746" spans="3:5" s="15" customFormat="1">
      <c r="C2746" s="40"/>
      <c r="E2746" s="134"/>
    </row>
    <row r="2747" spans="3:5" s="15" customFormat="1">
      <c r="C2747" s="40"/>
      <c r="E2747" s="134"/>
    </row>
    <row r="2748" spans="3:5" s="15" customFormat="1">
      <c r="C2748" s="40"/>
      <c r="E2748" s="134"/>
    </row>
    <row r="2749" spans="3:5" s="15" customFormat="1">
      <c r="C2749" s="40"/>
      <c r="E2749" s="134"/>
    </row>
    <row r="2750" spans="3:5" s="15" customFormat="1">
      <c r="C2750" s="40"/>
      <c r="E2750" s="134"/>
    </row>
    <row r="2751" spans="3:5" s="15" customFormat="1">
      <c r="C2751" s="40"/>
      <c r="E2751" s="134"/>
    </row>
    <row r="2752" spans="3:5" s="15" customFormat="1">
      <c r="C2752" s="40"/>
      <c r="E2752" s="134"/>
    </row>
    <row r="2753" spans="3:5" s="15" customFormat="1">
      <c r="C2753" s="40"/>
      <c r="E2753" s="134"/>
    </row>
    <row r="2754" spans="3:5" s="15" customFormat="1">
      <c r="C2754" s="40"/>
      <c r="E2754" s="134"/>
    </row>
    <row r="2755" spans="3:5" s="15" customFormat="1">
      <c r="C2755" s="40"/>
      <c r="E2755" s="134"/>
    </row>
    <row r="2756" spans="3:5" s="15" customFormat="1">
      <c r="C2756" s="40"/>
      <c r="E2756" s="134"/>
    </row>
    <row r="2757" spans="3:5" s="15" customFormat="1">
      <c r="C2757" s="40"/>
      <c r="E2757" s="134"/>
    </row>
    <row r="2758" spans="3:5" s="15" customFormat="1">
      <c r="C2758" s="40"/>
      <c r="E2758" s="134"/>
    </row>
    <row r="2759" spans="3:5" s="15" customFormat="1">
      <c r="C2759" s="40"/>
      <c r="E2759" s="134"/>
    </row>
    <row r="2760" spans="3:5" s="15" customFormat="1">
      <c r="C2760" s="40"/>
      <c r="E2760" s="134"/>
    </row>
    <row r="2761" spans="3:5" s="15" customFormat="1">
      <c r="C2761" s="40"/>
      <c r="E2761" s="134"/>
    </row>
    <row r="2762" spans="3:5" s="15" customFormat="1">
      <c r="C2762" s="40"/>
      <c r="E2762" s="134"/>
    </row>
    <row r="2763" spans="3:5" s="15" customFormat="1">
      <c r="C2763" s="40"/>
      <c r="E2763" s="134"/>
    </row>
    <row r="2764" spans="3:5" s="15" customFormat="1">
      <c r="C2764" s="40"/>
      <c r="E2764" s="134"/>
    </row>
    <row r="2765" spans="3:5" s="15" customFormat="1">
      <c r="C2765" s="40"/>
      <c r="E2765" s="134"/>
    </row>
    <row r="2766" spans="3:5" s="15" customFormat="1">
      <c r="C2766" s="40"/>
      <c r="E2766" s="134"/>
    </row>
    <row r="2767" spans="3:5" s="15" customFormat="1">
      <c r="C2767" s="40"/>
      <c r="E2767" s="134"/>
    </row>
    <row r="2768" spans="3:5" s="15" customFormat="1">
      <c r="C2768" s="40"/>
      <c r="E2768" s="134"/>
    </row>
    <row r="2769" spans="3:5" s="15" customFormat="1">
      <c r="C2769" s="40"/>
      <c r="E2769" s="134"/>
    </row>
    <row r="2770" spans="3:5" s="15" customFormat="1">
      <c r="C2770" s="40"/>
      <c r="E2770" s="134"/>
    </row>
    <row r="2771" spans="3:5" s="15" customFormat="1">
      <c r="C2771" s="40"/>
      <c r="E2771" s="134"/>
    </row>
    <row r="2772" spans="3:5" s="15" customFormat="1">
      <c r="C2772" s="40"/>
      <c r="E2772" s="134"/>
    </row>
    <row r="2773" spans="3:5" s="15" customFormat="1">
      <c r="C2773" s="40"/>
      <c r="E2773" s="134"/>
    </row>
    <row r="2774" spans="3:5" s="15" customFormat="1">
      <c r="C2774" s="40"/>
      <c r="E2774" s="134"/>
    </row>
    <row r="2775" spans="3:5" s="15" customFormat="1">
      <c r="C2775" s="40"/>
      <c r="E2775" s="134"/>
    </row>
    <row r="2776" spans="3:5" s="15" customFormat="1">
      <c r="C2776" s="40"/>
      <c r="E2776" s="134"/>
    </row>
    <row r="2777" spans="3:5" s="15" customFormat="1">
      <c r="C2777" s="40"/>
      <c r="E2777" s="134"/>
    </row>
    <row r="2778" spans="3:5" s="15" customFormat="1">
      <c r="C2778" s="40"/>
      <c r="E2778" s="134"/>
    </row>
    <row r="2779" spans="3:5" s="15" customFormat="1">
      <c r="C2779" s="40"/>
      <c r="E2779" s="134"/>
    </row>
    <row r="2780" spans="3:5" s="15" customFormat="1">
      <c r="C2780" s="40"/>
      <c r="E2780" s="134"/>
    </row>
    <row r="2781" spans="3:5" s="15" customFormat="1">
      <c r="C2781" s="40"/>
      <c r="E2781" s="134"/>
    </row>
    <row r="2782" spans="3:5" s="15" customFormat="1">
      <c r="C2782" s="40"/>
      <c r="E2782" s="134"/>
    </row>
    <row r="2783" spans="3:5" s="15" customFormat="1">
      <c r="C2783" s="40"/>
      <c r="E2783" s="134"/>
    </row>
    <row r="2784" spans="3:5" s="15" customFormat="1">
      <c r="C2784" s="40"/>
      <c r="E2784" s="134"/>
    </row>
    <row r="2785" spans="3:5" s="15" customFormat="1">
      <c r="C2785" s="40"/>
      <c r="E2785" s="134"/>
    </row>
    <row r="2786" spans="3:5" s="15" customFormat="1">
      <c r="C2786" s="40"/>
      <c r="E2786" s="134"/>
    </row>
    <row r="2787" spans="3:5" s="15" customFormat="1">
      <c r="C2787" s="40"/>
      <c r="E2787" s="134"/>
    </row>
    <row r="2788" spans="3:5" s="15" customFormat="1">
      <c r="C2788" s="40"/>
      <c r="E2788" s="134"/>
    </row>
    <row r="2789" spans="3:5" s="15" customFormat="1">
      <c r="C2789" s="40"/>
      <c r="E2789" s="134"/>
    </row>
    <row r="2790" spans="3:5" s="15" customFormat="1">
      <c r="C2790" s="40"/>
      <c r="E2790" s="134"/>
    </row>
    <row r="2791" spans="3:5" s="15" customFormat="1">
      <c r="C2791" s="40"/>
      <c r="E2791" s="134"/>
    </row>
    <row r="2792" spans="3:5" s="15" customFormat="1">
      <c r="C2792" s="40"/>
      <c r="E2792" s="134"/>
    </row>
    <row r="2793" spans="3:5" s="15" customFormat="1">
      <c r="C2793" s="40"/>
      <c r="E2793" s="134"/>
    </row>
    <row r="2794" spans="3:5" s="15" customFormat="1">
      <c r="C2794" s="40"/>
      <c r="E2794" s="134"/>
    </row>
    <row r="2795" spans="3:5" s="15" customFormat="1">
      <c r="C2795" s="40"/>
      <c r="E2795" s="134"/>
    </row>
    <row r="2796" spans="3:5" s="15" customFormat="1">
      <c r="C2796" s="40"/>
      <c r="E2796" s="134"/>
    </row>
    <row r="2797" spans="3:5" s="15" customFormat="1">
      <c r="C2797" s="40"/>
      <c r="E2797" s="134"/>
    </row>
    <row r="2798" spans="3:5" s="15" customFormat="1">
      <c r="C2798" s="40"/>
      <c r="E2798" s="134"/>
    </row>
    <row r="2799" spans="3:5" s="15" customFormat="1">
      <c r="C2799" s="40"/>
      <c r="E2799" s="134"/>
    </row>
    <row r="2800" spans="3:5" s="15" customFormat="1">
      <c r="C2800" s="40"/>
      <c r="E2800" s="134"/>
    </row>
    <row r="2801" spans="3:5" s="15" customFormat="1">
      <c r="C2801" s="40"/>
      <c r="E2801" s="134"/>
    </row>
    <row r="2802" spans="3:5" s="15" customFormat="1">
      <c r="C2802" s="40"/>
      <c r="E2802" s="134"/>
    </row>
    <row r="2803" spans="3:5" s="15" customFormat="1">
      <c r="C2803" s="40"/>
      <c r="E2803" s="134"/>
    </row>
    <row r="2804" spans="3:5" s="15" customFormat="1">
      <c r="C2804" s="40"/>
      <c r="E2804" s="134"/>
    </row>
    <row r="2805" spans="3:5" s="15" customFormat="1">
      <c r="C2805" s="40"/>
      <c r="E2805" s="134"/>
    </row>
    <row r="2806" spans="3:5" s="15" customFormat="1">
      <c r="C2806" s="40"/>
      <c r="E2806" s="134"/>
    </row>
    <row r="2807" spans="3:5" s="15" customFormat="1">
      <c r="C2807" s="40"/>
      <c r="E2807" s="134"/>
    </row>
    <row r="2808" spans="3:5" s="15" customFormat="1">
      <c r="C2808" s="40"/>
      <c r="E2808" s="134"/>
    </row>
    <row r="2809" spans="3:5" s="15" customFormat="1">
      <c r="C2809" s="40"/>
      <c r="E2809" s="134"/>
    </row>
    <row r="2810" spans="3:5" s="15" customFormat="1">
      <c r="C2810" s="40"/>
      <c r="E2810" s="134"/>
    </row>
    <row r="2811" spans="3:5" s="15" customFormat="1">
      <c r="C2811" s="40"/>
      <c r="E2811" s="134"/>
    </row>
    <row r="2812" spans="3:5" s="15" customFormat="1">
      <c r="C2812" s="40"/>
      <c r="E2812" s="134"/>
    </row>
    <row r="2813" spans="3:5" s="15" customFormat="1">
      <c r="C2813" s="40"/>
      <c r="E2813" s="134"/>
    </row>
    <row r="2814" spans="3:5" s="15" customFormat="1">
      <c r="C2814" s="40"/>
      <c r="E2814" s="134"/>
    </row>
    <row r="2815" spans="3:5" s="15" customFormat="1">
      <c r="C2815" s="40"/>
      <c r="E2815" s="134"/>
    </row>
    <row r="2816" spans="3:5" s="15" customFormat="1">
      <c r="C2816" s="40"/>
      <c r="E2816" s="134"/>
    </row>
    <row r="2817" spans="3:5" s="15" customFormat="1">
      <c r="C2817" s="40"/>
      <c r="E2817" s="134"/>
    </row>
    <row r="2818" spans="3:5" s="15" customFormat="1">
      <c r="C2818" s="40"/>
      <c r="E2818" s="134"/>
    </row>
    <row r="2819" spans="3:5" s="15" customFormat="1">
      <c r="C2819" s="40"/>
      <c r="E2819" s="134"/>
    </row>
    <row r="2820" spans="3:5" s="15" customFormat="1">
      <c r="C2820" s="40"/>
      <c r="E2820" s="134"/>
    </row>
    <row r="2821" spans="3:5" s="15" customFormat="1">
      <c r="C2821" s="40"/>
      <c r="E2821" s="134"/>
    </row>
    <row r="2822" spans="3:5" s="15" customFormat="1">
      <c r="C2822" s="40"/>
      <c r="E2822" s="134"/>
    </row>
    <row r="2823" spans="3:5" s="15" customFormat="1">
      <c r="C2823" s="40"/>
      <c r="E2823" s="134"/>
    </row>
    <row r="2824" spans="3:5" s="15" customFormat="1">
      <c r="C2824" s="40"/>
      <c r="E2824" s="134"/>
    </row>
    <row r="2825" spans="3:5" s="15" customFormat="1">
      <c r="C2825" s="40"/>
      <c r="E2825" s="134"/>
    </row>
    <row r="2826" spans="3:5" s="15" customFormat="1">
      <c r="C2826" s="40"/>
      <c r="E2826" s="134"/>
    </row>
    <row r="2827" spans="3:5" s="15" customFormat="1">
      <c r="C2827" s="40"/>
      <c r="E2827" s="134"/>
    </row>
    <row r="2828" spans="3:5" s="15" customFormat="1">
      <c r="C2828" s="40"/>
      <c r="E2828" s="134"/>
    </row>
    <row r="2829" spans="3:5" s="15" customFormat="1">
      <c r="C2829" s="40"/>
      <c r="E2829" s="134"/>
    </row>
    <row r="2830" spans="3:5" s="15" customFormat="1">
      <c r="C2830" s="40"/>
      <c r="E2830" s="134"/>
    </row>
    <row r="2831" spans="3:5" s="15" customFormat="1">
      <c r="C2831" s="40"/>
      <c r="E2831" s="134"/>
    </row>
    <row r="2832" spans="3:5" s="15" customFormat="1">
      <c r="C2832" s="40"/>
      <c r="E2832" s="134"/>
    </row>
    <row r="2833" spans="3:5" s="15" customFormat="1">
      <c r="C2833" s="40"/>
      <c r="E2833" s="134"/>
    </row>
    <row r="2834" spans="3:5" s="15" customFormat="1">
      <c r="C2834" s="40"/>
      <c r="E2834" s="134"/>
    </row>
    <row r="2835" spans="3:5" s="15" customFormat="1">
      <c r="C2835" s="40"/>
      <c r="E2835" s="134"/>
    </row>
    <row r="2836" spans="3:5" s="15" customFormat="1">
      <c r="C2836" s="40"/>
      <c r="E2836" s="134"/>
    </row>
    <row r="2837" spans="3:5" s="15" customFormat="1">
      <c r="C2837" s="40"/>
      <c r="E2837" s="134"/>
    </row>
    <row r="2838" spans="3:5" s="15" customFormat="1">
      <c r="C2838" s="40"/>
      <c r="E2838" s="134"/>
    </row>
    <row r="2839" spans="3:5" s="15" customFormat="1">
      <c r="C2839" s="40"/>
      <c r="E2839" s="134"/>
    </row>
    <row r="2840" spans="3:5" s="15" customFormat="1">
      <c r="C2840" s="40"/>
      <c r="E2840" s="134"/>
    </row>
    <row r="2841" spans="3:5" s="15" customFormat="1">
      <c r="C2841" s="40"/>
      <c r="E2841" s="134"/>
    </row>
    <row r="2842" spans="3:5" s="15" customFormat="1">
      <c r="C2842" s="40"/>
      <c r="E2842" s="134"/>
    </row>
    <row r="2843" spans="3:5" s="15" customFormat="1">
      <c r="C2843" s="40"/>
      <c r="E2843" s="134"/>
    </row>
    <row r="2844" spans="3:5" s="15" customFormat="1">
      <c r="C2844" s="40"/>
      <c r="E2844" s="134"/>
    </row>
    <row r="2845" spans="3:5" s="15" customFormat="1">
      <c r="C2845" s="40"/>
      <c r="E2845" s="134"/>
    </row>
    <row r="2846" spans="3:5" s="15" customFormat="1">
      <c r="C2846" s="40"/>
      <c r="E2846" s="134"/>
    </row>
    <row r="2847" spans="3:5" s="15" customFormat="1">
      <c r="C2847" s="40"/>
      <c r="E2847" s="134"/>
    </row>
    <row r="2848" spans="3:5" s="15" customFormat="1">
      <c r="C2848" s="40"/>
      <c r="E2848" s="134"/>
    </row>
    <row r="2849" spans="3:5" s="15" customFormat="1">
      <c r="C2849" s="40"/>
      <c r="E2849" s="134"/>
    </row>
    <row r="2850" spans="3:5" s="15" customFormat="1">
      <c r="C2850" s="40"/>
      <c r="E2850" s="134"/>
    </row>
    <row r="2851" spans="3:5" s="15" customFormat="1">
      <c r="C2851" s="40"/>
      <c r="E2851" s="134"/>
    </row>
    <row r="2852" spans="3:5" s="15" customFormat="1">
      <c r="C2852" s="40"/>
      <c r="E2852" s="134"/>
    </row>
    <row r="2853" spans="3:5" s="15" customFormat="1">
      <c r="C2853" s="40"/>
      <c r="E2853" s="134"/>
    </row>
    <row r="2854" spans="3:5" s="15" customFormat="1">
      <c r="C2854" s="40"/>
      <c r="E2854" s="134"/>
    </row>
    <row r="2855" spans="3:5" s="15" customFormat="1">
      <c r="C2855" s="40"/>
      <c r="E2855" s="134"/>
    </row>
    <row r="2856" spans="3:5" s="15" customFormat="1">
      <c r="C2856" s="40"/>
      <c r="E2856" s="134"/>
    </row>
    <row r="2857" spans="3:5" s="15" customFormat="1">
      <c r="C2857" s="40"/>
      <c r="E2857" s="134"/>
    </row>
    <row r="2858" spans="3:5" s="15" customFormat="1">
      <c r="C2858" s="40"/>
      <c r="E2858" s="134"/>
    </row>
    <row r="2859" spans="3:5" s="15" customFormat="1">
      <c r="C2859" s="40"/>
      <c r="E2859" s="134"/>
    </row>
    <row r="2860" spans="3:5" s="15" customFormat="1">
      <c r="C2860" s="40"/>
      <c r="E2860" s="134"/>
    </row>
    <row r="2861" spans="3:5" s="15" customFormat="1">
      <c r="C2861" s="40"/>
      <c r="E2861" s="134"/>
    </row>
    <row r="2862" spans="3:5" s="15" customFormat="1">
      <c r="C2862" s="40"/>
      <c r="E2862" s="134"/>
    </row>
    <row r="2863" spans="3:5" s="15" customFormat="1">
      <c r="C2863" s="40"/>
      <c r="E2863" s="134"/>
    </row>
    <row r="2864" spans="3:5" s="15" customFormat="1">
      <c r="C2864" s="40"/>
      <c r="E2864" s="134"/>
    </row>
    <row r="2865" spans="3:5" s="15" customFormat="1">
      <c r="C2865" s="40"/>
      <c r="E2865" s="134"/>
    </row>
    <row r="2866" spans="3:5" s="15" customFormat="1">
      <c r="C2866" s="40"/>
      <c r="E2866" s="134"/>
    </row>
    <row r="2867" spans="3:5" s="15" customFormat="1">
      <c r="C2867" s="40"/>
      <c r="E2867" s="134"/>
    </row>
    <row r="2868" spans="3:5" s="15" customFormat="1">
      <c r="C2868" s="40"/>
      <c r="E2868" s="134"/>
    </row>
    <row r="2869" spans="3:5" s="15" customFormat="1">
      <c r="C2869" s="40"/>
      <c r="E2869" s="134"/>
    </row>
    <row r="2870" spans="3:5" s="15" customFormat="1">
      <c r="C2870" s="40"/>
      <c r="E2870" s="134"/>
    </row>
    <row r="2871" spans="3:5" s="15" customFormat="1">
      <c r="C2871" s="40"/>
      <c r="E2871" s="134"/>
    </row>
    <row r="2872" spans="3:5" s="15" customFormat="1">
      <c r="C2872" s="40"/>
      <c r="E2872" s="134"/>
    </row>
    <row r="2873" spans="3:5" s="15" customFormat="1">
      <c r="C2873" s="40"/>
      <c r="E2873" s="134"/>
    </row>
    <row r="2874" spans="3:5" s="15" customFormat="1">
      <c r="C2874" s="40"/>
      <c r="E2874" s="134"/>
    </row>
    <row r="2875" spans="3:5" s="15" customFormat="1">
      <c r="C2875" s="40"/>
      <c r="E2875" s="134"/>
    </row>
    <row r="2876" spans="3:5" s="15" customFormat="1">
      <c r="C2876" s="40"/>
      <c r="E2876" s="134"/>
    </row>
    <row r="2877" spans="3:5" s="15" customFormat="1">
      <c r="C2877" s="40"/>
      <c r="E2877" s="134"/>
    </row>
    <row r="2878" spans="3:5" s="15" customFormat="1">
      <c r="C2878" s="40"/>
      <c r="E2878" s="134"/>
    </row>
    <row r="2879" spans="3:5" s="15" customFormat="1">
      <c r="C2879" s="40"/>
      <c r="E2879" s="134"/>
    </row>
    <row r="2880" spans="3:5" s="15" customFormat="1">
      <c r="C2880" s="40"/>
      <c r="E2880" s="134"/>
    </row>
    <row r="2881" spans="3:5" s="15" customFormat="1">
      <c r="C2881" s="40"/>
      <c r="E2881" s="134"/>
    </row>
    <row r="2882" spans="3:5" s="15" customFormat="1">
      <c r="C2882" s="40"/>
      <c r="E2882" s="134"/>
    </row>
    <row r="2883" spans="3:5" s="15" customFormat="1">
      <c r="C2883" s="40"/>
      <c r="E2883" s="134"/>
    </row>
    <row r="2884" spans="3:5" s="15" customFormat="1">
      <c r="C2884" s="40"/>
      <c r="E2884" s="134"/>
    </row>
    <row r="2885" spans="3:5" s="15" customFormat="1">
      <c r="C2885" s="40"/>
      <c r="E2885" s="134"/>
    </row>
    <row r="2886" spans="3:5" s="15" customFormat="1">
      <c r="C2886" s="40"/>
      <c r="E2886" s="134"/>
    </row>
    <row r="2887" spans="3:5" s="15" customFormat="1">
      <c r="C2887" s="40"/>
      <c r="E2887" s="134"/>
    </row>
    <row r="2888" spans="3:5" s="15" customFormat="1">
      <c r="C2888" s="40"/>
      <c r="E2888" s="134"/>
    </row>
    <row r="2889" spans="3:5" s="15" customFormat="1">
      <c r="C2889" s="40"/>
      <c r="E2889" s="134"/>
    </row>
    <row r="2890" spans="3:5" s="15" customFormat="1">
      <c r="C2890" s="40"/>
      <c r="E2890" s="134"/>
    </row>
    <row r="2891" spans="3:5" s="15" customFormat="1">
      <c r="C2891" s="40"/>
      <c r="E2891" s="134"/>
    </row>
    <row r="2892" spans="3:5" s="15" customFormat="1">
      <c r="C2892" s="40"/>
      <c r="E2892" s="134"/>
    </row>
    <row r="2893" spans="3:5" s="15" customFormat="1">
      <c r="C2893" s="40"/>
      <c r="E2893" s="134"/>
    </row>
    <row r="2894" spans="3:5" s="15" customFormat="1">
      <c r="C2894" s="40"/>
      <c r="E2894" s="134"/>
    </row>
    <row r="2895" spans="3:5" s="15" customFormat="1">
      <c r="C2895" s="40"/>
      <c r="E2895" s="134"/>
    </row>
    <row r="2896" spans="3:5" s="15" customFormat="1">
      <c r="C2896" s="40"/>
      <c r="E2896" s="134"/>
    </row>
    <row r="2897" spans="3:5" s="15" customFormat="1">
      <c r="C2897" s="40"/>
      <c r="E2897" s="134"/>
    </row>
    <row r="2898" spans="3:5" s="15" customFormat="1">
      <c r="C2898" s="40"/>
      <c r="E2898" s="134"/>
    </row>
    <row r="2899" spans="3:5" s="15" customFormat="1">
      <c r="C2899" s="40"/>
      <c r="E2899" s="134"/>
    </row>
    <row r="2900" spans="3:5" s="15" customFormat="1">
      <c r="C2900" s="40"/>
      <c r="E2900" s="134"/>
    </row>
    <row r="2901" spans="3:5" s="15" customFormat="1">
      <c r="C2901" s="40"/>
      <c r="E2901" s="134"/>
    </row>
    <row r="2902" spans="3:5" s="15" customFormat="1">
      <c r="C2902" s="40"/>
      <c r="E2902" s="134"/>
    </row>
    <row r="2903" spans="3:5" s="15" customFormat="1">
      <c r="C2903" s="40"/>
      <c r="E2903" s="134"/>
    </row>
    <row r="2904" spans="3:5" s="15" customFormat="1">
      <c r="C2904" s="40"/>
      <c r="E2904" s="134"/>
    </row>
    <row r="2905" spans="3:5" s="15" customFormat="1">
      <c r="C2905" s="40"/>
      <c r="E2905" s="134"/>
    </row>
    <row r="2906" spans="3:5" s="15" customFormat="1">
      <c r="C2906" s="40"/>
      <c r="E2906" s="134"/>
    </row>
    <row r="2907" spans="3:5" s="15" customFormat="1">
      <c r="C2907" s="40"/>
      <c r="E2907" s="134"/>
    </row>
    <row r="2908" spans="3:5" s="15" customFormat="1">
      <c r="C2908" s="40"/>
      <c r="E2908" s="134"/>
    </row>
    <row r="2909" spans="3:5" s="15" customFormat="1">
      <c r="C2909" s="40"/>
      <c r="E2909" s="134"/>
    </row>
    <row r="2910" spans="3:5" s="15" customFormat="1">
      <c r="C2910" s="40"/>
      <c r="E2910" s="134"/>
    </row>
    <row r="2911" spans="3:5" s="15" customFormat="1">
      <c r="C2911" s="40"/>
      <c r="E2911" s="134"/>
    </row>
    <row r="2912" spans="3:5" s="15" customFormat="1">
      <c r="C2912" s="40"/>
      <c r="E2912" s="134"/>
    </row>
    <row r="2913" spans="3:5" s="15" customFormat="1">
      <c r="C2913" s="40"/>
      <c r="E2913" s="134"/>
    </row>
    <row r="2914" spans="3:5" s="15" customFormat="1">
      <c r="C2914" s="40"/>
      <c r="E2914" s="134"/>
    </row>
    <row r="2915" spans="3:5" s="15" customFormat="1">
      <c r="C2915" s="40"/>
      <c r="E2915" s="134"/>
    </row>
    <row r="2916" spans="3:5" s="15" customFormat="1">
      <c r="C2916" s="40"/>
      <c r="E2916" s="134"/>
    </row>
    <row r="2917" spans="3:5" s="15" customFormat="1">
      <c r="C2917" s="40"/>
      <c r="E2917" s="134"/>
    </row>
    <row r="2918" spans="3:5" s="15" customFormat="1">
      <c r="C2918" s="40"/>
      <c r="E2918" s="134"/>
    </row>
    <row r="2919" spans="3:5" s="15" customFormat="1">
      <c r="C2919" s="40"/>
      <c r="E2919" s="134"/>
    </row>
    <row r="2920" spans="3:5" s="15" customFormat="1">
      <c r="C2920" s="40"/>
      <c r="E2920" s="134"/>
    </row>
    <row r="2921" spans="3:5" s="15" customFormat="1">
      <c r="C2921" s="40"/>
      <c r="E2921" s="134"/>
    </row>
    <row r="2922" spans="3:5" s="15" customFormat="1">
      <c r="C2922" s="40"/>
      <c r="E2922" s="134"/>
    </row>
    <row r="2923" spans="3:5" s="15" customFormat="1">
      <c r="C2923" s="40"/>
      <c r="E2923" s="134"/>
    </row>
    <row r="2924" spans="3:5" s="15" customFormat="1">
      <c r="C2924" s="40"/>
      <c r="E2924" s="134"/>
    </row>
    <row r="2925" spans="3:5" s="15" customFormat="1">
      <c r="C2925" s="40"/>
      <c r="E2925" s="134"/>
    </row>
    <row r="2926" spans="3:5" s="15" customFormat="1">
      <c r="C2926" s="40"/>
      <c r="E2926" s="134"/>
    </row>
    <row r="2927" spans="3:5" s="15" customFormat="1">
      <c r="C2927" s="40"/>
      <c r="E2927" s="134"/>
    </row>
    <row r="2928" spans="3:5" s="15" customFormat="1">
      <c r="C2928" s="40"/>
      <c r="E2928" s="134"/>
    </row>
    <row r="2929" spans="3:5" s="15" customFormat="1">
      <c r="C2929" s="40"/>
      <c r="E2929" s="134"/>
    </row>
    <row r="2930" spans="3:5" s="15" customFormat="1">
      <c r="C2930" s="40"/>
      <c r="E2930" s="134"/>
    </row>
    <row r="2931" spans="3:5" s="15" customFormat="1">
      <c r="C2931" s="40"/>
      <c r="E2931" s="134"/>
    </row>
    <row r="2932" spans="3:5" s="15" customFormat="1">
      <c r="C2932" s="40"/>
      <c r="E2932" s="134"/>
    </row>
    <row r="2933" spans="3:5" s="15" customFormat="1">
      <c r="C2933" s="40"/>
      <c r="E2933" s="134"/>
    </row>
    <row r="2934" spans="3:5" s="15" customFormat="1">
      <c r="C2934" s="40"/>
      <c r="E2934" s="134"/>
    </row>
    <row r="2935" spans="3:5" s="15" customFormat="1">
      <c r="C2935" s="40"/>
      <c r="E2935" s="134"/>
    </row>
    <row r="2936" spans="3:5" s="15" customFormat="1">
      <c r="C2936" s="40"/>
      <c r="E2936" s="134"/>
    </row>
    <row r="2937" spans="3:5" s="15" customFormat="1">
      <c r="C2937" s="40"/>
      <c r="E2937" s="134"/>
    </row>
    <row r="2938" spans="3:5" s="15" customFormat="1">
      <c r="C2938" s="40"/>
      <c r="E2938" s="134"/>
    </row>
    <row r="2939" spans="3:5" s="15" customFormat="1">
      <c r="C2939" s="40"/>
      <c r="E2939" s="134"/>
    </row>
    <row r="2940" spans="3:5" s="15" customFormat="1">
      <c r="C2940" s="40"/>
      <c r="E2940" s="134"/>
    </row>
    <row r="2941" spans="3:5" s="15" customFormat="1">
      <c r="C2941" s="40"/>
      <c r="E2941" s="134"/>
    </row>
    <row r="2942" spans="3:5" s="15" customFormat="1">
      <c r="C2942" s="40"/>
      <c r="E2942" s="134"/>
    </row>
    <row r="2943" spans="3:5" s="15" customFormat="1">
      <c r="C2943" s="40"/>
      <c r="E2943" s="134"/>
    </row>
    <row r="2944" spans="3:5" s="15" customFormat="1">
      <c r="C2944" s="40"/>
      <c r="E2944" s="134"/>
    </row>
    <row r="2945" spans="3:5" s="15" customFormat="1">
      <c r="C2945" s="40"/>
      <c r="E2945" s="134"/>
    </row>
    <row r="2946" spans="3:5" s="15" customFormat="1">
      <c r="C2946" s="40"/>
      <c r="E2946" s="134"/>
    </row>
    <row r="2947" spans="3:5" s="15" customFormat="1">
      <c r="C2947" s="40"/>
      <c r="E2947" s="134"/>
    </row>
    <row r="2948" spans="3:5" s="15" customFormat="1">
      <c r="C2948" s="40"/>
      <c r="E2948" s="134"/>
    </row>
    <row r="2949" spans="3:5" s="15" customFormat="1">
      <c r="C2949" s="40"/>
      <c r="E2949" s="134"/>
    </row>
    <row r="2950" spans="3:5" s="15" customFormat="1">
      <c r="C2950" s="40"/>
      <c r="E2950" s="134"/>
    </row>
    <row r="2951" spans="3:5" s="15" customFormat="1">
      <c r="C2951" s="40"/>
      <c r="E2951" s="134"/>
    </row>
    <row r="2952" spans="3:5" s="15" customFormat="1">
      <c r="C2952" s="40"/>
      <c r="E2952" s="134"/>
    </row>
    <row r="2953" spans="3:5" s="15" customFormat="1">
      <c r="C2953" s="40"/>
      <c r="E2953" s="134"/>
    </row>
    <row r="2954" spans="3:5" s="15" customFormat="1">
      <c r="C2954" s="40"/>
      <c r="E2954" s="134"/>
    </row>
    <row r="2955" spans="3:5" s="15" customFormat="1">
      <c r="C2955" s="40"/>
      <c r="E2955" s="134"/>
    </row>
    <row r="2956" spans="3:5" s="15" customFormat="1">
      <c r="C2956" s="40"/>
      <c r="E2956" s="134"/>
    </row>
    <row r="2957" spans="3:5" s="15" customFormat="1">
      <c r="C2957" s="40"/>
      <c r="E2957" s="134"/>
    </row>
    <row r="2958" spans="3:5" s="15" customFormat="1">
      <c r="C2958" s="40"/>
      <c r="E2958" s="134"/>
    </row>
    <row r="2959" spans="3:5" s="15" customFormat="1">
      <c r="C2959" s="40"/>
      <c r="E2959" s="134"/>
    </row>
    <row r="2960" spans="3:5" s="15" customFormat="1">
      <c r="C2960" s="40"/>
      <c r="E2960" s="134"/>
    </row>
    <row r="2961" spans="3:5" s="15" customFormat="1">
      <c r="C2961" s="40"/>
      <c r="E2961" s="134"/>
    </row>
    <row r="2962" spans="3:5" s="15" customFormat="1">
      <c r="C2962" s="40"/>
      <c r="E2962" s="134"/>
    </row>
    <row r="2963" spans="3:5" s="15" customFormat="1">
      <c r="C2963" s="40"/>
      <c r="E2963" s="134"/>
    </row>
    <row r="2964" spans="3:5" s="15" customFormat="1">
      <c r="C2964" s="40"/>
      <c r="E2964" s="134"/>
    </row>
    <row r="2965" spans="3:5" s="15" customFormat="1">
      <c r="C2965" s="40"/>
      <c r="E2965" s="134"/>
    </row>
    <row r="2966" spans="3:5" s="15" customFormat="1">
      <c r="C2966" s="40"/>
      <c r="E2966" s="134"/>
    </row>
    <row r="2967" spans="3:5" s="15" customFormat="1">
      <c r="C2967" s="40"/>
      <c r="E2967" s="134"/>
    </row>
    <row r="2968" spans="3:5" s="15" customFormat="1">
      <c r="C2968" s="40"/>
      <c r="E2968" s="134"/>
    </row>
    <row r="2969" spans="3:5" s="15" customFormat="1">
      <c r="C2969" s="40"/>
      <c r="E2969" s="134"/>
    </row>
    <row r="2970" spans="3:5" s="15" customFormat="1">
      <c r="C2970" s="40"/>
      <c r="E2970" s="134"/>
    </row>
    <row r="2971" spans="3:5" s="15" customFormat="1">
      <c r="C2971" s="40"/>
      <c r="E2971" s="134"/>
    </row>
    <row r="2972" spans="3:5" s="15" customFormat="1">
      <c r="C2972" s="40"/>
      <c r="E2972" s="134"/>
    </row>
    <row r="2973" spans="3:5" s="15" customFormat="1">
      <c r="C2973" s="40"/>
      <c r="E2973" s="134"/>
    </row>
    <row r="2974" spans="3:5" s="15" customFormat="1">
      <c r="C2974" s="40"/>
      <c r="E2974" s="134"/>
    </row>
    <row r="2975" spans="3:5" s="15" customFormat="1">
      <c r="C2975" s="40"/>
      <c r="E2975" s="134"/>
    </row>
    <row r="2976" spans="3:5" s="15" customFormat="1">
      <c r="C2976" s="40"/>
      <c r="E2976" s="134"/>
    </row>
    <row r="2977" spans="3:5" s="15" customFormat="1">
      <c r="C2977" s="40"/>
      <c r="E2977" s="134"/>
    </row>
    <row r="2978" spans="3:5" s="15" customFormat="1">
      <c r="C2978" s="40"/>
      <c r="E2978" s="134"/>
    </row>
    <row r="2979" spans="3:5" s="15" customFormat="1">
      <c r="C2979" s="40"/>
      <c r="E2979" s="134"/>
    </row>
    <row r="2980" spans="3:5" s="15" customFormat="1">
      <c r="C2980" s="40"/>
      <c r="E2980" s="134"/>
    </row>
    <row r="2981" spans="3:5" s="15" customFormat="1">
      <c r="C2981" s="40"/>
      <c r="E2981" s="134"/>
    </row>
    <row r="2982" spans="3:5" s="15" customFormat="1">
      <c r="C2982" s="40"/>
      <c r="E2982" s="134"/>
    </row>
    <row r="2983" spans="3:5" s="15" customFormat="1">
      <c r="C2983" s="40"/>
      <c r="E2983" s="134"/>
    </row>
    <row r="2984" spans="3:5" s="15" customFormat="1">
      <c r="C2984" s="40"/>
      <c r="E2984" s="134"/>
    </row>
    <row r="2985" spans="3:5" s="15" customFormat="1">
      <c r="C2985" s="40"/>
      <c r="E2985" s="134"/>
    </row>
    <row r="2986" spans="3:5" s="15" customFormat="1">
      <c r="C2986" s="40"/>
      <c r="E2986" s="134"/>
    </row>
    <row r="2987" spans="3:5" s="15" customFormat="1">
      <c r="C2987" s="40"/>
      <c r="E2987" s="134"/>
    </row>
    <row r="2988" spans="3:5" s="15" customFormat="1">
      <c r="C2988" s="40"/>
      <c r="E2988" s="134"/>
    </row>
    <row r="2989" spans="3:5" s="15" customFormat="1">
      <c r="C2989" s="40"/>
      <c r="E2989" s="134"/>
    </row>
    <row r="2990" spans="3:5" s="15" customFormat="1">
      <c r="C2990" s="40"/>
      <c r="E2990" s="134"/>
    </row>
    <row r="2991" spans="3:5" s="15" customFormat="1">
      <c r="C2991" s="40"/>
      <c r="E2991" s="134"/>
    </row>
    <row r="2992" spans="3:5" s="15" customFormat="1">
      <c r="C2992" s="40"/>
      <c r="E2992" s="134"/>
    </row>
    <row r="2993" spans="3:5" s="15" customFormat="1">
      <c r="C2993" s="40"/>
      <c r="E2993" s="134"/>
    </row>
    <row r="2994" spans="3:5" s="15" customFormat="1">
      <c r="C2994" s="40"/>
      <c r="E2994" s="134"/>
    </row>
    <row r="2995" spans="3:5" s="15" customFormat="1">
      <c r="C2995" s="40"/>
      <c r="E2995" s="134"/>
    </row>
    <row r="2996" spans="3:5" s="15" customFormat="1">
      <c r="C2996" s="40"/>
      <c r="E2996" s="134"/>
    </row>
    <row r="2997" spans="3:5" s="15" customFormat="1">
      <c r="C2997" s="40"/>
      <c r="E2997" s="134"/>
    </row>
    <row r="2998" spans="3:5" s="15" customFormat="1">
      <c r="C2998" s="40"/>
      <c r="E2998" s="134"/>
    </row>
    <row r="2999" spans="3:5" s="15" customFormat="1">
      <c r="C2999" s="40"/>
      <c r="E2999" s="134"/>
    </row>
    <row r="3000" spans="3:5" s="15" customFormat="1">
      <c r="C3000" s="40"/>
      <c r="E3000" s="134"/>
    </row>
    <row r="3001" spans="3:5" s="15" customFormat="1">
      <c r="C3001" s="40"/>
      <c r="E3001" s="134"/>
    </row>
    <row r="3002" spans="3:5" s="15" customFormat="1">
      <c r="C3002" s="40"/>
      <c r="E3002" s="134"/>
    </row>
    <row r="3003" spans="3:5" s="15" customFormat="1">
      <c r="C3003" s="40"/>
      <c r="E3003" s="134"/>
    </row>
    <row r="3004" spans="3:5" s="15" customFormat="1">
      <c r="C3004" s="40"/>
      <c r="E3004" s="134"/>
    </row>
    <row r="3005" spans="3:5" s="15" customFormat="1">
      <c r="C3005" s="40"/>
      <c r="E3005" s="134"/>
    </row>
    <row r="3006" spans="3:5" s="15" customFormat="1">
      <c r="C3006" s="40"/>
      <c r="E3006" s="134"/>
    </row>
    <row r="3007" spans="3:5" s="15" customFormat="1">
      <c r="C3007" s="40"/>
      <c r="E3007" s="134"/>
    </row>
    <row r="3008" spans="3:5" s="15" customFormat="1">
      <c r="C3008" s="40"/>
      <c r="E3008" s="134"/>
    </row>
    <row r="3009" spans="3:5" s="15" customFormat="1">
      <c r="C3009" s="40"/>
      <c r="E3009" s="134"/>
    </row>
    <row r="3010" spans="3:5" s="15" customFormat="1">
      <c r="C3010" s="40"/>
      <c r="E3010" s="134"/>
    </row>
    <row r="3011" spans="3:5" s="15" customFormat="1">
      <c r="C3011" s="40"/>
      <c r="E3011" s="134"/>
    </row>
    <row r="3012" spans="3:5" s="15" customFormat="1">
      <c r="C3012" s="40"/>
      <c r="E3012" s="134"/>
    </row>
    <row r="3013" spans="3:5" s="15" customFormat="1">
      <c r="C3013" s="40"/>
      <c r="E3013" s="134"/>
    </row>
    <row r="3014" spans="3:5" s="15" customFormat="1">
      <c r="C3014" s="40"/>
      <c r="E3014" s="134"/>
    </row>
    <row r="3015" spans="3:5" s="15" customFormat="1">
      <c r="C3015" s="40"/>
      <c r="E3015" s="134"/>
    </row>
    <row r="3016" spans="3:5" s="15" customFormat="1">
      <c r="C3016" s="40"/>
      <c r="E3016" s="134"/>
    </row>
    <row r="3017" spans="3:5" s="15" customFormat="1">
      <c r="C3017" s="40"/>
      <c r="E3017" s="134"/>
    </row>
    <row r="3018" spans="3:5" s="15" customFormat="1">
      <c r="C3018" s="40"/>
      <c r="E3018" s="134"/>
    </row>
    <row r="3019" spans="3:5" s="15" customFormat="1">
      <c r="C3019" s="40"/>
      <c r="E3019" s="134"/>
    </row>
    <row r="3020" spans="3:5" s="15" customFormat="1">
      <c r="C3020" s="40"/>
      <c r="E3020" s="134"/>
    </row>
    <row r="3021" spans="3:5" s="15" customFormat="1">
      <c r="C3021" s="40"/>
      <c r="E3021" s="134"/>
    </row>
    <row r="3022" spans="3:5" s="15" customFormat="1">
      <c r="C3022" s="40"/>
      <c r="E3022" s="134"/>
    </row>
    <row r="3023" spans="3:5" s="15" customFormat="1">
      <c r="C3023" s="40"/>
      <c r="E3023" s="134"/>
    </row>
    <row r="3024" spans="3:5" s="15" customFormat="1">
      <c r="C3024" s="40"/>
      <c r="E3024" s="134"/>
    </row>
    <row r="3025" spans="3:5" s="15" customFormat="1">
      <c r="C3025" s="40"/>
      <c r="E3025" s="134"/>
    </row>
    <row r="3026" spans="3:5" s="15" customFormat="1">
      <c r="C3026" s="40"/>
      <c r="E3026" s="134"/>
    </row>
    <row r="3027" spans="3:5" s="15" customFormat="1">
      <c r="C3027" s="40"/>
      <c r="E3027" s="134"/>
    </row>
    <row r="3028" spans="3:5" s="15" customFormat="1">
      <c r="C3028" s="40"/>
      <c r="E3028" s="134"/>
    </row>
    <row r="3029" spans="3:5" s="15" customFormat="1">
      <c r="C3029" s="40"/>
      <c r="E3029" s="134"/>
    </row>
    <row r="3030" spans="3:5" s="15" customFormat="1">
      <c r="C3030" s="40"/>
      <c r="E3030" s="134"/>
    </row>
    <row r="3031" spans="3:5" s="15" customFormat="1">
      <c r="C3031" s="40"/>
      <c r="E3031" s="134"/>
    </row>
    <row r="3032" spans="3:5" s="15" customFormat="1">
      <c r="C3032" s="40"/>
      <c r="E3032" s="134"/>
    </row>
    <row r="3033" spans="3:5" s="15" customFormat="1">
      <c r="C3033" s="40"/>
      <c r="E3033" s="134"/>
    </row>
    <row r="3034" spans="3:5" s="15" customFormat="1">
      <c r="C3034" s="40"/>
      <c r="E3034" s="134"/>
    </row>
    <row r="3035" spans="3:5" s="15" customFormat="1">
      <c r="C3035" s="40"/>
      <c r="E3035" s="134"/>
    </row>
    <row r="3036" spans="3:5" s="15" customFormat="1">
      <c r="C3036" s="40"/>
      <c r="E3036" s="134"/>
    </row>
    <row r="3037" spans="3:5" s="15" customFormat="1">
      <c r="C3037" s="40"/>
      <c r="E3037" s="134"/>
    </row>
    <row r="3038" spans="3:5" s="15" customFormat="1">
      <c r="C3038" s="40"/>
      <c r="E3038" s="134"/>
    </row>
    <row r="3039" spans="3:5" s="15" customFormat="1">
      <c r="C3039" s="40"/>
      <c r="E3039" s="134"/>
    </row>
    <row r="3040" spans="3:5" s="15" customFormat="1">
      <c r="C3040" s="40"/>
      <c r="E3040" s="134"/>
    </row>
    <row r="3041" spans="3:5" s="15" customFormat="1">
      <c r="C3041" s="40"/>
      <c r="E3041" s="134"/>
    </row>
    <row r="3042" spans="3:5" s="15" customFormat="1">
      <c r="C3042" s="40"/>
      <c r="E3042" s="134"/>
    </row>
    <row r="3043" spans="3:5" s="15" customFormat="1">
      <c r="C3043" s="40"/>
      <c r="E3043" s="134"/>
    </row>
    <row r="3044" spans="3:5" s="15" customFormat="1">
      <c r="C3044" s="40"/>
      <c r="E3044" s="134"/>
    </row>
    <row r="3045" spans="3:5" s="15" customFormat="1">
      <c r="C3045" s="40"/>
      <c r="E3045" s="134"/>
    </row>
    <row r="3046" spans="3:5" s="15" customFormat="1">
      <c r="C3046" s="40"/>
      <c r="E3046" s="134"/>
    </row>
    <row r="3047" spans="3:5" s="15" customFormat="1">
      <c r="C3047" s="40"/>
      <c r="E3047" s="134"/>
    </row>
    <row r="3048" spans="3:5" s="15" customFormat="1">
      <c r="C3048" s="40"/>
      <c r="E3048" s="134"/>
    </row>
    <row r="3049" spans="3:5" s="15" customFormat="1">
      <c r="C3049" s="40"/>
      <c r="E3049" s="134"/>
    </row>
    <row r="3050" spans="3:5" s="15" customFormat="1">
      <c r="C3050" s="40"/>
      <c r="E3050" s="134"/>
    </row>
    <row r="3051" spans="3:5" s="15" customFormat="1">
      <c r="C3051" s="40"/>
      <c r="E3051" s="134"/>
    </row>
    <row r="3052" spans="3:5" s="15" customFormat="1">
      <c r="C3052" s="40"/>
      <c r="E3052" s="134"/>
    </row>
    <row r="3053" spans="3:5" s="15" customFormat="1">
      <c r="C3053" s="40"/>
      <c r="E3053" s="134"/>
    </row>
    <row r="3054" spans="3:5" s="15" customFormat="1">
      <c r="C3054" s="40"/>
      <c r="E3054" s="134"/>
    </row>
    <row r="3055" spans="3:5" s="15" customFormat="1">
      <c r="C3055" s="40"/>
      <c r="E3055" s="134"/>
    </row>
    <row r="3056" spans="3:5" s="15" customFormat="1">
      <c r="C3056" s="40"/>
      <c r="E3056" s="134"/>
    </row>
    <row r="3057" spans="3:5" s="15" customFormat="1">
      <c r="C3057" s="40"/>
      <c r="E3057" s="134"/>
    </row>
    <row r="3058" spans="3:5" s="15" customFormat="1">
      <c r="C3058" s="40"/>
      <c r="E3058" s="134"/>
    </row>
    <row r="3059" spans="3:5" s="15" customFormat="1">
      <c r="C3059" s="40"/>
      <c r="E3059" s="134"/>
    </row>
    <row r="3060" spans="3:5" s="15" customFormat="1">
      <c r="C3060" s="40"/>
      <c r="E3060" s="134"/>
    </row>
    <row r="3061" spans="3:5" s="15" customFormat="1">
      <c r="C3061" s="40"/>
      <c r="E3061" s="134"/>
    </row>
    <row r="3062" spans="3:5" s="15" customFormat="1">
      <c r="C3062" s="40"/>
      <c r="E3062" s="134"/>
    </row>
    <row r="3063" spans="3:5" s="15" customFormat="1">
      <c r="C3063" s="40"/>
      <c r="E3063" s="134"/>
    </row>
    <row r="3064" spans="3:5" s="15" customFormat="1">
      <c r="C3064" s="40"/>
      <c r="E3064" s="134"/>
    </row>
    <row r="3065" spans="3:5" s="15" customFormat="1">
      <c r="C3065" s="40"/>
      <c r="E3065" s="134"/>
    </row>
    <row r="3066" spans="3:5" s="15" customFormat="1">
      <c r="C3066" s="40"/>
      <c r="E3066" s="134"/>
    </row>
    <row r="3067" spans="3:5" s="15" customFormat="1">
      <c r="C3067" s="40"/>
      <c r="E3067" s="134"/>
    </row>
    <row r="3068" spans="3:5" s="15" customFormat="1">
      <c r="C3068" s="40"/>
      <c r="E3068" s="134"/>
    </row>
    <row r="3069" spans="3:5" s="15" customFormat="1">
      <c r="C3069" s="40"/>
      <c r="E3069" s="134"/>
    </row>
    <row r="3070" spans="3:5" s="15" customFormat="1">
      <c r="C3070" s="40"/>
      <c r="E3070" s="134"/>
    </row>
    <row r="3071" spans="3:5" s="15" customFormat="1">
      <c r="C3071" s="40"/>
      <c r="E3071" s="134"/>
    </row>
    <row r="3072" spans="3:5" s="15" customFormat="1">
      <c r="C3072" s="40"/>
      <c r="E3072" s="134"/>
    </row>
    <row r="3073" spans="3:5" s="15" customFormat="1">
      <c r="C3073" s="40"/>
      <c r="E3073" s="134"/>
    </row>
    <row r="3074" spans="3:5" s="15" customFormat="1">
      <c r="C3074" s="40"/>
      <c r="E3074" s="134"/>
    </row>
    <row r="3075" spans="3:5" s="15" customFormat="1">
      <c r="C3075" s="40"/>
      <c r="E3075" s="134"/>
    </row>
    <row r="3076" spans="3:5" s="15" customFormat="1">
      <c r="C3076" s="40"/>
      <c r="E3076" s="134"/>
    </row>
    <row r="3077" spans="3:5" s="15" customFormat="1">
      <c r="C3077" s="40"/>
      <c r="E3077" s="134"/>
    </row>
    <row r="3078" spans="3:5" s="15" customFormat="1">
      <c r="C3078" s="40"/>
      <c r="E3078" s="134"/>
    </row>
    <row r="3079" spans="3:5" s="15" customFormat="1">
      <c r="C3079" s="40"/>
      <c r="E3079" s="134"/>
    </row>
    <row r="3080" spans="3:5" s="15" customFormat="1">
      <c r="C3080" s="40"/>
      <c r="E3080" s="134"/>
    </row>
    <row r="3081" spans="3:5" s="15" customFormat="1">
      <c r="C3081" s="40"/>
      <c r="E3081" s="134"/>
    </row>
    <row r="3082" spans="3:5" s="15" customFormat="1">
      <c r="C3082" s="40"/>
      <c r="E3082" s="134"/>
    </row>
    <row r="3083" spans="3:5" s="15" customFormat="1">
      <c r="C3083" s="40"/>
      <c r="E3083" s="134"/>
    </row>
    <row r="3084" spans="3:5" s="15" customFormat="1">
      <c r="C3084" s="40"/>
      <c r="E3084" s="134"/>
    </row>
    <row r="3085" spans="3:5" s="15" customFormat="1">
      <c r="C3085" s="40"/>
      <c r="E3085" s="134"/>
    </row>
    <row r="3086" spans="3:5" s="15" customFormat="1">
      <c r="C3086" s="40"/>
      <c r="E3086" s="134"/>
    </row>
    <row r="3087" spans="3:5" s="15" customFormat="1">
      <c r="C3087" s="40"/>
      <c r="E3087" s="134"/>
    </row>
    <row r="3088" spans="3:5" s="15" customFormat="1">
      <c r="C3088" s="40"/>
      <c r="E3088" s="134"/>
    </row>
    <row r="3089" spans="3:5" s="15" customFormat="1">
      <c r="C3089" s="40"/>
      <c r="E3089" s="134"/>
    </row>
    <row r="3090" spans="3:5" s="15" customFormat="1">
      <c r="C3090" s="40"/>
      <c r="E3090" s="134"/>
    </row>
    <row r="3091" spans="3:5" s="15" customFormat="1">
      <c r="C3091" s="40"/>
      <c r="E3091" s="134"/>
    </row>
    <row r="3092" spans="3:5" s="15" customFormat="1">
      <c r="C3092" s="40"/>
      <c r="E3092" s="134"/>
    </row>
    <row r="3093" spans="3:5" s="15" customFormat="1">
      <c r="C3093" s="40"/>
      <c r="E3093" s="134"/>
    </row>
    <row r="3094" spans="3:5" s="15" customFormat="1">
      <c r="C3094" s="40"/>
      <c r="E3094" s="134"/>
    </row>
    <row r="3095" spans="3:5" s="15" customFormat="1">
      <c r="C3095" s="40"/>
      <c r="E3095" s="134"/>
    </row>
    <row r="3096" spans="3:5" s="15" customFormat="1">
      <c r="C3096" s="40"/>
      <c r="E3096" s="134"/>
    </row>
    <row r="3097" spans="3:5" s="15" customFormat="1">
      <c r="C3097" s="40"/>
      <c r="E3097" s="134"/>
    </row>
    <row r="3098" spans="3:5" s="15" customFormat="1">
      <c r="C3098" s="40"/>
      <c r="E3098" s="134"/>
    </row>
    <row r="3099" spans="3:5" s="15" customFormat="1">
      <c r="C3099" s="40"/>
      <c r="E3099" s="134"/>
    </row>
    <row r="3100" spans="3:5" s="15" customFormat="1">
      <c r="C3100" s="40"/>
      <c r="E3100" s="134"/>
    </row>
    <row r="3101" spans="3:5" s="15" customFormat="1">
      <c r="C3101" s="40"/>
      <c r="E3101" s="134"/>
    </row>
    <row r="3102" spans="3:5" s="15" customFormat="1">
      <c r="C3102" s="40"/>
      <c r="E3102" s="134"/>
    </row>
    <row r="3103" spans="3:5" s="15" customFormat="1">
      <c r="C3103" s="40"/>
      <c r="E3103" s="134"/>
    </row>
    <row r="3104" spans="3:5" s="15" customFormat="1">
      <c r="C3104" s="40"/>
      <c r="E3104" s="134"/>
    </row>
    <row r="3105" spans="3:5" s="15" customFormat="1">
      <c r="C3105" s="40"/>
      <c r="E3105" s="134"/>
    </row>
    <row r="3106" spans="3:5" s="15" customFormat="1">
      <c r="C3106" s="40"/>
      <c r="E3106" s="134"/>
    </row>
    <row r="3107" spans="3:5" s="15" customFormat="1">
      <c r="C3107" s="40"/>
      <c r="E3107" s="134"/>
    </row>
    <row r="3108" spans="3:5" s="15" customFormat="1">
      <c r="C3108" s="40"/>
      <c r="E3108" s="134"/>
    </row>
    <row r="3109" spans="3:5" s="15" customFormat="1">
      <c r="C3109" s="40"/>
      <c r="E3109" s="134"/>
    </row>
    <row r="3110" spans="3:5" s="15" customFormat="1">
      <c r="C3110" s="40"/>
      <c r="E3110" s="134"/>
    </row>
    <row r="3111" spans="3:5" s="15" customFormat="1">
      <c r="C3111" s="40"/>
      <c r="E3111" s="134"/>
    </row>
    <row r="3112" spans="3:5" s="15" customFormat="1">
      <c r="C3112" s="40"/>
      <c r="E3112" s="134"/>
    </row>
    <row r="3113" spans="3:5" s="15" customFormat="1">
      <c r="C3113" s="40"/>
      <c r="E3113" s="134"/>
    </row>
    <row r="3114" spans="3:5" s="15" customFormat="1">
      <c r="C3114" s="40"/>
      <c r="E3114" s="134"/>
    </row>
    <row r="3115" spans="3:5" s="15" customFormat="1">
      <c r="C3115" s="40"/>
      <c r="E3115" s="134"/>
    </row>
    <row r="3116" spans="3:5" s="15" customFormat="1">
      <c r="C3116" s="40"/>
      <c r="E3116" s="134"/>
    </row>
    <row r="3117" spans="3:5" s="15" customFormat="1">
      <c r="C3117" s="40"/>
      <c r="E3117" s="134"/>
    </row>
    <row r="3118" spans="3:5" s="15" customFormat="1">
      <c r="C3118" s="40"/>
      <c r="E3118" s="134"/>
    </row>
    <row r="3119" spans="3:5" s="15" customFormat="1">
      <c r="C3119" s="40"/>
      <c r="E3119" s="134"/>
    </row>
    <row r="3120" spans="3:5" s="15" customFormat="1">
      <c r="C3120" s="40"/>
      <c r="E3120" s="134"/>
    </row>
    <row r="3121" spans="3:5" s="15" customFormat="1">
      <c r="C3121" s="40"/>
      <c r="E3121" s="134"/>
    </row>
    <row r="3122" spans="3:5" s="15" customFormat="1">
      <c r="C3122" s="40"/>
      <c r="E3122" s="134"/>
    </row>
    <row r="3123" spans="3:5" s="15" customFormat="1">
      <c r="C3123" s="40"/>
      <c r="E3123" s="134"/>
    </row>
    <row r="3124" spans="3:5" s="15" customFormat="1">
      <c r="C3124" s="40"/>
      <c r="E3124" s="134"/>
    </row>
    <row r="3125" spans="3:5" s="15" customFormat="1">
      <c r="C3125" s="40"/>
      <c r="E3125" s="134"/>
    </row>
    <row r="3126" spans="3:5" s="15" customFormat="1">
      <c r="C3126" s="40"/>
      <c r="E3126" s="134"/>
    </row>
    <row r="3127" spans="3:5" s="15" customFormat="1">
      <c r="C3127" s="40"/>
      <c r="E3127" s="134"/>
    </row>
    <row r="3128" spans="3:5" s="15" customFormat="1">
      <c r="C3128" s="40"/>
      <c r="E3128" s="134"/>
    </row>
    <row r="3129" spans="3:5" s="15" customFormat="1">
      <c r="C3129" s="40"/>
      <c r="E3129" s="134"/>
    </row>
    <row r="3130" spans="3:5" s="15" customFormat="1">
      <c r="C3130" s="40"/>
      <c r="E3130" s="134"/>
    </row>
    <row r="3131" spans="3:5" s="15" customFormat="1">
      <c r="C3131" s="40"/>
      <c r="E3131" s="134"/>
    </row>
    <row r="3132" spans="3:5" s="15" customFormat="1">
      <c r="C3132" s="40"/>
      <c r="E3132" s="134"/>
    </row>
    <row r="3133" spans="3:5" s="15" customFormat="1">
      <c r="C3133" s="40"/>
      <c r="E3133" s="134"/>
    </row>
    <row r="3134" spans="3:5" s="15" customFormat="1">
      <c r="C3134" s="40"/>
      <c r="E3134" s="134"/>
    </row>
    <row r="3135" spans="3:5" s="15" customFormat="1">
      <c r="C3135" s="40"/>
      <c r="E3135" s="134"/>
    </row>
    <row r="3136" spans="3:5" s="15" customFormat="1">
      <c r="C3136" s="40"/>
      <c r="E3136" s="134"/>
    </row>
    <row r="3137" spans="3:5" s="15" customFormat="1">
      <c r="C3137" s="40"/>
      <c r="E3137" s="134"/>
    </row>
    <row r="3138" spans="3:5" s="15" customFormat="1">
      <c r="C3138" s="40"/>
      <c r="E3138" s="134"/>
    </row>
    <row r="3139" spans="3:5" s="15" customFormat="1">
      <c r="C3139" s="40"/>
      <c r="E3139" s="134"/>
    </row>
    <row r="3140" spans="3:5" s="15" customFormat="1">
      <c r="C3140" s="40"/>
      <c r="E3140" s="134"/>
    </row>
    <row r="3141" spans="3:5" s="15" customFormat="1">
      <c r="C3141" s="40"/>
      <c r="E3141" s="134"/>
    </row>
    <row r="3142" spans="3:5" s="15" customFormat="1">
      <c r="C3142" s="40"/>
      <c r="E3142" s="134"/>
    </row>
    <row r="3143" spans="3:5" s="15" customFormat="1">
      <c r="C3143" s="40"/>
      <c r="E3143" s="134"/>
    </row>
    <row r="3144" spans="3:5" s="15" customFormat="1">
      <c r="C3144" s="40"/>
      <c r="E3144" s="134"/>
    </row>
    <row r="3145" spans="3:5" s="15" customFormat="1">
      <c r="C3145" s="40"/>
      <c r="E3145" s="134"/>
    </row>
    <row r="3146" spans="3:5" s="15" customFormat="1">
      <c r="C3146" s="40"/>
      <c r="E3146" s="134"/>
    </row>
    <row r="3147" spans="3:5" s="15" customFormat="1">
      <c r="C3147" s="40"/>
      <c r="E3147" s="134"/>
    </row>
    <row r="3148" spans="3:5" s="15" customFormat="1">
      <c r="C3148" s="40"/>
      <c r="E3148" s="134"/>
    </row>
    <row r="3149" spans="3:5" s="15" customFormat="1">
      <c r="C3149" s="40"/>
      <c r="E3149" s="134"/>
    </row>
    <row r="3150" spans="3:5" s="15" customFormat="1">
      <c r="C3150" s="40"/>
      <c r="E3150" s="134"/>
    </row>
    <row r="3151" spans="3:5" s="15" customFormat="1">
      <c r="C3151" s="40"/>
      <c r="E3151" s="134"/>
    </row>
    <row r="3152" spans="3:5" s="15" customFormat="1">
      <c r="C3152" s="40"/>
      <c r="E3152" s="134"/>
    </row>
    <row r="3153" spans="3:5" s="15" customFormat="1">
      <c r="C3153" s="40"/>
      <c r="E3153" s="134"/>
    </row>
    <row r="3154" spans="3:5" s="15" customFormat="1">
      <c r="C3154" s="40"/>
      <c r="E3154" s="134"/>
    </row>
    <row r="3155" spans="3:5" s="15" customFormat="1">
      <c r="C3155" s="40"/>
      <c r="E3155" s="134"/>
    </row>
    <row r="3156" spans="3:5" s="15" customFormat="1">
      <c r="C3156" s="40"/>
      <c r="E3156" s="134"/>
    </row>
    <row r="3157" spans="3:5" s="15" customFormat="1">
      <c r="C3157" s="40"/>
      <c r="E3157" s="134"/>
    </row>
    <row r="3158" spans="3:5" s="15" customFormat="1">
      <c r="C3158" s="40"/>
      <c r="E3158" s="134"/>
    </row>
    <row r="3159" spans="3:5" s="15" customFormat="1">
      <c r="C3159" s="40"/>
      <c r="E3159" s="134"/>
    </row>
    <row r="3160" spans="3:5" s="15" customFormat="1">
      <c r="C3160" s="40"/>
      <c r="E3160" s="134"/>
    </row>
    <row r="3161" spans="3:5" s="15" customFormat="1">
      <c r="C3161" s="40"/>
      <c r="E3161" s="134"/>
    </row>
    <row r="3162" spans="3:5" s="15" customFormat="1">
      <c r="C3162" s="40"/>
      <c r="E3162" s="134"/>
    </row>
    <row r="3163" spans="3:5" s="15" customFormat="1">
      <c r="C3163" s="40"/>
      <c r="E3163" s="134"/>
    </row>
    <row r="3164" spans="3:5" s="15" customFormat="1">
      <c r="C3164" s="40"/>
      <c r="E3164" s="134"/>
    </row>
    <row r="3165" spans="3:5" s="15" customFormat="1">
      <c r="C3165" s="40"/>
      <c r="E3165" s="134"/>
    </row>
    <row r="3166" spans="3:5" s="15" customFormat="1">
      <c r="C3166" s="40"/>
      <c r="E3166" s="134"/>
    </row>
    <row r="3167" spans="3:5" s="15" customFormat="1">
      <c r="C3167" s="40"/>
      <c r="E3167" s="134"/>
    </row>
    <row r="3168" spans="3:5" s="15" customFormat="1">
      <c r="C3168" s="40"/>
      <c r="E3168" s="134"/>
    </row>
    <row r="3169" spans="3:5" s="15" customFormat="1">
      <c r="C3169" s="40"/>
      <c r="E3169" s="134"/>
    </row>
    <row r="3170" spans="3:5" s="15" customFormat="1">
      <c r="C3170" s="40"/>
      <c r="E3170" s="134"/>
    </row>
    <row r="3171" spans="3:5" s="15" customFormat="1">
      <c r="C3171" s="40"/>
      <c r="E3171" s="134"/>
    </row>
    <row r="3172" spans="3:5" s="15" customFormat="1">
      <c r="C3172" s="40"/>
      <c r="E3172" s="134"/>
    </row>
    <row r="3173" spans="3:5" s="15" customFormat="1">
      <c r="C3173" s="40"/>
      <c r="E3173" s="134"/>
    </row>
    <row r="3174" spans="3:5" s="15" customFormat="1">
      <c r="C3174" s="40"/>
      <c r="E3174" s="134"/>
    </row>
    <row r="3175" spans="3:5" s="15" customFormat="1">
      <c r="C3175" s="40"/>
      <c r="E3175" s="134"/>
    </row>
    <row r="3176" spans="3:5" s="15" customFormat="1">
      <c r="C3176" s="40"/>
      <c r="E3176" s="134"/>
    </row>
    <row r="3177" spans="3:5" s="15" customFormat="1">
      <c r="C3177" s="40"/>
      <c r="E3177" s="134"/>
    </row>
    <row r="3178" spans="3:5" s="15" customFormat="1">
      <c r="C3178" s="40"/>
      <c r="E3178" s="134"/>
    </row>
    <row r="3179" spans="3:5" s="15" customFormat="1">
      <c r="C3179" s="40"/>
      <c r="E3179" s="134"/>
    </row>
    <row r="3180" spans="3:5" s="15" customFormat="1">
      <c r="C3180" s="40"/>
      <c r="E3180" s="134"/>
    </row>
    <row r="3181" spans="3:5" s="15" customFormat="1">
      <c r="C3181" s="40"/>
      <c r="E3181" s="134"/>
    </row>
    <row r="3182" spans="3:5" s="15" customFormat="1">
      <c r="C3182" s="40"/>
      <c r="E3182" s="134"/>
    </row>
    <row r="3183" spans="3:5" s="15" customFormat="1">
      <c r="C3183" s="40"/>
      <c r="E3183" s="134"/>
    </row>
    <row r="3184" spans="3:5" s="15" customFormat="1">
      <c r="C3184" s="40"/>
      <c r="E3184" s="134"/>
    </row>
    <row r="3185" spans="3:5" s="15" customFormat="1">
      <c r="C3185" s="40"/>
      <c r="E3185" s="134"/>
    </row>
    <row r="3186" spans="3:5" s="15" customFormat="1">
      <c r="C3186" s="40"/>
      <c r="E3186" s="134"/>
    </row>
    <row r="3187" spans="3:5" s="15" customFormat="1">
      <c r="C3187" s="40"/>
      <c r="E3187" s="134"/>
    </row>
    <row r="3188" spans="3:5" s="15" customFormat="1">
      <c r="C3188" s="40"/>
      <c r="E3188" s="134"/>
    </row>
    <row r="3189" spans="3:5" s="15" customFormat="1">
      <c r="C3189" s="40"/>
      <c r="E3189" s="134"/>
    </row>
    <row r="3190" spans="3:5" s="15" customFormat="1">
      <c r="C3190" s="40"/>
      <c r="E3190" s="134"/>
    </row>
    <row r="3191" spans="3:5" s="15" customFormat="1">
      <c r="C3191" s="40"/>
      <c r="E3191" s="134"/>
    </row>
    <row r="3192" spans="3:5" s="15" customFormat="1">
      <c r="C3192" s="40"/>
      <c r="E3192" s="134"/>
    </row>
    <row r="3193" spans="3:5" s="15" customFormat="1">
      <c r="C3193" s="40"/>
      <c r="E3193" s="134"/>
    </row>
    <row r="3194" spans="3:5" s="15" customFormat="1">
      <c r="C3194" s="40"/>
      <c r="E3194" s="134"/>
    </row>
    <row r="3195" spans="3:5" s="15" customFormat="1">
      <c r="C3195" s="40"/>
      <c r="E3195" s="134"/>
    </row>
    <row r="3196" spans="3:5" s="15" customFormat="1">
      <c r="C3196" s="40"/>
      <c r="E3196" s="134"/>
    </row>
    <row r="3197" spans="3:5" s="15" customFormat="1">
      <c r="C3197" s="40"/>
      <c r="E3197" s="134"/>
    </row>
    <row r="3198" spans="3:5" s="15" customFormat="1">
      <c r="C3198" s="40"/>
      <c r="E3198" s="134"/>
    </row>
    <row r="3199" spans="3:5" s="15" customFormat="1">
      <c r="C3199" s="40"/>
      <c r="E3199" s="134"/>
    </row>
    <row r="3200" spans="3:5" s="15" customFormat="1">
      <c r="C3200" s="40"/>
      <c r="E3200" s="134"/>
    </row>
    <row r="3201" spans="3:5" s="15" customFormat="1">
      <c r="C3201" s="40"/>
      <c r="E3201" s="134"/>
    </row>
    <row r="3202" spans="3:5" s="15" customFormat="1">
      <c r="C3202" s="40"/>
      <c r="E3202" s="134"/>
    </row>
    <row r="3203" spans="3:5" s="15" customFormat="1">
      <c r="C3203" s="40"/>
      <c r="E3203" s="134"/>
    </row>
    <row r="3204" spans="3:5" s="15" customFormat="1">
      <c r="C3204" s="40"/>
      <c r="E3204" s="134"/>
    </row>
    <row r="3205" spans="3:5" s="15" customFormat="1">
      <c r="C3205" s="40"/>
      <c r="E3205" s="134"/>
    </row>
    <row r="3206" spans="3:5" s="15" customFormat="1">
      <c r="C3206" s="40"/>
      <c r="E3206" s="134"/>
    </row>
    <row r="3207" spans="3:5" s="15" customFormat="1">
      <c r="C3207" s="40"/>
      <c r="E3207" s="134"/>
    </row>
    <row r="3208" spans="3:5" s="15" customFormat="1">
      <c r="C3208" s="40"/>
      <c r="E3208" s="134"/>
    </row>
    <row r="3209" spans="3:5" s="15" customFormat="1">
      <c r="C3209" s="40"/>
      <c r="E3209" s="134"/>
    </row>
    <row r="3210" spans="3:5" s="15" customFormat="1">
      <c r="C3210" s="40"/>
      <c r="E3210" s="134"/>
    </row>
    <row r="3211" spans="3:5" s="15" customFormat="1">
      <c r="C3211" s="40"/>
      <c r="E3211" s="134"/>
    </row>
    <row r="3212" spans="3:5" s="15" customFormat="1">
      <c r="C3212" s="40"/>
      <c r="E3212" s="134"/>
    </row>
    <row r="3213" spans="3:5" s="15" customFormat="1">
      <c r="C3213" s="40"/>
      <c r="E3213" s="134"/>
    </row>
    <row r="3214" spans="3:5" s="15" customFormat="1">
      <c r="C3214" s="40"/>
      <c r="E3214" s="134"/>
    </row>
    <row r="3215" spans="3:5" s="15" customFormat="1">
      <c r="C3215" s="40"/>
      <c r="E3215" s="134"/>
    </row>
    <row r="3216" spans="3:5" s="15" customFormat="1">
      <c r="C3216" s="40"/>
      <c r="E3216" s="134"/>
    </row>
    <row r="3217" spans="3:5" s="15" customFormat="1">
      <c r="C3217" s="40"/>
      <c r="E3217" s="134"/>
    </row>
    <row r="3218" spans="3:5" s="15" customFormat="1">
      <c r="C3218" s="40"/>
      <c r="E3218" s="134"/>
    </row>
    <row r="3219" spans="3:5" s="15" customFormat="1">
      <c r="C3219" s="40"/>
      <c r="E3219" s="134"/>
    </row>
    <row r="3220" spans="3:5" s="15" customFormat="1">
      <c r="C3220" s="40"/>
      <c r="E3220" s="134"/>
    </row>
    <row r="3221" spans="3:5" s="15" customFormat="1">
      <c r="C3221" s="40"/>
      <c r="E3221" s="134"/>
    </row>
    <row r="3222" spans="3:5" s="15" customFormat="1">
      <c r="C3222" s="40"/>
      <c r="E3222" s="134"/>
    </row>
    <row r="3223" spans="3:5" s="15" customFormat="1">
      <c r="C3223" s="40"/>
      <c r="E3223" s="134"/>
    </row>
    <row r="3224" spans="3:5" s="15" customFormat="1">
      <c r="C3224" s="40"/>
      <c r="E3224" s="134"/>
    </row>
    <row r="3225" spans="3:5" s="15" customFormat="1">
      <c r="C3225" s="40"/>
      <c r="E3225" s="134"/>
    </row>
    <row r="3226" spans="3:5" s="15" customFormat="1">
      <c r="C3226" s="40"/>
      <c r="E3226" s="134"/>
    </row>
    <row r="3227" spans="3:5" s="15" customFormat="1">
      <c r="C3227" s="40"/>
      <c r="E3227" s="134"/>
    </row>
    <row r="3228" spans="3:5" s="15" customFormat="1">
      <c r="C3228" s="40"/>
      <c r="E3228" s="134"/>
    </row>
    <row r="3229" spans="3:5" s="15" customFormat="1">
      <c r="C3229" s="40"/>
      <c r="E3229" s="134"/>
    </row>
    <row r="3230" spans="3:5" s="15" customFormat="1">
      <c r="C3230" s="40"/>
      <c r="E3230" s="134"/>
    </row>
    <row r="3231" spans="3:5" s="15" customFormat="1">
      <c r="C3231" s="40"/>
      <c r="E3231" s="134"/>
    </row>
    <row r="3232" spans="3:5" s="15" customFormat="1">
      <c r="C3232" s="40"/>
      <c r="E3232" s="134"/>
    </row>
    <row r="3233" spans="3:5" s="15" customFormat="1">
      <c r="C3233" s="40"/>
      <c r="E3233" s="134"/>
    </row>
    <row r="3234" spans="3:5" s="15" customFormat="1">
      <c r="C3234" s="40"/>
      <c r="E3234" s="134"/>
    </row>
    <row r="3235" spans="3:5" s="15" customFormat="1">
      <c r="C3235" s="40"/>
      <c r="E3235" s="134"/>
    </row>
    <row r="3236" spans="3:5" s="15" customFormat="1">
      <c r="C3236" s="40"/>
      <c r="E3236" s="134"/>
    </row>
    <row r="3237" spans="3:5" s="15" customFormat="1">
      <c r="C3237" s="40"/>
      <c r="E3237" s="134"/>
    </row>
    <row r="3238" spans="3:5" s="15" customFormat="1">
      <c r="C3238" s="40"/>
      <c r="E3238" s="134"/>
    </row>
    <row r="3239" spans="3:5" s="15" customFormat="1">
      <c r="C3239" s="40"/>
      <c r="E3239" s="134"/>
    </row>
    <row r="3240" spans="3:5" s="15" customFormat="1">
      <c r="C3240" s="40"/>
      <c r="E3240" s="134"/>
    </row>
    <row r="3241" spans="3:5" s="15" customFormat="1">
      <c r="C3241" s="40"/>
      <c r="E3241" s="134"/>
    </row>
    <row r="3242" spans="3:5" s="15" customFormat="1">
      <c r="C3242" s="40"/>
      <c r="E3242" s="134"/>
    </row>
    <row r="3243" spans="3:5" s="15" customFormat="1">
      <c r="C3243" s="40"/>
      <c r="E3243" s="134"/>
    </row>
    <row r="3244" spans="3:5" s="15" customFormat="1">
      <c r="C3244" s="40"/>
      <c r="E3244" s="134"/>
    </row>
    <row r="3245" spans="3:5" s="15" customFormat="1">
      <c r="C3245" s="40"/>
      <c r="E3245" s="134"/>
    </row>
    <row r="3246" spans="3:5" s="15" customFormat="1">
      <c r="C3246" s="40"/>
      <c r="E3246" s="134"/>
    </row>
    <row r="3247" spans="3:5" s="15" customFormat="1">
      <c r="C3247" s="40"/>
      <c r="E3247" s="134"/>
    </row>
    <row r="3248" spans="3:5" s="15" customFormat="1">
      <c r="C3248" s="40"/>
      <c r="E3248" s="134"/>
    </row>
    <row r="3249" spans="3:5" s="15" customFormat="1">
      <c r="C3249" s="40"/>
      <c r="E3249" s="134"/>
    </row>
    <row r="3250" spans="3:5" s="15" customFormat="1">
      <c r="C3250" s="40"/>
      <c r="E3250" s="134"/>
    </row>
    <row r="3251" spans="3:5" s="15" customFormat="1">
      <c r="C3251" s="40"/>
      <c r="E3251" s="134"/>
    </row>
    <row r="3252" spans="3:5" s="15" customFormat="1">
      <c r="C3252" s="40"/>
      <c r="E3252" s="134"/>
    </row>
    <row r="3253" spans="3:5" s="15" customFormat="1">
      <c r="C3253" s="40"/>
      <c r="E3253" s="134"/>
    </row>
    <row r="3254" spans="3:5" s="15" customFormat="1">
      <c r="C3254" s="40"/>
      <c r="E3254" s="134"/>
    </row>
    <row r="3255" spans="3:5" s="15" customFormat="1">
      <c r="C3255" s="40"/>
      <c r="E3255" s="134"/>
    </row>
    <row r="3256" spans="3:5" s="15" customFormat="1">
      <c r="C3256" s="40"/>
      <c r="E3256" s="134"/>
    </row>
    <row r="3257" spans="3:5" s="15" customFormat="1">
      <c r="C3257" s="40"/>
      <c r="E3257" s="134"/>
    </row>
    <row r="3258" spans="3:5" s="15" customFormat="1">
      <c r="C3258" s="40"/>
      <c r="E3258" s="134"/>
    </row>
    <row r="3259" spans="3:5" s="15" customFormat="1">
      <c r="C3259" s="40"/>
      <c r="E3259" s="134"/>
    </row>
    <row r="3260" spans="3:5" s="15" customFormat="1">
      <c r="C3260" s="40"/>
      <c r="E3260" s="134"/>
    </row>
    <row r="3261" spans="3:5" s="15" customFormat="1">
      <c r="C3261" s="40"/>
      <c r="E3261" s="134"/>
    </row>
    <row r="3262" spans="3:5" s="15" customFormat="1">
      <c r="C3262" s="40"/>
      <c r="E3262" s="134"/>
    </row>
    <row r="3263" spans="3:5" s="15" customFormat="1">
      <c r="C3263" s="40"/>
      <c r="E3263" s="134"/>
    </row>
    <row r="3264" spans="3:5" s="15" customFormat="1">
      <c r="C3264" s="40"/>
      <c r="E3264" s="134"/>
    </row>
    <row r="3265" spans="3:5" s="15" customFormat="1">
      <c r="C3265" s="40"/>
      <c r="E3265" s="134"/>
    </row>
    <row r="3266" spans="3:5" s="15" customFormat="1">
      <c r="C3266" s="40"/>
      <c r="E3266" s="134"/>
    </row>
    <row r="3267" spans="3:5" s="15" customFormat="1">
      <c r="C3267" s="40"/>
      <c r="E3267" s="134"/>
    </row>
    <row r="3268" spans="3:5" s="15" customFormat="1">
      <c r="C3268" s="40"/>
      <c r="E3268" s="134"/>
    </row>
    <row r="3269" spans="3:5" s="15" customFormat="1">
      <c r="C3269" s="40"/>
      <c r="E3269" s="134"/>
    </row>
    <row r="3270" spans="3:5" s="15" customFormat="1">
      <c r="C3270" s="40"/>
      <c r="E3270" s="134"/>
    </row>
    <row r="3271" spans="3:5" s="15" customFormat="1">
      <c r="C3271" s="40"/>
      <c r="E3271" s="134"/>
    </row>
    <row r="3272" spans="3:5" s="15" customFormat="1">
      <c r="C3272" s="40"/>
      <c r="E3272" s="134"/>
    </row>
    <row r="3273" spans="3:5" s="15" customFormat="1">
      <c r="C3273" s="40"/>
      <c r="E3273" s="134"/>
    </row>
    <row r="3274" spans="3:5" s="15" customFormat="1">
      <c r="C3274" s="40"/>
      <c r="E3274" s="134"/>
    </row>
    <row r="3275" spans="3:5" s="15" customFormat="1">
      <c r="C3275" s="40"/>
      <c r="E3275" s="134"/>
    </row>
    <row r="3276" spans="3:5" s="15" customFormat="1">
      <c r="C3276" s="40"/>
      <c r="E3276" s="134"/>
    </row>
    <row r="3277" spans="3:5" s="15" customFormat="1">
      <c r="C3277" s="40"/>
      <c r="E3277" s="134"/>
    </row>
    <row r="3278" spans="3:5" s="15" customFormat="1">
      <c r="C3278" s="40"/>
      <c r="E3278" s="134"/>
    </row>
    <row r="3279" spans="3:5" s="15" customFormat="1">
      <c r="C3279" s="40"/>
      <c r="E3279" s="134"/>
    </row>
    <row r="3280" spans="3:5" s="15" customFormat="1">
      <c r="C3280" s="40"/>
      <c r="E3280" s="134"/>
    </row>
    <row r="3281" spans="3:5" s="15" customFormat="1">
      <c r="C3281" s="40"/>
      <c r="E3281" s="134"/>
    </row>
    <row r="3282" spans="3:5" s="15" customFormat="1">
      <c r="C3282" s="40"/>
      <c r="E3282" s="134"/>
    </row>
    <row r="3283" spans="3:5" s="15" customFormat="1">
      <c r="C3283" s="40"/>
      <c r="E3283" s="134"/>
    </row>
    <row r="3284" spans="3:5" s="15" customFormat="1">
      <c r="C3284" s="40"/>
      <c r="E3284" s="134"/>
    </row>
    <row r="3285" spans="3:5" s="15" customFormat="1">
      <c r="C3285" s="40"/>
      <c r="E3285" s="134"/>
    </row>
    <row r="3286" spans="3:5" s="15" customFormat="1">
      <c r="C3286" s="40"/>
      <c r="E3286" s="134"/>
    </row>
    <row r="3287" spans="3:5" s="15" customFormat="1">
      <c r="C3287" s="40"/>
      <c r="E3287" s="134"/>
    </row>
    <row r="3288" spans="3:5" s="15" customFormat="1">
      <c r="C3288" s="40"/>
      <c r="E3288" s="134"/>
    </row>
    <row r="3289" spans="3:5" s="15" customFormat="1">
      <c r="C3289" s="40"/>
      <c r="E3289" s="134"/>
    </row>
    <row r="3290" spans="3:5" s="15" customFormat="1">
      <c r="C3290" s="40"/>
      <c r="E3290" s="134"/>
    </row>
    <row r="3291" spans="3:5" s="15" customFormat="1">
      <c r="C3291" s="40"/>
      <c r="E3291" s="134"/>
    </row>
    <row r="3292" spans="3:5" s="15" customFormat="1">
      <c r="C3292" s="40"/>
      <c r="E3292" s="134"/>
    </row>
    <row r="3293" spans="3:5" s="15" customFormat="1">
      <c r="C3293" s="40"/>
      <c r="E3293" s="134"/>
    </row>
    <row r="3294" spans="3:5" s="15" customFormat="1">
      <c r="C3294" s="40"/>
      <c r="E3294" s="134"/>
    </row>
    <row r="3295" spans="3:5" s="15" customFormat="1">
      <c r="C3295" s="40"/>
      <c r="E3295" s="134"/>
    </row>
    <row r="3296" spans="3:5" s="15" customFormat="1">
      <c r="C3296" s="40"/>
      <c r="E3296" s="134"/>
    </row>
    <row r="3297" spans="3:5" s="15" customFormat="1">
      <c r="C3297" s="40"/>
      <c r="E3297" s="134"/>
    </row>
    <row r="3298" spans="3:5" s="15" customFormat="1">
      <c r="C3298" s="40"/>
      <c r="E3298" s="134"/>
    </row>
    <row r="3299" spans="3:5" s="15" customFormat="1">
      <c r="C3299" s="40"/>
      <c r="E3299" s="134"/>
    </row>
    <row r="3300" spans="3:5" s="15" customFormat="1">
      <c r="C3300" s="40"/>
      <c r="E3300" s="134"/>
    </row>
    <row r="3301" spans="3:5" s="15" customFormat="1">
      <c r="C3301" s="40"/>
      <c r="E3301" s="134"/>
    </row>
    <row r="3302" spans="3:5" s="15" customFormat="1">
      <c r="C3302" s="40"/>
      <c r="E3302" s="134"/>
    </row>
    <row r="3303" spans="3:5" s="15" customFormat="1">
      <c r="C3303" s="40"/>
      <c r="E3303" s="134"/>
    </row>
    <row r="3304" spans="3:5" s="15" customFormat="1">
      <c r="C3304" s="40"/>
      <c r="E3304" s="134"/>
    </row>
    <row r="3305" spans="3:5" s="15" customFormat="1">
      <c r="C3305" s="40"/>
      <c r="E3305" s="134"/>
    </row>
    <row r="3306" spans="3:5" s="15" customFormat="1">
      <c r="C3306" s="40"/>
      <c r="E3306" s="134"/>
    </row>
    <row r="3307" spans="3:5" s="15" customFormat="1">
      <c r="C3307" s="40"/>
      <c r="E3307" s="134"/>
    </row>
    <row r="3308" spans="3:5" s="15" customFormat="1">
      <c r="C3308" s="40"/>
      <c r="E3308" s="134"/>
    </row>
    <row r="3309" spans="3:5" s="15" customFormat="1">
      <c r="C3309" s="40"/>
      <c r="E3309" s="134"/>
    </row>
    <row r="3310" spans="3:5" s="15" customFormat="1">
      <c r="C3310" s="40"/>
      <c r="E3310" s="134"/>
    </row>
    <row r="3311" spans="3:5" s="15" customFormat="1">
      <c r="C3311" s="40"/>
      <c r="E3311" s="134"/>
    </row>
    <row r="3312" spans="3:5" s="15" customFormat="1">
      <c r="C3312" s="40"/>
      <c r="E3312" s="134"/>
    </row>
    <row r="3313" spans="3:5" s="15" customFormat="1">
      <c r="C3313" s="40"/>
      <c r="E3313" s="134"/>
    </row>
    <row r="3314" spans="3:5" s="15" customFormat="1">
      <c r="C3314" s="40"/>
      <c r="E3314" s="134"/>
    </row>
    <row r="3315" spans="3:5" s="15" customFormat="1">
      <c r="C3315" s="40"/>
      <c r="E3315" s="134"/>
    </row>
    <row r="3316" spans="3:5" s="15" customFormat="1">
      <c r="C3316" s="40"/>
      <c r="E3316" s="134"/>
    </row>
    <row r="3317" spans="3:5" s="15" customFormat="1">
      <c r="C3317" s="40"/>
      <c r="E3317" s="134"/>
    </row>
    <row r="3318" spans="3:5" s="15" customFormat="1">
      <c r="C3318" s="40"/>
      <c r="E3318" s="134"/>
    </row>
    <row r="3319" spans="3:5" s="15" customFormat="1">
      <c r="C3319" s="40"/>
      <c r="E3319" s="134"/>
    </row>
    <row r="3320" spans="3:5" s="15" customFormat="1">
      <c r="C3320" s="40"/>
      <c r="E3320" s="134"/>
    </row>
    <row r="3321" spans="3:5" s="15" customFormat="1">
      <c r="C3321" s="40"/>
      <c r="E3321" s="134"/>
    </row>
    <row r="3322" spans="3:5" s="15" customFormat="1">
      <c r="C3322" s="40"/>
      <c r="E3322" s="134"/>
    </row>
    <row r="3323" spans="3:5" s="15" customFormat="1">
      <c r="C3323" s="40"/>
      <c r="E3323" s="134"/>
    </row>
    <row r="3324" spans="3:5" s="15" customFormat="1">
      <c r="C3324" s="40"/>
      <c r="E3324" s="134"/>
    </row>
    <row r="3325" spans="3:5" s="15" customFormat="1">
      <c r="C3325" s="40"/>
      <c r="E3325" s="134"/>
    </row>
    <row r="3326" spans="3:5" s="15" customFormat="1">
      <c r="C3326" s="40"/>
      <c r="E3326" s="134"/>
    </row>
    <row r="3327" spans="3:5" s="15" customFormat="1">
      <c r="C3327" s="40"/>
      <c r="E3327" s="134"/>
    </row>
    <row r="3328" spans="3:5" s="15" customFormat="1">
      <c r="C3328" s="40"/>
      <c r="E3328" s="134"/>
    </row>
    <row r="3329" spans="3:5" s="15" customFormat="1">
      <c r="C3329" s="40"/>
      <c r="E3329" s="134"/>
    </row>
    <row r="3330" spans="3:5" s="15" customFormat="1">
      <c r="C3330" s="40"/>
      <c r="E3330" s="134"/>
    </row>
    <row r="3331" spans="3:5" s="15" customFormat="1">
      <c r="C3331" s="40"/>
      <c r="E3331" s="134"/>
    </row>
    <row r="3332" spans="3:5" s="15" customFormat="1">
      <c r="C3332" s="40"/>
      <c r="E3332" s="134"/>
    </row>
    <row r="3333" spans="3:5" s="15" customFormat="1">
      <c r="C3333" s="40"/>
      <c r="E3333" s="134"/>
    </row>
    <row r="3334" spans="3:5" s="15" customFormat="1">
      <c r="C3334" s="40"/>
      <c r="E3334" s="134"/>
    </row>
    <row r="3335" spans="3:5" s="15" customFormat="1">
      <c r="C3335" s="40"/>
      <c r="E3335" s="134"/>
    </row>
    <row r="3336" spans="3:5" s="15" customFormat="1">
      <c r="C3336" s="40"/>
      <c r="E3336" s="134"/>
    </row>
    <row r="3337" spans="3:5" s="15" customFormat="1">
      <c r="C3337" s="40"/>
      <c r="E3337" s="134"/>
    </row>
    <row r="3338" spans="3:5" s="15" customFormat="1">
      <c r="C3338" s="40"/>
      <c r="E3338" s="134"/>
    </row>
    <row r="3339" spans="3:5" s="15" customFormat="1">
      <c r="C3339" s="40"/>
      <c r="E3339" s="134"/>
    </row>
    <row r="3340" spans="3:5" s="15" customFormat="1">
      <c r="C3340" s="40"/>
      <c r="E3340" s="134"/>
    </row>
    <row r="3341" spans="3:5" s="15" customFormat="1">
      <c r="C3341" s="40"/>
      <c r="E3341" s="134"/>
    </row>
    <row r="3342" spans="3:5" s="15" customFormat="1">
      <c r="C3342" s="40"/>
      <c r="E3342" s="134"/>
    </row>
    <row r="3343" spans="3:5" s="15" customFormat="1">
      <c r="C3343" s="40"/>
      <c r="E3343" s="134"/>
    </row>
    <row r="3344" spans="3:5" s="15" customFormat="1">
      <c r="C3344" s="40"/>
      <c r="E3344" s="134"/>
    </row>
    <row r="3345" spans="3:5" s="15" customFormat="1">
      <c r="C3345" s="40"/>
      <c r="E3345" s="134"/>
    </row>
    <row r="3346" spans="3:5" s="15" customFormat="1">
      <c r="C3346" s="40"/>
      <c r="E3346" s="134"/>
    </row>
    <row r="3347" spans="3:5" s="15" customFormat="1">
      <c r="C3347" s="40"/>
      <c r="E3347" s="134"/>
    </row>
    <row r="3348" spans="3:5" s="15" customFormat="1">
      <c r="C3348" s="40"/>
      <c r="E3348" s="134"/>
    </row>
    <row r="3349" spans="3:5" s="15" customFormat="1">
      <c r="C3349" s="40"/>
      <c r="E3349" s="134"/>
    </row>
    <row r="3350" spans="3:5" s="15" customFormat="1">
      <c r="C3350" s="40"/>
      <c r="E3350" s="134"/>
    </row>
    <row r="3351" spans="3:5" s="15" customFormat="1">
      <c r="C3351" s="40"/>
      <c r="E3351" s="134"/>
    </row>
    <row r="3352" spans="3:5" s="15" customFormat="1">
      <c r="C3352" s="40"/>
      <c r="E3352" s="134"/>
    </row>
    <row r="3353" spans="3:5" s="15" customFormat="1">
      <c r="C3353" s="40"/>
      <c r="E3353" s="134"/>
    </row>
    <row r="3354" spans="3:5" s="15" customFormat="1">
      <c r="C3354" s="40"/>
      <c r="E3354" s="134"/>
    </row>
    <row r="3355" spans="3:5" s="15" customFormat="1">
      <c r="C3355" s="40"/>
      <c r="E3355" s="134"/>
    </row>
    <row r="3356" spans="3:5" s="15" customFormat="1">
      <c r="C3356" s="40"/>
      <c r="E3356" s="134"/>
    </row>
    <row r="3357" spans="3:5" s="15" customFormat="1">
      <c r="C3357" s="40"/>
      <c r="E3357" s="134"/>
    </row>
    <row r="3358" spans="3:5" s="15" customFormat="1">
      <c r="C3358" s="40"/>
      <c r="E3358" s="134"/>
    </row>
    <row r="3359" spans="3:5" s="15" customFormat="1">
      <c r="C3359" s="40"/>
      <c r="E3359" s="134"/>
    </row>
    <row r="3360" spans="3:5" s="15" customFormat="1">
      <c r="C3360" s="40"/>
      <c r="E3360" s="134"/>
    </row>
    <row r="3361" spans="3:5" s="15" customFormat="1">
      <c r="C3361" s="40"/>
      <c r="E3361" s="134"/>
    </row>
    <row r="3362" spans="3:5" s="15" customFormat="1">
      <c r="C3362" s="40"/>
      <c r="E3362" s="134"/>
    </row>
    <row r="3363" spans="3:5" s="15" customFormat="1">
      <c r="C3363" s="40"/>
      <c r="E3363" s="134"/>
    </row>
    <row r="3364" spans="3:5" s="15" customFormat="1">
      <c r="C3364" s="40"/>
      <c r="E3364" s="134"/>
    </row>
    <row r="3365" spans="3:5" s="15" customFormat="1">
      <c r="C3365" s="40"/>
      <c r="E3365" s="134"/>
    </row>
    <row r="3366" spans="3:5" s="15" customFormat="1">
      <c r="C3366" s="40"/>
      <c r="E3366" s="134"/>
    </row>
    <row r="3367" spans="3:5" s="15" customFormat="1">
      <c r="C3367" s="40"/>
      <c r="E3367" s="134"/>
    </row>
    <row r="3368" spans="3:5" s="15" customFormat="1">
      <c r="C3368" s="40"/>
      <c r="E3368" s="134"/>
    </row>
    <row r="3369" spans="3:5" s="15" customFormat="1">
      <c r="C3369" s="40"/>
      <c r="E3369" s="134"/>
    </row>
    <row r="3370" spans="3:5" s="15" customFormat="1">
      <c r="C3370" s="40"/>
      <c r="E3370" s="134"/>
    </row>
    <row r="3371" spans="3:5" s="15" customFormat="1">
      <c r="C3371" s="40"/>
      <c r="E3371" s="134"/>
    </row>
    <row r="3372" spans="3:5" s="15" customFormat="1">
      <c r="C3372" s="40"/>
      <c r="E3372" s="134"/>
    </row>
    <row r="3373" spans="3:5" s="15" customFormat="1">
      <c r="C3373" s="40"/>
      <c r="E3373" s="134"/>
    </row>
    <row r="3374" spans="3:5" s="15" customFormat="1">
      <c r="C3374" s="40"/>
      <c r="E3374" s="134"/>
    </row>
    <row r="3375" spans="3:5" s="15" customFormat="1">
      <c r="C3375" s="40"/>
      <c r="E3375" s="134"/>
    </row>
    <row r="3376" spans="3:5" s="15" customFormat="1">
      <c r="C3376" s="40"/>
      <c r="E3376" s="134"/>
    </row>
    <row r="3377" spans="3:5" s="15" customFormat="1">
      <c r="C3377" s="40"/>
      <c r="E3377" s="134"/>
    </row>
    <row r="3378" spans="3:5" s="15" customFormat="1">
      <c r="C3378" s="40"/>
      <c r="E3378" s="134"/>
    </row>
    <row r="3379" spans="3:5" s="15" customFormat="1">
      <c r="C3379" s="40"/>
      <c r="E3379" s="134"/>
    </row>
    <row r="3380" spans="3:5" s="15" customFormat="1">
      <c r="C3380" s="40"/>
      <c r="E3380" s="134"/>
    </row>
    <row r="3381" spans="3:5" s="15" customFormat="1">
      <c r="C3381" s="40"/>
      <c r="E3381" s="134"/>
    </row>
    <row r="3382" spans="3:5" s="15" customFormat="1">
      <c r="C3382" s="40"/>
      <c r="E3382" s="134"/>
    </row>
    <row r="3383" spans="3:5" s="15" customFormat="1">
      <c r="C3383" s="40"/>
      <c r="E3383" s="134"/>
    </row>
    <row r="3384" spans="3:5" s="15" customFormat="1">
      <c r="C3384" s="40"/>
      <c r="E3384" s="134"/>
    </row>
    <row r="3385" spans="3:5" s="15" customFormat="1">
      <c r="C3385" s="40"/>
      <c r="E3385" s="134"/>
    </row>
    <row r="3386" spans="3:5" s="15" customFormat="1">
      <c r="C3386" s="40"/>
      <c r="E3386" s="134"/>
    </row>
    <row r="3387" spans="3:5" s="15" customFormat="1">
      <c r="C3387" s="40"/>
      <c r="E3387" s="134"/>
    </row>
    <row r="3388" spans="3:5" s="15" customFormat="1">
      <c r="C3388" s="40"/>
      <c r="E3388" s="134"/>
    </row>
    <row r="3389" spans="3:5" s="15" customFormat="1">
      <c r="C3389" s="40"/>
      <c r="E3389" s="134"/>
    </row>
    <row r="3390" spans="3:5" s="15" customFormat="1">
      <c r="C3390" s="40"/>
      <c r="E3390" s="134"/>
    </row>
    <row r="3391" spans="3:5" s="15" customFormat="1">
      <c r="C3391" s="40"/>
      <c r="E3391" s="134"/>
    </row>
    <row r="3392" spans="3:5" s="15" customFormat="1">
      <c r="C3392" s="40"/>
      <c r="E3392" s="134"/>
    </row>
    <row r="3393" spans="3:5" s="15" customFormat="1">
      <c r="C3393" s="40"/>
      <c r="E3393" s="134"/>
    </row>
    <row r="3394" spans="3:5" s="15" customFormat="1">
      <c r="C3394" s="40"/>
      <c r="E3394" s="134"/>
    </row>
    <row r="3395" spans="3:5" s="15" customFormat="1">
      <c r="C3395" s="40"/>
      <c r="E3395" s="134"/>
    </row>
    <row r="3396" spans="3:5" s="15" customFormat="1">
      <c r="C3396" s="40"/>
      <c r="E3396" s="134"/>
    </row>
    <row r="3397" spans="3:5" s="15" customFormat="1">
      <c r="C3397" s="40"/>
      <c r="E3397" s="134"/>
    </row>
    <row r="3398" spans="3:5" s="15" customFormat="1">
      <c r="C3398" s="40"/>
      <c r="E3398" s="134"/>
    </row>
    <row r="3399" spans="3:5" s="15" customFormat="1">
      <c r="C3399" s="40"/>
      <c r="E3399" s="134"/>
    </row>
    <row r="3400" spans="3:5" s="15" customFormat="1">
      <c r="C3400" s="40"/>
      <c r="E3400" s="134"/>
    </row>
    <row r="3401" spans="3:5" s="15" customFormat="1">
      <c r="C3401" s="40"/>
      <c r="E3401" s="134"/>
    </row>
    <row r="3402" spans="3:5" s="15" customFormat="1">
      <c r="C3402" s="40"/>
      <c r="E3402" s="134"/>
    </row>
    <row r="3403" spans="3:5" s="15" customFormat="1">
      <c r="C3403" s="40"/>
      <c r="E3403" s="134"/>
    </row>
    <row r="3404" spans="3:5" s="15" customFormat="1">
      <c r="C3404" s="40"/>
      <c r="E3404" s="134"/>
    </row>
    <row r="3405" spans="3:5" s="15" customFormat="1">
      <c r="C3405" s="40"/>
      <c r="E3405" s="134"/>
    </row>
    <row r="3406" spans="3:5" s="15" customFormat="1">
      <c r="C3406" s="40"/>
      <c r="E3406" s="134"/>
    </row>
    <row r="3407" spans="3:5" s="15" customFormat="1">
      <c r="C3407" s="40"/>
      <c r="E3407" s="134"/>
    </row>
    <row r="3408" spans="3:5" s="15" customFormat="1">
      <c r="C3408" s="40"/>
      <c r="E3408" s="134"/>
    </row>
    <row r="3409" spans="3:5" s="15" customFormat="1">
      <c r="C3409" s="40"/>
      <c r="E3409" s="134"/>
    </row>
    <row r="3410" spans="3:5" s="15" customFormat="1">
      <c r="C3410" s="40"/>
      <c r="E3410" s="134"/>
    </row>
    <row r="3411" spans="3:5" s="15" customFormat="1">
      <c r="C3411" s="40"/>
      <c r="E3411" s="134"/>
    </row>
    <row r="3412" spans="3:5" s="15" customFormat="1">
      <c r="C3412" s="40"/>
      <c r="E3412" s="134"/>
    </row>
    <row r="3413" spans="3:5" s="15" customFormat="1">
      <c r="C3413" s="40"/>
      <c r="E3413" s="134"/>
    </row>
    <row r="3414" spans="3:5" s="15" customFormat="1">
      <c r="C3414" s="40"/>
      <c r="E3414" s="134"/>
    </row>
    <row r="3415" spans="3:5" s="15" customFormat="1">
      <c r="C3415" s="40"/>
      <c r="E3415" s="134"/>
    </row>
    <row r="3416" spans="3:5" s="15" customFormat="1">
      <c r="C3416" s="40"/>
      <c r="E3416" s="134"/>
    </row>
    <row r="3417" spans="3:5" s="15" customFormat="1">
      <c r="C3417" s="40"/>
      <c r="E3417" s="134"/>
    </row>
    <row r="3418" spans="3:5" s="15" customFormat="1">
      <c r="C3418" s="40"/>
      <c r="E3418" s="134"/>
    </row>
    <row r="3419" spans="3:5" s="15" customFormat="1">
      <c r="C3419" s="40"/>
      <c r="E3419" s="134"/>
    </row>
    <row r="3420" spans="3:5" s="15" customFormat="1">
      <c r="C3420" s="40"/>
      <c r="E3420" s="134"/>
    </row>
    <row r="3421" spans="3:5" s="15" customFormat="1">
      <c r="C3421" s="40"/>
      <c r="E3421" s="134"/>
    </row>
    <row r="3422" spans="3:5" s="15" customFormat="1">
      <c r="C3422" s="40"/>
      <c r="E3422" s="134"/>
    </row>
    <row r="3423" spans="3:5" s="15" customFormat="1">
      <c r="C3423" s="40"/>
      <c r="E3423" s="134"/>
    </row>
    <row r="3424" spans="3:5" s="15" customFormat="1">
      <c r="C3424" s="40"/>
      <c r="E3424" s="134"/>
    </row>
    <row r="3425" spans="3:5" s="15" customFormat="1">
      <c r="C3425" s="40"/>
      <c r="E3425" s="134"/>
    </row>
    <row r="3426" spans="3:5" s="15" customFormat="1">
      <c r="C3426" s="40"/>
      <c r="E3426" s="134"/>
    </row>
    <row r="3427" spans="3:5" s="15" customFormat="1">
      <c r="C3427" s="40"/>
      <c r="E3427" s="134"/>
    </row>
    <row r="3428" spans="3:5" s="15" customFormat="1">
      <c r="C3428" s="40"/>
      <c r="E3428" s="134"/>
    </row>
    <row r="3429" spans="3:5" s="15" customFormat="1">
      <c r="C3429" s="40"/>
      <c r="E3429" s="134"/>
    </row>
    <row r="3430" spans="3:5" s="15" customFormat="1">
      <c r="C3430" s="40"/>
      <c r="E3430" s="134"/>
    </row>
    <row r="3431" spans="3:5" s="15" customFormat="1">
      <c r="C3431" s="40"/>
      <c r="E3431" s="134"/>
    </row>
    <row r="3432" spans="3:5" s="15" customFormat="1">
      <c r="C3432" s="40"/>
      <c r="E3432" s="134"/>
    </row>
    <row r="3433" spans="3:5" s="15" customFormat="1">
      <c r="C3433" s="40"/>
      <c r="E3433" s="134"/>
    </row>
    <row r="3434" spans="3:5" s="15" customFormat="1">
      <c r="C3434" s="40"/>
      <c r="E3434" s="134"/>
    </row>
    <row r="3435" spans="3:5" s="15" customFormat="1">
      <c r="C3435" s="40"/>
      <c r="E3435" s="134"/>
    </row>
    <row r="3436" spans="3:5" s="15" customFormat="1">
      <c r="C3436" s="40"/>
      <c r="E3436" s="134"/>
    </row>
    <row r="3437" spans="3:5" s="15" customFormat="1">
      <c r="C3437" s="40"/>
      <c r="E3437" s="134"/>
    </row>
    <row r="3438" spans="3:5" s="15" customFormat="1">
      <c r="C3438" s="40"/>
      <c r="E3438" s="134"/>
    </row>
    <row r="3439" spans="3:5" s="15" customFormat="1">
      <c r="C3439" s="40"/>
      <c r="E3439" s="134"/>
    </row>
    <row r="3440" spans="3:5" s="15" customFormat="1">
      <c r="C3440" s="40"/>
      <c r="E3440" s="134"/>
    </row>
    <row r="3441" spans="1:7" s="15" customFormat="1">
      <c r="C3441" s="40"/>
      <c r="E3441" s="134"/>
    </row>
    <row r="3442" spans="1:7" s="15" customFormat="1">
      <c r="C3442" s="40"/>
      <c r="E3442" s="134"/>
    </row>
    <row r="3443" spans="1:7" s="15" customFormat="1">
      <c r="C3443" s="40"/>
      <c r="E3443" s="134"/>
    </row>
    <row r="3444" spans="1:7" s="15" customFormat="1">
      <c r="C3444" s="40"/>
      <c r="E3444" s="134"/>
    </row>
    <row r="3445" spans="1:7" s="15" customFormat="1">
      <c r="C3445" s="40"/>
      <c r="E3445" s="134"/>
    </row>
    <row r="3446" spans="1:7" s="15" customFormat="1">
      <c r="C3446" s="40"/>
      <c r="E3446" s="134"/>
    </row>
    <row r="3447" spans="1:7" s="15" customFormat="1">
      <c r="C3447" s="40"/>
      <c r="E3447" s="134"/>
    </row>
    <row r="3448" spans="1:7" s="15" customFormat="1">
      <c r="C3448" s="40"/>
      <c r="E3448" s="134"/>
    </row>
    <row r="3449" spans="1:7" s="15" customFormat="1">
      <c r="A3449"/>
      <c r="B3449"/>
      <c r="C3449" s="7"/>
      <c r="D3449"/>
      <c r="E3449" s="132"/>
      <c r="F3449"/>
      <c r="G3449"/>
    </row>
    <row r="3450" spans="1:7" s="15" customFormat="1">
      <c r="A3450"/>
      <c r="B3450"/>
      <c r="C3450" s="7"/>
      <c r="D3450"/>
      <c r="E3450" s="132"/>
      <c r="F3450"/>
      <c r="G3450"/>
    </row>
    <row r="3451" spans="1:7" s="15" customFormat="1">
      <c r="A3451"/>
      <c r="B3451"/>
      <c r="C3451" s="7"/>
      <c r="D3451"/>
      <c r="E3451" s="132"/>
      <c r="F3451"/>
      <c r="G3451"/>
    </row>
    <row r="3452" spans="1:7" s="15" customFormat="1">
      <c r="A3452"/>
      <c r="B3452"/>
      <c r="C3452" s="7"/>
      <c r="D3452"/>
      <c r="E3452" s="132"/>
      <c r="F3452"/>
      <c r="G3452"/>
    </row>
    <row r="3453" spans="1:7" s="15" customFormat="1">
      <c r="A3453"/>
      <c r="B3453"/>
      <c r="C3453" s="7"/>
      <c r="D3453"/>
      <c r="E3453" s="132"/>
      <c r="F3453"/>
      <c r="G3453"/>
    </row>
    <row r="3454" spans="1:7" s="15" customFormat="1">
      <c r="A3454"/>
      <c r="B3454"/>
      <c r="C3454" s="7"/>
      <c r="D3454"/>
      <c r="E3454" s="132"/>
      <c r="F3454"/>
      <c r="G3454"/>
    </row>
    <row r="3455" spans="1:7" s="15" customFormat="1">
      <c r="A3455"/>
      <c r="B3455"/>
      <c r="C3455" s="7"/>
      <c r="D3455"/>
      <c r="E3455" s="132"/>
      <c r="F3455"/>
      <c r="G3455"/>
    </row>
    <row r="3456" spans="1:7" s="15" customFormat="1">
      <c r="A3456"/>
      <c r="B3456"/>
      <c r="C3456" s="7"/>
      <c r="D3456"/>
      <c r="E3456" s="132"/>
      <c r="F3456"/>
      <c r="G3456"/>
    </row>
    <row r="3457" spans="1:7" s="15" customFormat="1">
      <c r="A3457"/>
      <c r="B3457"/>
      <c r="C3457" s="7"/>
      <c r="D3457"/>
      <c r="E3457" s="132"/>
      <c r="F3457"/>
      <c r="G3457"/>
    </row>
    <row r="3458" spans="1:7" s="15" customFormat="1">
      <c r="A3458"/>
      <c r="B3458"/>
      <c r="C3458" s="7"/>
      <c r="D3458"/>
      <c r="E3458" s="132"/>
      <c r="F3458"/>
      <c r="G3458"/>
    </row>
    <row r="3459" spans="1:7" s="15" customFormat="1">
      <c r="A3459"/>
      <c r="B3459"/>
      <c r="C3459" s="7"/>
      <c r="D3459"/>
      <c r="E3459" s="132"/>
      <c r="F3459"/>
      <c r="G3459"/>
    </row>
    <row r="3460" spans="1:7" s="15" customFormat="1">
      <c r="A3460"/>
      <c r="B3460"/>
      <c r="C3460" s="7"/>
      <c r="D3460"/>
      <c r="E3460" s="132"/>
      <c r="F3460"/>
      <c r="G3460"/>
    </row>
    <row r="3461" spans="1:7" s="15" customFormat="1">
      <c r="A3461"/>
      <c r="B3461"/>
      <c r="C3461" s="7"/>
      <c r="D3461"/>
      <c r="E3461" s="132"/>
      <c r="F3461"/>
      <c r="G3461"/>
    </row>
    <row r="3462" spans="1:7" s="15" customFormat="1">
      <c r="A3462"/>
      <c r="B3462"/>
      <c r="C3462" s="7"/>
      <c r="D3462"/>
      <c r="E3462" s="132"/>
      <c r="F3462"/>
      <c r="G3462"/>
    </row>
    <row r="3463" spans="1:7" s="15" customFormat="1">
      <c r="A3463"/>
      <c r="B3463"/>
      <c r="C3463" s="7"/>
      <c r="D3463"/>
      <c r="E3463" s="132"/>
      <c r="F3463"/>
      <c r="G3463"/>
    </row>
    <row r="3464" spans="1:7" s="15" customFormat="1">
      <c r="A3464"/>
      <c r="B3464"/>
      <c r="C3464" s="7"/>
      <c r="D3464"/>
      <c r="E3464" s="132"/>
      <c r="F3464"/>
      <c r="G3464"/>
    </row>
    <row r="3465" spans="1:7" s="15" customFormat="1">
      <c r="A3465"/>
      <c r="B3465"/>
      <c r="C3465" s="7"/>
      <c r="D3465"/>
      <c r="E3465" s="132"/>
      <c r="F3465"/>
      <c r="G3465"/>
    </row>
    <row r="3466" spans="1:7" s="15" customFormat="1">
      <c r="A3466"/>
      <c r="B3466"/>
      <c r="C3466" s="7"/>
      <c r="D3466"/>
      <c r="E3466" s="132"/>
      <c r="F3466"/>
      <c r="G3466"/>
    </row>
    <row r="3467" spans="1:7" s="15" customFormat="1">
      <c r="A3467"/>
      <c r="B3467"/>
      <c r="C3467" s="7"/>
      <c r="D3467"/>
      <c r="E3467" s="132"/>
      <c r="F3467"/>
      <c r="G3467"/>
    </row>
    <row r="3468" spans="1:7" s="15" customFormat="1">
      <c r="A3468"/>
      <c r="B3468"/>
      <c r="C3468" s="7"/>
      <c r="D3468"/>
      <c r="E3468" s="132"/>
      <c r="F3468"/>
      <c r="G3468"/>
    </row>
  </sheetData>
  <sortState ref="B30:F33">
    <sortCondition ref="D30:D33"/>
  </sortState>
  <mergeCells count="14">
    <mergeCell ref="F60:G61"/>
    <mergeCell ref="C60:E60"/>
    <mergeCell ref="C61:E62"/>
    <mergeCell ref="F62:G62"/>
    <mergeCell ref="C2:F2"/>
    <mergeCell ref="C5:F5"/>
    <mergeCell ref="C3:F3"/>
    <mergeCell ref="B58:G59"/>
    <mergeCell ref="B6:F6"/>
    <mergeCell ref="F54:G54"/>
    <mergeCell ref="B55:G55"/>
    <mergeCell ref="C56:D56"/>
    <mergeCell ref="F56:G56"/>
    <mergeCell ref="C57:G57"/>
  </mergeCells>
  <pageMargins left="0.69" right="0.23622047244094491" top="0.15748031496062992" bottom="0.31496062992125984" header="0.19685039370078741" footer="0.31496062992125984"/>
  <pageSetup scale="85"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CEREMONIA</vt:lpstr>
      <vt:lpstr>PELUCHE</vt:lpstr>
      <vt:lpstr>CEREMONIA!Área_de_impresión</vt:lpstr>
      <vt:lpstr>PELUCHE!Área_de_impresión</vt:lpstr>
    </vt:vector>
  </TitlesOfParts>
  <Company>hogar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razo gateway</dc:creator>
  <cp:lastModifiedBy>*</cp:lastModifiedBy>
  <cp:lastPrinted>2025-02-10T16:37:35Z</cp:lastPrinted>
  <dcterms:created xsi:type="dcterms:W3CDTF">2016-03-10T01:50:40Z</dcterms:created>
  <dcterms:modified xsi:type="dcterms:W3CDTF">2025-12-22T18:38:10Z</dcterms:modified>
</cp:coreProperties>
</file>