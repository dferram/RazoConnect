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-120" yWindow="-120" windowWidth="15480" windowHeight="11160"/>
  </bookViews>
  <sheets>
    <sheet name="FER" sheetId="2" r:id="rId1"/>
  </sheets>
  <definedNames>
    <definedName name="_xlnm.Print_Area" localSheetId="0">FER!$A$1:$F$544</definedName>
    <definedName name="_xlnm.Print_Titles" localSheetId="0">FER!$1:$4</definedName>
  </definedNames>
  <calcPr calcId="125725"/>
</workbook>
</file>

<file path=xl/calcChain.xml><?xml version="1.0" encoding="utf-8"?>
<calcChain xmlns="http://schemas.openxmlformats.org/spreadsheetml/2006/main">
  <c r="F421" i="2"/>
  <c r="F372"/>
  <c r="F288"/>
  <c r="F249"/>
  <c r="F248" l="1"/>
  <c r="F101" l="1"/>
  <c r="F371" l="1"/>
  <c r="F500"/>
  <c r="F501"/>
  <c r="E20"/>
  <c r="F16" l="1"/>
  <c r="E17"/>
  <c r="F345" l="1"/>
  <c r="F133"/>
  <c r="F70" l="1"/>
  <c r="E154"/>
  <c r="E160"/>
  <c r="F202" l="1"/>
  <c r="E202"/>
  <c r="E200"/>
  <c r="F199"/>
  <c r="F302" l="1"/>
  <c r="F35"/>
  <c r="E515" l="1"/>
  <c r="E514"/>
  <c r="F110" l="1"/>
  <c r="F471" l="1"/>
  <c r="E468"/>
  <c r="E471" s="1"/>
  <c r="F26" l="1"/>
  <c r="F462"/>
  <c r="E461"/>
  <c r="F219"/>
  <c r="E396" l="1"/>
  <c r="F111" l="1"/>
  <c r="F370"/>
  <c r="F408"/>
  <c r="F409"/>
  <c r="F287"/>
  <c r="F132" l="1"/>
  <c r="E177" l="1"/>
  <c r="F176"/>
  <c r="E54"/>
  <c r="F53"/>
  <c r="E344" l="1"/>
  <c r="F343"/>
  <c r="F239"/>
  <c r="F242"/>
  <c r="E242"/>
  <c r="E153"/>
  <c r="E315"/>
  <c r="F314"/>
  <c r="F100" l="1"/>
  <c r="F15" l="1"/>
  <c r="E480"/>
  <c r="F131" l="1"/>
  <c r="F407" l="1"/>
  <c r="E162"/>
  <c r="F160"/>
  <c r="F162" s="1"/>
  <c r="E195"/>
  <c r="F193"/>
  <c r="F195" s="1"/>
  <c r="B195" l="1"/>
  <c r="B162"/>
  <c r="E395" l="1"/>
  <c r="F508"/>
  <c r="F69" l="1"/>
  <c r="F499" l="1"/>
  <c r="F54"/>
  <c r="F286"/>
  <c r="F187"/>
  <c r="E326"/>
  <c r="F267" l="1"/>
  <c r="F420"/>
  <c r="F510"/>
  <c r="E507"/>
  <c r="E510" s="1"/>
  <c r="E479"/>
  <c r="F369"/>
  <c r="B510" l="1"/>
  <c r="F68" l="1"/>
  <c r="F315"/>
  <c r="F464" l="1"/>
  <c r="F34"/>
  <c r="F301"/>
  <c r="F99" l="1"/>
  <c r="F186"/>
  <c r="E433"/>
  <c r="E460" l="1"/>
  <c r="F368" l="1"/>
  <c r="F266" l="1"/>
  <c r="F67" l="1"/>
  <c r="F342" l="1"/>
  <c r="E522"/>
  <c r="F33" l="1"/>
  <c r="F300" l="1"/>
  <c r="F325"/>
  <c r="E152"/>
  <c r="E25"/>
  <c r="F517"/>
  <c r="E517"/>
  <c r="F398"/>
  <c r="E394"/>
  <c r="E398" s="1"/>
  <c r="F329"/>
  <c r="B517" l="1"/>
  <c r="F66"/>
  <c r="F367" l="1"/>
  <c r="F175" l="1"/>
  <c r="F52"/>
  <c r="F432"/>
  <c r="F524"/>
  <c r="E521"/>
  <c r="E524" s="1"/>
  <c r="F247"/>
  <c r="F14" l="1"/>
  <c r="E534" l="1"/>
  <c r="F366" l="1"/>
  <c r="E313"/>
  <c r="F98" l="1"/>
  <c r="F235" l="1"/>
  <c r="E233"/>
  <c r="E232"/>
  <c r="E235" l="1"/>
  <c r="B235" s="1"/>
  <c r="F140"/>
  <c r="F185" l="1"/>
  <c r="F13" l="1"/>
  <c r="F12"/>
  <c r="F406"/>
  <c r="F498" l="1"/>
  <c r="F497"/>
  <c r="F129"/>
  <c r="F130"/>
  <c r="E530" l="1"/>
  <c r="F528"/>
  <c r="F530" s="1"/>
  <c r="F534"/>
  <c r="E536"/>
  <c r="F536"/>
  <c r="F218"/>
  <c r="F28"/>
  <c r="E24"/>
  <c r="E28" s="1"/>
  <c r="E151"/>
  <c r="F312"/>
  <c r="F324"/>
  <c r="B536" l="1"/>
  <c r="B530"/>
  <c r="E189" l="1"/>
  <c r="E51"/>
  <c r="F65"/>
  <c r="F419"/>
  <c r="E265"/>
  <c r="F264"/>
  <c r="E431" l="1"/>
  <c r="F285"/>
  <c r="F284"/>
  <c r="E341" l="1"/>
  <c r="E174"/>
  <c r="E173"/>
  <c r="F11" l="1"/>
  <c r="E503"/>
  <c r="F492"/>
  <c r="F184"/>
  <c r="F189" s="1"/>
  <c r="F365" l="1"/>
  <c r="F364"/>
  <c r="F363"/>
  <c r="F299" l="1"/>
  <c r="F418" l="1"/>
  <c r="E441"/>
  <c r="E440"/>
  <c r="F440" l="1"/>
  <c r="E87" l="1"/>
  <c r="E340" l="1"/>
  <c r="E478"/>
  <c r="F283" l="1"/>
  <c r="E50" l="1"/>
  <c r="F49"/>
  <c r="E172"/>
  <c r="F142"/>
  <c r="E142"/>
  <c r="F496"/>
  <c r="F495"/>
  <c r="F494"/>
  <c r="F493"/>
  <c r="F439"/>
  <c r="E439"/>
  <c r="E443" s="1"/>
  <c r="F503" l="1"/>
  <c r="B503" s="1"/>
  <c r="B142"/>
  <c r="F405" l="1"/>
  <c r="E380" l="1"/>
  <c r="F48" l="1"/>
  <c r="F47"/>
  <c r="F97" l="1"/>
  <c r="F217"/>
  <c r="E150"/>
  <c r="E311"/>
  <c r="E171"/>
  <c r="F128"/>
  <c r="E109"/>
  <c r="E83" l="1"/>
  <c r="F79"/>
  <c r="F83" s="1"/>
  <c r="B83" l="1"/>
  <c r="F362" l="1"/>
  <c r="F96" l="1"/>
  <c r="F108" l="1"/>
  <c r="F10" l="1"/>
  <c r="F216"/>
  <c r="F113" l="1"/>
  <c r="F417"/>
  <c r="F127"/>
  <c r="F64"/>
  <c r="E459"/>
  <c r="E464" s="1"/>
  <c r="E477"/>
  <c r="F282" l="1"/>
  <c r="F281"/>
  <c r="E170"/>
  <c r="F263" l="1"/>
  <c r="F382" l="1"/>
  <c r="E382"/>
  <c r="B382" s="1"/>
  <c r="E425"/>
  <c r="F246"/>
  <c r="E246"/>
  <c r="E254" s="1"/>
  <c r="F404" l="1"/>
  <c r="F339" l="1"/>
  <c r="E113" l="1"/>
  <c r="F455" l="1"/>
  <c r="E453"/>
  <c r="E455" s="1"/>
  <c r="B455" s="1"/>
  <c r="F361" l="1"/>
  <c r="F360"/>
  <c r="E149" l="1"/>
  <c r="F279" l="1"/>
  <c r="B189" l="1"/>
  <c r="F262" l="1"/>
  <c r="E46"/>
  <c r="F45"/>
  <c r="E169"/>
  <c r="F338" l="1"/>
  <c r="F337"/>
  <c r="E476"/>
  <c r="F359" l="1"/>
  <c r="E298"/>
  <c r="F63"/>
  <c r="E304" l="1"/>
  <c r="F298"/>
  <c r="F32" l="1"/>
  <c r="E310"/>
  <c r="E215"/>
  <c r="E148"/>
  <c r="F43" l="1"/>
  <c r="F44"/>
  <c r="F125"/>
  <c r="E126"/>
  <c r="F280"/>
  <c r="B464"/>
  <c r="F416"/>
  <c r="F430"/>
  <c r="E430"/>
  <c r="E323" l="1"/>
  <c r="E261" l="1"/>
  <c r="F358" l="1"/>
  <c r="F357"/>
  <c r="F124" l="1"/>
  <c r="F356" l="1"/>
  <c r="F214" l="1"/>
  <c r="F9" l="1"/>
  <c r="F62"/>
  <c r="F61"/>
  <c r="E540"/>
  <c r="E168" l="1"/>
  <c r="F167"/>
  <c r="F278"/>
  <c r="E435" l="1"/>
  <c r="F429"/>
  <c r="F435" s="1"/>
  <c r="F200"/>
  <c r="F336" l="1"/>
  <c r="F335"/>
  <c r="E403"/>
  <c r="E411" s="1"/>
  <c r="F95" l="1"/>
  <c r="F297"/>
  <c r="E42" l="1"/>
  <c r="F482" l="1"/>
  <c r="E475"/>
  <c r="E482" s="1"/>
  <c r="F355" l="1"/>
  <c r="B398" l="1"/>
  <c r="F206" l="1"/>
  <c r="F260" l="1"/>
  <c r="E388"/>
  <c r="F304" l="1"/>
  <c r="F94" l="1"/>
  <c r="F213" l="1"/>
  <c r="E147"/>
  <c r="F309"/>
  <c r="E317"/>
  <c r="F317"/>
  <c r="F354" l="1"/>
  <c r="B435" l="1"/>
  <c r="B524" l="1"/>
  <c r="E56" l="1"/>
  <c r="F441"/>
  <c r="F443" s="1"/>
  <c r="F277"/>
  <c r="E488" l="1"/>
  <c r="F486"/>
  <c r="F488" s="1"/>
  <c r="B488" s="1"/>
  <c r="F41"/>
  <c r="F56" s="1"/>
  <c r="E180"/>
  <c r="F166"/>
  <c r="F180" s="1"/>
  <c r="F222"/>
  <c r="E387" l="1"/>
  <c r="F117" l="1"/>
  <c r="F415"/>
  <c r="E146" l="1"/>
  <c r="F402"/>
  <c r="F334" l="1"/>
  <c r="E156" l="1"/>
  <c r="F387"/>
  <c r="E212" l="1"/>
  <c r="F60"/>
  <c r="E276" l="1"/>
  <c r="E292" s="1"/>
  <c r="F123"/>
  <c r="E447"/>
  <c r="E321"/>
  <c r="E259" l="1"/>
  <c r="F258"/>
  <c r="F136"/>
  <c r="E136"/>
  <c r="E348"/>
  <c r="F386" l="1"/>
  <c r="E386"/>
  <c r="E390" s="1"/>
  <c r="F8" l="1"/>
  <c r="F20" s="1"/>
  <c r="F333" l="1"/>
  <c r="F348" s="1"/>
  <c r="F296" l="1"/>
  <c r="F411" l="1"/>
  <c r="F93" l="1"/>
  <c r="E353" l="1"/>
  <c r="E376" s="1"/>
  <c r="F352"/>
  <c r="F376" s="1"/>
  <c r="E37" l="1"/>
  <c r="E308"/>
  <c r="F37"/>
  <c r="E222"/>
  <c r="F156"/>
  <c r="B156" s="1"/>
  <c r="B180" l="1"/>
  <c r="E322" l="1"/>
  <c r="E329" s="1"/>
  <c r="E542" l="1"/>
  <c r="F542"/>
  <c r="B542" l="1"/>
  <c r="B304" l="1"/>
  <c r="F254" l="1"/>
  <c r="D468" l="1"/>
  <c r="D461"/>
  <c r="D160"/>
  <c r="D153"/>
  <c r="D479"/>
  <c r="D248"/>
  <c r="D395"/>
  <c r="D460"/>
  <c r="D394"/>
  <c r="D152"/>
  <c r="D408"/>
  <c r="D247"/>
  <c r="D432"/>
  <c r="D407"/>
  <c r="D151"/>
  <c r="D431"/>
  <c r="D406"/>
  <c r="D492"/>
  <c r="D478"/>
  <c r="D441"/>
  <c r="D405"/>
  <c r="D140"/>
  <c r="D409"/>
  <c r="D150"/>
  <c r="D246"/>
  <c r="D380"/>
  <c r="D459"/>
  <c r="D477"/>
  <c r="D453"/>
  <c r="D149"/>
  <c r="D476"/>
  <c r="D148"/>
  <c r="D404"/>
  <c r="D430"/>
  <c r="D403"/>
  <c r="D429"/>
  <c r="D475"/>
  <c r="D396"/>
  <c r="D147"/>
  <c r="D433"/>
  <c r="D166"/>
  <c r="D387"/>
  <c r="D146"/>
  <c r="D277"/>
  <c r="D259"/>
  <c r="D123"/>
  <c r="D386"/>
  <c r="D402"/>
  <c r="D154"/>
  <c r="D258"/>
  <c r="D276"/>
  <c r="D415"/>
  <c r="D334"/>
  <c r="D353"/>
  <c r="D352"/>
  <c r="D93"/>
  <c r="D333"/>
  <c r="D480" l="1"/>
  <c r="B482"/>
  <c r="B471" l="1"/>
  <c r="D447"/>
  <c r="F449"/>
  <c r="E449" l="1"/>
  <c r="B449" s="1"/>
  <c r="B443" l="1"/>
  <c r="F425"/>
  <c r="B425" l="1"/>
  <c r="B411" l="1"/>
  <c r="F388" l="1"/>
  <c r="F390" s="1"/>
  <c r="B390" l="1"/>
  <c r="B376" l="1"/>
  <c r="B348" l="1"/>
  <c r="B329" l="1"/>
  <c r="B317" l="1"/>
  <c r="F292" l="1"/>
  <c r="B292" l="1"/>
  <c r="F272"/>
  <c r="E272"/>
  <c r="B272" l="1"/>
  <c r="B254" l="1"/>
  <c r="B242" l="1"/>
  <c r="F226" l="1"/>
  <c r="E228" l="1"/>
  <c r="F228"/>
  <c r="B228" l="1"/>
  <c r="F208" l="1"/>
  <c r="E208"/>
  <c r="B208" l="1"/>
  <c r="B222" l="1"/>
  <c r="B202" l="1"/>
  <c r="B136" l="1"/>
  <c r="E119"/>
  <c r="F119" l="1"/>
  <c r="B119" s="1"/>
  <c r="B113" l="1"/>
  <c r="E104" l="1"/>
  <c r="F104"/>
  <c r="B104" l="1"/>
  <c r="E89" l="1"/>
  <c r="F89" l="1"/>
  <c r="B89" s="1"/>
  <c r="E75" l="1"/>
  <c r="F75" l="1"/>
  <c r="B75" s="1"/>
  <c r="B56" l="1"/>
  <c r="B37" l="1"/>
  <c r="B28" l="1"/>
  <c r="B20" l="1"/>
  <c r="B544" s="1"/>
  <c r="F1"/>
  <c r="D462" l="1"/>
  <c r="D469"/>
  <c r="D199"/>
  <c r="D251"/>
  <c r="D249"/>
  <c r="D252"/>
  <c r="D250"/>
  <c r="D17"/>
  <c r="D110"/>
  <c r="D16"/>
  <c r="D373"/>
  <c r="D133"/>
  <c r="D287"/>
  <c r="D288"/>
  <c r="D421"/>
  <c r="D269"/>
  <c r="D423"/>
  <c r="D422"/>
  <c r="D53"/>
  <c r="D177"/>
  <c r="D239"/>
  <c r="D345"/>
  <c r="D219"/>
  <c r="D314"/>
  <c r="D72"/>
  <c r="D101"/>
  <c r="D193"/>
  <c r="D372"/>
  <c r="D268"/>
  <c r="D289"/>
  <c r="D420"/>
  <c r="D344"/>
  <c r="D508"/>
  <c r="D507"/>
  <c r="D326"/>
  <c r="D371"/>
  <c r="D370"/>
  <c r="D301"/>
  <c r="D34"/>
  <c r="D499"/>
  <c r="D71"/>
  <c r="D343"/>
  <c r="D500"/>
  <c r="D267"/>
  <c r="D176"/>
  <c r="D15"/>
  <c r="D132"/>
  <c r="D100"/>
  <c r="D25"/>
  <c r="D515"/>
  <c r="D514"/>
  <c r="D325"/>
  <c r="D70"/>
  <c r="D327"/>
  <c r="D175"/>
  <c r="D52"/>
  <c r="D521"/>
  <c r="D286"/>
  <c r="D369"/>
  <c r="D313"/>
  <c r="D368"/>
  <c r="D300"/>
  <c r="D99"/>
  <c r="D342"/>
  <c r="D69"/>
  <c r="D266"/>
  <c r="D233"/>
  <c r="D232"/>
  <c r="D131"/>
  <c r="D186"/>
  <c r="D14"/>
  <c r="D68"/>
  <c r="D534"/>
  <c r="D528"/>
  <c r="D220"/>
  <c r="D218"/>
  <c r="D312"/>
  <c r="D24"/>
  <c r="D54"/>
  <c r="D324"/>
  <c r="D51"/>
  <c r="D265"/>
  <c r="D498"/>
  <c r="D185"/>
  <c r="D285"/>
  <c r="D174"/>
  <c r="D13"/>
  <c r="D184"/>
  <c r="D341"/>
  <c r="D173"/>
  <c r="D67"/>
  <c r="D98"/>
  <c r="D367"/>
  <c r="D299"/>
  <c r="D240"/>
  <c r="D440"/>
  <c r="D340"/>
  <c r="D50"/>
  <c r="D264"/>
  <c r="D130"/>
  <c r="D172"/>
  <c r="D439"/>
  <c r="D501"/>
  <c r="D497"/>
  <c r="D496"/>
  <c r="D495"/>
  <c r="D494"/>
  <c r="D493"/>
  <c r="D97"/>
  <c r="D311"/>
  <c r="D217"/>
  <c r="D171"/>
  <c r="D66"/>
  <c r="D284"/>
  <c r="D419"/>
  <c r="D109"/>
  <c r="D129"/>
  <c r="D81"/>
  <c r="D80"/>
  <c r="D79"/>
  <c r="D12"/>
  <c r="D11"/>
  <c r="D263"/>
  <c r="D187"/>
  <c r="D49"/>
  <c r="D366"/>
  <c r="D365"/>
  <c r="D10"/>
  <c r="D48"/>
  <c r="D283"/>
  <c r="D170"/>
  <c r="D364"/>
  <c r="D108"/>
  <c r="D361"/>
  <c r="D362"/>
  <c r="D216"/>
  <c r="D65"/>
  <c r="D96"/>
  <c r="D418"/>
  <c r="D282"/>
  <c r="D47"/>
  <c r="D128"/>
  <c r="D127"/>
  <c r="D262"/>
  <c r="D46"/>
  <c r="D417"/>
  <c r="D339"/>
  <c r="D169"/>
  <c r="D298"/>
  <c r="D363"/>
  <c r="D215"/>
  <c r="D310"/>
  <c r="D73"/>
  <c r="D64"/>
  <c r="D45"/>
  <c r="D126"/>
  <c r="D416"/>
  <c r="D338"/>
  <c r="D281"/>
  <c r="D323"/>
  <c r="D360"/>
  <c r="D125"/>
  <c r="D168"/>
  <c r="D280"/>
  <c r="D44"/>
  <c r="D33"/>
  <c r="D336"/>
  <c r="D335"/>
  <c r="D297"/>
  <c r="D95"/>
  <c r="D63"/>
  <c r="D9"/>
  <c r="D279"/>
  <c r="D43"/>
  <c r="D261"/>
  <c r="D167"/>
  <c r="D309"/>
  <c r="D214"/>
  <c r="D357"/>
  <c r="D358"/>
  <c r="D540"/>
  <c r="D359"/>
  <c r="D522"/>
  <c r="D486"/>
  <c r="D388"/>
  <c r="D356"/>
  <c r="D354"/>
  <c r="D374"/>
  <c r="D355"/>
  <c r="D337"/>
  <c r="D346"/>
  <c r="D302"/>
  <c r="D315"/>
  <c r="D278"/>
  <c r="D290"/>
  <c r="D260"/>
  <c r="D270"/>
  <c r="D200"/>
  <c r="D226"/>
  <c r="D134"/>
  <c r="D178"/>
  <c r="D111"/>
  <c r="D124"/>
  <c r="D94"/>
  <c r="D102"/>
  <c r="D87"/>
  <c r="D42"/>
  <c r="D41"/>
  <c r="D213"/>
  <c r="D296"/>
  <c r="D308"/>
  <c r="D8"/>
  <c r="D212"/>
  <c r="D32"/>
  <c r="D62"/>
  <c r="D322"/>
  <c r="D61"/>
  <c r="D321"/>
  <c r="D60"/>
  <c r="D206"/>
  <c r="D117"/>
  <c r="D35"/>
  <c r="D26"/>
  <c r="D18"/>
</calcChain>
</file>

<file path=xl/sharedStrings.xml><?xml version="1.0" encoding="utf-8"?>
<sst xmlns="http://schemas.openxmlformats.org/spreadsheetml/2006/main" count="391" uniqueCount="346">
  <si>
    <t>ANTIGÜEDAD DE SALDOS</t>
  </si>
  <si>
    <t>L08</t>
  </si>
  <si>
    <t>ARACELI NAVARRETE RIVERA (ATLACOMULCO)</t>
  </si>
  <si>
    <t>MARIA RIOS PEÑA (ACAMBAY)</t>
  </si>
  <si>
    <t>REYNA MONTIEL CARDENAS (ATLACOMULCO)</t>
  </si>
  <si>
    <t>EDUARDO URBANO DE JESUS (ATLACOMULCO)</t>
  </si>
  <si>
    <t>FRANCISCO LOPEZ VIEYRA (ATLACOMULCO)</t>
  </si>
  <si>
    <t>Documento</t>
  </si>
  <si>
    <t>Fecha</t>
  </si>
  <si>
    <t>1-30</t>
  </si>
  <si>
    <t>31 o más</t>
  </si>
  <si>
    <t>F04</t>
  </si>
  <si>
    <t>F06</t>
  </si>
  <si>
    <t>J02</t>
  </si>
  <si>
    <t>MARIA LUISA DIAZ VALDEZ (PROGRESO)</t>
  </si>
  <si>
    <t>AZUCENA HERNANDEZ (APAXCO)</t>
  </si>
  <si>
    <t>J02X</t>
  </si>
  <si>
    <t>NANCY MARIEL SIMON CRUZ (MIXQUIAHUALA)</t>
  </si>
  <si>
    <t>MAYRA GABRIELA TAPIA TRUJILLO (TLAHUELILPAN)</t>
  </si>
  <si>
    <t>AMELIA FUENTES (ATOTONILCO)</t>
  </si>
  <si>
    <t>C01</t>
  </si>
  <si>
    <t>JAEL DAMIAN (TLAXCOAPAN)</t>
  </si>
  <si>
    <t>ANDREA MEZA BARRANCO (TLAHUELILPAN)</t>
  </si>
  <si>
    <t>F-1020</t>
  </si>
  <si>
    <t>F-1011</t>
  </si>
  <si>
    <t>F-1025</t>
  </si>
  <si>
    <t>SONIA GOMEZ JIMENEZ / RODOLFO HERRERA (COACALCO)</t>
  </si>
  <si>
    <t>CARMEN TORICES SANCHEZ (ROMERO)</t>
  </si>
  <si>
    <t xml:space="preserve">NORMA MIRANDA HERNANDEZ (ATLACOMULCO)                       </t>
  </si>
  <si>
    <t>ANGELICA REYES (TEQUISQUIAC)</t>
  </si>
  <si>
    <t>JESSICA ZUÑIGA (TEPEJI)</t>
  </si>
  <si>
    <t>NOHEMI ZUÑIGA (TEPEJI)</t>
  </si>
  <si>
    <t>F02</t>
  </si>
  <si>
    <t>GEMA MALDONADO (JILOTEPEC)</t>
  </si>
  <si>
    <t>LAURA CORNEJO (TLAHUELILPAN)</t>
  </si>
  <si>
    <t>PAPELERIA DORITA (PROGRESO)</t>
  </si>
  <si>
    <t>JONNY CANDELARIO (ACTOPAN)</t>
  </si>
  <si>
    <t>GUILLERMINA (PROGRESO)</t>
  </si>
  <si>
    <t>VICTOR TAPIA TRUJILLO (TLAHUELILPAN)</t>
  </si>
  <si>
    <t>MARIA INES (TLAHUELILPAN)</t>
  </si>
  <si>
    <t>MARCOS LINARES ROCIO (ACAMBAY)</t>
  </si>
  <si>
    <t>ALICIA ZUÑIGA TORRES (MIXQUIAHUALA)</t>
  </si>
  <si>
    <t>F-0796</t>
  </si>
  <si>
    <t>YANELLI ORTEGA GARCIA (ACTOPAN)</t>
  </si>
  <si>
    <t>F-0814</t>
  </si>
  <si>
    <t>F-0816</t>
  </si>
  <si>
    <t>BOLSAS ROMINA (TLAXCOAPAN)</t>
  </si>
  <si>
    <t>PATRICIA GRANADOS (TEPEJI)</t>
  </si>
  <si>
    <t>AURELIA CRUZ (HUICHAPAN)</t>
  </si>
  <si>
    <t>F-0964</t>
  </si>
  <si>
    <t>F0830</t>
  </si>
  <si>
    <t>F0902</t>
  </si>
  <si>
    <t>F0905</t>
  </si>
  <si>
    <t>I-2526</t>
  </si>
  <si>
    <t>F0958</t>
  </si>
  <si>
    <t>F0966</t>
  </si>
  <si>
    <t>F-1008</t>
  </si>
  <si>
    <t>F-1010</t>
  </si>
  <si>
    <t>F-1019</t>
  </si>
  <si>
    <t>ERICK LOPEZ GUZMAN (ATLACOMULCO)</t>
  </si>
  <si>
    <t>F0994</t>
  </si>
  <si>
    <t>F0680</t>
  </si>
  <si>
    <t>F0682</t>
  </si>
  <si>
    <t>F0683</t>
  </si>
  <si>
    <t>F0995</t>
  </si>
  <si>
    <t>F0673</t>
  </si>
  <si>
    <t>F0676</t>
  </si>
  <si>
    <t>F0678</t>
  </si>
  <si>
    <t>F0988</t>
  </si>
  <si>
    <t>F0989</t>
  </si>
  <si>
    <t>F0990</t>
  </si>
  <si>
    <t>I-2542</t>
  </si>
  <si>
    <t>F0688</t>
  </si>
  <si>
    <t>F-1028</t>
  </si>
  <si>
    <t>F001010</t>
  </si>
  <si>
    <t>I-2568</t>
  </si>
  <si>
    <t>F001012</t>
  </si>
  <si>
    <t>I-2566</t>
  </si>
  <si>
    <t>R-2097</t>
  </si>
  <si>
    <t>JUDITH PADILLA (TULA)</t>
  </si>
  <si>
    <t>F001014</t>
  </si>
  <si>
    <t>I-2567</t>
  </si>
  <si>
    <t>F001015</t>
  </si>
  <si>
    <t>I-2543</t>
  </si>
  <si>
    <t>F001019</t>
  </si>
  <si>
    <t>F001020</t>
  </si>
  <si>
    <t>F001021</t>
  </si>
  <si>
    <t>F001022</t>
  </si>
  <si>
    <t>F001023</t>
  </si>
  <si>
    <t>F001024</t>
  </si>
  <si>
    <t>F001026</t>
  </si>
  <si>
    <t>F001027</t>
  </si>
  <si>
    <t>F001029</t>
  </si>
  <si>
    <t>F0698</t>
  </si>
  <si>
    <t>F0700</t>
  </si>
  <si>
    <t>F001030</t>
  </si>
  <si>
    <t>F001031</t>
  </si>
  <si>
    <t>LETICIA MIRANDA (ATLACOMULCO)</t>
  </si>
  <si>
    <t>F001032</t>
  </si>
  <si>
    <t>F001033</t>
  </si>
  <si>
    <t>F0692</t>
  </si>
  <si>
    <t>F001011</t>
  </si>
  <si>
    <t>F0999</t>
  </si>
  <si>
    <t>F1000</t>
  </si>
  <si>
    <t>F001052</t>
  </si>
  <si>
    <t>F001053</t>
  </si>
  <si>
    <t>F001054</t>
  </si>
  <si>
    <t>F001056</t>
  </si>
  <si>
    <t>F001058</t>
  </si>
  <si>
    <t>F001059</t>
  </si>
  <si>
    <t>F001060</t>
  </si>
  <si>
    <t>F001061</t>
  </si>
  <si>
    <t>F001062</t>
  </si>
  <si>
    <t>F001067</t>
  </si>
  <si>
    <t>F001070</t>
  </si>
  <si>
    <t>F001071</t>
  </si>
  <si>
    <t>F001076</t>
  </si>
  <si>
    <t>F001072</t>
  </si>
  <si>
    <t>LADY PAPELERIA (TLAHUELILPAN)</t>
  </si>
  <si>
    <t>F001073</t>
  </si>
  <si>
    <t>F001074</t>
  </si>
  <si>
    <t>F001079</t>
  </si>
  <si>
    <t>ANGEL HERNANDEZ FLORES (TULA)</t>
  </si>
  <si>
    <t>F001080</t>
  </si>
  <si>
    <t>F001082</t>
  </si>
  <si>
    <t>F001083</t>
  </si>
  <si>
    <t>F001084</t>
  </si>
  <si>
    <t>F001085</t>
  </si>
  <si>
    <t>F001087</t>
  </si>
  <si>
    <t>F001086</t>
  </si>
  <si>
    <t>F001091</t>
  </si>
  <si>
    <t>F001092</t>
  </si>
  <si>
    <t>NUEVO SUPER DON NICO S. DE RL. DE C.V. (JILOTEPEC)</t>
  </si>
  <si>
    <t>F-1033</t>
  </si>
  <si>
    <t>C1023</t>
  </si>
  <si>
    <t>ROSALIA (TEXCOCO)</t>
  </si>
  <si>
    <t>F-1034</t>
  </si>
  <si>
    <t>R-2101</t>
  </si>
  <si>
    <t>F001098</t>
  </si>
  <si>
    <t>F001099</t>
  </si>
  <si>
    <t>F001151</t>
  </si>
  <si>
    <t>F001155</t>
  </si>
  <si>
    <t>F001158</t>
  </si>
  <si>
    <t>F001159</t>
  </si>
  <si>
    <t>F001036</t>
  </si>
  <si>
    <t>F001037</t>
  </si>
  <si>
    <t>F001038</t>
  </si>
  <si>
    <t>F001039</t>
  </si>
  <si>
    <t>F001040</t>
  </si>
  <si>
    <t>F001047</t>
  </si>
  <si>
    <t>F001161</t>
  </si>
  <si>
    <t>F001163</t>
  </si>
  <si>
    <t>F001165</t>
  </si>
  <si>
    <t>F001167</t>
  </si>
  <si>
    <t>F001168</t>
  </si>
  <si>
    <t>F001162</t>
  </si>
  <si>
    <t>I-2609</t>
  </si>
  <si>
    <t>F001182</t>
  </si>
  <si>
    <t>F001184</t>
  </si>
  <si>
    <t>F001185</t>
  </si>
  <si>
    <t>F001187</t>
  </si>
  <si>
    <t>F001188</t>
  </si>
  <si>
    <t>I-2602</t>
  </si>
  <si>
    <t>PAPELERIA CONY (TULA)</t>
  </si>
  <si>
    <t>I-2607</t>
  </si>
  <si>
    <t>F001192</t>
  </si>
  <si>
    <t>F001193</t>
  </si>
  <si>
    <t>F001194</t>
  </si>
  <si>
    <t>I-2603</t>
  </si>
  <si>
    <t>I-2608</t>
  </si>
  <si>
    <t>I-2612</t>
  </si>
  <si>
    <t>I-2596</t>
  </si>
  <si>
    <t>F001204</t>
  </si>
  <si>
    <t>I-2635</t>
  </si>
  <si>
    <t>I-2633</t>
  </si>
  <si>
    <t>F001206</t>
  </si>
  <si>
    <t>F001207</t>
  </si>
  <si>
    <t>F001208</t>
  </si>
  <si>
    <t>F001209</t>
  </si>
  <si>
    <t>JUANA SIMON (TEZONTEPEC)</t>
  </si>
  <si>
    <t>F001210</t>
  </si>
  <si>
    <t>R-2107</t>
  </si>
  <si>
    <t>F001211</t>
  </si>
  <si>
    <t>F001212</t>
  </si>
  <si>
    <t>F001213</t>
  </si>
  <si>
    <t>F001216</t>
  </si>
  <si>
    <t>F001218</t>
  </si>
  <si>
    <t>R-2105</t>
  </si>
  <si>
    <t>R-2108</t>
  </si>
  <si>
    <t>F001221</t>
  </si>
  <si>
    <t>F001223</t>
  </si>
  <si>
    <t>F-1035</t>
  </si>
  <si>
    <t>F-1036</t>
  </si>
  <si>
    <t xml:space="preserve">MAGDALENA ZUÑIGA (TEPEJI) </t>
  </si>
  <si>
    <t>F001230</t>
  </si>
  <si>
    <t>F001231</t>
  </si>
  <si>
    <t>F001235</t>
  </si>
  <si>
    <t>F001236</t>
  </si>
  <si>
    <t>F001239</t>
  </si>
  <si>
    <t>F001240</t>
  </si>
  <si>
    <t>F001242</t>
  </si>
  <si>
    <t>F001243</t>
  </si>
  <si>
    <t>F001244</t>
  </si>
  <si>
    <t>F001245</t>
  </si>
  <si>
    <t>F001246</t>
  </si>
  <si>
    <t>F001247</t>
  </si>
  <si>
    <t>F001248</t>
  </si>
  <si>
    <t>F001249</t>
  </si>
  <si>
    <t>F001251</t>
  </si>
  <si>
    <t>YADIRA SEBASTIAN CRUZ (MIXQUIAHUALA)</t>
  </si>
  <si>
    <t>F001254</t>
  </si>
  <si>
    <t>F001256</t>
  </si>
  <si>
    <t>F001257</t>
  </si>
  <si>
    <t>J001262</t>
  </si>
  <si>
    <t>R-2114</t>
  </si>
  <si>
    <t>R-2122</t>
  </si>
  <si>
    <t>MA. DEL CARMEN REYES PEREZ (ROMERO)</t>
  </si>
  <si>
    <t>F001266</t>
  </si>
  <si>
    <t>F001267</t>
  </si>
  <si>
    <t>F001268</t>
  </si>
  <si>
    <t>F001270</t>
  </si>
  <si>
    <t>F001271</t>
  </si>
  <si>
    <t>R-2119</t>
  </si>
  <si>
    <t>F001275</t>
  </si>
  <si>
    <t>F001276</t>
  </si>
  <si>
    <t>F001277</t>
  </si>
  <si>
    <t>F001278</t>
  </si>
  <si>
    <t>F001273</t>
  </si>
  <si>
    <t>I-2666</t>
  </si>
  <si>
    <t>I-2671</t>
  </si>
  <si>
    <t>ROSY (TULA)</t>
  </si>
  <si>
    <t>I-2675</t>
  </si>
  <si>
    <t>DORA MARIA CORNEJO VARGAS (TEZONTEPEC)</t>
  </si>
  <si>
    <t>F001281</t>
  </si>
  <si>
    <t>F001282</t>
  </si>
  <si>
    <t>F001284</t>
  </si>
  <si>
    <t>F001285</t>
  </si>
  <si>
    <t>F001287</t>
  </si>
  <si>
    <t>F001288</t>
  </si>
  <si>
    <t>F001289</t>
  </si>
  <si>
    <t>F-1040</t>
  </si>
  <si>
    <t>F-1041</t>
  </si>
  <si>
    <t>F-1042</t>
  </si>
  <si>
    <t>F-1045</t>
  </si>
  <si>
    <t>F-1046</t>
  </si>
  <si>
    <t>F-1048</t>
  </si>
  <si>
    <t>F-1049</t>
  </si>
  <si>
    <t>F-1051</t>
  </si>
  <si>
    <t>F-1054</t>
  </si>
  <si>
    <t>F001200</t>
  </si>
  <si>
    <t>F-1055</t>
  </si>
  <si>
    <t>F-1057</t>
  </si>
  <si>
    <t>F-1058</t>
  </si>
  <si>
    <t>F-1063</t>
  </si>
  <si>
    <t>F-1065</t>
  </si>
  <si>
    <t>F-1067</t>
  </si>
  <si>
    <t>F-1070</t>
  </si>
  <si>
    <t>F-1071</t>
  </si>
  <si>
    <t>F-1072</t>
  </si>
  <si>
    <t>F-1073</t>
  </si>
  <si>
    <t>ANDREA BECERRIL (ATLACOMULCO)</t>
  </si>
  <si>
    <t>F-1074</t>
  </si>
  <si>
    <t>F-1075</t>
  </si>
  <si>
    <t>F-1076</t>
  </si>
  <si>
    <t>F-1079</t>
  </si>
  <si>
    <t>F-1080</t>
  </si>
  <si>
    <t>F-1084</t>
  </si>
  <si>
    <t>MONSERRAT MUSIÑO (APAXCO)</t>
  </si>
  <si>
    <t>F-1092</t>
  </si>
  <si>
    <t>F-1094</t>
  </si>
  <si>
    <t>F-1100</t>
  </si>
  <si>
    <t>F-1101</t>
  </si>
  <si>
    <t>F-1102</t>
  </si>
  <si>
    <t>F-1103</t>
  </si>
  <si>
    <t>F-1105</t>
  </si>
  <si>
    <t>F-1107</t>
  </si>
  <si>
    <t>F-1108</t>
  </si>
  <si>
    <t>F-1109</t>
  </si>
  <si>
    <t>F-1111</t>
  </si>
  <si>
    <t>F-1113</t>
  </si>
  <si>
    <t>F-1115</t>
  </si>
  <si>
    <t>F-1117</t>
  </si>
  <si>
    <t>F-1118</t>
  </si>
  <si>
    <t>F-1124</t>
  </si>
  <si>
    <t>F-1125</t>
  </si>
  <si>
    <t>F-1126</t>
  </si>
  <si>
    <t>F-1128</t>
  </si>
  <si>
    <t>F-1129</t>
  </si>
  <si>
    <t>FLOR (JILOTEPEC)</t>
  </si>
  <si>
    <t>F-1130</t>
  </si>
  <si>
    <t>F-1131</t>
  </si>
  <si>
    <t>F-1133</t>
  </si>
  <si>
    <t>F-1134</t>
  </si>
  <si>
    <t>F-1136</t>
  </si>
  <si>
    <t>F-1141</t>
  </si>
  <si>
    <t>F-1144</t>
  </si>
  <si>
    <t>F-1145</t>
  </si>
  <si>
    <t>F-1146</t>
  </si>
  <si>
    <t>F-1156</t>
  </si>
  <si>
    <t>F-1157</t>
  </si>
  <si>
    <t>F-1159</t>
  </si>
  <si>
    <t>F-1162</t>
  </si>
  <si>
    <t>F-1163</t>
  </si>
  <si>
    <t>F-1154</t>
  </si>
  <si>
    <t>F-1155</t>
  </si>
  <si>
    <t>I-2789</t>
  </si>
  <si>
    <t>I-2793</t>
  </si>
  <si>
    <t>I-2767</t>
  </si>
  <si>
    <t>I-2791</t>
  </si>
  <si>
    <t>F-1165</t>
  </si>
  <si>
    <t>LUPITA LEDESMA (TLAHUELILPAN)</t>
  </si>
  <si>
    <t>I-2788</t>
  </si>
  <si>
    <t>F-1166</t>
  </si>
  <si>
    <t>F-1168</t>
  </si>
  <si>
    <t>F-1169</t>
  </si>
  <si>
    <t>F-1170</t>
  </si>
  <si>
    <t>F-1171</t>
  </si>
  <si>
    <t>F-1175</t>
  </si>
  <si>
    <t>DAVID CARDENAS (ZUMPANGO)</t>
  </si>
  <si>
    <t>ANTICIPO</t>
  </si>
  <si>
    <t>JUANITA PEREZ FUENTES (TULA)</t>
  </si>
  <si>
    <t>F-1178</t>
  </si>
  <si>
    <t>I-2821</t>
  </si>
  <si>
    <t>R-2145</t>
  </si>
  <si>
    <t>R-2148</t>
  </si>
  <si>
    <t>F-1180</t>
  </si>
  <si>
    <t>F-1182</t>
  </si>
  <si>
    <t>F-1184</t>
  </si>
  <si>
    <t>I-2790</t>
  </si>
  <si>
    <t>F-1185</t>
  </si>
  <si>
    <t>R-2139</t>
  </si>
  <si>
    <t>F-1186</t>
  </si>
  <si>
    <t>I-2809</t>
  </si>
  <si>
    <t>F-1187</t>
  </si>
  <si>
    <t>I-2805</t>
  </si>
  <si>
    <t>R-2140</t>
  </si>
  <si>
    <t>F-1189</t>
  </si>
  <si>
    <t>I-2807</t>
  </si>
  <si>
    <t>F-1190</t>
  </si>
  <si>
    <t>F-1191</t>
  </si>
  <si>
    <t>F-1192</t>
  </si>
  <si>
    <t>F-1193</t>
  </si>
  <si>
    <t>F-1194</t>
  </si>
  <si>
    <t>F-1195</t>
  </si>
  <si>
    <t>F-1198</t>
  </si>
  <si>
    <t>F-1200</t>
  </si>
</sst>
</file>

<file path=xl/styles.xml><?xml version="1.0" encoding="utf-8"?>
<styleSheet xmlns="http://schemas.openxmlformats.org/spreadsheetml/2006/main">
  <numFmts count="1">
    <numFmt numFmtId="43" formatCode="_-* #,##0.00_-;\-* #,##0.00_-;_-* &quot;-&quot;??_-;_-@_-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.5"/>
      <name val="Calibri"/>
      <family val="2"/>
      <scheme val="minor"/>
    </font>
    <font>
      <sz val="12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3">
    <xf numFmtId="0" fontId="0" fillId="0" borderId="0" xfId="0"/>
    <xf numFmtId="0" fontId="0" fillId="0" borderId="0" xfId="0" applyAlignment="1">
      <alignment horizontal="right" vertical="center"/>
    </xf>
    <xf numFmtId="0" fontId="2" fillId="0" borderId="0" xfId="0" applyFont="1"/>
    <xf numFmtId="43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0" fontId="0" fillId="0" borderId="0" xfId="0" applyAlignment="1">
      <alignment horizontal="center"/>
    </xf>
    <xf numFmtId="15" fontId="0" fillId="0" borderId="0" xfId="0" applyNumberFormat="1" applyAlignment="1">
      <alignment horizontal="center"/>
    </xf>
    <xf numFmtId="0" fontId="2" fillId="0" borderId="0" xfId="0" applyFont="1" applyAlignment="1">
      <alignment horizontal="right" vertical="center"/>
    </xf>
    <xf numFmtId="43" fontId="0" fillId="0" borderId="0" xfId="0" applyNumberFormat="1" applyFont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15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43" fontId="0" fillId="0" borderId="1" xfId="1" applyFont="1" applyBorder="1"/>
    <xf numFmtId="1" fontId="4" fillId="0" borderId="1" xfId="0" applyNumberFormat="1" applyFont="1" applyBorder="1" applyAlignment="1">
      <alignment horizontal="center"/>
    </xf>
    <xf numFmtId="43" fontId="5" fillId="2" borderId="0" xfId="1" applyFont="1" applyFill="1"/>
    <xf numFmtId="43" fontId="0" fillId="0" borderId="0" xfId="0" applyNumberFormat="1"/>
    <xf numFmtId="0" fontId="0" fillId="0" borderId="0" xfId="0" applyFont="1" applyAlignment="1">
      <alignment horizontal="center"/>
    </xf>
    <xf numFmtId="1" fontId="0" fillId="0" borderId="1" xfId="0" applyNumberFormat="1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15" fontId="0" fillId="0" borderId="0" xfId="0" applyNumberFormat="1" applyFont="1" applyAlignment="1">
      <alignment horizontal="center"/>
    </xf>
    <xf numFmtId="1" fontId="0" fillId="0" borderId="0" xfId="0" applyNumberFormat="1" applyFont="1" applyBorder="1" applyAlignment="1">
      <alignment horizontal="center"/>
    </xf>
    <xf numFmtId="1" fontId="4" fillId="0" borderId="0" xfId="0" applyNumberFormat="1" applyFont="1" applyBorder="1" applyAlignment="1">
      <alignment horizontal="center"/>
    </xf>
    <xf numFmtId="0" fontId="0" fillId="0" borderId="0" xfId="0" applyFill="1"/>
    <xf numFmtId="0" fontId="2" fillId="0" borderId="0" xfId="0" applyFont="1" applyFill="1"/>
    <xf numFmtId="43" fontId="0" fillId="0" borderId="0" xfId="0" applyNumberFormat="1" applyFont="1" applyFill="1" applyAlignment="1">
      <alignment horizontal="center"/>
    </xf>
    <xf numFmtId="43" fontId="0" fillId="0" borderId="0" xfId="1" applyFont="1" applyFill="1" applyBorder="1"/>
    <xf numFmtId="0" fontId="0" fillId="3" borderId="1" xfId="0" applyFill="1" applyBorder="1"/>
    <xf numFmtId="43" fontId="1" fillId="0" borderId="0" xfId="1" applyFont="1" applyFill="1" applyBorder="1"/>
    <xf numFmtId="43" fontId="1" fillId="0" borderId="0" xfId="1" applyFont="1" applyBorder="1"/>
    <xf numFmtId="0" fontId="0" fillId="0" borderId="0" xfId="0" applyFont="1"/>
    <xf numFmtId="15" fontId="0" fillId="0" borderId="1" xfId="0" applyNumberFormat="1" applyFont="1" applyBorder="1" applyAlignment="1">
      <alignment horizontal="center"/>
    </xf>
    <xf numFmtId="0" fontId="2" fillId="0" borderId="0" xfId="0" applyFont="1" applyFill="1" applyAlignment="1">
      <alignment horizontal="right" vertical="center"/>
    </xf>
    <xf numFmtId="0" fontId="0" fillId="7" borderId="1" xfId="0" applyFill="1" applyBorder="1"/>
    <xf numFmtId="0" fontId="0" fillId="7" borderId="0" xfId="0" applyFill="1" applyBorder="1"/>
    <xf numFmtId="15" fontId="0" fillId="0" borderId="0" xfId="0" applyNumberFormat="1" applyFont="1" applyBorder="1" applyAlignment="1">
      <alignment horizontal="center"/>
    </xf>
    <xf numFmtId="43" fontId="1" fillId="0" borderId="1" xfId="1" applyFont="1" applyBorder="1"/>
    <xf numFmtId="0" fontId="0" fillId="9" borderId="0" xfId="0" applyFont="1" applyFill="1" applyBorder="1"/>
    <xf numFmtId="43" fontId="0" fillId="0" borderId="0" xfId="0" applyNumberFormat="1" applyFont="1"/>
    <xf numFmtId="0" fontId="0" fillId="11" borderId="0" xfId="0" applyFont="1" applyFill="1" applyBorder="1"/>
    <xf numFmtId="0" fontId="2" fillId="8" borderId="0" xfId="0" applyFont="1" applyFill="1" applyAlignment="1">
      <alignment horizontal="right" vertical="center"/>
    </xf>
    <xf numFmtId="0" fontId="0" fillId="13" borderId="1" xfId="0" applyFont="1" applyFill="1" applyBorder="1"/>
    <xf numFmtId="0" fontId="0" fillId="3" borderId="0" xfId="0" applyFont="1" applyFill="1" applyBorder="1"/>
    <xf numFmtId="0" fontId="0" fillId="14" borderId="0" xfId="0" applyFont="1" applyFill="1" applyBorder="1"/>
    <xf numFmtId="0" fontId="0" fillId="5" borderId="0" xfId="0" applyFont="1" applyFill="1" applyBorder="1"/>
    <xf numFmtId="0" fontId="0" fillId="15" borderId="0" xfId="0" applyFont="1" applyFill="1" applyBorder="1"/>
    <xf numFmtId="0" fontId="0" fillId="16" borderId="1" xfId="0" applyFont="1" applyFill="1" applyBorder="1"/>
    <xf numFmtId="0" fontId="0" fillId="16" borderId="0" xfId="0" applyFont="1" applyFill="1" applyBorder="1"/>
    <xf numFmtId="0" fontId="0" fillId="12" borderId="0" xfId="0" applyFont="1" applyFill="1" applyBorder="1"/>
    <xf numFmtId="0" fontId="0" fillId="17" borderId="1" xfId="0" applyFont="1" applyFill="1" applyBorder="1"/>
    <xf numFmtId="0" fontId="0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Fill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0" xfId="0" applyFont="1" applyFill="1"/>
    <xf numFmtId="0" fontId="0" fillId="8" borderId="0" xfId="0" applyFont="1" applyFill="1" applyAlignment="1">
      <alignment horizontal="right" vertical="center"/>
    </xf>
    <xf numFmtId="0" fontId="0" fillId="0" borderId="0" xfId="0" applyFont="1" applyBorder="1" applyAlignment="1">
      <alignment horizontal="right" vertical="center" indent="1"/>
    </xf>
    <xf numFmtId="0" fontId="0" fillId="4" borderId="0" xfId="0" applyFont="1" applyFill="1" applyBorder="1"/>
    <xf numFmtId="0" fontId="0" fillId="0" borderId="0" xfId="0" applyFont="1" applyBorder="1"/>
    <xf numFmtId="0" fontId="0" fillId="0" borderId="1" xfId="0" applyFont="1" applyBorder="1" applyAlignment="1">
      <alignment horizontal="right" vertical="center" indent="1"/>
    </xf>
    <xf numFmtId="0" fontId="0" fillId="12" borderId="1" xfId="0" applyFont="1" applyFill="1" applyBorder="1"/>
    <xf numFmtId="43" fontId="1" fillId="0" borderId="1" xfId="1" applyFont="1" applyFill="1" applyBorder="1"/>
    <xf numFmtId="0" fontId="0" fillId="0" borderId="0" xfId="0" applyFont="1" applyBorder="1" applyAlignment="1">
      <alignment horizontal="right" vertical="center"/>
    </xf>
    <xf numFmtId="0" fontId="0" fillId="0" borderId="0" xfId="0" applyFont="1" applyFill="1" applyBorder="1"/>
    <xf numFmtId="0" fontId="0" fillId="0" borderId="1" xfId="0" applyFont="1" applyBorder="1" applyAlignment="1">
      <alignment horizontal="right" vertical="center"/>
    </xf>
    <xf numFmtId="0" fontId="0" fillId="3" borderId="1" xfId="0" applyFont="1" applyFill="1" applyBorder="1"/>
    <xf numFmtId="0" fontId="0" fillId="11" borderId="1" xfId="0" applyFont="1" applyFill="1" applyBorder="1"/>
    <xf numFmtId="0" fontId="0" fillId="10" borderId="0" xfId="0" applyFont="1" applyFill="1" applyBorder="1"/>
    <xf numFmtId="43" fontId="1" fillId="0" borderId="0" xfId="1" applyFont="1"/>
    <xf numFmtId="0" fontId="0" fillId="0" borderId="0" xfId="0" applyFont="1" applyFill="1" applyAlignment="1">
      <alignment horizontal="right" vertical="center"/>
    </xf>
    <xf numFmtId="0" fontId="0" fillId="6" borderId="1" xfId="0" applyFont="1" applyFill="1" applyBorder="1"/>
    <xf numFmtId="0" fontId="0" fillId="14" borderId="1" xfId="0" applyFont="1" applyFill="1" applyBorder="1"/>
    <xf numFmtId="0" fontId="0" fillId="10" borderId="1" xfId="0" applyFont="1" applyFill="1" applyBorder="1"/>
    <xf numFmtId="0" fontId="0" fillId="5" borderId="1" xfId="0" applyFont="1" applyFill="1" applyBorder="1"/>
    <xf numFmtId="0" fontId="0" fillId="17" borderId="0" xfId="0" applyFont="1" applyFill="1" applyBorder="1"/>
    <xf numFmtId="0" fontId="0" fillId="7" borderId="0" xfId="0" applyFont="1" applyFill="1" applyBorder="1"/>
    <xf numFmtId="0" fontId="0" fillId="7" borderId="1" xfId="0" applyFont="1" applyFill="1" applyBorder="1"/>
    <xf numFmtId="0" fontId="0" fillId="18" borderId="1" xfId="0" applyFont="1" applyFill="1" applyBorder="1"/>
    <xf numFmtId="0" fontId="0" fillId="18" borderId="0" xfId="0" applyFont="1" applyFill="1" applyBorder="1"/>
    <xf numFmtId="0" fontId="0" fillId="18" borderId="1" xfId="0" applyFill="1" applyBorder="1"/>
    <xf numFmtId="0" fontId="3" fillId="0" borderId="0" xfId="0" applyFont="1" applyAlignment="1">
      <alignment horizontal="center" vertic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colors>
    <mruColors>
      <color rgb="FFCCCCFF"/>
      <color rgb="FFEFBDE2"/>
      <color rgb="FFFF99FF"/>
    </mru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544"/>
  <sheetViews>
    <sheetView tabSelected="1" view="pageBreakPreview" topLeftCell="A226" zoomScaleNormal="100" zoomScaleSheetLayoutView="100" workbookViewId="0">
      <selection activeCell="H544" sqref="H544"/>
    </sheetView>
  </sheetViews>
  <sheetFormatPr baseColWidth="10" defaultRowHeight="15"/>
  <cols>
    <col min="1" max="1" width="8.28515625" style="1" customWidth="1"/>
    <col min="2" max="2" width="13.7109375" customWidth="1"/>
    <col min="3" max="3" width="13.7109375" style="7" customWidth="1"/>
    <col min="4" max="4" width="5.140625" style="19" bestFit="1" customWidth="1"/>
    <col min="5" max="5" width="13.7109375" style="25" customWidth="1"/>
    <col min="6" max="6" width="13.7109375" customWidth="1"/>
    <col min="8" max="8" width="11.5703125" bestFit="1" customWidth="1"/>
  </cols>
  <sheetData>
    <row r="1" spans="1:6">
      <c r="A1" s="52"/>
      <c r="F1" s="8">
        <f ca="1">NOW()</f>
        <v>46013.531775694442</v>
      </c>
    </row>
    <row r="2" spans="1:6" ht="26.25">
      <c r="A2" s="82" t="s">
        <v>0</v>
      </c>
      <c r="B2" s="82"/>
      <c r="C2" s="82"/>
      <c r="D2" s="82"/>
      <c r="E2" s="82"/>
      <c r="F2" s="82"/>
    </row>
    <row r="4" spans="1:6" s="32" customFormat="1" ht="15.75">
      <c r="A4" s="52"/>
      <c r="B4" s="53" t="s">
        <v>7</v>
      </c>
      <c r="C4" s="53" t="s">
        <v>8</v>
      </c>
      <c r="D4" s="53"/>
      <c r="E4" s="54" t="s">
        <v>9</v>
      </c>
      <c r="F4" s="55" t="s">
        <v>10</v>
      </c>
    </row>
    <row r="5" spans="1:6" s="32" customFormat="1" ht="6.75" customHeight="1">
      <c r="A5" s="52"/>
      <c r="C5" s="19"/>
      <c r="D5" s="19"/>
      <c r="E5" s="56"/>
    </row>
    <row r="6" spans="1:6" s="32" customFormat="1">
      <c r="A6" s="42">
        <v>1069</v>
      </c>
      <c r="B6" s="2" t="s">
        <v>27</v>
      </c>
      <c r="C6" s="4"/>
      <c r="D6" s="4"/>
      <c r="E6" s="26"/>
      <c r="F6" s="2" t="s">
        <v>20</v>
      </c>
    </row>
    <row r="7" spans="1:6" s="32" customFormat="1" ht="6.75" customHeight="1">
      <c r="A7" s="52"/>
      <c r="C7" s="19"/>
      <c r="D7" s="19"/>
      <c r="E7" s="56"/>
    </row>
    <row r="8" spans="1:6" s="60" customFormat="1" hidden="1">
      <c r="A8" s="58"/>
      <c r="B8" s="59" t="s">
        <v>55</v>
      </c>
      <c r="C8" s="37">
        <v>45639</v>
      </c>
      <c r="D8" s="23">
        <f t="shared" ref="D8:D18" ca="1" si="0">$F$1-C8</f>
        <v>374.53177569444233</v>
      </c>
      <c r="E8" s="30">
        <v>0</v>
      </c>
      <c r="F8" s="30">
        <f>4260-318-1500-1500-942</f>
        <v>0</v>
      </c>
    </row>
    <row r="9" spans="1:6" s="60" customFormat="1" hidden="1">
      <c r="A9" s="58"/>
      <c r="B9" s="45" t="s">
        <v>100</v>
      </c>
      <c r="C9" s="37">
        <v>45699</v>
      </c>
      <c r="D9" s="23">
        <f t="shared" ca="1" si="0"/>
        <v>314.53177569444233</v>
      </c>
      <c r="E9" s="30">
        <v>0</v>
      </c>
      <c r="F9" s="30">
        <f>11895-558-1500-1500-1500-1500-3000-2337</f>
        <v>0</v>
      </c>
    </row>
    <row r="10" spans="1:6" s="60" customFormat="1" hidden="1">
      <c r="A10" s="58"/>
      <c r="B10" s="44" t="s">
        <v>149</v>
      </c>
      <c r="C10" s="37">
        <v>45763</v>
      </c>
      <c r="D10" s="23">
        <f t="shared" ca="1" si="0"/>
        <v>250.53177569444233</v>
      </c>
      <c r="E10" s="30">
        <v>0</v>
      </c>
      <c r="F10" s="30">
        <f>15162-663-2000-2000-2000-2000-2000-2000-2000-499</f>
        <v>0</v>
      </c>
    </row>
    <row r="11" spans="1:6" s="60" customFormat="1" hidden="1">
      <c r="A11" s="58"/>
      <c r="B11" s="49" t="s">
        <v>201</v>
      </c>
      <c r="C11" s="37">
        <v>45840</v>
      </c>
      <c r="D11" s="23">
        <f t="shared" ca="1" si="0"/>
        <v>173.53177569444233</v>
      </c>
      <c r="E11" s="30">
        <v>0</v>
      </c>
      <c r="F11" s="30">
        <f>9014-2501-2000-2000-2500-13</f>
        <v>0</v>
      </c>
    </row>
    <row r="12" spans="1:6" s="60" customFormat="1" hidden="1">
      <c r="A12" s="58"/>
      <c r="B12" s="49" t="s">
        <v>213</v>
      </c>
      <c r="C12" s="37">
        <v>45856</v>
      </c>
      <c r="D12" s="23">
        <f t="shared" ca="1" si="0"/>
        <v>157.53177569444233</v>
      </c>
      <c r="E12" s="30">
        <v>0</v>
      </c>
      <c r="F12" s="30">
        <f>2871-1987-884</f>
        <v>0</v>
      </c>
    </row>
    <row r="13" spans="1:6" s="60" customFormat="1" hidden="1">
      <c r="A13" s="58"/>
      <c r="B13" s="49" t="s">
        <v>214</v>
      </c>
      <c r="C13" s="37">
        <v>45861</v>
      </c>
      <c r="D13" s="23">
        <f ca="1">$F$1-C13</f>
        <v>152.53177569444233</v>
      </c>
      <c r="E13" s="30">
        <v>0</v>
      </c>
      <c r="F13" s="30">
        <f>4158-2116-2042</f>
        <v>0</v>
      </c>
    </row>
    <row r="14" spans="1:6" s="60" customFormat="1" hidden="1">
      <c r="A14" s="58"/>
      <c r="B14" s="41" t="s">
        <v>248</v>
      </c>
      <c r="C14" s="37">
        <v>45894</v>
      </c>
      <c r="D14" s="23">
        <f ca="1">$F$1-C14</f>
        <v>119.53177569444233</v>
      </c>
      <c r="E14" s="30">
        <v>0</v>
      </c>
      <c r="F14" s="30">
        <f>6522-858-1664-3000-1000</f>
        <v>0</v>
      </c>
    </row>
    <row r="15" spans="1:6" s="60" customFormat="1" hidden="1">
      <c r="A15" s="58"/>
      <c r="B15" s="50" t="s">
        <v>263</v>
      </c>
      <c r="C15" s="37">
        <v>45927</v>
      </c>
      <c r="D15" s="23">
        <f ca="1">$F$1-C15</f>
        <v>86.531775694442331</v>
      </c>
      <c r="E15" s="30">
        <v>0</v>
      </c>
      <c r="F15" s="30">
        <f>23010-4000-5000-5000-4000-4000-1010</f>
        <v>0</v>
      </c>
    </row>
    <row r="16" spans="1:6" s="60" customFormat="1" hidden="1">
      <c r="A16" s="58"/>
      <c r="B16" s="76" t="s">
        <v>293</v>
      </c>
      <c r="C16" s="37">
        <v>45951</v>
      </c>
      <c r="D16" s="23">
        <f ca="1">$F$1-C16</f>
        <v>62.531775694442331</v>
      </c>
      <c r="E16" s="30">
        <v>0</v>
      </c>
      <c r="F16" s="30">
        <f>8056-2990-4000-1066</f>
        <v>0</v>
      </c>
    </row>
    <row r="17" spans="1:6" s="60" customFormat="1">
      <c r="A17" s="58"/>
      <c r="B17" s="80" t="s">
        <v>338</v>
      </c>
      <c r="C17" s="37">
        <v>45993</v>
      </c>
      <c r="D17" s="23">
        <f t="shared" ref="D17" ca="1" si="1">$F$1-C17</f>
        <v>20.531775694442331</v>
      </c>
      <c r="E17" s="30">
        <f>8088-2934</f>
        <v>5154</v>
      </c>
      <c r="F17" s="30">
        <v>0</v>
      </c>
    </row>
    <row r="18" spans="1:6" s="60" customFormat="1">
      <c r="A18" s="61"/>
      <c r="B18" s="79" t="s">
        <v>344</v>
      </c>
      <c r="C18" s="33">
        <v>46002</v>
      </c>
      <c r="D18" s="20">
        <f t="shared" ca="1" si="0"/>
        <v>11.531775694442331</v>
      </c>
      <c r="E18" s="63">
        <v>12444</v>
      </c>
      <c r="F18" s="63">
        <v>0</v>
      </c>
    </row>
    <row r="19" spans="1:6" s="60" customFormat="1" ht="6.75" customHeight="1">
      <c r="A19" s="64"/>
      <c r="C19" s="21"/>
      <c r="D19" s="21"/>
      <c r="E19" s="65"/>
    </row>
    <row r="20" spans="1:6" s="32" customFormat="1">
      <c r="A20" s="52"/>
      <c r="B20" s="3">
        <f>SUM(E20:F20)</f>
        <v>17598</v>
      </c>
      <c r="C20" s="19"/>
      <c r="D20" s="19"/>
      <c r="E20" s="27">
        <f>SUM(E8:E18)</f>
        <v>17598</v>
      </c>
      <c r="F20" s="27">
        <f>SUM(F8:F18)</f>
        <v>0</v>
      </c>
    </row>
    <row r="21" spans="1:6" s="32" customFormat="1">
      <c r="A21" s="52"/>
      <c r="C21" s="19"/>
      <c r="D21" s="19"/>
      <c r="E21" s="56"/>
    </row>
    <row r="22" spans="1:6" s="32" customFormat="1" hidden="1">
      <c r="A22" s="9">
        <v>2025</v>
      </c>
      <c r="B22" s="2" t="s">
        <v>28</v>
      </c>
      <c r="C22" s="4"/>
      <c r="D22" s="4"/>
      <c r="E22" s="26"/>
      <c r="F22" s="2" t="s">
        <v>1</v>
      </c>
    </row>
    <row r="23" spans="1:6" s="32" customFormat="1" ht="6.75" hidden="1" customHeight="1">
      <c r="A23" s="52"/>
      <c r="C23" s="19"/>
      <c r="D23" s="19"/>
      <c r="E23" s="56"/>
    </row>
    <row r="24" spans="1:6" s="60" customFormat="1" hidden="1">
      <c r="A24" s="64"/>
      <c r="B24" s="44" t="s">
        <v>68</v>
      </c>
      <c r="C24" s="37">
        <v>45672</v>
      </c>
      <c r="D24" s="23">
        <f ca="1">$F$1-C24</f>
        <v>341.53177569444233</v>
      </c>
      <c r="E24" s="30">
        <f>8905-8905</f>
        <v>0</v>
      </c>
      <c r="F24" s="30">
        <v>0</v>
      </c>
    </row>
    <row r="25" spans="1:6" s="60" customFormat="1" hidden="1">
      <c r="A25" s="64"/>
      <c r="B25" s="50" t="s">
        <v>258</v>
      </c>
      <c r="C25" s="37">
        <v>45913</v>
      </c>
      <c r="D25" s="23">
        <f ca="1">$F$1-C25</f>
        <v>100.53177569444233</v>
      </c>
      <c r="E25" s="30">
        <f>2097-2097</f>
        <v>0</v>
      </c>
      <c r="F25" s="30">
        <v>0</v>
      </c>
    </row>
    <row r="26" spans="1:6" s="60" customFormat="1" hidden="1">
      <c r="A26" s="66"/>
      <c r="B26" s="51" t="s">
        <v>291</v>
      </c>
      <c r="C26" s="33">
        <v>45945</v>
      </c>
      <c r="D26" s="20">
        <f ca="1">$F$1-C26</f>
        <v>68.531775694442331</v>
      </c>
      <c r="E26" s="63">
        <v>0</v>
      </c>
      <c r="F26" s="63">
        <f>1580-1580</f>
        <v>0</v>
      </c>
    </row>
    <row r="27" spans="1:6" s="60" customFormat="1" ht="6.75" hidden="1" customHeight="1">
      <c r="A27" s="64"/>
      <c r="C27" s="21"/>
      <c r="D27" s="21"/>
      <c r="E27" s="65"/>
    </row>
    <row r="28" spans="1:6" s="32" customFormat="1" hidden="1">
      <c r="A28" s="52"/>
      <c r="B28" s="3">
        <f>SUM(E28:F28)</f>
        <v>0</v>
      </c>
      <c r="C28" s="19"/>
      <c r="D28" s="19"/>
      <c r="E28" s="27">
        <f>SUM(E24:E26)</f>
        <v>0</v>
      </c>
      <c r="F28" s="27">
        <f>SUM(F24:F26)</f>
        <v>0</v>
      </c>
    </row>
    <row r="29" spans="1:6" s="32" customFormat="1" hidden="1">
      <c r="A29" s="52"/>
      <c r="C29" s="19"/>
      <c r="D29" s="19"/>
      <c r="E29" s="56"/>
    </row>
    <row r="30" spans="1:6" s="32" customFormat="1">
      <c r="A30" s="9">
        <v>2081</v>
      </c>
      <c r="B30" s="2" t="s">
        <v>2</v>
      </c>
      <c r="C30" s="19"/>
      <c r="D30" s="19"/>
      <c r="F30" s="32" t="s">
        <v>1</v>
      </c>
    </row>
    <row r="31" spans="1:6" s="32" customFormat="1" ht="6.75" customHeight="1">
      <c r="A31" s="52"/>
      <c r="C31" s="19"/>
      <c r="D31" s="19"/>
    </row>
    <row r="32" spans="1:6" s="60" customFormat="1" hidden="1">
      <c r="A32" s="64"/>
      <c r="B32" s="44" t="s">
        <v>69</v>
      </c>
      <c r="C32" s="37">
        <v>45672</v>
      </c>
      <c r="D32" s="23">
        <f ca="1">$F$1-C32</f>
        <v>341.53177569444233</v>
      </c>
      <c r="E32" s="30">
        <v>0</v>
      </c>
      <c r="F32" s="30">
        <f>12225-3500-2500-4000-2000-225</f>
        <v>0</v>
      </c>
    </row>
    <row r="33" spans="1:6" s="60" customFormat="1" hidden="1">
      <c r="A33" s="64"/>
      <c r="B33" s="45" t="s">
        <v>96</v>
      </c>
      <c r="C33" s="37">
        <v>45700</v>
      </c>
      <c r="D33" s="23">
        <f ca="1">$F$1-C33</f>
        <v>313.53177569444233</v>
      </c>
      <c r="E33" s="30">
        <v>0</v>
      </c>
      <c r="F33" s="30">
        <f>12625-2275-4000-3500-2500-350</f>
        <v>0</v>
      </c>
    </row>
    <row r="34" spans="1:6" s="60" customFormat="1" hidden="1">
      <c r="A34" s="64"/>
      <c r="B34" s="44" t="s">
        <v>140</v>
      </c>
      <c r="C34" s="37">
        <v>45776</v>
      </c>
      <c r="D34" s="23">
        <f ca="1">$F$1-C34</f>
        <v>237.53177569444233</v>
      </c>
      <c r="E34" s="30">
        <v>0</v>
      </c>
      <c r="F34" s="30">
        <f>2900-2900</f>
        <v>0</v>
      </c>
    </row>
    <row r="35" spans="1:6" s="60" customFormat="1">
      <c r="A35" s="66"/>
      <c r="B35" s="78" t="s">
        <v>300</v>
      </c>
      <c r="C35" s="33">
        <v>45967</v>
      </c>
      <c r="D35" s="20">
        <f ca="1">$F$1-C35</f>
        <v>46.531775694442331</v>
      </c>
      <c r="E35" s="63">
        <v>0</v>
      </c>
      <c r="F35" s="63">
        <f>11860-3500-2500</f>
        <v>5860</v>
      </c>
    </row>
    <row r="36" spans="1:6" s="60" customFormat="1" ht="6.75" customHeight="1">
      <c r="A36" s="64"/>
      <c r="C36" s="21"/>
      <c r="D36" s="21"/>
    </row>
    <row r="37" spans="1:6" s="32" customFormat="1">
      <c r="A37" s="52"/>
      <c r="B37" s="10">
        <f>SUM(E37:F37)</f>
        <v>5860</v>
      </c>
      <c r="C37" s="19"/>
      <c r="D37" s="19"/>
      <c r="E37" s="10">
        <f>SUM(E32:E35)</f>
        <v>0</v>
      </c>
      <c r="F37" s="10">
        <f>SUM(F32:F35)</f>
        <v>5860</v>
      </c>
    </row>
    <row r="38" spans="1:6" s="32" customFormat="1">
      <c r="A38" s="52"/>
      <c r="B38" s="10"/>
      <c r="C38" s="19"/>
      <c r="D38" s="19"/>
      <c r="E38" s="10"/>
      <c r="F38" s="10"/>
    </row>
    <row r="39" spans="1:6" s="32" customFormat="1">
      <c r="A39" s="9">
        <v>2109</v>
      </c>
      <c r="B39" s="2" t="s">
        <v>38</v>
      </c>
      <c r="C39" s="4"/>
      <c r="D39" s="4"/>
      <c r="E39" s="2"/>
      <c r="F39" s="2" t="s">
        <v>1</v>
      </c>
    </row>
    <row r="40" spans="1:6" s="32" customFormat="1" ht="6.75" customHeight="1">
      <c r="A40" s="52"/>
      <c r="C40" s="19"/>
      <c r="D40" s="19"/>
    </row>
    <row r="41" spans="1:6" s="60" customFormat="1" hidden="1">
      <c r="A41" s="64"/>
      <c r="B41" s="45" t="s">
        <v>87</v>
      </c>
      <c r="C41" s="37">
        <v>45693</v>
      </c>
      <c r="D41" s="23">
        <f ca="1">$F$1-C41</f>
        <v>320.53177569444233</v>
      </c>
      <c r="E41" s="30">
        <v>0</v>
      </c>
      <c r="F41" s="30">
        <f>1896-256-1640</f>
        <v>0</v>
      </c>
    </row>
    <row r="42" spans="1:6" s="60" customFormat="1" hidden="1">
      <c r="A42" s="64"/>
      <c r="B42" s="46" t="s">
        <v>115</v>
      </c>
      <c r="C42" s="37">
        <v>45735</v>
      </c>
      <c r="D42" s="23">
        <f t="shared" ref="D42:D47" ca="1" si="2">$F$1-C42</f>
        <v>278.53177569444233</v>
      </c>
      <c r="E42" s="30">
        <f>1110-1110</f>
        <v>0</v>
      </c>
      <c r="F42" s="30">
        <v>0</v>
      </c>
    </row>
    <row r="43" spans="1:6" s="60" customFormat="1" hidden="1">
      <c r="A43" s="64"/>
      <c r="B43" s="46" t="s">
        <v>116</v>
      </c>
      <c r="C43" s="37">
        <v>45735</v>
      </c>
      <c r="D43" s="23">
        <f t="shared" ca="1" si="2"/>
        <v>278.53177569444233</v>
      </c>
      <c r="E43" s="30">
        <v>0</v>
      </c>
      <c r="F43" s="30">
        <f>5111-1890-3000-221</f>
        <v>0</v>
      </c>
    </row>
    <row r="44" spans="1:6" s="60" customFormat="1" hidden="1">
      <c r="A44" s="64"/>
      <c r="B44" s="44" t="s">
        <v>146</v>
      </c>
      <c r="C44" s="37">
        <v>45762</v>
      </c>
      <c r="D44" s="23">
        <f t="shared" ca="1" si="2"/>
        <v>251.53177569444233</v>
      </c>
      <c r="E44" s="30">
        <v>0</v>
      </c>
      <c r="F44" s="30">
        <f>552-552</f>
        <v>0</v>
      </c>
    </row>
    <row r="45" spans="1:6" s="60" customFormat="1" hidden="1">
      <c r="A45" s="64"/>
      <c r="B45" s="44" t="s">
        <v>155</v>
      </c>
      <c r="C45" s="37">
        <v>45777</v>
      </c>
      <c r="D45" s="23">
        <f t="shared" ca="1" si="2"/>
        <v>236.53177569444233</v>
      </c>
      <c r="E45" s="30">
        <v>0</v>
      </c>
      <c r="F45" s="30">
        <f>2460-1727-733</f>
        <v>0</v>
      </c>
    </row>
    <row r="46" spans="1:6" s="60" customFormat="1" hidden="1">
      <c r="A46" s="64"/>
      <c r="B46" s="39" t="s">
        <v>161</v>
      </c>
      <c r="C46" s="37">
        <v>45798</v>
      </c>
      <c r="D46" s="23">
        <f t="shared" ca="1" si="2"/>
        <v>215.53177569444233</v>
      </c>
      <c r="E46" s="30">
        <f>828-828</f>
        <v>0</v>
      </c>
      <c r="F46" s="30">
        <v>0</v>
      </c>
    </row>
    <row r="47" spans="1:6" s="60" customFormat="1" hidden="1">
      <c r="A47" s="64"/>
      <c r="B47" s="47" t="s">
        <v>176</v>
      </c>
      <c r="C47" s="37">
        <v>45817</v>
      </c>
      <c r="D47" s="23">
        <f t="shared" ca="1" si="2"/>
        <v>196.53177569444233</v>
      </c>
      <c r="E47" s="30">
        <v>0</v>
      </c>
      <c r="F47" s="30">
        <f>5401-3000-2401</f>
        <v>0</v>
      </c>
    </row>
    <row r="48" spans="1:6" s="60" customFormat="1" hidden="1">
      <c r="A48" s="64"/>
      <c r="B48" s="47" t="s">
        <v>184</v>
      </c>
      <c r="C48" s="37">
        <v>45818</v>
      </c>
      <c r="D48" s="23">
        <f t="shared" ref="D48:D54" ca="1" si="3">$F$1-C48</f>
        <v>195.53177569444233</v>
      </c>
      <c r="E48" s="30">
        <v>0</v>
      </c>
      <c r="F48" s="30">
        <f>552-552</f>
        <v>0</v>
      </c>
    </row>
    <row r="49" spans="1:6" s="60" customFormat="1" hidden="1">
      <c r="A49" s="64"/>
      <c r="B49" s="47" t="s">
        <v>199</v>
      </c>
      <c r="C49" s="37">
        <v>45831</v>
      </c>
      <c r="D49" s="23">
        <f t="shared" ca="1" si="3"/>
        <v>182.53177569444233</v>
      </c>
      <c r="E49" s="30">
        <v>0</v>
      </c>
      <c r="F49" s="30">
        <f>552-47-505</f>
        <v>0</v>
      </c>
    </row>
    <row r="50" spans="1:6" s="60" customFormat="1" hidden="1">
      <c r="A50" s="64"/>
      <c r="B50" s="47" t="s">
        <v>211</v>
      </c>
      <c r="C50" s="37">
        <v>45849</v>
      </c>
      <c r="D50" s="23">
        <f t="shared" ca="1" si="3"/>
        <v>164.53177569444233</v>
      </c>
      <c r="E50" s="30">
        <f>828-828</f>
        <v>0</v>
      </c>
      <c r="F50" s="30">
        <v>0</v>
      </c>
    </row>
    <row r="51" spans="1:6" s="60" customFormat="1" hidden="1">
      <c r="A51" s="64"/>
      <c r="B51" s="41" t="s">
        <v>245</v>
      </c>
      <c r="C51" s="37">
        <v>45889</v>
      </c>
      <c r="D51" s="23">
        <f t="shared" ca="1" si="3"/>
        <v>124.53177569444233</v>
      </c>
      <c r="E51" s="30">
        <f>576-576</f>
        <v>0</v>
      </c>
      <c r="F51" s="30">
        <v>0</v>
      </c>
    </row>
    <row r="52" spans="1:6" s="60" customFormat="1" hidden="1">
      <c r="A52" s="64"/>
      <c r="B52" s="41" t="s">
        <v>236</v>
      </c>
      <c r="C52" s="37">
        <v>45877</v>
      </c>
      <c r="D52" s="23">
        <f t="shared" ca="1" si="3"/>
        <v>136.53177569444233</v>
      </c>
      <c r="E52" s="30">
        <v>0</v>
      </c>
      <c r="F52" s="30">
        <f>9192-3000-3000-2000-1192</f>
        <v>0</v>
      </c>
    </row>
    <row r="53" spans="1:6" s="60" customFormat="1" hidden="1">
      <c r="A53" s="64"/>
      <c r="B53" s="76" t="s">
        <v>282</v>
      </c>
      <c r="C53" s="37">
        <v>45940</v>
      </c>
      <c r="D53" s="23">
        <f ca="1">$F$1-C53</f>
        <v>73.531775694442331</v>
      </c>
      <c r="E53" s="30">
        <v>0</v>
      </c>
      <c r="F53" s="30">
        <f>1917-1917</f>
        <v>0</v>
      </c>
    </row>
    <row r="54" spans="1:6" s="60" customFormat="1">
      <c r="A54" s="66"/>
      <c r="B54" s="78" t="s">
        <v>330</v>
      </c>
      <c r="C54" s="33">
        <v>45989</v>
      </c>
      <c r="D54" s="20">
        <f t="shared" ca="1" si="3"/>
        <v>24.531775694442331</v>
      </c>
      <c r="E54" s="63">
        <f>5220-1500</f>
        <v>3720</v>
      </c>
      <c r="F54" s="63">
        <f>1917-1917</f>
        <v>0</v>
      </c>
    </row>
    <row r="55" spans="1:6" s="60" customFormat="1" ht="6.75" customHeight="1">
      <c r="A55" s="64"/>
      <c r="C55" s="21"/>
      <c r="D55" s="21"/>
    </row>
    <row r="56" spans="1:6" s="32" customFormat="1">
      <c r="A56" s="52"/>
      <c r="B56" s="3">
        <f>SUM(E56:F56)</f>
        <v>3720</v>
      </c>
      <c r="C56" s="19"/>
      <c r="D56" s="19"/>
      <c r="E56" s="10">
        <f>SUM(E41:E54)</f>
        <v>3720</v>
      </c>
      <c r="F56" s="10">
        <f>SUM(F41:F54)</f>
        <v>0</v>
      </c>
    </row>
    <row r="57" spans="1:6" s="32" customFormat="1">
      <c r="A57" s="52"/>
      <c r="B57" s="10"/>
      <c r="C57" s="19"/>
      <c r="D57" s="19"/>
      <c r="E57" s="10"/>
      <c r="F57" s="10"/>
    </row>
    <row r="58" spans="1:6" s="32" customFormat="1">
      <c r="A58" s="42">
        <v>2118</v>
      </c>
      <c r="B58" s="2" t="s">
        <v>3</v>
      </c>
      <c r="C58" s="4"/>
      <c r="D58" s="4"/>
      <c r="E58" s="2"/>
      <c r="F58" s="2" t="s">
        <v>1</v>
      </c>
    </row>
    <row r="59" spans="1:6" s="32" customFormat="1" ht="6.75" customHeight="1">
      <c r="A59" s="52"/>
      <c r="C59" s="19"/>
      <c r="D59" s="19"/>
    </row>
    <row r="60" spans="1:6" s="60" customFormat="1" hidden="1">
      <c r="A60" s="64"/>
      <c r="B60" s="59" t="s">
        <v>51</v>
      </c>
      <c r="C60" s="37">
        <v>45632</v>
      </c>
      <c r="D60" s="23">
        <f t="shared" ref="D60:D73" ca="1" si="4">$F$1-C60</f>
        <v>381.53177569444233</v>
      </c>
      <c r="E60" s="30">
        <v>0</v>
      </c>
      <c r="F60" s="30">
        <f>6914-342-3000-3000-572</f>
        <v>0</v>
      </c>
    </row>
    <row r="61" spans="1:6" s="60" customFormat="1" hidden="1">
      <c r="A61" s="64"/>
      <c r="B61" s="44" t="s">
        <v>67</v>
      </c>
      <c r="C61" s="37">
        <v>45672</v>
      </c>
      <c r="D61" s="23">
        <f t="shared" ca="1" si="4"/>
        <v>341.53177569444233</v>
      </c>
      <c r="E61" s="30">
        <v>0</v>
      </c>
      <c r="F61" s="30">
        <f>11475-2428-3000-3000-3000-47</f>
        <v>0</v>
      </c>
    </row>
    <row r="62" spans="1:6" s="60" customFormat="1" hidden="1">
      <c r="A62" s="64"/>
      <c r="B62" s="44" t="s">
        <v>78</v>
      </c>
      <c r="C62" s="37">
        <v>45688</v>
      </c>
      <c r="D62" s="23">
        <f t="shared" ca="1" si="4"/>
        <v>325.53177569444233</v>
      </c>
      <c r="E62" s="30">
        <v>0</v>
      </c>
      <c r="F62" s="30">
        <f>2559-2559</f>
        <v>0</v>
      </c>
    </row>
    <row r="63" spans="1:6" s="60" customFormat="1" hidden="1">
      <c r="A63" s="64"/>
      <c r="B63" s="45" t="s">
        <v>93</v>
      </c>
      <c r="C63" s="37">
        <v>45700</v>
      </c>
      <c r="D63" s="23">
        <f t="shared" ca="1" si="4"/>
        <v>313.53177569444233</v>
      </c>
      <c r="E63" s="30">
        <v>0</v>
      </c>
      <c r="F63" s="30">
        <f>6339-394-3000-2945</f>
        <v>0</v>
      </c>
    </row>
    <row r="64" spans="1:6" s="60" customFormat="1" hidden="1">
      <c r="A64" s="64"/>
      <c r="B64" s="44" t="s">
        <v>137</v>
      </c>
      <c r="C64" s="37">
        <v>45776</v>
      </c>
      <c r="D64" s="23">
        <f t="shared" ca="1" si="4"/>
        <v>237.53177569444233</v>
      </c>
      <c r="E64" s="30">
        <v>0</v>
      </c>
      <c r="F64" s="30">
        <f>15748-55-3000-3000-3000-3000-3000-693</f>
        <v>0</v>
      </c>
    </row>
    <row r="65" spans="1:7" s="60" customFormat="1" hidden="1">
      <c r="A65" s="64"/>
      <c r="B65" s="39" t="s">
        <v>165</v>
      </c>
      <c r="C65" s="37">
        <v>45799</v>
      </c>
      <c r="D65" s="23">
        <f t="shared" ca="1" si="4"/>
        <v>214.53177569444233</v>
      </c>
      <c r="E65" s="30">
        <v>0</v>
      </c>
      <c r="F65" s="30">
        <f>11865-2307-3000-2000-3000-1558</f>
        <v>0</v>
      </c>
    </row>
    <row r="66" spans="1:7" s="60" customFormat="1" hidden="1">
      <c r="A66" s="64"/>
      <c r="B66" s="39" t="s">
        <v>187</v>
      </c>
      <c r="C66" s="37">
        <v>45819</v>
      </c>
      <c r="D66" s="23">
        <f t="shared" ca="1" si="4"/>
        <v>194.53177569444233</v>
      </c>
      <c r="E66" s="30">
        <v>0</v>
      </c>
      <c r="F66" s="30">
        <f>9027-1442-3000-2500-2085</f>
        <v>0</v>
      </c>
    </row>
    <row r="67" spans="1:7" s="60" customFormat="1" hidden="1">
      <c r="A67" s="64"/>
      <c r="B67" s="49" t="s">
        <v>222</v>
      </c>
      <c r="C67" s="37">
        <v>45863</v>
      </c>
      <c r="D67" s="23">
        <f t="shared" ca="1" si="4"/>
        <v>150.53177569444233</v>
      </c>
      <c r="E67" s="30">
        <v>0</v>
      </c>
      <c r="F67" s="30">
        <f>6205-915-3000-2290</f>
        <v>0</v>
      </c>
    </row>
    <row r="68" spans="1:7" s="60" customFormat="1" hidden="1">
      <c r="A68" s="64"/>
      <c r="B68" s="41" t="s">
        <v>242</v>
      </c>
      <c r="C68" s="37">
        <v>45889</v>
      </c>
      <c r="D68" s="23">
        <f t="shared" ca="1" si="4"/>
        <v>124.53177569444233</v>
      </c>
      <c r="E68" s="30">
        <v>0</v>
      </c>
      <c r="F68" s="30">
        <f>3579-710-2869</f>
        <v>0</v>
      </c>
    </row>
    <row r="69" spans="1:7" s="60" customFormat="1" hidden="1">
      <c r="A69" s="64"/>
      <c r="B69" s="50" t="s">
        <v>262</v>
      </c>
      <c r="C69" s="37">
        <v>45912</v>
      </c>
      <c r="D69" s="23">
        <f t="shared" ca="1" si="4"/>
        <v>101.53177569444233</v>
      </c>
      <c r="E69" s="30">
        <v>0</v>
      </c>
      <c r="F69" s="30">
        <f>2730-131-2599</f>
        <v>0</v>
      </c>
    </row>
    <row r="70" spans="1:7" s="60" customFormat="1">
      <c r="A70" s="64"/>
      <c r="B70" s="76" t="s">
        <v>271</v>
      </c>
      <c r="C70" s="37">
        <v>45932</v>
      </c>
      <c r="D70" s="23">
        <f ca="1">$F$1-C70</f>
        <v>81.531775694442331</v>
      </c>
      <c r="E70" s="30">
        <v>0</v>
      </c>
      <c r="F70" s="30">
        <f>13782-401-3000-3000-3500</f>
        <v>3881</v>
      </c>
    </row>
    <row r="71" spans="1:7" s="60" customFormat="1">
      <c r="A71" s="64"/>
      <c r="B71" s="76" t="s">
        <v>287</v>
      </c>
      <c r="C71" s="37">
        <v>45945</v>
      </c>
      <c r="D71" s="23">
        <f ca="1">$F$1-C71</f>
        <v>68.531775694442331</v>
      </c>
      <c r="E71" s="30">
        <v>0</v>
      </c>
      <c r="F71" s="30">
        <v>5352</v>
      </c>
    </row>
    <row r="72" spans="1:7" s="60" customFormat="1">
      <c r="A72" s="64"/>
      <c r="B72" s="77" t="s">
        <v>298</v>
      </c>
      <c r="C72" s="37">
        <v>45967</v>
      </c>
      <c r="D72" s="23">
        <f ca="1">$F$1-C72</f>
        <v>46.531775694442331</v>
      </c>
      <c r="E72" s="30">
        <v>0</v>
      </c>
      <c r="F72" s="30">
        <v>10999</v>
      </c>
    </row>
    <row r="73" spans="1:7" s="60" customFormat="1">
      <c r="A73" s="66"/>
      <c r="B73" s="78" t="s">
        <v>323</v>
      </c>
      <c r="C73" s="33">
        <v>45987</v>
      </c>
      <c r="D73" s="20">
        <f t="shared" ca="1" si="4"/>
        <v>26.531775694442331</v>
      </c>
      <c r="E73" s="63">
        <v>3210</v>
      </c>
      <c r="F73" s="63">
        <v>0</v>
      </c>
    </row>
    <row r="74" spans="1:7" s="60" customFormat="1" ht="6.75" customHeight="1">
      <c r="A74" s="64"/>
      <c r="C74" s="21"/>
      <c r="D74" s="21"/>
    </row>
    <row r="75" spans="1:7" s="32" customFormat="1">
      <c r="A75" s="52"/>
      <c r="B75" s="3">
        <f>SUM(E75:F75)</f>
        <v>23442</v>
      </c>
      <c r="C75" s="19"/>
      <c r="D75" s="19"/>
      <c r="E75" s="10">
        <f>SUM(E60:E73)</f>
        <v>3210</v>
      </c>
      <c r="F75" s="10">
        <f>SUM(F60:F73)</f>
        <v>20232</v>
      </c>
      <c r="G75" s="40"/>
    </row>
    <row r="76" spans="1:7" s="32" customFormat="1">
      <c r="A76" s="52"/>
      <c r="C76" s="19"/>
      <c r="D76" s="19"/>
    </row>
    <row r="77" spans="1:7" s="32" customFormat="1">
      <c r="A77" s="42">
        <v>2171</v>
      </c>
      <c r="B77" s="2" t="s">
        <v>14</v>
      </c>
      <c r="C77" s="4"/>
      <c r="D77" s="4"/>
      <c r="E77" s="2"/>
      <c r="F77" s="2" t="s">
        <v>13</v>
      </c>
    </row>
    <row r="78" spans="1:7" s="32" customFormat="1" ht="6.75" customHeight="1">
      <c r="A78" s="52"/>
      <c r="C78" s="19"/>
      <c r="D78" s="19"/>
    </row>
    <row r="79" spans="1:7" s="60" customFormat="1">
      <c r="A79" s="64"/>
      <c r="B79" s="69" t="s">
        <v>42</v>
      </c>
      <c r="C79" s="37">
        <v>45318</v>
      </c>
      <c r="D79" s="23">
        <f ca="1">$F$1-C79</f>
        <v>695.53177569444233</v>
      </c>
      <c r="E79" s="31">
        <v>0</v>
      </c>
      <c r="F79" s="31">
        <f>2604-371-2000</f>
        <v>233</v>
      </c>
    </row>
    <row r="80" spans="1:7" s="60" customFormat="1">
      <c r="A80" s="64"/>
      <c r="B80" s="59" t="s">
        <v>54</v>
      </c>
      <c r="C80" s="37">
        <v>45639</v>
      </c>
      <c r="D80" s="23">
        <f ca="1">$F$1-C80</f>
        <v>374.53177569444233</v>
      </c>
      <c r="E80" s="31">
        <v>0</v>
      </c>
      <c r="F80" s="31">
        <v>5586</v>
      </c>
    </row>
    <row r="81" spans="1:6" s="60" customFormat="1">
      <c r="A81" s="66"/>
      <c r="B81" s="67" t="s">
        <v>64</v>
      </c>
      <c r="C81" s="33">
        <v>45673</v>
      </c>
      <c r="D81" s="20">
        <f ca="1">$F$1-C81</f>
        <v>340.53177569444233</v>
      </c>
      <c r="E81" s="38">
        <v>0</v>
      </c>
      <c r="F81" s="38">
        <v>1740</v>
      </c>
    </row>
    <row r="82" spans="1:6" s="60" customFormat="1" ht="6.75" customHeight="1">
      <c r="A82" s="64"/>
      <c r="C82" s="21"/>
      <c r="D82" s="21"/>
    </row>
    <row r="83" spans="1:6" s="32" customFormat="1">
      <c r="A83" s="52"/>
      <c r="B83" s="3">
        <f>SUM(E83:F83)</f>
        <v>7559</v>
      </c>
      <c r="C83" s="19"/>
      <c r="D83" s="19"/>
      <c r="E83" s="10">
        <f>SUM(E79:E81)</f>
        <v>0</v>
      </c>
      <c r="F83" s="10">
        <f>SUM(F79:F81)</f>
        <v>7559</v>
      </c>
    </row>
    <row r="84" spans="1:6" s="32" customFormat="1">
      <c r="A84" s="52"/>
      <c r="C84" s="22"/>
      <c r="D84" s="22"/>
      <c r="E84" s="70"/>
    </row>
    <row r="85" spans="1:6" s="32" customFormat="1" hidden="1">
      <c r="A85" s="71">
        <v>2194</v>
      </c>
      <c r="B85" s="32" t="s">
        <v>216</v>
      </c>
      <c r="C85" s="19"/>
      <c r="D85" s="19"/>
      <c r="F85" s="32" t="s">
        <v>13</v>
      </c>
    </row>
    <row r="86" spans="1:6" s="32" customFormat="1" ht="6.75" hidden="1" customHeight="1">
      <c r="A86" s="52"/>
      <c r="C86" s="19"/>
      <c r="D86" s="19"/>
    </row>
    <row r="87" spans="1:6" s="60" customFormat="1" hidden="1">
      <c r="A87" s="66"/>
      <c r="B87" s="48" t="s">
        <v>215</v>
      </c>
      <c r="C87" s="33">
        <v>45861</v>
      </c>
      <c r="D87" s="20">
        <f ca="1">$F$1-C87</f>
        <v>152.53177569444233</v>
      </c>
      <c r="E87" s="38">
        <f>3900-3900</f>
        <v>0</v>
      </c>
      <c r="F87" s="38">
        <v>0</v>
      </c>
    </row>
    <row r="88" spans="1:6" s="60" customFormat="1" ht="6.75" hidden="1" customHeight="1">
      <c r="A88" s="64"/>
      <c r="C88" s="21"/>
      <c r="D88" s="21"/>
    </row>
    <row r="89" spans="1:6" s="32" customFormat="1" hidden="1">
      <c r="A89" s="52"/>
      <c r="B89" s="10">
        <f>SUM(E89:F89)</f>
        <v>0</v>
      </c>
      <c r="C89" s="19"/>
      <c r="D89" s="19"/>
      <c r="E89" s="10">
        <f>SUM(E87:E87)</f>
        <v>0</v>
      </c>
      <c r="F89" s="10">
        <f>SUM(F87:F87)</f>
        <v>0</v>
      </c>
    </row>
    <row r="90" spans="1:6" s="32" customFormat="1" hidden="1">
      <c r="A90" s="52"/>
      <c r="C90" s="22"/>
      <c r="D90" s="22"/>
      <c r="E90" s="70"/>
    </row>
    <row r="91" spans="1:6" s="32" customFormat="1">
      <c r="A91" s="42">
        <v>2248</v>
      </c>
      <c r="B91" s="2" t="s">
        <v>4</v>
      </c>
      <c r="C91" s="4"/>
      <c r="D91" s="4"/>
      <c r="E91" s="2"/>
      <c r="F91" s="2" t="s">
        <v>1</v>
      </c>
    </row>
    <row r="92" spans="1:6" s="32" customFormat="1" ht="6.75" customHeight="1">
      <c r="A92" s="52"/>
      <c r="C92" s="19"/>
      <c r="D92" s="19"/>
    </row>
    <row r="93" spans="1:6" s="60" customFormat="1" hidden="1">
      <c r="A93" s="64"/>
      <c r="B93" s="59" t="s">
        <v>52</v>
      </c>
      <c r="C93" s="37">
        <v>45632</v>
      </c>
      <c r="D93" s="23" t="e">
        <f>#REF!-C93</f>
        <v>#REF!</v>
      </c>
      <c r="E93" s="31">
        <v>0</v>
      </c>
      <c r="F93" s="31">
        <f>8328-3069-4000-1259</f>
        <v>0</v>
      </c>
    </row>
    <row r="94" spans="1:6" s="60" customFormat="1" hidden="1">
      <c r="A94" s="64"/>
      <c r="B94" s="59" t="s">
        <v>23</v>
      </c>
      <c r="C94" s="37">
        <v>45654</v>
      </c>
      <c r="D94" s="23">
        <f t="shared" ref="D94:D102" ca="1" si="5">$F$1-C94</f>
        <v>359.53177569444233</v>
      </c>
      <c r="E94" s="31">
        <v>0</v>
      </c>
      <c r="F94" s="31">
        <f>16212-3576-5000-5000-2636</f>
        <v>0</v>
      </c>
    </row>
    <row r="95" spans="1:6" s="60" customFormat="1" hidden="1">
      <c r="A95" s="64"/>
      <c r="B95" s="44" t="s">
        <v>70</v>
      </c>
      <c r="C95" s="37">
        <v>45672</v>
      </c>
      <c r="D95" s="23">
        <f t="shared" ca="1" si="5"/>
        <v>341.53177569444233</v>
      </c>
      <c r="E95" s="31">
        <v>0</v>
      </c>
      <c r="F95" s="31">
        <f>12364-364-4000-8000</f>
        <v>0</v>
      </c>
    </row>
    <row r="96" spans="1:6" s="60" customFormat="1" hidden="1">
      <c r="A96" s="64"/>
      <c r="B96" s="44" t="s">
        <v>139</v>
      </c>
      <c r="C96" s="37">
        <v>45776</v>
      </c>
      <c r="D96" s="23">
        <f t="shared" ca="1" si="5"/>
        <v>237.53177569444233</v>
      </c>
      <c r="E96" s="31">
        <v>0</v>
      </c>
      <c r="F96" s="31">
        <f>14014-3000-5000-3000-3014</f>
        <v>0</v>
      </c>
    </row>
    <row r="97" spans="1:6" s="60" customFormat="1" hidden="1">
      <c r="A97" s="64"/>
      <c r="B97" s="47" t="s">
        <v>188</v>
      </c>
      <c r="C97" s="37">
        <v>45819</v>
      </c>
      <c r="D97" s="23">
        <f t="shared" ca="1" si="5"/>
        <v>194.53177569444233</v>
      </c>
      <c r="E97" s="31">
        <v>0</v>
      </c>
      <c r="F97" s="31">
        <f>6958-986-5972</f>
        <v>0</v>
      </c>
    </row>
    <row r="98" spans="1:6" s="60" customFormat="1" hidden="1">
      <c r="A98" s="64"/>
      <c r="B98" s="49" t="s">
        <v>226</v>
      </c>
      <c r="C98" s="37">
        <v>45863</v>
      </c>
      <c r="D98" s="23">
        <f t="shared" ca="1" si="5"/>
        <v>150.53177569444233</v>
      </c>
      <c r="E98" s="31">
        <v>0</v>
      </c>
      <c r="F98" s="31">
        <f>13936-5000-3000-4000-1936</f>
        <v>0</v>
      </c>
    </row>
    <row r="99" spans="1:6" s="60" customFormat="1" hidden="1">
      <c r="A99" s="64"/>
      <c r="B99" s="41" t="s">
        <v>243</v>
      </c>
      <c r="C99" s="37">
        <v>45889</v>
      </c>
      <c r="D99" s="23">
        <f t="shared" ca="1" si="5"/>
        <v>124.53177569444233</v>
      </c>
      <c r="E99" s="31">
        <v>0</v>
      </c>
      <c r="F99" s="31">
        <f>10104-3064-5000-2040</f>
        <v>0</v>
      </c>
    </row>
    <row r="100" spans="1:6" s="60" customFormat="1" hidden="1">
      <c r="A100" s="64"/>
      <c r="B100" s="76" t="s">
        <v>273</v>
      </c>
      <c r="C100" s="37">
        <v>45934</v>
      </c>
      <c r="D100" s="23">
        <f ca="1">$F$1-C100</f>
        <v>79.531775694442331</v>
      </c>
      <c r="E100" s="31">
        <v>0</v>
      </c>
      <c r="F100" s="31">
        <f>9500-960-4000-4000-540</f>
        <v>0</v>
      </c>
    </row>
    <row r="101" spans="1:6" s="60" customFormat="1">
      <c r="A101" s="64"/>
      <c r="B101" s="76" t="s">
        <v>290</v>
      </c>
      <c r="C101" s="37">
        <v>45945</v>
      </c>
      <c r="D101" s="23">
        <f ca="1">$F$1-C101</f>
        <v>68.531775694442331</v>
      </c>
      <c r="E101" s="31">
        <v>0</v>
      </c>
      <c r="F101" s="31">
        <f>12129-3460-4000</f>
        <v>4669</v>
      </c>
    </row>
    <row r="102" spans="1:6" s="60" customFormat="1">
      <c r="A102" s="66"/>
      <c r="B102" s="78" t="s">
        <v>324</v>
      </c>
      <c r="C102" s="33">
        <v>45988</v>
      </c>
      <c r="D102" s="20">
        <f t="shared" ca="1" si="5"/>
        <v>25.531775694442331</v>
      </c>
      <c r="E102" s="38">
        <v>2637</v>
      </c>
      <c r="F102" s="38">
        <v>0</v>
      </c>
    </row>
    <row r="103" spans="1:6" s="60" customFormat="1" ht="6.75" customHeight="1">
      <c r="A103" s="64"/>
      <c r="C103" s="21"/>
      <c r="D103" s="21"/>
    </row>
    <row r="104" spans="1:6" s="32" customFormat="1">
      <c r="A104" s="52"/>
      <c r="B104" s="3">
        <f>SUM(E104:F104)</f>
        <v>7306</v>
      </c>
      <c r="C104" s="19"/>
      <c r="D104" s="19"/>
      <c r="E104" s="10">
        <f>SUM(E93:E102)</f>
        <v>2637</v>
      </c>
      <c r="F104" s="10">
        <f>SUM(F93:F102)</f>
        <v>4669</v>
      </c>
    </row>
    <row r="105" spans="1:6" s="32" customFormat="1">
      <c r="A105" s="52"/>
      <c r="C105" s="19"/>
      <c r="D105" s="19"/>
    </row>
    <row r="106" spans="1:6" s="32" customFormat="1">
      <c r="A106" s="42">
        <v>2281</v>
      </c>
      <c r="B106" s="2" t="s">
        <v>15</v>
      </c>
      <c r="C106" s="4"/>
      <c r="D106" s="4"/>
      <c r="E106" s="2"/>
      <c r="F106" s="2" t="s">
        <v>13</v>
      </c>
    </row>
    <row r="107" spans="1:6" s="32" customFormat="1" ht="6.75" customHeight="1">
      <c r="A107" s="52"/>
      <c r="C107" s="19"/>
      <c r="D107" s="19"/>
    </row>
    <row r="108" spans="1:6" s="60" customFormat="1" hidden="1">
      <c r="A108" s="64"/>
      <c r="B108" s="47" t="s">
        <v>172</v>
      </c>
      <c r="C108" s="37">
        <v>45817</v>
      </c>
      <c r="D108" s="23">
        <f ca="1">$F$1-C108</f>
        <v>196.53177569444233</v>
      </c>
      <c r="E108" s="31">
        <v>0</v>
      </c>
      <c r="F108" s="31">
        <f>2556-2556</f>
        <v>0</v>
      </c>
    </row>
    <row r="109" spans="1:6" s="60" customFormat="1" hidden="1">
      <c r="A109" s="64"/>
      <c r="B109" s="47" t="s">
        <v>196</v>
      </c>
      <c r="C109" s="37">
        <v>45831</v>
      </c>
      <c r="D109" s="23">
        <f ca="1">$F$1-C109</f>
        <v>182.53177569444233</v>
      </c>
      <c r="E109" s="31">
        <f>156-156</f>
        <v>0</v>
      </c>
      <c r="F109" s="31">
        <v>0</v>
      </c>
    </row>
    <row r="110" spans="1:6" s="60" customFormat="1" hidden="1">
      <c r="A110" s="64"/>
      <c r="B110" s="49" t="s">
        <v>217</v>
      </c>
      <c r="C110" s="37">
        <v>45861</v>
      </c>
      <c r="D110" s="23">
        <f ca="1">$F$1-C110</f>
        <v>152.53177569444233</v>
      </c>
      <c r="E110" s="31">
        <v>0</v>
      </c>
      <c r="F110" s="31">
        <f>3535-1000-1000-1000-535</f>
        <v>0</v>
      </c>
    </row>
    <row r="111" spans="1:6" s="60" customFormat="1">
      <c r="A111" s="66"/>
      <c r="B111" s="79" t="s">
        <v>343</v>
      </c>
      <c r="C111" s="33">
        <v>45994</v>
      </c>
      <c r="D111" s="20">
        <f ca="1">$F$1-C111</f>
        <v>19.531775694442331</v>
      </c>
      <c r="E111" s="38">
        <v>710</v>
      </c>
      <c r="F111" s="38">
        <f>3535-1000-1000-1000-535</f>
        <v>0</v>
      </c>
    </row>
    <row r="112" spans="1:6" s="60" customFormat="1" ht="6.75" customHeight="1">
      <c r="A112" s="64"/>
      <c r="C112" s="21"/>
      <c r="D112" s="21"/>
    </row>
    <row r="113" spans="1:6" s="32" customFormat="1">
      <c r="A113" s="52"/>
      <c r="B113" s="3">
        <f>SUM(E113:F113)</f>
        <v>710</v>
      </c>
      <c r="C113" s="19"/>
      <c r="D113" s="19"/>
      <c r="E113" s="10">
        <f>SUM(E108:E111)</f>
        <v>710</v>
      </c>
      <c r="F113" s="10">
        <f>SUM(F108:F111)</f>
        <v>0</v>
      </c>
    </row>
    <row r="114" spans="1:6" s="32" customFormat="1">
      <c r="A114" s="52"/>
      <c r="B114" s="10"/>
      <c r="C114" s="19"/>
      <c r="D114" s="19"/>
      <c r="E114" s="10"/>
      <c r="F114" s="10"/>
    </row>
    <row r="115" spans="1:6" s="32" customFormat="1" hidden="1">
      <c r="A115" s="57">
        <v>2380</v>
      </c>
      <c r="B115" s="32" t="s">
        <v>26</v>
      </c>
      <c r="C115" s="19"/>
      <c r="D115" s="19"/>
      <c r="E115" s="56"/>
      <c r="F115" s="32" t="s">
        <v>20</v>
      </c>
    </row>
    <row r="116" spans="1:6" s="32" customFormat="1" ht="6.75" hidden="1" customHeight="1">
      <c r="A116" s="52"/>
      <c r="C116" s="19"/>
      <c r="D116" s="19"/>
      <c r="E116" s="56"/>
    </row>
    <row r="117" spans="1:6" s="60" customFormat="1" hidden="1">
      <c r="A117" s="66"/>
      <c r="B117" s="72" t="s">
        <v>50</v>
      </c>
      <c r="C117" s="33">
        <v>45623</v>
      </c>
      <c r="D117" s="20">
        <f ca="1">FER!$F$1-C117</f>
        <v>390.53177569444233</v>
      </c>
      <c r="E117" s="63">
        <v>0</v>
      </c>
      <c r="F117" s="63">
        <f>19920-3000-5000-5000-1000-1966-3954</f>
        <v>0</v>
      </c>
    </row>
    <row r="118" spans="1:6" s="32" customFormat="1" ht="6.75" hidden="1" customHeight="1">
      <c r="A118" s="52"/>
      <c r="C118" s="19"/>
      <c r="D118" s="19"/>
      <c r="E118" s="56"/>
    </row>
    <row r="119" spans="1:6" s="32" customFormat="1" hidden="1">
      <c r="A119" s="52"/>
      <c r="B119" s="10">
        <f>SUM(E119:F119)</f>
        <v>0</v>
      </c>
      <c r="C119" s="19"/>
      <c r="D119" s="19"/>
      <c r="E119" s="27">
        <f>SUM(E117:E117)</f>
        <v>0</v>
      </c>
      <c r="F119" s="27">
        <f>SUM(F117:F117)</f>
        <v>0</v>
      </c>
    </row>
    <row r="120" spans="1:6" s="32" customFormat="1" hidden="1">
      <c r="A120" s="52"/>
      <c r="C120" s="19"/>
      <c r="D120" s="19"/>
      <c r="E120" s="56"/>
    </row>
    <row r="121" spans="1:6" s="32" customFormat="1">
      <c r="A121" s="42">
        <v>2382</v>
      </c>
      <c r="B121" s="2" t="s">
        <v>17</v>
      </c>
      <c r="C121" s="4"/>
      <c r="D121" s="4"/>
      <c r="E121" s="2"/>
      <c r="F121" s="2" t="s">
        <v>13</v>
      </c>
    </row>
    <row r="122" spans="1:6" s="32" customFormat="1" ht="6.75" customHeight="1">
      <c r="A122" s="52"/>
      <c r="C122" s="19"/>
      <c r="D122" s="19"/>
    </row>
    <row r="123" spans="1:6" s="60" customFormat="1" hidden="1">
      <c r="A123" s="64"/>
      <c r="B123" s="44" t="s">
        <v>63</v>
      </c>
      <c r="C123" s="37">
        <v>45673</v>
      </c>
      <c r="D123" s="24" t="e">
        <f>#REF!-C123</f>
        <v>#REF!</v>
      </c>
      <c r="E123" s="31">
        <v>0</v>
      </c>
      <c r="F123" s="31">
        <f>5610-1193-3000-1417</f>
        <v>0</v>
      </c>
    </row>
    <row r="124" spans="1:6" s="60" customFormat="1" hidden="1">
      <c r="A124" s="64"/>
      <c r="B124" s="45" t="s">
        <v>105</v>
      </c>
      <c r="C124" s="37">
        <v>45707</v>
      </c>
      <c r="D124" s="24">
        <f t="shared" ref="D124:D134" ca="1" si="6">$F$1-C124</f>
        <v>306.53177569444233</v>
      </c>
      <c r="E124" s="31">
        <v>0</v>
      </c>
      <c r="F124" s="31">
        <f>4533-4000-533</f>
        <v>0</v>
      </c>
    </row>
    <row r="125" spans="1:6" s="60" customFormat="1" hidden="1">
      <c r="A125" s="64"/>
      <c r="B125" s="46" t="s">
        <v>120</v>
      </c>
      <c r="C125" s="37">
        <v>45735</v>
      </c>
      <c r="D125" s="24">
        <f t="shared" ca="1" si="6"/>
        <v>278.53177569444233</v>
      </c>
      <c r="E125" s="31">
        <v>0</v>
      </c>
      <c r="F125" s="31">
        <f>8595-2967-3000-2628</f>
        <v>0</v>
      </c>
    </row>
    <row r="126" spans="1:6" s="60" customFormat="1" hidden="1">
      <c r="A126" s="64"/>
      <c r="B126" s="44" t="s">
        <v>152</v>
      </c>
      <c r="C126" s="37">
        <v>45777</v>
      </c>
      <c r="D126" s="24">
        <f t="shared" ca="1" si="6"/>
        <v>236.53177569444233</v>
      </c>
      <c r="E126" s="31">
        <f>2305-2305</f>
        <v>0</v>
      </c>
      <c r="F126" s="31">
        <v>0</v>
      </c>
    </row>
    <row r="127" spans="1:6" s="60" customFormat="1" hidden="1">
      <c r="A127" s="64"/>
      <c r="B127" s="39" t="s">
        <v>159</v>
      </c>
      <c r="C127" s="37">
        <v>45798</v>
      </c>
      <c r="D127" s="24">
        <f t="shared" ca="1" si="6"/>
        <v>215.53177569444233</v>
      </c>
      <c r="E127" s="31">
        <v>0</v>
      </c>
      <c r="F127" s="31">
        <f>14165-67-6000-4000-4098</f>
        <v>0</v>
      </c>
    </row>
    <row r="128" spans="1:6" s="60" customFormat="1" hidden="1">
      <c r="A128" s="64"/>
      <c r="B128" s="47" t="s">
        <v>181</v>
      </c>
      <c r="C128" s="37">
        <v>45818</v>
      </c>
      <c r="D128" s="24">
        <f t="shared" ca="1" si="6"/>
        <v>195.53177569444233</v>
      </c>
      <c r="E128" s="31">
        <v>0</v>
      </c>
      <c r="F128" s="31">
        <f>4279-402-3877</f>
        <v>0</v>
      </c>
    </row>
    <row r="129" spans="1:6" s="60" customFormat="1" hidden="1">
      <c r="A129" s="64"/>
      <c r="B129" s="47" t="s">
        <v>182</v>
      </c>
      <c r="C129" s="37">
        <v>45818</v>
      </c>
      <c r="D129" s="24">
        <f t="shared" ca="1" si="6"/>
        <v>195.53177569444233</v>
      </c>
      <c r="E129" s="31">
        <v>0</v>
      </c>
      <c r="F129" s="31">
        <f>3866-123-3000-743</f>
        <v>0</v>
      </c>
    </row>
    <row r="130" spans="1:6" s="60" customFormat="1" hidden="1">
      <c r="A130" s="64"/>
      <c r="B130" s="49" t="s">
        <v>218</v>
      </c>
      <c r="C130" s="37">
        <v>45862</v>
      </c>
      <c r="D130" s="24">
        <f t="shared" ca="1" si="6"/>
        <v>151.53177569444233</v>
      </c>
      <c r="E130" s="31">
        <v>0</v>
      </c>
      <c r="F130" s="31">
        <f>1057-1057</f>
        <v>0</v>
      </c>
    </row>
    <row r="131" spans="1:6" s="60" customFormat="1" hidden="1">
      <c r="A131" s="64"/>
      <c r="B131" s="41" t="s">
        <v>234</v>
      </c>
      <c r="C131" s="37">
        <v>45877</v>
      </c>
      <c r="D131" s="24">
        <f t="shared" ca="1" si="6"/>
        <v>136.53177569444233</v>
      </c>
      <c r="E131" s="31">
        <v>0</v>
      </c>
      <c r="F131" s="31">
        <f>21618-2200-1500-1000-5000-3500-3000-4000-1418</f>
        <v>0</v>
      </c>
    </row>
    <row r="132" spans="1:6" s="60" customFormat="1" hidden="1">
      <c r="A132" s="64"/>
      <c r="B132" s="50" t="s">
        <v>264</v>
      </c>
      <c r="C132" s="37">
        <v>45926</v>
      </c>
      <c r="D132" s="24">
        <f ca="1">$F$1-C132</f>
        <v>87.531775694442331</v>
      </c>
      <c r="E132" s="31">
        <v>0</v>
      </c>
      <c r="F132" s="31">
        <f>3479-1582-1897</f>
        <v>0</v>
      </c>
    </row>
    <row r="133" spans="1:6" s="60" customFormat="1">
      <c r="A133" s="64"/>
      <c r="B133" s="76" t="s">
        <v>294</v>
      </c>
      <c r="C133" s="37">
        <v>45961</v>
      </c>
      <c r="D133" s="24">
        <f ca="1">$F$1-C133</f>
        <v>52.531775694442331</v>
      </c>
      <c r="E133" s="31">
        <v>0</v>
      </c>
      <c r="F133" s="31">
        <f>7302-1103-3000</f>
        <v>3199</v>
      </c>
    </row>
    <row r="134" spans="1:6" s="60" customFormat="1">
      <c r="A134" s="66"/>
      <c r="B134" s="35" t="s">
        <v>335</v>
      </c>
      <c r="C134" s="33">
        <v>45989</v>
      </c>
      <c r="D134" s="16">
        <f t="shared" ca="1" si="6"/>
        <v>24.531775694442331</v>
      </c>
      <c r="E134" s="38">
        <v>3880</v>
      </c>
      <c r="F134" s="38">
        <v>0</v>
      </c>
    </row>
    <row r="135" spans="1:6" s="32" customFormat="1" ht="6.75" customHeight="1">
      <c r="A135" s="52"/>
      <c r="C135" s="19"/>
      <c r="D135" s="19"/>
    </row>
    <row r="136" spans="1:6" s="32" customFormat="1">
      <c r="A136" s="52"/>
      <c r="B136" s="3">
        <f>SUM(E136:F136)</f>
        <v>7079</v>
      </c>
      <c r="C136" s="19"/>
      <c r="D136" s="19"/>
      <c r="E136" s="10">
        <f>SUM(E123:E134)</f>
        <v>3880</v>
      </c>
      <c r="F136" s="10">
        <f>SUM(F123:F134)</f>
        <v>3199</v>
      </c>
    </row>
    <row r="137" spans="1:6" s="32" customFormat="1">
      <c r="A137" s="52"/>
      <c r="C137" s="19"/>
      <c r="D137" s="19"/>
    </row>
    <row r="138" spans="1:6" s="32" customFormat="1" hidden="1">
      <c r="A138" s="9">
        <v>2407</v>
      </c>
      <c r="B138" s="2" t="s">
        <v>232</v>
      </c>
      <c r="C138" s="4"/>
      <c r="D138" s="4"/>
      <c r="E138" s="2"/>
      <c r="F138" s="2" t="s">
        <v>16</v>
      </c>
    </row>
    <row r="139" spans="1:6" s="32" customFormat="1" ht="6.75" hidden="1" customHeight="1">
      <c r="A139" s="52"/>
      <c r="C139" s="19"/>
      <c r="D139" s="19"/>
    </row>
    <row r="140" spans="1:6" s="60" customFormat="1" hidden="1">
      <c r="A140" s="66"/>
      <c r="B140" s="68" t="s">
        <v>233</v>
      </c>
      <c r="C140" s="33">
        <v>45877</v>
      </c>
      <c r="D140" s="16" t="e">
        <f>#REF!-C140</f>
        <v>#REF!</v>
      </c>
      <c r="E140" s="38">
        <v>0</v>
      </c>
      <c r="F140" s="38">
        <f>374-374</f>
        <v>0</v>
      </c>
    </row>
    <row r="141" spans="1:6" s="32" customFormat="1" ht="6.75" hidden="1" customHeight="1">
      <c r="A141" s="52"/>
      <c r="C141" s="19"/>
      <c r="D141" s="19"/>
    </row>
    <row r="142" spans="1:6" s="32" customFormat="1" hidden="1">
      <c r="A142" s="52"/>
      <c r="B142" s="10">
        <f>SUM(E142:F142)</f>
        <v>0</v>
      </c>
      <c r="C142" s="19"/>
      <c r="D142" s="19"/>
      <c r="E142" s="10">
        <f>SUM(E140:E140)</f>
        <v>0</v>
      </c>
      <c r="F142" s="10">
        <f>SUM(F140:F140)</f>
        <v>0</v>
      </c>
    </row>
    <row r="143" spans="1:6" s="32" customFormat="1" hidden="1">
      <c r="A143" s="52"/>
      <c r="C143" s="19"/>
      <c r="D143" s="19"/>
    </row>
    <row r="144" spans="1:6" s="32" customFormat="1" hidden="1">
      <c r="A144" s="9">
        <v>2417</v>
      </c>
      <c r="B144" s="2" t="s">
        <v>5</v>
      </c>
      <c r="C144" s="4"/>
      <c r="D144" s="4"/>
      <c r="E144" s="2"/>
      <c r="F144" s="2" t="s">
        <v>16</v>
      </c>
    </row>
    <row r="145" spans="1:6" s="32" customFormat="1" ht="6.75" hidden="1" customHeight="1">
      <c r="A145" s="52"/>
      <c r="C145" s="19"/>
      <c r="D145" s="19"/>
    </row>
    <row r="146" spans="1:6" s="60" customFormat="1" hidden="1">
      <c r="A146" s="64"/>
      <c r="B146" s="45" t="s">
        <v>95</v>
      </c>
      <c r="C146" s="37">
        <v>45700</v>
      </c>
      <c r="D146" s="24" t="e">
        <f>#REF!-C146</f>
        <v>#REF!</v>
      </c>
      <c r="E146" s="31">
        <f>1742.4-1000-742.4</f>
        <v>0</v>
      </c>
      <c r="F146" s="31">
        <v>0</v>
      </c>
    </row>
    <row r="147" spans="1:6" s="60" customFormat="1" hidden="1">
      <c r="A147" s="64"/>
      <c r="B147" s="45" t="s">
        <v>110</v>
      </c>
      <c r="C147" s="37">
        <v>45714</v>
      </c>
      <c r="D147" s="24" t="e">
        <f>#REF!-C147</f>
        <v>#REF!</v>
      </c>
      <c r="E147" s="31">
        <f>1587-1587</f>
        <v>0</v>
      </c>
      <c r="F147" s="31">
        <v>0</v>
      </c>
    </row>
    <row r="148" spans="1:6" s="60" customFormat="1" hidden="1">
      <c r="A148" s="64"/>
      <c r="B148" s="46" t="s">
        <v>130</v>
      </c>
      <c r="C148" s="37">
        <v>45741</v>
      </c>
      <c r="D148" s="24" t="e">
        <f>#REF!-C148</f>
        <v>#REF!</v>
      </c>
      <c r="E148" s="31">
        <f>9240-6240-3000</f>
        <v>0</v>
      </c>
      <c r="F148" s="31">
        <v>0</v>
      </c>
    </row>
    <row r="149" spans="1:6" s="60" customFormat="1" hidden="1">
      <c r="A149" s="64"/>
      <c r="B149" s="39" t="s">
        <v>166</v>
      </c>
      <c r="C149" s="37">
        <v>45799</v>
      </c>
      <c r="D149" s="24" t="e">
        <f>#REF!-C149</f>
        <v>#REF!</v>
      </c>
      <c r="E149" s="31">
        <f>2387.6-2387.6</f>
        <v>0</v>
      </c>
      <c r="F149" s="31">
        <v>0</v>
      </c>
    </row>
    <row r="150" spans="1:6" s="60" customFormat="1" hidden="1">
      <c r="A150" s="64"/>
      <c r="B150" s="47" t="s">
        <v>190</v>
      </c>
      <c r="C150" s="37">
        <v>45819</v>
      </c>
      <c r="D150" s="24" t="e">
        <f>#REF!-C150</f>
        <v>#REF!</v>
      </c>
      <c r="E150" s="31">
        <f>3128.2-3128.2</f>
        <v>0</v>
      </c>
      <c r="F150" s="31">
        <v>0</v>
      </c>
    </row>
    <row r="151" spans="1:6" s="60" customFormat="1" hidden="1">
      <c r="A151" s="64"/>
      <c r="B151" s="49" t="s">
        <v>224</v>
      </c>
      <c r="C151" s="37">
        <v>45863</v>
      </c>
      <c r="D151" s="24" t="e">
        <f>#REF!-C151</f>
        <v>#REF!</v>
      </c>
      <c r="E151" s="31">
        <f>4715-4715</f>
        <v>0</v>
      </c>
      <c r="F151" s="31">
        <v>0</v>
      </c>
    </row>
    <row r="152" spans="1:6" s="60" customFormat="1" hidden="1">
      <c r="A152" s="64"/>
      <c r="B152" s="50" t="s">
        <v>257</v>
      </c>
      <c r="C152" s="37">
        <v>45912</v>
      </c>
      <c r="D152" s="24" t="e">
        <f>#REF!-C152</f>
        <v>#REF!</v>
      </c>
      <c r="E152" s="31">
        <f>11713-6000-5713</f>
        <v>0</v>
      </c>
      <c r="F152" s="31">
        <v>0</v>
      </c>
    </row>
    <row r="153" spans="1:6" s="60" customFormat="1" hidden="1">
      <c r="A153" s="64"/>
      <c r="B153" s="76" t="s">
        <v>292</v>
      </c>
      <c r="C153" s="37">
        <v>45945</v>
      </c>
      <c r="D153" s="24" t="e">
        <f>#REF!-C153</f>
        <v>#REF!</v>
      </c>
      <c r="E153" s="31">
        <f>6472-3472-3000</f>
        <v>0</v>
      </c>
      <c r="F153" s="31">
        <v>0</v>
      </c>
    </row>
    <row r="154" spans="1:6" s="60" customFormat="1" hidden="1">
      <c r="A154" s="66"/>
      <c r="B154" s="35" t="s">
        <v>327</v>
      </c>
      <c r="C154" s="33">
        <v>45988</v>
      </c>
      <c r="D154" s="16" t="e">
        <f>#REF!-C154</f>
        <v>#REF!</v>
      </c>
      <c r="E154" s="38">
        <f>1468.2-1468.2</f>
        <v>0</v>
      </c>
      <c r="F154" s="38">
        <v>0</v>
      </c>
    </row>
    <row r="155" spans="1:6" s="32" customFormat="1" ht="6.75" hidden="1" customHeight="1">
      <c r="A155" s="52"/>
      <c r="C155" s="19"/>
      <c r="D155" s="19"/>
    </row>
    <row r="156" spans="1:6" s="32" customFormat="1" hidden="1">
      <c r="A156" s="52"/>
      <c r="B156" s="3">
        <f>SUM(E156:F156)</f>
        <v>0</v>
      </c>
      <c r="C156" s="19"/>
      <c r="D156" s="19"/>
      <c r="E156" s="10">
        <f>SUM(E146:E154)</f>
        <v>0</v>
      </c>
      <c r="F156" s="10">
        <f>SUM(F154:F154)</f>
        <v>0</v>
      </c>
    </row>
    <row r="157" spans="1:6" s="32" customFormat="1" hidden="1">
      <c r="A157" s="52"/>
      <c r="C157" s="19"/>
      <c r="D157" s="19"/>
    </row>
    <row r="158" spans="1:6" s="32" customFormat="1" hidden="1">
      <c r="A158" s="9">
        <v>2442</v>
      </c>
      <c r="B158" s="2" t="s">
        <v>320</v>
      </c>
      <c r="C158" s="4"/>
      <c r="D158" s="4"/>
      <c r="E158" s="2"/>
      <c r="F158" s="2" t="s">
        <v>16</v>
      </c>
    </row>
    <row r="159" spans="1:6" s="32" customFormat="1" ht="6.75" hidden="1" customHeight="1">
      <c r="A159" s="52"/>
      <c r="C159" s="19"/>
      <c r="D159" s="19"/>
    </row>
    <row r="160" spans="1:6" s="60" customFormat="1" hidden="1">
      <c r="A160" s="66"/>
      <c r="B160" s="35" t="s">
        <v>321</v>
      </c>
      <c r="C160" s="33">
        <v>45982</v>
      </c>
      <c r="D160" s="16" t="e">
        <f>#REF!-C160</f>
        <v>#REF!</v>
      </c>
      <c r="E160" s="38">
        <f>21910-15000-6910</f>
        <v>0</v>
      </c>
      <c r="F160" s="38">
        <f>374-374</f>
        <v>0</v>
      </c>
    </row>
    <row r="161" spans="1:6" s="32" customFormat="1" ht="6.75" hidden="1" customHeight="1">
      <c r="A161" s="52"/>
      <c r="C161" s="19"/>
      <c r="D161" s="19"/>
    </row>
    <row r="162" spans="1:6" s="32" customFormat="1" hidden="1">
      <c r="A162" s="52"/>
      <c r="B162" s="3">
        <f>SUM(E162:F162)</f>
        <v>0</v>
      </c>
      <c r="C162" s="19"/>
      <c r="D162" s="19"/>
      <c r="E162" s="10">
        <f>SUM(E160:E160)</f>
        <v>0</v>
      </c>
      <c r="F162" s="10">
        <f>SUM(F160:F160)</f>
        <v>0</v>
      </c>
    </row>
    <row r="163" spans="1:6" s="32" customFormat="1" hidden="1">
      <c r="A163" s="52"/>
      <c r="C163" s="19"/>
      <c r="D163" s="19"/>
    </row>
    <row r="164" spans="1:6" s="32" customFormat="1">
      <c r="A164" s="42">
        <v>2448</v>
      </c>
      <c r="B164" s="2" t="s">
        <v>18</v>
      </c>
      <c r="C164" s="4"/>
      <c r="D164" s="4"/>
      <c r="E164" s="2"/>
      <c r="F164" s="2" t="s">
        <v>16</v>
      </c>
    </row>
    <row r="165" spans="1:6" s="32" customFormat="1" ht="6.75" customHeight="1">
      <c r="A165" s="52"/>
      <c r="C165" s="19"/>
      <c r="D165" s="19"/>
    </row>
    <row r="166" spans="1:6" s="60" customFormat="1" hidden="1">
      <c r="A166" s="64"/>
      <c r="B166" s="44" t="s">
        <v>61</v>
      </c>
      <c r="C166" s="37">
        <v>45673</v>
      </c>
      <c r="D166" s="24" t="e">
        <f>#REF!-C166</f>
        <v>#REF!</v>
      </c>
      <c r="E166" s="31">
        <v>0</v>
      </c>
      <c r="F166" s="31">
        <f>3425-2500-925</f>
        <v>0</v>
      </c>
    </row>
    <row r="167" spans="1:6" s="60" customFormat="1" hidden="1">
      <c r="A167" s="64"/>
      <c r="B167" s="46" t="s">
        <v>114</v>
      </c>
      <c r="C167" s="37">
        <v>45735</v>
      </c>
      <c r="D167" s="24">
        <f t="shared" ref="D167:D178" ca="1" si="7">$F$1-C167</f>
        <v>278.53177569444233</v>
      </c>
      <c r="E167" s="31">
        <v>0</v>
      </c>
      <c r="F167" s="31">
        <f>6551-1551-3000-2000</f>
        <v>0</v>
      </c>
    </row>
    <row r="168" spans="1:6" s="60" customFormat="1" hidden="1">
      <c r="A168" s="64"/>
      <c r="B168" s="44" t="s">
        <v>145</v>
      </c>
      <c r="C168" s="37">
        <v>45762</v>
      </c>
      <c r="D168" s="24">
        <f t="shared" ca="1" si="7"/>
        <v>251.53177569444233</v>
      </c>
      <c r="E168" s="31">
        <f>540-540</f>
        <v>0</v>
      </c>
      <c r="F168" s="31">
        <v>0</v>
      </c>
    </row>
    <row r="169" spans="1:6" s="60" customFormat="1" hidden="1">
      <c r="A169" s="64"/>
      <c r="B169" s="44" t="s">
        <v>153</v>
      </c>
      <c r="C169" s="37">
        <v>45777</v>
      </c>
      <c r="D169" s="24">
        <f t="shared" ca="1" si="7"/>
        <v>236.53177569444233</v>
      </c>
      <c r="E169" s="31">
        <f>2904-2904</f>
        <v>0</v>
      </c>
      <c r="F169" s="31">
        <v>0</v>
      </c>
    </row>
    <row r="170" spans="1:6" s="60" customFormat="1" hidden="1">
      <c r="A170" s="64"/>
      <c r="B170" s="47" t="s">
        <v>175</v>
      </c>
      <c r="C170" s="37">
        <v>45817</v>
      </c>
      <c r="D170" s="24">
        <f t="shared" ca="1" si="7"/>
        <v>196.53177569444233</v>
      </c>
      <c r="E170" s="31">
        <f>7569-3000-3000-1569</f>
        <v>0</v>
      </c>
      <c r="F170" s="31">
        <v>0</v>
      </c>
    </row>
    <row r="171" spans="1:6" s="60" customFormat="1" hidden="1">
      <c r="A171" s="64"/>
      <c r="B171" s="47" t="s">
        <v>198</v>
      </c>
      <c r="C171" s="37">
        <v>45831</v>
      </c>
      <c r="D171" s="24">
        <f t="shared" ca="1" si="7"/>
        <v>182.53177569444233</v>
      </c>
      <c r="E171" s="31">
        <f>501-501</f>
        <v>0</v>
      </c>
      <c r="F171" s="31">
        <v>0</v>
      </c>
    </row>
    <row r="172" spans="1:6" s="60" customFormat="1" hidden="1">
      <c r="A172" s="64"/>
      <c r="B172" s="49" t="s">
        <v>221</v>
      </c>
      <c r="C172" s="37">
        <v>45862</v>
      </c>
      <c r="D172" s="24">
        <f t="shared" ca="1" si="7"/>
        <v>151.53177569444233</v>
      </c>
      <c r="E172" s="31">
        <f>2364-1500-864</f>
        <v>0</v>
      </c>
      <c r="F172" s="31">
        <v>0</v>
      </c>
    </row>
    <row r="173" spans="1:6" s="60" customFormat="1" hidden="1">
      <c r="A173" s="64"/>
      <c r="B173" s="41" t="s">
        <v>235</v>
      </c>
      <c r="C173" s="37">
        <v>45877</v>
      </c>
      <c r="D173" s="24">
        <f t="shared" ca="1" si="7"/>
        <v>136.53177569444233</v>
      </c>
      <c r="E173" s="31">
        <f>5624-1136-3000-1488</f>
        <v>0</v>
      </c>
      <c r="F173" s="31">
        <v>0</v>
      </c>
    </row>
    <row r="174" spans="1:6" s="60" customFormat="1" hidden="1">
      <c r="A174" s="64"/>
      <c r="B174" s="41" t="s">
        <v>246</v>
      </c>
      <c r="C174" s="37">
        <v>45889</v>
      </c>
      <c r="D174" s="24">
        <f t="shared" ca="1" si="7"/>
        <v>124.53177569444233</v>
      </c>
      <c r="E174" s="31">
        <f>1350-1350</f>
        <v>0</v>
      </c>
      <c r="F174" s="31">
        <v>0</v>
      </c>
    </row>
    <row r="175" spans="1:6" s="60" customFormat="1" hidden="1">
      <c r="A175" s="64"/>
      <c r="B175" s="50" t="s">
        <v>249</v>
      </c>
      <c r="C175" s="37">
        <v>45904</v>
      </c>
      <c r="D175" s="24">
        <f ca="1">$F$1-C175</f>
        <v>109.53177569444233</v>
      </c>
      <c r="E175" s="31">
        <v>0</v>
      </c>
      <c r="F175" s="31">
        <f>3450-1000-3000+550</f>
        <v>0</v>
      </c>
    </row>
    <row r="176" spans="1:6" s="60" customFormat="1" hidden="1">
      <c r="A176" s="64"/>
      <c r="B176" s="76" t="s">
        <v>281</v>
      </c>
      <c r="C176" s="37">
        <v>45940</v>
      </c>
      <c r="D176" s="24">
        <f ca="1">$F$1-C176</f>
        <v>73.531775694442331</v>
      </c>
      <c r="E176" s="31">
        <v>0</v>
      </c>
      <c r="F176" s="31">
        <f>6454-660-3000-922-1872</f>
        <v>0</v>
      </c>
    </row>
    <row r="177" spans="1:6" s="60" customFormat="1" hidden="1">
      <c r="A177" s="64"/>
      <c r="B177" s="76" t="s">
        <v>296</v>
      </c>
      <c r="C177" s="37">
        <v>45961</v>
      </c>
      <c r="D177" s="24">
        <f ca="1">$F$1-C177</f>
        <v>52.531775694442331</v>
      </c>
      <c r="E177" s="31">
        <f>1128-1128</f>
        <v>0</v>
      </c>
      <c r="F177" s="31">
        <v>0</v>
      </c>
    </row>
    <row r="178" spans="1:6" s="60" customFormat="1">
      <c r="A178" s="66"/>
      <c r="B178" s="35" t="s">
        <v>331</v>
      </c>
      <c r="C178" s="33">
        <v>45989</v>
      </c>
      <c r="D178" s="16">
        <f t="shared" ca="1" si="7"/>
        <v>24.531775694442331</v>
      </c>
      <c r="E178" s="38">
        <v>2653</v>
      </c>
      <c r="F178" s="38">
        <v>0</v>
      </c>
    </row>
    <row r="179" spans="1:6" s="32" customFormat="1" ht="6.75" customHeight="1">
      <c r="A179" s="52"/>
      <c r="C179" s="19"/>
      <c r="D179" s="19"/>
    </row>
    <row r="180" spans="1:6" s="32" customFormat="1">
      <c r="A180" s="52"/>
      <c r="B180" s="3">
        <f>SUM(E180:F180)</f>
        <v>2653</v>
      </c>
      <c r="C180" s="19"/>
      <c r="D180" s="19"/>
      <c r="E180" s="10">
        <f>SUM(E166:E178)</f>
        <v>2653</v>
      </c>
      <c r="F180" s="10">
        <f>SUM(F166:F178)</f>
        <v>0</v>
      </c>
    </row>
    <row r="181" spans="1:6" s="32" customFormat="1">
      <c r="A181" s="52"/>
      <c r="C181" s="19"/>
      <c r="D181" s="19"/>
    </row>
    <row r="182" spans="1:6" s="32" customFormat="1" hidden="1">
      <c r="A182" s="9">
        <v>2453</v>
      </c>
      <c r="B182" s="2" t="s">
        <v>179</v>
      </c>
      <c r="C182" s="4"/>
      <c r="D182" s="4"/>
      <c r="E182" s="2"/>
      <c r="F182" s="2" t="s">
        <v>16</v>
      </c>
    </row>
    <row r="183" spans="1:6" s="32" customFormat="1" ht="6.75" hidden="1" customHeight="1">
      <c r="A183" s="52"/>
      <c r="C183" s="19"/>
      <c r="D183" s="19"/>
    </row>
    <row r="184" spans="1:6" s="60" customFormat="1" hidden="1">
      <c r="A184" s="64"/>
      <c r="B184" s="49" t="s">
        <v>208</v>
      </c>
      <c r="C184" s="37">
        <v>45848</v>
      </c>
      <c r="D184" s="24">
        <f ca="1">$F$1-C184</f>
        <v>165.53177569444233</v>
      </c>
      <c r="E184" s="31">
        <v>0</v>
      </c>
      <c r="F184" s="31">
        <f>2463-2463</f>
        <v>0</v>
      </c>
    </row>
    <row r="185" spans="1:6" s="60" customFormat="1" hidden="1">
      <c r="A185" s="64"/>
      <c r="B185" s="47" t="s">
        <v>180</v>
      </c>
      <c r="C185" s="37">
        <v>45818</v>
      </c>
      <c r="D185" s="24">
        <f ca="1">$F$1-C185</f>
        <v>195.53177569444233</v>
      </c>
      <c r="E185" s="31">
        <v>0</v>
      </c>
      <c r="F185" s="31">
        <f>9678-2000-2000-2000-2000-1678</f>
        <v>0</v>
      </c>
    </row>
    <row r="186" spans="1:6" s="60" customFormat="1" hidden="1">
      <c r="A186" s="64"/>
      <c r="B186" s="50" t="s">
        <v>250</v>
      </c>
      <c r="C186" s="37">
        <v>45904</v>
      </c>
      <c r="D186" s="24">
        <f ca="1">$F$1-C186</f>
        <v>109.53177569444233</v>
      </c>
      <c r="E186" s="31">
        <v>0</v>
      </c>
      <c r="F186" s="31">
        <f>3292-2000-1292</f>
        <v>0</v>
      </c>
    </row>
    <row r="187" spans="1:6" s="60" customFormat="1" hidden="1">
      <c r="A187" s="66"/>
      <c r="B187" s="62" t="s">
        <v>265</v>
      </c>
      <c r="C187" s="33">
        <v>45926</v>
      </c>
      <c r="D187" s="16">
        <f ca="1">$F$1-C187</f>
        <v>87.531775694442331</v>
      </c>
      <c r="E187" s="38">
        <v>0</v>
      </c>
      <c r="F187" s="38">
        <f>2908-22-700-2186</f>
        <v>0</v>
      </c>
    </row>
    <row r="188" spans="1:6" s="32" customFormat="1" ht="6.75" hidden="1" customHeight="1">
      <c r="A188" s="52"/>
      <c r="C188" s="19"/>
      <c r="D188" s="19"/>
    </row>
    <row r="189" spans="1:6" s="32" customFormat="1" hidden="1">
      <c r="A189" s="52"/>
      <c r="B189" s="3">
        <f>SUM(E189:F189)</f>
        <v>0</v>
      </c>
      <c r="C189" s="19"/>
      <c r="D189" s="19"/>
      <c r="E189" s="10">
        <f>SUM(E184:E187)</f>
        <v>0</v>
      </c>
      <c r="F189" s="10">
        <f>SUM(F184:F187)</f>
        <v>0</v>
      </c>
    </row>
    <row r="190" spans="1:6" s="32" customFormat="1" hidden="1">
      <c r="A190" s="52"/>
      <c r="C190" s="19"/>
      <c r="D190" s="19"/>
    </row>
    <row r="191" spans="1:6" s="32" customFormat="1" hidden="1">
      <c r="A191" s="52">
        <v>2485</v>
      </c>
      <c r="B191" s="32" t="s">
        <v>97</v>
      </c>
      <c r="C191" s="19"/>
      <c r="D191" s="19"/>
      <c r="F191" s="32" t="s">
        <v>16</v>
      </c>
    </row>
    <row r="192" spans="1:6" s="32" customFormat="1" ht="6.75" hidden="1" customHeight="1">
      <c r="A192" s="52"/>
      <c r="C192" s="19"/>
      <c r="D192" s="19"/>
    </row>
    <row r="193" spans="1:6" s="60" customFormat="1" hidden="1">
      <c r="A193" s="66"/>
      <c r="B193" s="73" t="s">
        <v>98</v>
      </c>
      <c r="C193" s="33">
        <v>45700</v>
      </c>
      <c r="D193" s="16">
        <f ca="1">$F$1-C193</f>
        <v>313.53177569444233</v>
      </c>
      <c r="E193" s="38">
        <v>0</v>
      </c>
      <c r="F193" s="38">
        <f>1253-753-500</f>
        <v>0</v>
      </c>
    </row>
    <row r="194" spans="1:6" s="32" customFormat="1" ht="6.75" hidden="1" customHeight="1">
      <c r="A194" s="52"/>
      <c r="C194" s="19"/>
      <c r="D194" s="19"/>
    </row>
    <row r="195" spans="1:6" s="32" customFormat="1" hidden="1">
      <c r="A195" s="52"/>
      <c r="B195" s="10">
        <f>SUM(E195:F195)</f>
        <v>0</v>
      </c>
      <c r="C195" s="19"/>
      <c r="D195" s="19"/>
      <c r="E195" s="10">
        <f>SUM(E193:E193)</f>
        <v>0</v>
      </c>
      <c r="F195" s="10">
        <f>SUM(F193:F193)</f>
        <v>0</v>
      </c>
    </row>
    <row r="196" spans="1:6" s="32" customFormat="1" hidden="1">
      <c r="A196" s="52"/>
      <c r="C196" s="19"/>
      <c r="D196" s="19"/>
    </row>
    <row r="197" spans="1:6" s="32" customFormat="1">
      <c r="A197" s="9">
        <v>2487</v>
      </c>
      <c r="B197" s="2" t="s">
        <v>318</v>
      </c>
      <c r="C197" s="19"/>
      <c r="D197" s="19"/>
      <c r="F197" s="2" t="s">
        <v>16</v>
      </c>
    </row>
    <row r="198" spans="1:6" s="32" customFormat="1" ht="6.75" customHeight="1">
      <c r="A198" s="52"/>
      <c r="C198" s="19"/>
      <c r="D198" s="19"/>
    </row>
    <row r="199" spans="1:6" s="60" customFormat="1">
      <c r="A199" s="64"/>
      <c r="B199" s="36" t="s">
        <v>319</v>
      </c>
      <c r="C199" s="37">
        <v>45981</v>
      </c>
      <c r="D199" s="24">
        <f ca="1">$F$1-C199</f>
        <v>32.531775694442331</v>
      </c>
      <c r="E199" s="31">
        <v>-5000</v>
      </c>
      <c r="F199" s="31">
        <f>1253-753-500</f>
        <v>0</v>
      </c>
    </row>
    <row r="200" spans="1:6" s="60" customFormat="1">
      <c r="A200" s="66"/>
      <c r="B200" s="81" t="s">
        <v>345</v>
      </c>
      <c r="C200" s="33">
        <v>46002</v>
      </c>
      <c r="D200" s="16">
        <f ca="1">$F$1-C200</f>
        <v>11.531775694442331</v>
      </c>
      <c r="E200" s="38">
        <f>5250-3850</f>
        <v>1400</v>
      </c>
      <c r="F200" s="38">
        <f>1253-753-500</f>
        <v>0</v>
      </c>
    </row>
    <row r="201" spans="1:6" s="32" customFormat="1" ht="6.75" customHeight="1">
      <c r="A201" s="52"/>
      <c r="C201" s="19"/>
      <c r="D201" s="19"/>
    </row>
    <row r="202" spans="1:6" s="32" customFormat="1">
      <c r="A202" s="52"/>
      <c r="B202" s="10">
        <f>SUM(E202:F202)</f>
        <v>-3600</v>
      </c>
      <c r="C202" s="19"/>
      <c r="D202" s="19"/>
      <c r="E202" s="10">
        <f>SUM(E199:E200)</f>
        <v>-3600</v>
      </c>
      <c r="F202" s="10">
        <f>SUM(F199:F200)</f>
        <v>0</v>
      </c>
    </row>
    <row r="203" spans="1:6" s="32" customFormat="1">
      <c r="A203" s="52"/>
      <c r="C203" s="19"/>
      <c r="D203" s="19"/>
    </row>
    <row r="204" spans="1:6" s="32" customFormat="1" hidden="1">
      <c r="A204" s="71">
        <v>7040</v>
      </c>
      <c r="B204" s="32" t="s">
        <v>48</v>
      </c>
      <c r="C204" s="19"/>
      <c r="D204" s="19"/>
      <c r="E204" s="56"/>
      <c r="F204" s="32" t="s">
        <v>11</v>
      </c>
    </row>
    <row r="205" spans="1:6" s="32" customFormat="1" ht="6.75" hidden="1" customHeight="1">
      <c r="A205" s="52"/>
      <c r="C205" s="19"/>
      <c r="D205" s="19"/>
      <c r="E205" s="56"/>
    </row>
    <row r="206" spans="1:6" s="60" customFormat="1" hidden="1">
      <c r="A206" s="66"/>
      <c r="B206" s="43" t="s">
        <v>49</v>
      </c>
      <c r="C206" s="33">
        <v>45583</v>
      </c>
      <c r="D206" s="20">
        <f ca="1">$F$1-C206</f>
        <v>430.53177569444233</v>
      </c>
      <c r="E206" s="63">
        <v>0</v>
      </c>
      <c r="F206" s="63">
        <f>1540-1500-40</f>
        <v>0</v>
      </c>
    </row>
    <row r="207" spans="1:6" s="32" customFormat="1" ht="6.75" hidden="1" customHeight="1">
      <c r="A207" s="52"/>
      <c r="C207" s="19"/>
      <c r="D207" s="19"/>
      <c r="E207" s="56"/>
    </row>
    <row r="208" spans="1:6" s="32" customFormat="1" hidden="1">
      <c r="A208" s="52"/>
      <c r="B208" s="10">
        <f>SUM(E208:F208)</f>
        <v>0</v>
      </c>
      <c r="C208" s="19"/>
      <c r="D208" s="19"/>
      <c r="E208" s="27">
        <f>SUM(E206:E206)</f>
        <v>0</v>
      </c>
      <c r="F208" s="27">
        <f>SUM(F206:F206)</f>
        <v>0</v>
      </c>
    </row>
    <row r="209" spans="1:6" s="32" customFormat="1" hidden="1">
      <c r="A209" s="52"/>
      <c r="B209" s="10"/>
      <c r="C209" s="19"/>
      <c r="D209" s="19"/>
      <c r="E209" s="27"/>
      <c r="F209" s="10"/>
    </row>
    <row r="210" spans="1:6" s="32" customFormat="1">
      <c r="A210" s="9">
        <v>7050</v>
      </c>
      <c r="B210" s="2" t="s">
        <v>6</v>
      </c>
      <c r="C210" s="4"/>
      <c r="D210" s="4"/>
      <c r="E210" s="26"/>
      <c r="F210" s="2" t="s">
        <v>11</v>
      </c>
    </row>
    <row r="211" spans="1:6" s="32" customFormat="1" ht="6.75" customHeight="1">
      <c r="A211" s="52"/>
      <c r="C211" s="19"/>
      <c r="D211" s="19"/>
      <c r="E211" s="56"/>
    </row>
    <row r="212" spans="1:6" s="60" customFormat="1" hidden="1">
      <c r="A212" s="64"/>
      <c r="B212" s="44" t="s">
        <v>76</v>
      </c>
      <c r="C212" s="37">
        <v>45688</v>
      </c>
      <c r="D212" s="23">
        <f t="shared" ref="D212:D220" ca="1" si="8">$F$1-C212</f>
        <v>325.53177569444233</v>
      </c>
      <c r="E212" s="30">
        <f>5278.5-2500-2778.5</f>
        <v>0</v>
      </c>
      <c r="F212" s="30">
        <v>0</v>
      </c>
    </row>
    <row r="213" spans="1:6" s="60" customFormat="1" hidden="1">
      <c r="A213" s="64"/>
      <c r="B213" s="45" t="s">
        <v>94</v>
      </c>
      <c r="C213" s="37">
        <v>45700</v>
      </c>
      <c r="D213" s="23">
        <f t="shared" ca="1" si="8"/>
        <v>313.53177569444233</v>
      </c>
      <c r="E213" s="30">
        <v>0</v>
      </c>
      <c r="F213" s="30">
        <f>3264-500-2500-264</f>
        <v>0</v>
      </c>
    </row>
    <row r="214" spans="1:6" s="60" customFormat="1" hidden="1">
      <c r="A214" s="64"/>
      <c r="B214" s="45" t="s">
        <v>109</v>
      </c>
      <c r="C214" s="37">
        <v>45714</v>
      </c>
      <c r="D214" s="23">
        <f t="shared" ca="1" si="8"/>
        <v>299.53177569444233</v>
      </c>
      <c r="E214" s="30">
        <v>0</v>
      </c>
      <c r="F214" s="30">
        <f>2871-1736-1135</f>
        <v>0</v>
      </c>
    </row>
    <row r="215" spans="1:6" s="60" customFormat="1" hidden="1">
      <c r="A215" s="64"/>
      <c r="B215" s="46" t="s">
        <v>131</v>
      </c>
      <c r="C215" s="37">
        <v>45741</v>
      </c>
      <c r="D215" s="23">
        <f t="shared" ca="1" si="8"/>
        <v>272.53177569444233</v>
      </c>
      <c r="E215" s="30">
        <f>6640-3865-2775</f>
        <v>0</v>
      </c>
      <c r="F215" s="30">
        <v>0</v>
      </c>
    </row>
    <row r="216" spans="1:6" s="60" customFormat="1" hidden="1">
      <c r="A216" s="64"/>
      <c r="B216" s="39" t="s">
        <v>167</v>
      </c>
      <c r="C216" s="37">
        <v>45799</v>
      </c>
      <c r="D216" s="23">
        <f t="shared" ca="1" si="8"/>
        <v>214.53177569444233</v>
      </c>
      <c r="E216" s="30">
        <v>0</v>
      </c>
      <c r="F216" s="30">
        <f>3243.4-3000-243.4</f>
        <v>0</v>
      </c>
    </row>
    <row r="217" spans="1:6" s="60" customFormat="1" hidden="1">
      <c r="A217" s="64"/>
      <c r="B217" s="47" t="s">
        <v>189</v>
      </c>
      <c r="C217" s="37">
        <v>45819</v>
      </c>
      <c r="D217" s="23">
        <f t="shared" ca="1" si="8"/>
        <v>194.53177569444233</v>
      </c>
      <c r="E217" s="30">
        <v>0</v>
      </c>
      <c r="F217" s="30">
        <f>874.8-874.8</f>
        <v>0</v>
      </c>
    </row>
    <row r="218" spans="1:6" s="60" customFormat="1" ht="15" hidden="1" customHeight="1">
      <c r="A218" s="64"/>
      <c r="B218" s="49" t="s">
        <v>225</v>
      </c>
      <c r="C218" s="37">
        <v>45863</v>
      </c>
      <c r="D218" s="23">
        <f t="shared" ca="1" si="8"/>
        <v>150.53177569444233</v>
      </c>
      <c r="E218" s="30">
        <v>0</v>
      </c>
      <c r="F218" s="30">
        <f>4309-1500-2809</f>
        <v>0</v>
      </c>
    </row>
    <row r="219" spans="1:6" s="60" customFormat="1" hidden="1">
      <c r="A219" s="64"/>
      <c r="B219" s="50" t="s">
        <v>259</v>
      </c>
      <c r="C219" s="37">
        <v>45912</v>
      </c>
      <c r="D219" s="23">
        <f ca="1">$F$1-C219</f>
        <v>101.53177569444233</v>
      </c>
      <c r="E219" s="30">
        <v>0</v>
      </c>
      <c r="F219" s="30">
        <f>6939.6-3000-1500-2439.6</f>
        <v>0</v>
      </c>
    </row>
    <row r="220" spans="1:6" s="60" customFormat="1">
      <c r="A220" s="66"/>
      <c r="B220" s="35" t="s">
        <v>325</v>
      </c>
      <c r="C220" s="33">
        <v>45988</v>
      </c>
      <c r="D220" s="20">
        <f t="shared" ca="1" si="8"/>
        <v>25.531775694442331</v>
      </c>
      <c r="E220" s="63">
        <v>5112</v>
      </c>
      <c r="F220" s="63">
        <v>0</v>
      </c>
    </row>
    <row r="221" spans="1:6" s="32" customFormat="1" ht="6.75" customHeight="1">
      <c r="A221" s="52"/>
      <c r="C221" s="19"/>
      <c r="D221" s="19"/>
      <c r="E221" s="56"/>
    </row>
    <row r="222" spans="1:6" s="32" customFormat="1">
      <c r="A222" s="52"/>
      <c r="B222" s="3">
        <f>SUM(E222:F222)</f>
        <v>5112</v>
      </c>
      <c r="C222" s="19"/>
      <c r="D222" s="19"/>
      <c r="E222" s="27">
        <f>SUM(E212:E220)</f>
        <v>5112</v>
      </c>
      <c r="F222" s="27">
        <f>SUM(F212:F220)</f>
        <v>0</v>
      </c>
    </row>
    <row r="223" spans="1:6" s="32" customFormat="1">
      <c r="A223" s="52"/>
      <c r="B223" s="10"/>
      <c r="C223" s="19"/>
      <c r="D223" s="19"/>
      <c r="E223" s="27"/>
      <c r="F223" s="10"/>
    </row>
    <row r="224" spans="1:6" s="32" customFormat="1">
      <c r="A224" s="34">
        <v>7074</v>
      </c>
      <c r="B224" s="2" t="s">
        <v>36</v>
      </c>
      <c r="C224" s="4"/>
      <c r="D224" s="4"/>
      <c r="E224" s="2"/>
      <c r="F224" s="2" t="s">
        <v>13</v>
      </c>
    </row>
    <row r="225" spans="1:6" s="32" customFormat="1" ht="6.75" customHeight="1">
      <c r="A225" s="52"/>
      <c r="C225" s="19"/>
      <c r="D225" s="19"/>
    </row>
    <row r="226" spans="1:6" s="60" customFormat="1">
      <c r="A226" s="66"/>
      <c r="B226" s="74" t="s">
        <v>45</v>
      </c>
      <c r="C226" s="33">
        <v>45325</v>
      </c>
      <c r="D226" s="20">
        <f ca="1">$F$1-C226</f>
        <v>688.53177569444233</v>
      </c>
      <c r="E226" s="38">
        <v>0</v>
      </c>
      <c r="F226" s="38">
        <f>5319-2096.7-500-500</f>
        <v>2222.3000000000002</v>
      </c>
    </row>
    <row r="227" spans="1:6" s="60" customFormat="1" ht="6.75" customHeight="1">
      <c r="A227" s="64"/>
      <c r="C227" s="21"/>
      <c r="D227" s="21"/>
    </row>
    <row r="228" spans="1:6" s="32" customFormat="1">
      <c r="A228" s="52"/>
      <c r="B228" s="3">
        <f>SUM(E228:F228)</f>
        <v>2222.3000000000002</v>
      </c>
      <c r="C228" s="19"/>
      <c r="D228" s="19"/>
      <c r="E228" s="10">
        <f>SUM(E226:E226)</f>
        <v>0</v>
      </c>
      <c r="F228" s="10">
        <f>SUM(F226:F226)</f>
        <v>2222.3000000000002</v>
      </c>
    </row>
    <row r="229" spans="1:6" s="32" customFormat="1">
      <c r="A229" s="52"/>
      <c r="B229" s="10"/>
      <c r="C229" s="19"/>
      <c r="D229" s="19"/>
      <c r="E229" s="10"/>
      <c r="F229" s="10"/>
    </row>
    <row r="230" spans="1:6" s="32" customFormat="1" hidden="1">
      <c r="A230" s="52">
        <v>7122</v>
      </c>
      <c r="B230" s="32" t="s">
        <v>29</v>
      </c>
      <c r="C230" s="19"/>
      <c r="D230" s="19"/>
      <c r="E230" s="56"/>
      <c r="F230" s="32" t="s">
        <v>11</v>
      </c>
    </row>
    <row r="231" spans="1:6" s="32" customFormat="1" ht="6.75" hidden="1" customHeight="1">
      <c r="A231" s="52"/>
      <c r="C231" s="19"/>
      <c r="D231" s="19"/>
      <c r="E231" s="56"/>
    </row>
    <row r="232" spans="1:6" s="60" customFormat="1" hidden="1">
      <c r="A232" s="64"/>
      <c r="B232" s="45" t="s">
        <v>53</v>
      </c>
      <c r="C232" s="37">
        <v>45699</v>
      </c>
      <c r="D232" s="23">
        <f ca="1">$F$1-C232</f>
        <v>314.53177569444233</v>
      </c>
      <c r="E232" s="30">
        <f>1986-1000-986</f>
        <v>0</v>
      </c>
      <c r="F232" s="30">
        <v>0</v>
      </c>
    </row>
    <row r="233" spans="1:6" s="60" customFormat="1" hidden="1">
      <c r="A233" s="66"/>
      <c r="B233" s="75" t="s">
        <v>113</v>
      </c>
      <c r="C233" s="33">
        <v>45735</v>
      </c>
      <c r="D233" s="20">
        <f ca="1">$F$1-C233</f>
        <v>278.53177569444233</v>
      </c>
      <c r="E233" s="63">
        <f>912-200-712</f>
        <v>0</v>
      </c>
      <c r="F233" s="63">
        <v>0</v>
      </c>
    </row>
    <row r="234" spans="1:6" s="32" customFormat="1" ht="6.75" hidden="1" customHeight="1">
      <c r="A234" s="52"/>
      <c r="C234" s="19"/>
      <c r="D234" s="19"/>
      <c r="E234" s="56"/>
    </row>
    <row r="235" spans="1:6" s="32" customFormat="1" hidden="1">
      <c r="A235" s="52"/>
      <c r="B235" s="10">
        <f>SUM(E235:F235)</f>
        <v>0</v>
      </c>
      <c r="C235" s="19"/>
      <c r="D235" s="19"/>
      <c r="E235" s="27">
        <f>SUM(E232:E233)</f>
        <v>0</v>
      </c>
      <c r="F235" s="27">
        <f>SUM(F232:F233)</f>
        <v>0</v>
      </c>
    </row>
    <row r="236" spans="1:6" s="32" customFormat="1" hidden="1">
      <c r="A236" s="52"/>
      <c r="B236" s="10"/>
      <c r="C236" s="19"/>
      <c r="D236" s="19"/>
      <c r="E236" s="27"/>
      <c r="F236" s="10"/>
    </row>
    <row r="237" spans="1:6" s="32" customFormat="1">
      <c r="A237" s="9">
        <v>7127</v>
      </c>
      <c r="B237" s="2" t="s">
        <v>267</v>
      </c>
      <c r="C237" s="4"/>
      <c r="D237" s="4"/>
      <c r="E237" s="26"/>
      <c r="F237" s="2" t="s">
        <v>11</v>
      </c>
    </row>
    <row r="238" spans="1:6" s="32" customFormat="1" ht="6.75" customHeight="1">
      <c r="A238" s="52"/>
      <c r="C238" s="19"/>
      <c r="D238" s="19"/>
      <c r="E238" s="56"/>
    </row>
    <row r="239" spans="1:6" s="60" customFormat="1" hidden="1">
      <c r="A239" s="64"/>
      <c r="B239" s="76" t="s">
        <v>268</v>
      </c>
      <c r="C239" s="37">
        <v>45932</v>
      </c>
      <c r="D239" s="23">
        <f ca="1">$F$1-C239</f>
        <v>81.531775694442331</v>
      </c>
      <c r="E239" s="30">
        <v>0</v>
      </c>
      <c r="F239" s="30">
        <f>12444-5000-7444</f>
        <v>0</v>
      </c>
    </row>
    <row r="240" spans="1:6" s="60" customFormat="1">
      <c r="A240" s="66"/>
      <c r="B240" s="35" t="s">
        <v>328</v>
      </c>
      <c r="C240" s="33">
        <v>45988</v>
      </c>
      <c r="D240" s="20">
        <f ca="1">$F$1-C240</f>
        <v>25.531775694442331</v>
      </c>
      <c r="E240" s="63">
        <v>2943</v>
      </c>
      <c r="F240" s="63">
        <v>0</v>
      </c>
    </row>
    <row r="241" spans="1:6" s="32" customFormat="1" ht="6.75" customHeight="1">
      <c r="A241" s="52"/>
      <c r="C241" s="19"/>
      <c r="D241" s="19"/>
      <c r="E241" s="56"/>
    </row>
    <row r="242" spans="1:6" s="32" customFormat="1">
      <c r="A242" s="52"/>
      <c r="B242" s="3">
        <f>SUM(E242:F242)</f>
        <v>2943</v>
      </c>
      <c r="C242" s="19"/>
      <c r="D242" s="19"/>
      <c r="E242" s="27">
        <f>SUM(E239:E240)</f>
        <v>2943</v>
      </c>
      <c r="F242" s="27">
        <f>SUM(F239:F240)</f>
        <v>0</v>
      </c>
    </row>
    <row r="243" spans="1:6" s="32" customFormat="1">
      <c r="A243" s="52"/>
      <c r="B243" s="10"/>
      <c r="C243" s="19"/>
      <c r="D243" s="19"/>
      <c r="E243" s="27"/>
      <c r="F243" s="10"/>
    </row>
    <row r="244" spans="1:6" s="32" customFormat="1">
      <c r="A244" s="34">
        <v>7153</v>
      </c>
      <c r="B244" s="2" t="s">
        <v>19</v>
      </c>
      <c r="C244" s="4"/>
      <c r="D244" s="4"/>
      <c r="E244" s="2"/>
      <c r="F244" s="2" t="s">
        <v>13</v>
      </c>
    </row>
    <row r="245" spans="1:6" s="32" customFormat="1" ht="6.75" customHeight="1">
      <c r="A245" s="52"/>
      <c r="C245" s="19"/>
      <c r="D245" s="19"/>
    </row>
    <row r="246" spans="1:6" s="60" customFormat="1" hidden="1">
      <c r="A246" s="64"/>
      <c r="B246" s="45" t="s">
        <v>92</v>
      </c>
      <c r="C246" s="37">
        <v>45693</v>
      </c>
      <c r="D246" s="24" t="e">
        <f>#REF!-C246</f>
        <v>#REF!</v>
      </c>
      <c r="E246" s="31">
        <f>2008-2008</f>
        <v>0</v>
      </c>
      <c r="F246" s="31">
        <f>4120-2120-2000</f>
        <v>0</v>
      </c>
    </row>
    <row r="247" spans="1:6" s="60" customFormat="1" hidden="1">
      <c r="A247" s="64"/>
      <c r="B247" s="49" t="s">
        <v>205</v>
      </c>
      <c r="C247" s="37">
        <v>45848</v>
      </c>
      <c r="D247" s="24" t="e">
        <f>#REF!-C247</f>
        <v>#REF!</v>
      </c>
      <c r="E247" s="31">
        <v>0</v>
      </c>
      <c r="F247" s="31">
        <f>5572-2600-2072-900</f>
        <v>0</v>
      </c>
    </row>
    <row r="248" spans="1:6" s="60" customFormat="1" hidden="1">
      <c r="A248" s="64"/>
      <c r="B248" s="76" t="s">
        <v>277</v>
      </c>
      <c r="C248" s="37">
        <v>45940</v>
      </c>
      <c r="D248" s="24" t="e">
        <f>#REF!-C248</f>
        <v>#REF!</v>
      </c>
      <c r="E248" s="31">
        <v>0</v>
      </c>
      <c r="F248" s="31">
        <f>12163-5000-3000-3500-663</f>
        <v>0</v>
      </c>
    </row>
    <row r="249" spans="1:6" s="60" customFormat="1">
      <c r="A249" s="64"/>
      <c r="B249" s="77" t="s">
        <v>316</v>
      </c>
      <c r="C249" s="37">
        <v>45975</v>
      </c>
      <c r="D249" s="24">
        <f t="shared" ref="D249:D252" ca="1" si="9">$F$1-C249</f>
        <v>38.531775694442331</v>
      </c>
      <c r="E249" s="31">
        <v>0</v>
      </c>
      <c r="F249" s="31">
        <f>6707-2337</f>
        <v>4370</v>
      </c>
    </row>
    <row r="250" spans="1:6" s="60" customFormat="1">
      <c r="A250" s="64"/>
      <c r="B250" s="77" t="s">
        <v>317</v>
      </c>
      <c r="C250" s="37">
        <v>45981</v>
      </c>
      <c r="D250" s="24">
        <f t="shared" ca="1" si="9"/>
        <v>32.531775694442331</v>
      </c>
      <c r="E250" s="31">
        <v>4158</v>
      </c>
      <c r="F250" s="31">
        <v>0</v>
      </c>
    </row>
    <row r="251" spans="1:6" s="60" customFormat="1">
      <c r="A251" s="64"/>
      <c r="B251" s="80" t="s">
        <v>341</v>
      </c>
      <c r="C251" s="37">
        <v>45994</v>
      </c>
      <c r="D251" s="24">
        <f t="shared" ca="1" si="9"/>
        <v>19.531775694442331</v>
      </c>
      <c r="E251" s="31">
        <v>2778</v>
      </c>
      <c r="F251" s="31">
        <v>0</v>
      </c>
    </row>
    <row r="252" spans="1:6" s="60" customFormat="1">
      <c r="A252" s="66"/>
      <c r="B252" s="79" t="s">
        <v>342</v>
      </c>
      <c r="C252" s="33">
        <v>45994</v>
      </c>
      <c r="D252" s="16">
        <f t="shared" ca="1" si="9"/>
        <v>19.531775694442331</v>
      </c>
      <c r="E252" s="38">
        <v>1230</v>
      </c>
      <c r="F252" s="38">
        <v>0</v>
      </c>
    </row>
    <row r="253" spans="1:6" s="32" customFormat="1" ht="6.75" customHeight="1">
      <c r="A253" s="52"/>
      <c r="C253" s="19"/>
      <c r="D253" s="19"/>
    </row>
    <row r="254" spans="1:6" s="32" customFormat="1">
      <c r="A254" s="52"/>
      <c r="B254" s="3">
        <f>SUM(E254:F254)</f>
        <v>12536</v>
      </c>
      <c r="C254" s="19"/>
      <c r="D254" s="19"/>
      <c r="E254" s="10">
        <f>SUM(E246:E252)</f>
        <v>8166</v>
      </c>
      <c r="F254" s="10">
        <f>SUM(F246:F252)</f>
        <v>4370</v>
      </c>
    </row>
    <row r="255" spans="1:6" s="32" customFormat="1">
      <c r="A255" s="52"/>
      <c r="B255" s="10"/>
      <c r="C255" s="19"/>
      <c r="D255" s="19"/>
      <c r="E255" s="10"/>
      <c r="F255" s="10"/>
    </row>
    <row r="256" spans="1:6" s="32" customFormat="1">
      <c r="A256" s="42">
        <v>7175</v>
      </c>
      <c r="B256" s="2" t="s">
        <v>22</v>
      </c>
      <c r="C256" s="4"/>
      <c r="D256" s="4"/>
      <c r="E256" s="2"/>
      <c r="F256" s="2" t="s">
        <v>32</v>
      </c>
    </row>
    <row r="257" spans="1:9" s="32" customFormat="1" ht="6.75" customHeight="1">
      <c r="A257" s="52"/>
      <c r="C257" s="19"/>
      <c r="D257" s="19"/>
    </row>
    <row r="258" spans="1:9" s="60" customFormat="1" hidden="1">
      <c r="A258" s="64"/>
      <c r="B258" s="44" t="s">
        <v>62</v>
      </c>
      <c r="C258" s="37">
        <v>45673</v>
      </c>
      <c r="D258" s="24" t="e">
        <f>#REF!-C258</f>
        <v>#REF!</v>
      </c>
      <c r="E258" s="31">
        <v>0</v>
      </c>
      <c r="F258" s="31">
        <f>1867-2-1865</f>
        <v>0</v>
      </c>
    </row>
    <row r="259" spans="1:9" s="60" customFormat="1" hidden="1">
      <c r="A259" s="64"/>
      <c r="B259" s="45" t="s">
        <v>90</v>
      </c>
      <c r="C259" s="37">
        <v>45693</v>
      </c>
      <c r="D259" s="24" t="e">
        <f>#REF!-C259</f>
        <v>#REF!</v>
      </c>
      <c r="E259" s="31">
        <f>1560-1560</f>
        <v>0</v>
      </c>
      <c r="F259" s="31">
        <v>0</v>
      </c>
    </row>
    <row r="260" spans="1:9" s="60" customFormat="1" hidden="1">
      <c r="A260" s="64"/>
      <c r="B260" s="45" t="s">
        <v>104</v>
      </c>
      <c r="C260" s="37">
        <v>45707</v>
      </c>
      <c r="D260" s="24">
        <f t="shared" ref="D260:D270" ca="1" si="10">$F$1-C260</f>
        <v>306.53177569444233</v>
      </c>
      <c r="E260" s="31">
        <v>0</v>
      </c>
      <c r="F260" s="31">
        <f>612-612</f>
        <v>0</v>
      </c>
    </row>
    <row r="261" spans="1:9" s="60" customFormat="1" hidden="1">
      <c r="A261" s="64"/>
      <c r="B261" s="46" t="s">
        <v>117</v>
      </c>
      <c r="C261" s="37">
        <v>45735</v>
      </c>
      <c r="D261" s="24">
        <f t="shared" ca="1" si="10"/>
        <v>278.53177569444233</v>
      </c>
      <c r="E261" s="31">
        <f>1414.4-388-500-500-26.4</f>
        <v>9.2370555648813024E-14</v>
      </c>
      <c r="F261" s="31">
        <v>0</v>
      </c>
    </row>
    <row r="262" spans="1:9" s="60" customFormat="1" ht="15" hidden="1" customHeight="1">
      <c r="A262" s="64"/>
      <c r="B262" s="44" t="s">
        <v>147</v>
      </c>
      <c r="C262" s="37">
        <v>45762</v>
      </c>
      <c r="D262" s="24">
        <f t="shared" ca="1" si="10"/>
        <v>251.53177569444233</v>
      </c>
      <c r="E262" s="31">
        <v>0</v>
      </c>
      <c r="F262" s="31">
        <f>1714-973.6-740.4</f>
        <v>0</v>
      </c>
    </row>
    <row r="263" spans="1:9" s="60" customFormat="1" hidden="1">
      <c r="A263" s="64"/>
      <c r="B263" s="47" t="s">
        <v>178</v>
      </c>
      <c r="C263" s="37">
        <v>45817</v>
      </c>
      <c r="D263" s="24">
        <f t="shared" ca="1" si="10"/>
        <v>196.53177569444233</v>
      </c>
      <c r="E263" s="31">
        <v>0</v>
      </c>
      <c r="F263" s="31">
        <f>2844-2844</f>
        <v>0</v>
      </c>
    </row>
    <row r="264" spans="1:9" s="60" customFormat="1" hidden="1">
      <c r="A264" s="64"/>
      <c r="B264" s="47" t="s">
        <v>212</v>
      </c>
      <c r="C264" s="37">
        <v>45849</v>
      </c>
      <c r="D264" s="24">
        <f t="shared" ca="1" si="10"/>
        <v>164.53177569444233</v>
      </c>
      <c r="E264" s="31">
        <v>0</v>
      </c>
      <c r="F264" s="31">
        <f>2166-1500-666</f>
        <v>0</v>
      </c>
    </row>
    <row r="265" spans="1:9" s="60" customFormat="1" hidden="1">
      <c r="A265" s="64"/>
      <c r="B265" s="41" t="s">
        <v>237</v>
      </c>
      <c r="C265" s="37">
        <v>45877</v>
      </c>
      <c r="D265" s="24">
        <f ca="1">$F$1-C265</f>
        <v>136.53177569444233</v>
      </c>
      <c r="E265" s="31">
        <f>743-743</f>
        <v>0</v>
      </c>
      <c r="F265" s="31">
        <v>0</v>
      </c>
    </row>
    <row r="266" spans="1:9" s="60" customFormat="1" hidden="1">
      <c r="A266" s="64"/>
      <c r="B266" s="50" t="s">
        <v>253</v>
      </c>
      <c r="C266" s="37">
        <v>45906</v>
      </c>
      <c r="D266" s="24">
        <f ca="1">$F$1-C266</f>
        <v>107.53177569444233</v>
      </c>
      <c r="E266" s="31">
        <v>0</v>
      </c>
      <c r="F266" s="31">
        <f>2565-1000-1565</f>
        <v>0</v>
      </c>
    </row>
    <row r="267" spans="1:9" s="60" customFormat="1">
      <c r="A267" s="64"/>
      <c r="B267" s="50" t="s">
        <v>266</v>
      </c>
      <c r="C267" s="37">
        <v>45926</v>
      </c>
      <c r="D267" s="24">
        <f ca="1">$F$1-C267</f>
        <v>87.531775694442331</v>
      </c>
      <c r="E267" s="31">
        <v>0</v>
      </c>
      <c r="F267" s="31">
        <f>2101-935-1000</f>
        <v>166</v>
      </c>
    </row>
    <row r="268" spans="1:9" s="60" customFormat="1">
      <c r="A268" s="64"/>
      <c r="B268" s="76" t="s">
        <v>295</v>
      </c>
      <c r="C268" s="37">
        <v>45961</v>
      </c>
      <c r="D268" s="24">
        <f ca="1">$F$1-C268</f>
        <v>52.531775694442331</v>
      </c>
      <c r="E268" s="31">
        <v>0</v>
      </c>
      <c r="F268" s="31">
        <v>1298</v>
      </c>
    </row>
    <row r="269" spans="1:9" s="60" customFormat="1">
      <c r="A269" s="64"/>
      <c r="B269" s="77" t="s">
        <v>315</v>
      </c>
      <c r="C269" s="37">
        <v>45975</v>
      </c>
      <c r="D269" s="24">
        <f ca="1">$F$1-C269</f>
        <v>38.531775694442331</v>
      </c>
      <c r="E269" s="31">
        <v>0</v>
      </c>
      <c r="F269" s="31">
        <v>2316</v>
      </c>
    </row>
    <row r="270" spans="1:9" s="60" customFormat="1">
      <c r="A270" s="66"/>
      <c r="B270" s="78" t="s">
        <v>334</v>
      </c>
      <c r="C270" s="33">
        <v>45989</v>
      </c>
      <c r="D270" s="16">
        <f t="shared" ca="1" si="10"/>
        <v>24.531775694442331</v>
      </c>
      <c r="E270" s="38">
        <v>2120.4</v>
      </c>
      <c r="F270" s="38">
        <v>0</v>
      </c>
    </row>
    <row r="271" spans="1:9" s="32" customFormat="1" ht="6.75" customHeight="1">
      <c r="A271" s="52"/>
      <c r="C271" s="19"/>
      <c r="D271" s="19"/>
    </row>
    <row r="272" spans="1:9" s="32" customFormat="1">
      <c r="A272" s="52"/>
      <c r="B272" s="3">
        <f>SUM(E272:F272)</f>
        <v>5900.4</v>
      </c>
      <c r="C272" s="19"/>
      <c r="D272" s="19"/>
      <c r="E272" s="10">
        <f>SUM(E258:E270)</f>
        <v>2120.4</v>
      </c>
      <c r="F272" s="10">
        <f>SUM(F258:F270)</f>
        <v>3780</v>
      </c>
      <c r="I272" s="60"/>
    </row>
    <row r="273" spans="1:9" s="32" customFormat="1">
      <c r="A273" s="52"/>
      <c r="B273" s="10"/>
      <c r="C273" s="19"/>
      <c r="D273" s="19"/>
      <c r="E273" s="10"/>
      <c r="F273" s="10"/>
      <c r="I273" s="60"/>
    </row>
    <row r="274" spans="1:9" s="32" customFormat="1">
      <c r="A274" s="34">
        <v>7193</v>
      </c>
      <c r="B274" s="2" t="s">
        <v>41</v>
      </c>
      <c r="C274" s="4"/>
      <c r="D274" s="4"/>
      <c r="E274" s="2"/>
      <c r="F274" s="2" t="s">
        <v>32</v>
      </c>
    </row>
    <row r="275" spans="1:9" s="32" customFormat="1" ht="6.75" customHeight="1">
      <c r="A275" s="52"/>
      <c r="C275" s="19"/>
      <c r="D275" s="19"/>
    </row>
    <row r="276" spans="1:9" s="60" customFormat="1" hidden="1">
      <c r="A276" s="64"/>
      <c r="B276" s="45" t="s">
        <v>85</v>
      </c>
      <c r="C276" s="37">
        <v>45693</v>
      </c>
      <c r="D276" s="23" t="e">
        <f>#REF!-C276</f>
        <v>#REF!</v>
      </c>
      <c r="E276" s="31">
        <f>9754.5-9754.5</f>
        <v>0</v>
      </c>
      <c r="F276" s="31">
        <v>0</v>
      </c>
    </row>
    <row r="277" spans="1:9" s="60" customFormat="1" hidden="1">
      <c r="A277" s="64"/>
      <c r="B277" s="45" t="s">
        <v>86</v>
      </c>
      <c r="C277" s="37">
        <v>45693</v>
      </c>
      <c r="D277" s="23" t="e">
        <f>#REF!-C277</f>
        <v>#REF!</v>
      </c>
      <c r="E277" s="31">
        <v>0</v>
      </c>
      <c r="F277" s="31">
        <f>2276.2-2276.2</f>
        <v>0</v>
      </c>
    </row>
    <row r="278" spans="1:9" s="60" customFormat="1" hidden="1">
      <c r="A278" s="64"/>
      <c r="B278" s="45" t="s">
        <v>106</v>
      </c>
      <c r="C278" s="37">
        <v>45707</v>
      </c>
      <c r="D278" s="23">
        <f t="shared" ref="D278:D290" ca="1" si="11">$F$1-C278</f>
        <v>306.53177569444233</v>
      </c>
      <c r="E278" s="31">
        <v>0</v>
      </c>
      <c r="F278" s="31">
        <f>4799.7-723.8-4075.9</f>
        <v>0</v>
      </c>
    </row>
    <row r="279" spans="1:9" s="60" customFormat="1" hidden="1">
      <c r="A279" s="64"/>
      <c r="B279" s="46" t="s">
        <v>121</v>
      </c>
      <c r="C279" s="37">
        <v>45735</v>
      </c>
      <c r="D279" s="23">
        <f t="shared" ca="1" si="11"/>
        <v>278.53177569444233</v>
      </c>
      <c r="E279" s="31">
        <v>0</v>
      </c>
      <c r="F279" s="31">
        <f>4046.4-2546-1500.4</f>
        <v>0</v>
      </c>
    </row>
    <row r="280" spans="1:9" s="60" customFormat="1" hidden="1">
      <c r="A280" s="64"/>
      <c r="B280" s="44" t="s">
        <v>148</v>
      </c>
      <c r="C280" s="37">
        <v>45762</v>
      </c>
      <c r="D280" s="23">
        <f t="shared" ca="1" si="11"/>
        <v>251.53177569444233</v>
      </c>
      <c r="E280" s="31">
        <v>0</v>
      </c>
      <c r="F280" s="31">
        <f>3975.2-3975.2</f>
        <v>0</v>
      </c>
    </row>
    <row r="281" spans="1:9" s="60" customFormat="1" hidden="1">
      <c r="A281" s="64"/>
      <c r="B281" s="44" t="s">
        <v>150</v>
      </c>
      <c r="C281" s="37">
        <v>45777</v>
      </c>
      <c r="D281" s="23">
        <f t="shared" ca="1" si="11"/>
        <v>236.53177569444233</v>
      </c>
      <c r="E281" s="31">
        <v>0</v>
      </c>
      <c r="F281" s="31">
        <f>10263.9-3763.6-3500-3000.3</f>
        <v>0</v>
      </c>
    </row>
    <row r="282" spans="1:9" s="60" customFormat="1" hidden="1">
      <c r="A282" s="64"/>
      <c r="B282" s="39" t="s">
        <v>158</v>
      </c>
      <c r="C282" s="37">
        <v>45798</v>
      </c>
      <c r="D282" s="23">
        <f t="shared" ca="1" si="11"/>
        <v>215.53177569444233</v>
      </c>
      <c r="E282" s="31">
        <v>0</v>
      </c>
      <c r="F282" s="31">
        <f>1358.4-1358.4</f>
        <v>0</v>
      </c>
    </row>
    <row r="283" spans="1:9" s="60" customFormat="1" hidden="1">
      <c r="A283" s="64"/>
      <c r="B283" s="47" t="s">
        <v>183</v>
      </c>
      <c r="C283" s="37">
        <v>45818</v>
      </c>
      <c r="D283" s="23">
        <f t="shared" ref="D283:D289" ca="1" si="12">$F$1-C283</f>
        <v>195.53177569444233</v>
      </c>
      <c r="E283" s="31">
        <v>0</v>
      </c>
      <c r="F283" s="31">
        <f>6819.3-1818.3-3501-1500</f>
        <v>0</v>
      </c>
    </row>
    <row r="284" spans="1:9" s="60" customFormat="1" hidden="1">
      <c r="A284" s="64"/>
      <c r="B284" s="47" t="s">
        <v>197</v>
      </c>
      <c r="C284" s="37">
        <v>45831</v>
      </c>
      <c r="D284" s="23">
        <f t="shared" ca="1" si="12"/>
        <v>182.53177569444233</v>
      </c>
      <c r="E284" s="31">
        <v>0</v>
      </c>
      <c r="F284" s="31">
        <f>3694-1600-200-1894</f>
        <v>0</v>
      </c>
    </row>
    <row r="285" spans="1:9" s="60" customFormat="1" hidden="1">
      <c r="A285" s="64"/>
      <c r="B285" s="49" t="s">
        <v>219</v>
      </c>
      <c r="C285" s="37">
        <v>45862</v>
      </c>
      <c r="D285" s="23">
        <f t="shared" ca="1" si="12"/>
        <v>151.53177569444233</v>
      </c>
      <c r="E285" s="31">
        <v>0</v>
      </c>
      <c r="F285" s="31">
        <f>5925-5925</f>
        <v>0</v>
      </c>
    </row>
    <row r="286" spans="1:9" s="60" customFormat="1" hidden="1">
      <c r="A286" s="64"/>
      <c r="B286" s="50" t="s">
        <v>251</v>
      </c>
      <c r="C286" s="37">
        <v>45905</v>
      </c>
      <c r="D286" s="23">
        <f t="shared" ca="1" si="12"/>
        <v>108.53177569444233</v>
      </c>
      <c r="E286" s="31">
        <v>0</v>
      </c>
      <c r="F286" s="31">
        <f>7664-3000-2000-2664</f>
        <v>0</v>
      </c>
    </row>
    <row r="287" spans="1:9" s="60" customFormat="1" hidden="1">
      <c r="A287" s="64"/>
      <c r="B287" s="76" t="s">
        <v>279</v>
      </c>
      <c r="C287" s="37">
        <v>45940</v>
      </c>
      <c r="D287" s="23">
        <f ca="1">$F$1-C287</f>
        <v>73.531775694442331</v>
      </c>
      <c r="E287" s="31">
        <v>0</v>
      </c>
      <c r="F287" s="31">
        <f>6309.9-3268-3041.9</f>
        <v>0</v>
      </c>
    </row>
    <row r="288" spans="1:9" s="60" customFormat="1">
      <c r="A288" s="64"/>
      <c r="B288" s="77" t="s">
        <v>313</v>
      </c>
      <c r="C288" s="37">
        <v>45975</v>
      </c>
      <c r="D288" s="23">
        <f ca="1">$F$1-C288</f>
        <v>38.531775694442331</v>
      </c>
      <c r="E288" s="31">
        <v>0</v>
      </c>
      <c r="F288" s="31">
        <f>8488-1488</f>
        <v>7000</v>
      </c>
    </row>
    <row r="289" spans="1:6" s="60" customFormat="1">
      <c r="A289" s="64"/>
      <c r="B289" s="77" t="s">
        <v>337</v>
      </c>
      <c r="C289" s="37">
        <v>45989</v>
      </c>
      <c r="D289" s="23">
        <f t="shared" ca="1" si="12"/>
        <v>24.531775694442331</v>
      </c>
      <c r="E289" s="31">
        <v>5562</v>
      </c>
      <c r="F289" s="31">
        <v>0</v>
      </c>
    </row>
    <row r="290" spans="1:6" s="60" customFormat="1">
      <c r="A290" s="66"/>
      <c r="B290" s="78" t="s">
        <v>336</v>
      </c>
      <c r="C290" s="33">
        <v>45989</v>
      </c>
      <c r="D290" s="20">
        <f t="shared" ca="1" si="11"/>
        <v>24.531775694442331</v>
      </c>
      <c r="E290" s="38">
        <v>3917.4</v>
      </c>
      <c r="F290" s="38">
        <v>0</v>
      </c>
    </row>
    <row r="291" spans="1:6" s="60" customFormat="1" ht="6.75" customHeight="1">
      <c r="A291" s="64"/>
      <c r="C291" s="21"/>
      <c r="D291" s="21"/>
    </row>
    <row r="292" spans="1:6" s="32" customFormat="1">
      <c r="A292" s="52"/>
      <c r="B292" s="3">
        <f>SUM(E292:F292)</f>
        <v>16479.400000000001</v>
      </c>
      <c r="C292" s="19"/>
      <c r="D292" s="19"/>
      <c r="E292" s="10">
        <f>SUM(E276:E290)</f>
        <v>9479.4</v>
      </c>
      <c r="F292" s="10">
        <f>SUM(F276:F290)</f>
        <v>7000</v>
      </c>
    </row>
    <row r="293" spans="1:6" s="32" customFormat="1">
      <c r="A293" s="52"/>
      <c r="B293" s="10"/>
      <c r="C293" s="19"/>
      <c r="D293" s="19"/>
      <c r="E293" s="27"/>
      <c r="F293" s="10"/>
    </row>
    <row r="294" spans="1:6" s="32" customFormat="1">
      <c r="A294" s="42">
        <v>7212</v>
      </c>
      <c r="B294" s="2" t="s">
        <v>40</v>
      </c>
      <c r="C294" s="4"/>
      <c r="D294" s="4"/>
      <c r="E294" s="26"/>
      <c r="F294" s="2" t="s">
        <v>12</v>
      </c>
    </row>
    <row r="295" spans="1:6" s="32" customFormat="1" ht="6.75" customHeight="1">
      <c r="A295" s="52"/>
      <c r="C295" s="19"/>
      <c r="D295" s="19"/>
      <c r="E295" s="56"/>
    </row>
    <row r="296" spans="1:6" s="60" customFormat="1" hidden="1">
      <c r="A296" s="64"/>
      <c r="B296" s="44" t="s">
        <v>66</v>
      </c>
      <c r="C296" s="37">
        <v>45672</v>
      </c>
      <c r="D296" s="23">
        <f ca="1">FER!$F$1-C296</f>
        <v>341.53177569444233</v>
      </c>
      <c r="E296" s="30">
        <v>0</v>
      </c>
      <c r="F296" s="30">
        <f>12043-4131-1912-6000</f>
        <v>0</v>
      </c>
    </row>
    <row r="297" spans="1:6" s="60" customFormat="1" hidden="1">
      <c r="A297" s="64"/>
      <c r="B297" s="45" t="s">
        <v>25</v>
      </c>
      <c r="C297" s="37">
        <v>45701</v>
      </c>
      <c r="D297" s="23">
        <f t="shared" ref="D297:D302" ca="1" si="13">$F$1-C297</f>
        <v>312.53177569444233</v>
      </c>
      <c r="E297" s="30">
        <v>0</v>
      </c>
      <c r="F297" s="30">
        <f>7312.8-2000-1312.8-2000-2000</f>
        <v>0</v>
      </c>
    </row>
    <row r="298" spans="1:6" s="60" customFormat="1" hidden="1">
      <c r="A298" s="64"/>
      <c r="B298" s="44" t="s">
        <v>138</v>
      </c>
      <c r="C298" s="37">
        <v>45776</v>
      </c>
      <c r="D298" s="23">
        <f t="shared" ca="1" si="13"/>
        <v>237.53177569444233</v>
      </c>
      <c r="E298" s="30">
        <f>7397-397-3000-1000-3000</f>
        <v>0</v>
      </c>
      <c r="F298" s="30">
        <f>7312.8-2000-1312.8-2000-2000</f>
        <v>0</v>
      </c>
    </row>
    <row r="299" spans="1:6" s="60" customFormat="1" hidden="1">
      <c r="A299" s="64"/>
      <c r="B299" s="39" t="s">
        <v>170</v>
      </c>
      <c r="C299" s="37">
        <v>45806</v>
      </c>
      <c r="D299" s="23">
        <f t="shared" ca="1" si="13"/>
        <v>207.53177569444233</v>
      </c>
      <c r="E299" s="30">
        <v>0</v>
      </c>
      <c r="F299" s="30">
        <f>15962.4-2900-2500-3000-2562-5000.4</f>
        <v>0</v>
      </c>
    </row>
    <row r="300" spans="1:6" s="60" customFormat="1" hidden="1">
      <c r="A300" s="64"/>
      <c r="B300" s="41" t="s">
        <v>241</v>
      </c>
      <c r="C300" s="37">
        <v>45889</v>
      </c>
      <c r="D300" s="23">
        <f t="shared" ca="1" si="13"/>
        <v>124.53177569444233</v>
      </c>
      <c r="E300" s="30">
        <v>0</v>
      </c>
      <c r="F300" s="30">
        <f>10597-1597-2500-2000-3000-1500</f>
        <v>0</v>
      </c>
    </row>
    <row r="301" spans="1:6" s="60" customFormat="1" hidden="1">
      <c r="A301" s="64"/>
      <c r="B301" s="76" t="s">
        <v>272</v>
      </c>
      <c r="C301" s="37">
        <v>45932</v>
      </c>
      <c r="D301" s="23">
        <f t="shared" ca="1" si="13"/>
        <v>81.531775694442331</v>
      </c>
      <c r="E301" s="30">
        <v>0</v>
      </c>
      <c r="F301" s="30">
        <f>3856-500-3356</f>
        <v>0</v>
      </c>
    </row>
    <row r="302" spans="1:6" s="60" customFormat="1">
      <c r="A302" s="66"/>
      <c r="B302" s="78" t="s">
        <v>299</v>
      </c>
      <c r="C302" s="33">
        <v>45967</v>
      </c>
      <c r="D302" s="20">
        <f t="shared" ca="1" si="13"/>
        <v>46.531775694442331</v>
      </c>
      <c r="E302" s="63">
        <v>0</v>
      </c>
      <c r="F302" s="63">
        <f>13546-1200</f>
        <v>12346</v>
      </c>
    </row>
    <row r="303" spans="1:6" s="32" customFormat="1" ht="6.75" customHeight="1">
      <c r="A303" s="52"/>
      <c r="C303" s="19"/>
      <c r="D303" s="19"/>
      <c r="E303" s="56"/>
    </row>
    <row r="304" spans="1:6" s="32" customFormat="1">
      <c r="A304" s="52"/>
      <c r="B304" s="3">
        <f>SUM(E304:F304)</f>
        <v>12346</v>
      </c>
      <c r="C304" s="19"/>
      <c r="D304" s="19"/>
      <c r="E304" s="27">
        <f>SUM(E298:E302)</f>
        <v>0</v>
      </c>
      <c r="F304" s="27">
        <f>SUM(F298:F302)</f>
        <v>12346</v>
      </c>
    </row>
    <row r="305" spans="1:6" s="32" customFormat="1">
      <c r="A305" s="52"/>
      <c r="B305" s="10"/>
      <c r="C305" s="19"/>
      <c r="D305" s="19"/>
      <c r="E305" s="27"/>
      <c r="F305" s="10"/>
    </row>
    <row r="306" spans="1:6" s="32" customFormat="1">
      <c r="A306" s="9">
        <v>7217</v>
      </c>
      <c r="B306" s="2" t="s">
        <v>59</v>
      </c>
      <c r="C306" s="4"/>
      <c r="D306" s="4"/>
      <c r="E306" s="26"/>
      <c r="F306" s="2" t="s">
        <v>12</v>
      </c>
    </row>
    <row r="307" spans="1:6" s="32" customFormat="1" ht="6.75" customHeight="1">
      <c r="A307" s="52"/>
      <c r="C307" s="19"/>
      <c r="D307" s="19"/>
      <c r="E307" s="56"/>
    </row>
    <row r="308" spans="1:6" s="60" customFormat="1" hidden="1">
      <c r="A308" s="64"/>
      <c r="B308" s="44" t="s">
        <v>77</v>
      </c>
      <c r="C308" s="37">
        <v>45688</v>
      </c>
      <c r="D308" s="23">
        <f ca="1">FER!$F$1-C308</f>
        <v>325.53177569444233</v>
      </c>
      <c r="E308" s="30">
        <f>2324.1-2054.1-270</f>
        <v>0</v>
      </c>
      <c r="F308" s="30">
        <v>0</v>
      </c>
    </row>
    <row r="309" spans="1:6" s="60" customFormat="1" hidden="1">
      <c r="A309" s="64"/>
      <c r="B309" s="45" t="s">
        <v>99</v>
      </c>
      <c r="C309" s="37">
        <v>45700</v>
      </c>
      <c r="D309" s="23">
        <f t="shared" ref="D309:D315" ca="1" si="14">$F$1-C309</f>
        <v>313.53177569444233</v>
      </c>
      <c r="E309" s="30">
        <v>0</v>
      </c>
      <c r="F309" s="30">
        <f>2262-2050-212</f>
        <v>0</v>
      </c>
    </row>
    <row r="310" spans="1:6" s="60" customFormat="1" hidden="1">
      <c r="A310" s="64"/>
      <c r="B310" s="46" t="s">
        <v>129</v>
      </c>
      <c r="C310" s="37">
        <v>45741</v>
      </c>
      <c r="D310" s="23">
        <f t="shared" ca="1" si="14"/>
        <v>272.53177569444233</v>
      </c>
      <c r="E310" s="30">
        <f>1942-1731-211</f>
        <v>0</v>
      </c>
      <c r="F310" s="30">
        <v>0</v>
      </c>
    </row>
    <row r="311" spans="1:6" s="60" customFormat="1" hidden="1">
      <c r="A311" s="64"/>
      <c r="B311" s="39" t="s">
        <v>169</v>
      </c>
      <c r="C311" s="37">
        <v>45799</v>
      </c>
      <c r="D311" s="23">
        <f t="shared" ca="1" si="14"/>
        <v>214.53177569444233</v>
      </c>
      <c r="E311" s="30">
        <f>2545-2228-317</f>
        <v>0</v>
      </c>
      <c r="F311" s="30">
        <v>0</v>
      </c>
    </row>
    <row r="312" spans="1:6" s="60" customFormat="1" hidden="1">
      <c r="A312" s="64"/>
      <c r="B312" s="49" t="s">
        <v>223</v>
      </c>
      <c r="C312" s="37">
        <v>45863</v>
      </c>
      <c r="D312" s="23">
        <f t="shared" ca="1" si="14"/>
        <v>150.53177569444233</v>
      </c>
      <c r="E312" s="30">
        <v>0</v>
      </c>
      <c r="F312" s="30">
        <f>216-216</f>
        <v>0</v>
      </c>
    </row>
    <row r="313" spans="1:6" s="60" customFormat="1" hidden="1">
      <c r="A313" s="64"/>
      <c r="B313" s="50" t="s">
        <v>256</v>
      </c>
      <c r="C313" s="37">
        <v>45912</v>
      </c>
      <c r="D313" s="23">
        <f t="shared" ca="1" si="14"/>
        <v>101.53177569444233</v>
      </c>
      <c r="E313" s="30">
        <f>2161-1904-257</f>
        <v>0</v>
      </c>
      <c r="F313" s="30">
        <v>0</v>
      </c>
    </row>
    <row r="314" spans="1:6" s="60" customFormat="1" hidden="1">
      <c r="A314" s="64"/>
      <c r="B314" s="76" t="s">
        <v>274</v>
      </c>
      <c r="C314" s="37">
        <v>45934</v>
      </c>
      <c r="D314" s="23">
        <f ca="1">$F$1-C314</f>
        <v>79.531775694442331</v>
      </c>
      <c r="E314" s="30">
        <v>0</v>
      </c>
      <c r="F314" s="30">
        <f>563-563</f>
        <v>0</v>
      </c>
    </row>
    <row r="315" spans="1:6" s="60" customFormat="1">
      <c r="A315" s="66"/>
      <c r="B315" s="78" t="s">
        <v>326</v>
      </c>
      <c r="C315" s="33">
        <v>45988</v>
      </c>
      <c r="D315" s="20">
        <f t="shared" ca="1" si="14"/>
        <v>25.531775694442331</v>
      </c>
      <c r="E315" s="63">
        <f>589.5-300</f>
        <v>289.5</v>
      </c>
      <c r="F315" s="63">
        <f>563-563</f>
        <v>0</v>
      </c>
    </row>
    <row r="316" spans="1:6" s="32" customFormat="1" ht="6.75" customHeight="1">
      <c r="A316" s="52"/>
      <c r="C316" s="19"/>
      <c r="D316" s="19"/>
      <c r="E316" s="56"/>
    </row>
    <row r="317" spans="1:6" s="32" customFormat="1">
      <c r="A317" s="52"/>
      <c r="B317" s="3">
        <f>SUM(E317:F317)</f>
        <v>289.5</v>
      </c>
      <c r="C317" s="19"/>
      <c r="D317" s="19"/>
      <c r="E317" s="27">
        <f>SUM(E309:E315)</f>
        <v>289.5</v>
      </c>
      <c r="F317" s="27">
        <f>SUM(F309:F315)</f>
        <v>0</v>
      </c>
    </row>
    <row r="318" spans="1:6" s="32" customFormat="1">
      <c r="A318" s="52"/>
      <c r="B318" s="10"/>
      <c r="C318" s="19"/>
      <c r="D318" s="19"/>
      <c r="E318" s="27"/>
      <c r="F318" s="10"/>
    </row>
    <row r="319" spans="1:6" s="32" customFormat="1">
      <c r="A319" s="9">
        <v>7235</v>
      </c>
      <c r="B319" s="2" t="s">
        <v>47</v>
      </c>
      <c r="C319" s="4"/>
      <c r="D319" s="4"/>
      <c r="E319" s="26"/>
      <c r="F319" s="2" t="s">
        <v>32</v>
      </c>
    </row>
    <row r="320" spans="1:6" s="32" customFormat="1" ht="6.75" customHeight="1">
      <c r="A320" s="52"/>
      <c r="C320" s="19"/>
      <c r="D320" s="19"/>
      <c r="E320" s="56"/>
    </row>
    <row r="321" spans="1:6" s="60" customFormat="1" hidden="1">
      <c r="A321" s="64"/>
      <c r="B321" s="44" t="s">
        <v>72</v>
      </c>
      <c r="C321" s="37">
        <v>45680</v>
      </c>
      <c r="D321" s="23">
        <f ca="1">FER!$F$1-C321</f>
        <v>333.53177569444233</v>
      </c>
      <c r="E321" s="30">
        <f>8390.4-8390.4</f>
        <v>0</v>
      </c>
      <c r="F321" s="30">
        <v>0</v>
      </c>
    </row>
    <row r="322" spans="1:6" s="60" customFormat="1" hidden="1">
      <c r="A322" s="64"/>
      <c r="B322" s="44" t="s">
        <v>74</v>
      </c>
      <c r="C322" s="37">
        <v>45688</v>
      </c>
      <c r="D322" s="23">
        <f ca="1">FER!$F$1-C322</f>
        <v>325.53177569444233</v>
      </c>
      <c r="E322" s="30">
        <f>2198.5-2198.5</f>
        <v>0</v>
      </c>
      <c r="F322" s="30">
        <v>0</v>
      </c>
    </row>
    <row r="323" spans="1:6" s="60" customFormat="1" hidden="1">
      <c r="A323" s="64"/>
      <c r="B323" s="45" t="s">
        <v>84</v>
      </c>
      <c r="C323" s="37">
        <v>45693</v>
      </c>
      <c r="D323" s="23">
        <f ca="1">FER!$F$1-C323</f>
        <v>320.53177569444233</v>
      </c>
      <c r="E323" s="30">
        <f>4524-4524</f>
        <v>0</v>
      </c>
      <c r="F323" s="30">
        <v>0</v>
      </c>
    </row>
    <row r="324" spans="1:6" s="60" customFormat="1" hidden="1">
      <c r="A324" s="64"/>
      <c r="B324" s="39" t="s">
        <v>73</v>
      </c>
      <c r="C324" s="37">
        <v>45797</v>
      </c>
      <c r="D324" s="23">
        <f ca="1">FER!$F$1-C324</f>
        <v>216.53177569444233</v>
      </c>
      <c r="E324" s="30">
        <v>0</v>
      </c>
      <c r="F324" s="30">
        <f>897.4-897.4</f>
        <v>0</v>
      </c>
    </row>
    <row r="325" spans="1:6" s="60" customFormat="1" hidden="1">
      <c r="A325" s="64"/>
      <c r="B325" s="50" t="s">
        <v>255</v>
      </c>
      <c r="C325" s="37">
        <v>45912</v>
      </c>
      <c r="D325" s="23">
        <f ca="1">FER!$F$1-C325</f>
        <v>101.53177569444233</v>
      </c>
      <c r="E325" s="30">
        <v>0</v>
      </c>
      <c r="F325" s="28">
        <f>1400-1400</f>
        <v>0</v>
      </c>
    </row>
    <row r="326" spans="1:6" s="60" customFormat="1" hidden="1">
      <c r="A326" s="64"/>
      <c r="B326" s="76" t="s">
        <v>284</v>
      </c>
      <c r="C326" s="37">
        <v>45945</v>
      </c>
      <c r="D326" s="23">
        <f ca="1">FER!$F$1-C326</f>
        <v>68.531775694442331</v>
      </c>
      <c r="E326" s="30">
        <f>478-478</f>
        <v>0</v>
      </c>
      <c r="F326" s="30">
        <v>0</v>
      </c>
    </row>
    <row r="327" spans="1:6" s="60" customFormat="1">
      <c r="A327" s="66"/>
      <c r="B327" s="78" t="s">
        <v>306</v>
      </c>
      <c r="C327" s="33">
        <v>45975</v>
      </c>
      <c r="D327" s="20">
        <f ca="1">FER!$F$1-C327</f>
        <v>38.531775694442331</v>
      </c>
      <c r="E327" s="63">
        <v>0</v>
      </c>
      <c r="F327" s="63">
        <v>7290</v>
      </c>
    </row>
    <row r="328" spans="1:6" s="32" customFormat="1" ht="6.75" customHeight="1">
      <c r="A328" s="52"/>
      <c r="C328" s="19"/>
      <c r="D328" s="19"/>
      <c r="E328" s="56"/>
    </row>
    <row r="329" spans="1:6" s="32" customFormat="1">
      <c r="A329" s="52"/>
      <c r="B329" s="3">
        <f>SUM(E329:F329)</f>
        <v>7290</v>
      </c>
      <c r="C329" s="19"/>
      <c r="D329" s="19"/>
      <c r="E329" s="27">
        <f>SUM(E321:E327)</f>
        <v>0</v>
      </c>
      <c r="F329" s="27">
        <f>SUM(F325:F327)</f>
        <v>7290</v>
      </c>
    </row>
    <row r="330" spans="1:6" s="32" customFormat="1">
      <c r="A330" s="52"/>
      <c r="B330" s="10"/>
      <c r="C330" s="19"/>
      <c r="D330" s="19"/>
      <c r="E330" s="10"/>
      <c r="F330" s="10"/>
    </row>
    <row r="331" spans="1:6" s="32" customFormat="1">
      <c r="A331" s="42">
        <v>7265</v>
      </c>
      <c r="B331" s="2" t="s">
        <v>21</v>
      </c>
      <c r="C331" s="4"/>
      <c r="D331" s="4"/>
      <c r="E331" s="2"/>
      <c r="F331" s="2" t="s">
        <v>32</v>
      </c>
    </row>
    <row r="332" spans="1:6" s="32" customFormat="1" ht="6.75" customHeight="1">
      <c r="A332" s="52"/>
      <c r="C332" s="19"/>
      <c r="D332" s="19"/>
    </row>
    <row r="333" spans="1:6" s="60" customFormat="1" hidden="1">
      <c r="A333" s="64"/>
      <c r="B333" s="59" t="s">
        <v>57</v>
      </c>
      <c r="C333" s="37">
        <v>45652</v>
      </c>
      <c r="D333" s="24" t="e">
        <f>#REF!-C333</f>
        <v>#REF!</v>
      </c>
      <c r="E333" s="30">
        <v>0</v>
      </c>
      <c r="F333" s="30">
        <f>7996-680.7-4400-2915.3</f>
        <v>0</v>
      </c>
    </row>
    <row r="334" spans="1:6" s="60" customFormat="1" hidden="1">
      <c r="A334" s="64"/>
      <c r="B334" s="59" t="s">
        <v>24</v>
      </c>
      <c r="C334" s="37">
        <v>45652</v>
      </c>
      <c r="D334" s="24" t="e">
        <f>#REF!-C334</f>
        <v>#REF!</v>
      </c>
      <c r="E334" s="30">
        <v>0</v>
      </c>
      <c r="F334" s="30">
        <f>3316-2084.7-1231.3</f>
        <v>0</v>
      </c>
    </row>
    <row r="335" spans="1:6" s="60" customFormat="1" hidden="1">
      <c r="A335" s="64"/>
      <c r="B335" s="44" t="s">
        <v>82</v>
      </c>
      <c r="C335" s="37">
        <v>45688</v>
      </c>
      <c r="D335" s="24">
        <f t="shared" ref="D335:D346" ca="1" si="15">$F$1-C335</f>
        <v>325.53177569444233</v>
      </c>
      <c r="E335" s="30">
        <v>0</v>
      </c>
      <c r="F335" s="30">
        <f>5726.1-3768.7-1957.4</f>
        <v>0</v>
      </c>
    </row>
    <row r="336" spans="1:6" s="60" customFormat="1" hidden="1">
      <c r="A336" s="64"/>
      <c r="B336" s="45" t="s">
        <v>107</v>
      </c>
      <c r="C336" s="37">
        <v>45707</v>
      </c>
      <c r="D336" s="24">
        <f t="shared" ca="1" si="15"/>
        <v>306.53177569444233</v>
      </c>
      <c r="E336" s="30">
        <v>0</v>
      </c>
      <c r="F336" s="30">
        <f>6305.7-1642.6-3100-1563.1</f>
        <v>0</v>
      </c>
    </row>
    <row r="337" spans="1:6" s="60" customFormat="1" hidden="1">
      <c r="A337" s="64"/>
      <c r="B337" s="44" t="s">
        <v>142</v>
      </c>
      <c r="C337" s="37">
        <v>45776</v>
      </c>
      <c r="D337" s="24">
        <f t="shared" ca="1" si="15"/>
        <v>237.53177569444233</v>
      </c>
      <c r="E337" s="30">
        <v>0</v>
      </c>
      <c r="F337" s="30">
        <f>6989-2000-2300-1500-1189</f>
        <v>0</v>
      </c>
    </row>
    <row r="338" spans="1:6" s="60" customFormat="1" hidden="1">
      <c r="A338" s="64"/>
      <c r="B338" s="44" t="s">
        <v>143</v>
      </c>
      <c r="C338" s="37">
        <v>45776</v>
      </c>
      <c r="D338" s="24">
        <f t="shared" ca="1" si="15"/>
        <v>237.53177569444233</v>
      </c>
      <c r="E338" s="30">
        <v>0</v>
      </c>
      <c r="F338" s="30">
        <f>325-325</f>
        <v>0</v>
      </c>
    </row>
    <row r="339" spans="1:6" s="60" customFormat="1" hidden="1">
      <c r="A339" s="64"/>
      <c r="B339" s="39" t="s">
        <v>156</v>
      </c>
      <c r="C339" s="37">
        <v>45797</v>
      </c>
      <c r="D339" s="24">
        <f t="shared" ca="1" si="15"/>
        <v>216.53177569444233</v>
      </c>
      <c r="E339" s="30">
        <v>0</v>
      </c>
      <c r="F339" s="30">
        <f>2695-1286-1409</f>
        <v>0</v>
      </c>
    </row>
    <row r="340" spans="1:6" s="60" customFormat="1" hidden="1">
      <c r="A340" s="64"/>
      <c r="B340" s="47" t="s">
        <v>174</v>
      </c>
      <c r="C340" s="37">
        <v>45817</v>
      </c>
      <c r="D340" s="24">
        <f t="shared" ref="D340:D345" ca="1" si="16">$F$1-C340</f>
        <v>196.53177569444233</v>
      </c>
      <c r="E340" s="30">
        <f>2345.9-1391-954.9</f>
        <v>0</v>
      </c>
      <c r="F340" s="30">
        <v>0</v>
      </c>
    </row>
    <row r="341" spans="1:6" s="60" customFormat="1" hidden="1">
      <c r="A341" s="64"/>
      <c r="B341" s="41" t="s">
        <v>239</v>
      </c>
      <c r="C341" s="37">
        <v>45878</v>
      </c>
      <c r="D341" s="24">
        <f t="shared" ca="1" si="16"/>
        <v>135.53177569444233</v>
      </c>
      <c r="E341" s="30">
        <f>2344-1500-844</f>
        <v>0</v>
      </c>
      <c r="F341" s="30">
        <v>0</v>
      </c>
    </row>
    <row r="342" spans="1:6" s="60" customFormat="1" hidden="1">
      <c r="A342" s="64"/>
      <c r="B342" s="41" t="s">
        <v>247</v>
      </c>
      <c r="C342" s="37">
        <v>45891</v>
      </c>
      <c r="D342" s="24">
        <f t="shared" ca="1" si="16"/>
        <v>122.53177569444233</v>
      </c>
      <c r="E342" s="30">
        <v>0</v>
      </c>
      <c r="F342" s="30">
        <f>6303.9-656-2000-2200-1447.9</f>
        <v>0</v>
      </c>
    </row>
    <row r="343" spans="1:6" s="60" customFormat="1" hidden="1">
      <c r="A343" s="64"/>
      <c r="B343" s="76" t="s">
        <v>269</v>
      </c>
      <c r="C343" s="37">
        <v>45932</v>
      </c>
      <c r="D343" s="24">
        <f t="shared" ca="1" si="16"/>
        <v>81.531775694442331</v>
      </c>
      <c r="E343" s="30">
        <v>0</v>
      </c>
      <c r="F343" s="30">
        <f>7350-452.1-2000-2100-1800-997.9</f>
        <v>0</v>
      </c>
    </row>
    <row r="344" spans="1:6" s="60" customFormat="1" hidden="1">
      <c r="A344" s="64"/>
      <c r="B344" s="76" t="s">
        <v>297</v>
      </c>
      <c r="C344" s="37">
        <v>45961</v>
      </c>
      <c r="D344" s="24">
        <f t="shared" ca="1" si="16"/>
        <v>52.531775694442331</v>
      </c>
      <c r="E344" s="30">
        <f>960-960</f>
        <v>0</v>
      </c>
      <c r="F344" s="30">
        <v>0</v>
      </c>
    </row>
    <row r="345" spans="1:6" s="60" customFormat="1">
      <c r="A345" s="64"/>
      <c r="B345" s="76" t="s">
        <v>309</v>
      </c>
      <c r="C345" s="37">
        <v>45975</v>
      </c>
      <c r="D345" s="24">
        <f t="shared" ca="1" si="16"/>
        <v>38.531775694442331</v>
      </c>
      <c r="E345" s="30">
        <v>0</v>
      </c>
      <c r="F345" s="30">
        <f>6402-842.1-2400</f>
        <v>3159.8999999999996</v>
      </c>
    </row>
    <row r="346" spans="1:6" s="60" customFormat="1">
      <c r="A346" s="66"/>
      <c r="B346" s="78" t="s">
        <v>329</v>
      </c>
      <c r="C346" s="33">
        <v>45989</v>
      </c>
      <c r="D346" s="16">
        <f t="shared" ca="1" si="15"/>
        <v>24.531775694442331</v>
      </c>
      <c r="E346" s="63">
        <v>9212.7000000000007</v>
      </c>
      <c r="F346" s="63">
        <v>0</v>
      </c>
    </row>
    <row r="347" spans="1:6" s="32" customFormat="1" ht="6.75" customHeight="1">
      <c r="A347" s="52"/>
      <c r="C347" s="19"/>
      <c r="D347" s="19"/>
    </row>
    <row r="348" spans="1:6" s="32" customFormat="1">
      <c r="A348" s="52"/>
      <c r="B348" s="3">
        <f>SUM(E348:F348)</f>
        <v>12372.6</v>
      </c>
      <c r="C348" s="19"/>
      <c r="D348" s="19"/>
      <c r="E348" s="10">
        <f>SUM(E333:E346)</f>
        <v>9212.7000000000007</v>
      </c>
      <c r="F348" s="10">
        <f>SUM(F333:F346)</f>
        <v>3159.8999999999996</v>
      </c>
    </row>
    <row r="349" spans="1:6" s="32" customFormat="1">
      <c r="A349" s="52"/>
      <c r="B349" s="10"/>
      <c r="C349" s="19"/>
      <c r="D349" s="19"/>
      <c r="E349" s="10"/>
      <c r="F349" s="10"/>
    </row>
    <row r="350" spans="1:6" s="32" customFormat="1">
      <c r="A350" s="42">
        <v>7388</v>
      </c>
      <c r="B350" s="2" t="s">
        <v>31</v>
      </c>
      <c r="C350" s="4"/>
      <c r="D350" s="4"/>
      <c r="E350" s="2"/>
      <c r="F350" s="2" t="s">
        <v>13</v>
      </c>
    </row>
    <row r="351" spans="1:6" s="32" customFormat="1" ht="6.75" customHeight="1">
      <c r="A351" s="52"/>
      <c r="C351" s="19"/>
      <c r="D351" s="19"/>
    </row>
    <row r="352" spans="1:6" s="60" customFormat="1" hidden="1">
      <c r="A352" s="64"/>
      <c r="B352" s="59" t="s">
        <v>56</v>
      </c>
      <c r="C352" s="37">
        <v>45652</v>
      </c>
      <c r="D352" s="24" t="e">
        <f>#REF!-C352</f>
        <v>#REF!</v>
      </c>
      <c r="E352" s="30">
        <v>0</v>
      </c>
      <c r="F352" s="30">
        <f>7541-23-1500-4000-2018</f>
        <v>0</v>
      </c>
    </row>
    <row r="353" spans="1:6" s="60" customFormat="1" hidden="1">
      <c r="A353" s="64"/>
      <c r="B353" s="44" t="s">
        <v>65</v>
      </c>
      <c r="C353" s="37">
        <v>45672</v>
      </c>
      <c r="D353" s="24" t="e">
        <f>#REF!-C353</f>
        <v>#REF!</v>
      </c>
      <c r="E353" s="30">
        <f>1627-1627</f>
        <v>0</v>
      </c>
      <c r="F353" s="30">
        <v>0</v>
      </c>
    </row>
    <row r="354" spans="1:6" s="60" customFormat="1" hidden="1">
      <c r="A354" s="64"/>
      <c r="B354" s="44" t="s">
        <v>71</v>
      </c>
      <c r="C354" s="37">
        <v>45680</v>
      </c>
      <c r="D354" s="24">
        <f t="shared" ref="D354:D363" ca="1" si="17">$F$1-C354</f>
        <v>333.53177569444233</v>
      </c>
      <c r="E354" s="30">
        <v>0</v>
      </c>
      <c r="F354" s="30">
        <f>22394-355-7000-1500-5000-3000-5000-539</f>
        <v>0</v>
      </c>
    </row>
    <row r="355" spans="1:6" s="60" customFormat="1" hidden="1">
      <c r="A355" s="64"/>
      <c r="B355" s="45" t="s">
        <v>103</v>
      </c>
      <c r="C355" s="37">
        <v>45707</v>
      </c>
      <c r="D355" s="24">
        <f t="shared" ca="1" si="17"/>
        <v>306.53177569444233</v>
      </c>
      <c r="E355" s="30">
        <v>0</v>
      </c>
      <c r="F355" s="30">
        <f>6673.4-4461-2212.4</f>
        <v>0</v>
      </c>
    </row>
    <row r="356" spans="1:6" s="60" customFormat="1" hidden="1">
      <c r="A356" s="64"/>
      <c r="B356" s="46" t="s">
        <v>111</v>
      </c>
      <c r="C356" s="37">
        <v>45722</v>
      </c>
      <c r="D356" s="24">
        <f t="shared" ca="1" si="17"/>
        <v>291.53177569444233</v>
      </c>
      <c r="E356" s="30">
        <v>0</v>
      </c>
      <c r="F356" s="30">
        <f>9362.9-2787.6-575.3-2000-4000</f>
        <v>0</v>
      </c>
    </row>
    <row r="357" spans="1:6" s="60" customFormat="1" hidden="1">
      <c r="A357" s="64"/>
      <c r="B357" s="46" t="s">
        <v>112</v>
      </c>
      <c r="C357" s="37">
        <v>45722</v>
      </c>
      <c r="D357" s="24">
        <f t="shared" ca="1" si="17"/>
        <v>291.53177569444233</v>
      </c>
      <c r="E357" s="30">
        <v>0</v>
      </c>
      <c r="F357" s="30">
        <f>2169.8-1424.7-745.1</f>
        <v>0</v>
      </c>
    </row>
    <row r="358" spans="1:6" s="60" customFormat="1" hidden="1">
      <c r="A358" s="64"/>
      <c r="B358" s="46" t="s">
        <v>126</v>
      </c>
      <c r="C358" s="37">
        <v>45738</v>
      </c>
      <c r="D358" s="24">
        <f t="shared" ca="1" si="17"/>
        <v>275.53177569444233</v>
      </c>
      <c r="E358" s="30">
        <v>0</v>
      </c>
      <c r="F358" s="30">
        <f>3020-3020</f>
        <v>0</v>
      </c>
    </row>
    <row r="359" spans="1:6" s="60" customFormat="1" hidden="1">
      <c r="A359" s="64"/>
      <c r="B359" s="46" t="s">
        <v>127</v>
      </c>
      <c r="C359" s="37">
        <v>45740</v>
      </c>
      <c r="D359" s="24">
        <f t="shared" ca="1" si="17"/>
        <v>273.53177569444233</v>
      </c>
      <c r="E359" s="30">
        <v>0</v>
      </c>
      <c r="F359" s="30">
        <f>16589-734.9-1500-3000-7000-4354.1</f>
        <v>0</v>
      </c>
    </row>
    <row r="360" spans="1:6" s="60" customFormat="1" hidden="1">
      <c r="A360" s="64"/>
      <c r="B360" s="46" t="s">
        <v>128</v>
      </c>
      <c r="C360" s="37">
        <v>45740</v>
      </c>
      <c r="D360" s="24">
        <f t="shared" ca="1" si="17"/>
        <v>273.53177569444233</v>
      </c>
      <c r="E360" s="30">
        <v>0</v>
      </c>
      <c r="F360" s="30">
        <f>733-145.9-587.1</f>
        <v>0</v>
      </c>
    </row>
    <row r="361" spans="1:6" s="60" customFormat="1" hidden="1">
      <c r="A361" s="64"/>
      <c r="B361" s="44" t="s">
        <v>154</v>
      </c>
      <c r="C361" s="37">
        <v>45777</v>
      </c>
      <c r="D361" s="24">
        <f t="shared" ca="1" si="17"/>
        <v>236.53177569444233</v>
      </c>
      <c r="E361" s="30">
        <v>0</v>
      </c>
      <c r="F361" s="30">
        <f>997-997</f>
        <v>0</v>
      </c>
    </row>
    <row r="362" spans="1:6" s="60" customFormat="1" hidden="1">
      <c r="A362" s="64"/>
      <c r="B362" s="39" t="s">
        <v>171</v>
      </c>
      <c r="C362" s="37">
        <v>45806</v>
      </c>
      <c r="D362" s="24">
        <f t="shared" ca="1" si="17"/>
        <v>207.53177569444233</v>
      </c>
      <c r="E362" s="30">
        <v>0</v>
      </c>
      <c r="F362" s="30">
        <f>22743-1415.9-2500-5000-10000-3827.1</f>
        <v>0</v>
      </c>
    </row>
    <row r="363" spans="1:6" s="60" customFormat="1" hidden="1">
      <c r="A363" s="64"/>
      <c r="B363" s="39" t="s">
        <v>191</v>
      </c>
      <c r="C363" s="37">
        <v>45806</v>
      </c>
      <c r="D363" s="24">
        <f t="shared" ca="1" si="17"/>
        <v>207.53177569444233</v>
      </c>
      <c r="E363" s="30">
        <v>0</v>
      </c>
      <c r="F363" s="30">
        <f>9550.3-1172.9-5000-3377.4</f>
        <v>0</v>
      </c>
    </row>
    <row r="364" spans="1:6" s="60" customFormat="1" hidden="1">
      <c r="A364" s="64"/>
      <c r="B364" s="39" t="s">
        <v>192</v>
      </c>
      <c r="C364" s="37">
        <v>45806</v>
      </c>
      <c r="D364" s="24">
        <f t="shared" ref="D364:D372" ca="1" si="18">$F$1-C364</f>
        <v>207.53177569444233</v>
      </c>
      <c r="E364" s="30">
        <v>0</v>
      </c>
      <c r="F364" s="30">
        <f>990-990</f>
        <v>0</v>
      </c>
    </row>
    <row r="365" spans="1:6" s="60" customFormat="1" hidden="1">
      <c r="A365" s="64"/>
      <c r="B365" s="47" t="s">
        <v>195</v>
      </c>
      <c r="C365" s="37">
        <v>45831</v>
      </c>
      <c r="D365" s="24">
        <f ca="1">$F$1-C365</f>
        <v>182.53177569444233</v>
      </c>
      <c r="E365" s="30">
        <v>0</v>
      </c>
      <c r="F365" s="30">
        <f>707-707</f>
        <v>0</v>
      </c>
    </row>
    <row r="366" spans="1:6" s="60" customFormat="1" hidden="1">
      <c r="A366" s="64"/>
      <c r="B366" s="49" t="s">
        <v>202</v>
      </c>
      <c r="C366" s="37">
        <v>45848</v>
      </c>
      <c r="D366" s="24">
        <f t="shared" ca="1" si="18"/>
        <v>165.53177569444233</v>
      </c>
      <c r="E366" s="30">
        <v>0</v>
      </c>
      <c r="F366" s="30">
        <f>11339-1131-10000-208</f>
        <v>0</v>
      </c>
    </row>
    <row r="367" spans="1:6" s="60" customFormat="1" hidden="1">
      <c r="A367" s="64"/>
      <c r="B367" s="49" t="s">
        <v>203</v>
      </c>
      <c r="C367" s="37">
        <v>45848</v>
      </c>
      <c r="D367" s="24">
        <f t="shared" ca="1" si="18"/>
        <v>165.53177569444233</v>
      </c>
      <c r="E367" s="30">
        <v>0</v>
      </c>
      <c r="F367" s="30">
        <f>9792-5792-4000</f>
        <v>0</v>
      </c>
    </row>
    <row r="368" spans="1:6" s="60" customFormat="1" hidden="1">
      <c r="A368" s="64"/>
      <c r="B368" s="41" t="s">
        <v>240</v>
      </c>
      <c r="C368" s="37">
        <v>45889</v>
      </c>
      <c r="D368" s="24">
        <f t="shared" ca="1" si="18"/>
        <v>124.53177569444233</v>
      </c>
      <c r="E368" s="30">
        <v>0</v>
      </c>
      <c r="F368" s="30">
        <f>4632.6-1000-3632.6</f>
        <v>0</v>
      </c>
    </row>
    <row r="369" spans="1:6" s="60" customFormat="1" hidden="1">
      <c r="A369" s="64"/>
      <c r="B369" s="76" t="s">
        <v>275</v>
      </c>
      <c r="C369" s="37">
        <v>45934</v>
      </c>
      <c r="D369" s="24">
        <f t="shared" ca="1" si="18"/>
        <v>79.531775694442331</v>
      </c>
      <c r="E369" s="30">
        <v>0</v>
      </c>
      <c r="F369" s="30">
        <f>8361-1367.4-6000-993.6</f>
        <v>0</v>
      </c>
    </row>
    <row r="370" spans="1:6" s="60" customFormat="1" hidden="1">
      <c r="A370" s="64"/>
      <c r="B370" s="76" t="s">
        <v>276</v>
      </c>
      <c r="C370" s="37">
        <v>45940</v>
      </c>
      <c r="D370" s="24">
        <f t="shared" ca="1" si="18"/>
        <v>73.531775694442331</v>
      </c>
      <c r="E370" s="30">
        <v>0</v>
      </c>
      <c r="F370" s="30">
        <f>9300.1-1506.4-3500-4293.7</f>
        <v>0</v>
      </c>
    </row>
    <row r="371" spans="1:6" s="60" customFormat="1" hidden="1">
      <c r="A371" s="64"/>
      <c r="B371" s="77" t="s">
        <v>301</v>
      </c>
      <c r="C371" s="37">
        <v>45967</v>
      </c>
      <c r="D371" s="24">
        <f t="shared" ca="1" si="18"/>
        <v>46.531775694442331</v>
      </c>
      <c r="E371" s="28">
        <v>0</v>
      </c>
      <c r="F371" s="28">
        <f>7945-706.3-3000-2259.5-1979.2</f>
        <v>0</v>
      </c>
    </row>
    <row r="372" spans="1:6" s="60" customFormat="1">
      <c r="A372" s="64"/>
      <c r="B372" s="77" t="s">
        <v>307</v>
      </c>
      <c r="C372" s="37">
        <v>45975</v>
      </c>
      <c r="D372" s="24">
        <f t="shared" ca="1" si="18"/>
        <v>38.531775694442331</v>
      </c>
      <c r="E372" s="30">
        <v>0</v>
      </c>
      <c r="F372" s="30">
        <f>17709.2-3020.8</f>
        <v>14688.400000000001</v>
      </c>
    </row>
    <row r="373" spans="1:6" s="60" customFormat="1">
      <c r="A373" s="64"/>
      <c r="B373" s="77" t="s">
        <v>322</v>
      </c>
      <c r="C373" s="37">
        <v>45987</v>
      </c>
      <c r="D373" s="24">
        <f ca="1">$F$1-C373</f>
        <v>26.531775694442331</v>
      </c>
      <c r="E373" s="30">
        <v>11081.999999999998</v>
      </c>
      <c r="F373" s="30">
        <v>0</v>
      </c>
    </row>
    <row r="374" spans="1:6" s="60" customFormat="1">
      <c r="A374" s="66"/>
      <c r="B374" s="79" t="s">
        <v>340</v>
      </c>
      <c r="C374" s="33">
        <v>45994</v>
      </c>
      <c r="D374" s="16">
        <f ca="1">$F$1-C374</f>
        <v>19.531775694442331</v>
      </c>
      <c r="E374" s="63">
        <v>2087.8000000000002</v>
      </c>
      <c r="F374" s="63">
        <v>0</v>
      </c>
    </row>
    <row r="375" spans="1:6" s="32" customFormat="1" ht="6.75" customHeight="1">
      <c r="A375" s="52"/>
      <c r="C375" s="19"/>
      <c r="D375" s="19"/>
    </row>
    <row r="376" spans="1:6" s="32" customFormat="1">
      <c r="A376" s="52"/>
      <c r="B376" s="3">
        <f>SUM(E376:F376)</f>
        <v>27858.2</v>
      </c>
      <c r="C376" s="19"/>
      <c r="D376" s="19"/>
      <c r="E376" s="10">
        <f>SUM(E352:E374)</f>
        <v>13169.8</v>
      </c>
      <c r="F376" s="10">
        <f>SUM(F352:F374)</f>
        <v>14688.400000000001</v>
      </c>
    </row>
    <row r="377" spans="1:6" s="32" customFormat="1">
      <c r="A377" s="52"/>
      <c r="B377" s="10"/>
      <c r="C377" s="19"/>
      <c r="D377" s="19"/>
      <c r="E377" s="10"/>
      <c r="F377" s="10"/>
    </row>
    <row r="378" spans="1:6" s="32" customFormat="1" hidden="1">
      <c r="A378" s="71">
        <v>7255</v>
      </c>
      <c r="B378" s="32" t="s">
        <v>209</v>
      </c>
      <c r="C378" s="19"/>
      <c r="D378" s="19"/>
      <c r="F378" s="32" t="s">
        <v>32</v>
      </c>
    </row>
    <row r="379" spans="1:6" s="32" customFormat="1" ht="6.75" hidden="1" customHeight="1">
      <c r="A379" s="52"/>
      <c r="C379" s="19"/>
      <c r="D379" s="19"/>
    </row>
    <row r="380" spans="1:6" s="60" customFormat="1" hidden="1">
      <c r="A380" s="66"/>
      <c r="B380" s="48" t="s">
        <v>210</v>
      </c>
      <c r="C380" s="33">
        <v>45849</v>
      </c>
      <c r="D380" s="20" t="e">
        <f>#REF!-C380</f>
        <v>#REF!</v>
      </c>
      <c r="E380" s="38">
        <f>880-880</f>
        <v>0</v>
      </c>
      <c r="F380" s="38">
        <v>0</v>
      </c>
    </row>
    <row r="381" spans="1:6" s="60" customFormat="1" ht="6.75" hidden="1" customHeight="1">
      <c r="A381" s="64"/>
      <c r="C381" s="21"/>
      <c r="D381" s="21"/>
    </row>
    <row r="382" spans="1:6" s="32" customFormat="1" hidden="1">
      <c r="A382" s="52"/>
      <c r="B382" s="10">
        <f>SUM(E382:F382)</f>
        <v>0</v>
      </c>
      <c r="C382" s="19"/>
      <c r="D382" s="19"/>
      <c r="E382" s="10">
        <f>SUM(E380:E380)</f>
        <v>0</v>
      </c>
      <c r="F382" s="10">
        <f>SUM(F380:F380)</f>
        <v>0</v>
      </c>
    </row>
    <row r="383" spans="1:6" s="32" customFormat="1" hidden="1">
      <c r="A383" s="52"/>
      <c r="B383" s="10"/>
      <c r="C383" s="19"/>
      <c r="D383" s="19"/>
      <c r="E383" s="10"/>
      <c r="F383" s="10"/>
    </row>
    <row r="384" spans="1:6" s="32" customFormat="1" ht="15" hidden="1" customHeight="1">
      <c r="A384" s="71">
        <v>7367</v>
      </c>
      <c r="B384" s="32" t="s">
        <v>30</v>
      </c>
      <c r="C384" s="19"/>
      <c r="D384" s="19"/>
      <c r="F384" s="32" t="s">
        <v>32</v>
      </c>
    </row>
    <row r="385" spans="1:6" s="32" customFormat="1" ht="6.75" hidden="1" customHeight="1">
      <c r="A385" s="52"/>
      <c r="C385" s="19"/>
      <c r="D385" s="19"/>
    </row>
    <row r="386" spans="1:6" s="60" customFormat="1" ht="15" hidden="1" customHeight="1">
      <c r="A386" s="64"/>
      <c r="B386" s="44" t="s">
        <v>75</v>
      </c>
      <c r="C386" s="37">
        <v>45688</v>
      </c>
      <c r="D386" s="23" t="e">
        <f>#REF!-C386</f>
        <v>#REF!</v>
      </c>
      <c r="E386" s="31">
        <f>2152.8-2152.8</f>
        <v>0</v>
      </c>
      <c r="F386" s="31">
        <f>1956-1956</f>
        <v>0</v>
      </c>
    </row>
    <row r="387" spans="1:6" s="60" customFormat="1" ht="15" hidden="1" customHeight="1">
      <c r="A387" s="64"/>
      <c r="B387" s="45" t="s">
        <v>102</v>
      </c>
      <c r="C387" s="37">
        <v>45707</v>
      </c>
      <c r="D387" s="23" t="e">
        <f>#REF!-C387</f>
        <v>#REF!</v>
      </c>
      <c r="E387" s="31">
        <f>4295-1295-3000</f>
        <v>0</v>
      </c>
      <c r="F387" s="31">
        <f>1956-1956</f>
        <v>0</v>
      </c>
    </row>
    <row r="388" spans="1:6" s="60" customFormat="1" ht="15" hidden="1" customHeight="1">
      <c r="A388" s="66"/>
      <c r="B388" s="73" t="s">
        <v>108</v>
      </c>
      <c r="C388" s="33">
        <v>45714</v>
      </c>
      <c r="D388" s="20">
        <f ca="1">$F$1-C388</f>
        <v>299.53177569444233</v>
      </c>
      <c r="E388" s="38">
        <f>1737-100-1637</f>
        <v>0</v>
      </c>
      <c r="F388" s="38">
        <f>1956-1956</f>
        <v>0</v>
      </c>
    </row>
    <row r="389" spans="1:6" s="60" customFormat="1" ht="6.75" hidden="1" customHeight="1">
      <c r="A389" s="64"/>
      <c r="C389" s="21"/>
      <c r="D389" s="21"/>
    </row>
    <row r="390" spans="1:6" s="32" customFormat="1" ht="15" hidden="1" customHeight="1">
      <c r="A390" s="52"/>
      <c r="B390" s="10">
        <f>SUM(E390:F390)</f>
        <v>0</v>
      </c>
      <c r="C390" s="19"/>
      <c r="D390" s="19"/>
      <c r="E390" s="10">
        <f>SUM(E386:E388)</f>
        <v>0</v>
      </c>
      <c r="F390" s="10">
        <f>SUM(F386:F388)</f>
        <v>0</v>
      </c>
    </row>
    <row r="391" spans="1:6" s="32" customFormat="1" ht="15" hidden="1" customHeight="1">
      <c r="A391" s="52"/>
      <c r="B391" s="10"/>
      <c r="C391" s="19"/>
      <c r="D391" s="19"/>
      <c r="E391" s="10"/>
      <c r="F391" s="10"/>
    </row>
    <row r="392" spans="1:6" s="32" customFormat="1" hidden="1">
      <c r="A392" s="34">
        <v>7402</v>
      </c>
      <c r="B392" s="2" t="s">
        <v>132</v>
      </c>
      <c r="C392" s="4"/>
      <c r="D392" s="4"/>
      <c r="E392" s="2"/>
      <c r="F392" s="2" t="s">
        <v>32</v>
      </c>
    </row>
    <row r="393" spans="1:6" s="32" customFormat="1" ht="6.75" hidden="1" customHeight="1">
      <c r="A393" s="52"/>
      <c r="C393" s="19"/>
      <c r="D393" s="19"/>
    </row>
    <row r="394" spans="1:6" s="60" customFormat="1" hidden="1">
      <c r="A394" s="64"/>
      <c r="B394" s="44" t="s">
        <v>133</v>
      </c>
      <c r="C394" s="37">
        <v>45751</v>
      </c>
      <c r="D394" s="23" t="e">
        <f>#REF!-C394</f>
        <v>#REF!</v>
      </c>
      <c r="E394" s="31">
        <f>31533.7-31533.7</f>
        <v>0</v>
      </c>
      <c r="F394" s="31">
        <v>0</v>
      </c>
    </row>
    <row r="395" spans="1:6" s="60" customFormat="1" hidden="1">
      <c r="A395" s="64"/>
      <c r="B395" s="76" t="s">
        <v>286</v>
      </c>
      <c r="C395" s="37">
        <v>45945</v>
      </c>
      <c r="D395" s="23" t="e">
        <f>#REF!-C395</f>
        <v>#REF!</v>
      </c>
      <c r="E395" s="31">
        <f>7597-7597</f>
        <v>0</v>
      </c>
      <c r="F395" s="31">
        <v>0</v>
      </c>
    </row>
    <row r="396" spans="1:6" s="60" customFormat="1" hidden="1">
      <c r="A396" s="66"/>
      <c r="B396" s="78" t="s">
        <v>305</v>
      </c>
      <c r="C396" s="33">
        <v>45975</v>
      </c>
      <c r="D396" s="20" t="e">
        <f>#REF!-C396</f>
        <v>#REF!</v>
      </c>
      <c r="E396" s="38">
        <f>21825.61-21825.61</f>
        <v>0</v>
      </c>
      <c r="F396" s="38">
        <v>0</v>
      </c>
    </row>
    <row r="397" spans="1:6" s="60" customFormat="1" ht="6.75" hidden="1" customHeight="1">
      <c r="A397" s="64"/>
      <c r="C397" s="21"/>
      <c r="D397" s="21"/>
    </row>
    <row r="398" spans="1:6" s="32" customFormat="1" hidden="1">
      <c r="A398" s="52"/>
      <c r="B398" s="3">
        <f>SUM(E398:F398)</f>
        <v>0</v>
      </c>
      <c r="C398" s="19"/>
      <c r="D398" s="19"/>
      <c r="E398" s="10">
        <f>SUM(E394:E396)</f>
        <v>0</v>
      </c>
      <c r="F398" s="10">
        <f>SUM(F394:F396)</f>
        <v>0</v>
      </c>
    </row>
    <row r="399" spans="1:6" s="32" customFormat="1" hidden="1">
      <c r="A399" s="52"/>
      <c r="B399" s="10"/>
      <c r="C399" s="19"/>
      <c r="D399" s="19"/>
      <c r="E399" s="10"/>
      <c r="F399" s="10"/>
    </row>
    <row r="400" spans="1:6" s="32" customFormat="1" hidden="1">
      <c r="A400" s="34">
        <v>7407</v>
      </c>
      <c r="B400" s="2" t="s">
        <v>33</v>
      </c>
      <c r="C400" s="4"/>
      <c r="D400" s="4"/>
      <c r="E400" s="2"/>
      <c r="F400" s="2" t="s">
        <v>32</v>
      </c>
    </row>
    <row r="401" spans="1:6" s="32" customFormat="1" ht="6.75" hidden="1" customHeight="1">
      <c r="A401" s="52"/>
      <c r="C401" s="19"/>
      <c r="D401" s="19"/>
    </row>
    <row r="402" spans="1:6" s="60" customFormat="1" hidden="1">
      <c r="A402" s="64"/>
      <c r="B402" s="59" t="s">
        <v>58</v>
      </c>
      <c r="C402" s="37">
        <v>45654</v>
      </c>
      <c r="D402" s="23" t="e">
        <f>#REF!-C402</f>
        <v>#REF!</v>
      </c>
      <c r="E402" s="31">
        <v>0</v>
      </c>
      <c r="F402" s="31">
        <f>210-210</f>
        <v>0</v>
      </c>
    </row>
    <row r="403" spans="1:6" s="60" customFormat="1" hidden="1">
      <c r="A403" s="64"/>
      <c r="B403" s="45" t="s">
        <v>101</v>
      </c>
      <c r="C403" s="37">
        <v>45688</v>
      </c>
      <c r="D403" s="23" t="e">
        <f>#REF!-C403</f>
        <v>#REF!</v>
      </c>
      <c r="E403" s="31">
        <f>2234-2234</f>
        <v>0</v>
      </c>
      <c r="F403" s="31">
        <v>0</v>
      </c>
    </row>
    <row r="404" spans="1:6" s="60" customFormat="1" hidden="1">
      <c r="A404" s="64"/>
      <c r="B404" s="44" t="s">
        <v>141</v>
      </c>
      <c r="C404" s="37">
        <v>45776</v>
      </c>
      <c r="D404" s="23" t="e">
        <f>#REF!-C404</f>
        <v>#REF!</v>
      </c>
      <c r="E404" s="31">
        <v>0</v>
      </c>
      <c r="F404" s="31">
        <f>1392-1042-350</f>
        <v>0</v>
      </c>
    </row>
    <row r="405" spans="1:6" s="60" customFormat="1" hidden="1">
      <c r="A405" s="64"/>
      <c r="B405" s="39" t="s">
        <v>168</v>
      </c>
      <c r="C405" s="37">
        <v>45799</v>
      </c>
      <c r="D405" s="23" t="e">
        <f>#REF!-C405</f>
        <v>#REF!</v>
      </c>
      <c r="E405" s="31">
        <v>0</v>
      </c>
      <c r="F405" s="31">
        <f>2084-884-1200</f>
        <v>0</v>
      </c>
    </row>
    <row r="406" spans="1:6" s="60" customFormat="1" hidden="1">
      <c r="A406" s="64"/>
      <c r="B406" s="49" t="s">
        <v>228</v>
      </c>
      <c r="C406" s="37">
        <v>45863</v>
      </c>
      <c r="D406" s="23" t="e">
        <f>#REF!-C406</f>
        <v>#REF!</v>
      </c>
      <c r="E406" s="31">
        <v>0</v>
      </c>
      <c r="F406" s="31">
        <f>2568-2500-68</f>
        <v>0</v>
      </c>
    </row>
    <row r="407" spans="1:6" s="60" customFormat="1" hidden="1">
      <c r="A407" s="64"/>
      <c r="B407" s="41" t="s">
        <v>244</v>
      </c>
      <c r="C407" s="37">
        <v>45889</v>
      </c>
      <c r="D407" s="23" t="e">
        <f>#REF!-C407</f>
        <v>#REF!</v>
      </c>
      <c r="E407" s="31">
        <v>0</v>
      </c>
      <c r="F407" s="31">
        <f>1413.6-632-700-81.6</f>
        <v>0</v>
      </c>
    </row>
    <row r="408" spans="1:6" s="60" customFormat="1" hidden="1">
      <c r="A408" s="64"/>
      <c r="B408" s="76" t="s">
        <v>270</v>
      </c>
      <c r="C408" s="37">
        <v>45932</v>
      </c>
      <c r="D408" s="23" t="e">
        <f>#REF!-C408</f>
        <v>#REF!</v>
      </c>
      <c r="E408" s="31">
        <v>0</v>
      </c>
      <c r="F408" s="31">
        <f>984-918.4-65.6</f>
        <v>0</v>
      </c>
    </row>
    <row r="409" spans="1:6" s="60" customFormat="1" hidden="1">
      <c r="A409" s="66"/>
      <c r="B409" s="51" t="s">
        <v>285</v>
      </c>
      <c r="C409" s="33">
        <v>45945</v>
      </c>
      <c r="D409" s="20" t="e">
        <f>#REF!-C409</f>
        <v>#REF!</v>
      </c>
      <c r="E409" s="38">
        <v>0</v>
      </c>
      <c r="F409" s="38">
        <f>879-879</f>
        <v>0</v>
      </c>
    </row>
    <row r="410" spans="1:6" s="60" customFormat="1" ht="6.75" hidden="1" customHeight="1">
      <c r="A410" s="64"/>
      <c r="C410" s="21"/>
      <c r="D410" s="21"/>
    </row>
    <row r="411" spans="1:6" s="32" customFormat="1" hidden="1">
      <c r="A411" s="52"/>
      <c r="B411" s="3">
        <f>SUM(E411:F411)</f>
        <v>0</v>
      </c>
      <c r="C411" s="19"/>
      <c r="D411" s="19"/>
      <c r="E411" s="10">
        <f>SUM(E402:E409)</f>
        <v>0</v>
      </c>
      <c r="F411" s="10">
        <f>SUM(F402:F409)</f>
        <v>0</v>
      </c>
    </row>
    <row r="412" spans="1:6" s="32" customFormat="1" hidden="1">
      <c r="A412" s="52"/>
      <c r="B412" s="10"/>
      <c r="C412" s="19"/>
      <c r="D412" s="19"/>
      <c r="E412" s="10"/>
      <c r="F412" s="10"/>
    </row>
    <row r="413" spans="1:6" s="32" customFormat="1">
      <c r="A413" s="42">
        <v>7424</v>
      </c>
      <c r="B413" s="2" t="s">
        <v>34</v>
      </c>
      <c r="C413" s="19"/>
      <c r="D413" s="19"/>
      <c r="F413" s="2" t="s">
        <v>32</v>
      </c>
    </row>
    <row r="414" spans="1:6" s="32" customFormat="1" ht="6.75" customHeight="1">
      <c r="A414" s="52"/>
      <c r="C414" s="19"/>
      <c r="D414" s="19"/>
    </row>
    <row r="415" spans="1:6" s="60" customFormat="1" hidden="1">
      <c r="A415" s="64"/>
      <c r="B415" s="44" t="s">
        <v>60</v>
      </c>
      <c r="C415" s="37">
        <v>45673</v>
      </c>
      <c r="D415" s="23" t="e">
        <f>#REF!-C415</f>
        <v>#REF!</v>
      </c>
      <c r="E415" s="31">
        <v>0</v>
      </c>
      <c r="F415" s="31">
        <f>7426-1000-1000-3000-2000-426</f>
        <v>0</v>
      </c>
    </row>
    <row r="416" spans="1:6" s="60" customFormat="1" hidden="1">
      <c r="A416" s="64"/>
      <c r="B416" s="44" t="s">
        <v>83</v>
      </c>
      <c r="C416" s="37">
        <v>45688</v>
      </c>
      <c r="D416" s="23">
        <f t="shared" ref="D416:D423" ca="1" si="19">$F$1-C416</f>
        <v>325.53177569444233</v>
      </c>
      <c r="E416" s="31">
        <v>0</v>
      </c>
      <c r="F416" s="31">
        <f>7958.2-1574-1500-762.2-4122</f>
        <v>0</v>
      </c>
    </row>
    <row r="417" spans="1:6" s="60" customFormat="1" hidden="1">
      <c r="A417" s="64"/>
      <c r="B417" s="39" t="s">
        <v>160</v>
      </c>
      <c r="C417" s="37">
        <v>45798</v>
      </c>
      <c r="D417" s="23">
        <f t="shared" ca="1" si="19"/>
        <v>215.53177569444233</v>
      </c>
      <c r="E417" s="31">
        <v>0</v>
      </c>
      <c r="F417" s="31">
        <f>839-839</f>
        <v>0</v>
      </c>
    </row>
    <row r="418" spans="1:6" s="60" customFormat="1" hidden="1">
      <c r="A418" s="64"/>
      <c r="B418" s="47" t="s">
        <v>177</v>
      </c>
      <c r="C418" s="37">
        <v>45817</v>
      </c>
      <c r="D418" s="23">
        <f t="shared" ca="1" si="19"/>
        <v>196.53177569444233</v>
      </c>
      <c r="E418" s="31">
        <v>0</v>
      </c>
      <c r="F418" s="31">
        <f>5874-1161-2000-1000-1000-713</f>
        <v>0</v>
      </c>
    </row>
    <row r="419" spans="1:6" s="60" customFormat="1" hidden="1">
      <c r="A419" s="64"/>
      <c r="B419" s="47" t="s">
        <v>185</v>
      </c>
      <c r="C419" s="37">
        <v>45818</v>
      </c>
      <c r="D419" s="23">
        <f t="shared" ca="1" si="19"/>
        <v>195.53177569444233</v>
      </c>
      <c r="E419" s="31">
        <v>0</v>
      </c>
      <c r="F419" s="31">
        <f>635.4-287-348.4</f>
        <v>0</v>
      </c>
    </row>
    <row r="420" spans="1:6" s="60" customFormat="1" hidden="1">
      <c r="A420" s="64"/>
      <c r="B420" s="49" t="s">
        <v>220</v>
      </c>
      <c r="C420" s="37">
        <v>45862</v>
      </c>
      <c r="D420" s="23">
        <f t="shared" ca="1" si="19"/>
        <v>151.53177569444233</v>
      </c>
      <c r="E420" s="31">
        <v>0</v>
      </c>
      <c r="F420" s="31">
        <f>6207-951.6-1200-1200-2855.4</f>
        <v>0</v>
      </c>
    </row>
    <row r="421" spans="1:6" s="60" customFormat="1">
      <c r="A421" s="64"/>
      <c r="B421" s="77" t="s">
        <v>314</v>
      </c>
      <c r="C421" s="37">
        <v>45975</v>
      </c>
      <c r="D421" s="23">
        <f t="shared" ca="1" si="19"/>
        <v>38.531775694442331</v>
      </c>
      <c r="E421" s="31">
        <v>0</v>
      </c>
      <c r="F421" s="31">
        <f>6300-2000-1500</f>
        <v>2800</v>
      </c>
    </row>
    <row r="422" spans="1:6" s="60" customFormat="1">
      <c r="A422" s="64"/>
      <c r="B422" s="77" t="s">
        <v>332</v>
      </c>
      <c r="C422" s="37">
        <v>45989</v>
      </c>
      <c r="D422" s="23">
        <f ca="1">$F$1-C422</f>
        <v>24.531775694442331</v>
      </c>
      <c r="E422" s="31">
        <v>3172</v>
      </c>
      <c r="F422" s="31">
        <v>0</v>
      </c>
    </row>
    <row r="423" spans="1:6" s="60" customFormat="1">
      <c r="A423" s="66"/>
      <c r="B423" s="78" t="s">
        <v>333</v>
      </c>
      <c r="C423" s="33">
        <v>45989</v>
      </c>
      <c r="D423" s="20">
        <f t="shared" ca="1" si="19"/>
        <v>24.531775694442331</v>
      </c>
      <c r="E423" s="38">
        <v>2190</v>
      </c>
      <c r="F423" s="38">
        <v>0</v>
      </c>
    </row>
    <row r="424" spans="1:6" s="60" customFormat="1" ht="6.75" customHeight="1">
      <c r="A424" s="64"/>
      <c r="C424" s="21"/>
      <c r="D424" s="21"/>
    </row>
    <row r="425" spans="1:6" s="32" customFormat="1">
      <c r="A425" s="52"/>
      <c r="B425" s="3">
        <f>SUM(E425:F425)</f>
        <v>8162</v>
      </c>
      <c r="C425" s="19"/>
      <c r="D425" s="19"/>
      <c r="E425" s="10">
        <f>SUM(E415:E423)</f>
        <v>5362</v>
      </c>
      <c r="F425" s="10">
        <f>SUM(F415:F423)</f>
        <v>2800</v>
      </c>
    </row>
    <row r="426" spans="1:6" s="32" customFormat="1">
      <c r="A426" s="52"/>
      <c r="B426" s="10"/>
      <c r="C426" s="19"/>
      <c r="D426" s="19"/>
      <c r="E426" s="10"/>
      <c r="F426" s="10"/>
    </row>
    <row r="427" spans="1:6" s="32" customFormat="1" hidden="1">
      <c r="A427" s="71">
        <v>7426</v>
      </c>
      <c r="B427" s="32" t="s">
        <v>35</v>
      </c>
      <c r="C427" s="19"/>
      <c r="D427" s="19"/>
      <c r="F427" s="32" t="s">
        <v>32</v>
      </c>
    </row>
    <row r="428" spans="1:6" s="32" customFormat="1" ht="6.75" hidden="1" customHeight="1">
      <c r="A428" s="52"/>
      <c r="C428" s="19"/>
      <c r="D428" s="19"/>
    </row>
    <row r="429" spans="1:6" s="60" customFormat="1" hidden="1">
      <c r="A429" s="64"/>
      <c r="B429" s="45" t="s">
        <v>89</v>
      </c>
      <c r="C429" s="37">
        <v>45693</v>
      </c>
      <c r="D429" s="23" t="e">
        <f>#REF!-C429</f>
        <v>#REF!</v>
      </c>
      <c r="E429" s="31">
        <v>0</v>
      </c>
      <c r="F429" s="31">
        <f>2413-1506-417-490</f>
        <v>0</v>
      </c>
    </row>
    <row r="430" spans="1:6" s="60" customFormat="1" hidden="1">
      <c r="A430" s="64"/>
      <c r="B430" s="44" t="s">
        <v>151</v>
      </c>
      <c r="C430" s="37">
        <v>45777</v>
      </c>
      <c r="D430" s="23" t="e">
        <f>#REF!-C430</f>
        <v>#REF!</v>
      </c>
      <c r="E430" s="31">
        <f>1369-600-769</f>
        <v>0</v>
      </c>
      <c r="F430" s="31">
        <f>2413-1506-417-490</f>
        <v>0</v>
      </c>
    </row>
    <row r="431" spans="1:6" s="60" customFormat="1" hidden="1">
      <c r="A431" s="64"/>
      <c r="B431" s="39" t="s">
        <v>157</v>
      </c>
      <c r="C431" s="37">
        <v>45798</v>
      </c>
      <c r="D431" s="23" t="e">
        <f>#REF!-C431</f>
        <v>#REF!</v>
      </c>
      <c r="E431" s="31">
        <f>2654-1754-900</f>
        <v>0</v>
      </c>
      <c r="F431" s="31">
        <v>0</v>
      </c>
    </row>
    <row r="432" spans="1:6" s="60" customFormat="1" hidden="1">
      <c r="A432" s="64"/>
      <c r="B432" s="50" t="s">
        <v>252</v>
      </c>
      <c r="C432" s="37">
        <v>45905</v>
      </c>
      <c r="D432" s="23" t="e">
        <f>#REF!-C432</f>
        <v>#REF!</v>
      </c>
      <c r="E432" s="31">
        <v>0</v>
      </c>
      <c r="F432" s="31">
        <f>2941-2500-441</f>
        <v>0</v>
      </c>
    </row>
    <row r="433" spans="1:6" s="60" customFormat="1" hidden="1">
      <c r="A433" s="66"/>
      <c r="B433" s="51" t="s">
        <v>280</v>
      </c>
      <c r="C433" s="33">
        <v>45940</v>
      </c>
      <c r="D433" s="20" t="e">
        <f>#REF!-C433</f>
        <v>#REF!</v>
      </c>
      <c r="E433" s="38">
        <f>2210-1410-800</f>
        <v>0</v>
      </c>
      <c r="F433" s="38">
        <v>0</v>
      </c>
    </row>
    <row r="434" spans="1:6" s="60" customFormat="1" ht="6.75" hidden="1" customHeight="1">
      <c r="A434" s="64"/>
      <c r="C434" s="21"/>
      <c r="D434" s="21"/>
    </row>
    <row r="435" spans="1:6" s="32" customFormat="1" hidden="1">
      <c r="A435" s="52"/>
      <c r="B435" s="10">
        <f>SUM(E435:F435)</f>
        <v>0</v>
      </c>
      <c r="C435" s="19"/>
      <c r="D435" s="19"/>
      <c r="E435" s="10">
        <f>SUM(E429:E433)</f>
        <v>0</v>
      </c>
      <c r="F435" s="10">
        <f>SUM(F429:F433)</f>
        <v>0</v>
      </c>
    </row>
    <row r="436" spans="1:6" s="32" customFormat="1" hidden="1">
      <c r="A436" s="52"/>
      <c r="B436" s="10"/>
      <c r="C436" s="19"/>
      <c r="D436" s="19"/>
      <c r="E436" s="10"/>
      <c r="F436" s="10"/>
    </row>
    <row r="437" spans="1:6" s="32" customFormat="1" hidden="1">
      <c r="A437" s="71">
        <v>7438</v>
      </c>
      <c r="B437" s="32" t="s">
        <v>122</v>
      </c>
      <c r="C437" s="19"/>
      <c r="D437" s="19"/>
      <c r="F437" s="32" t="s">
        <v>32</v>
      </c>
    </row>
    <row r="438" spans="1:6" s="32" customFormat="1" ht="6.75" hidden="1" customHeight="1">
      <c r="A438" s="52"/>
      <c r="C438" s="19"/>
      <c r="D438" s="19"/>
    </row>
    <row r="439" spans="1:6" s="60" customFormat="1" hidden="1">
      <c r="A439" s="64"/>
      <c r="B439" s="46" t="s">
        <v>123</v>
      </c>
      <c r="C439" s="37">
        <v>45738</v>
      </c>
      <c r="D439" s="23">
        <f ca="1">$F$1-C439</f>
        <v>275.53177569444233</v>
      </c>
      <c r="E439" s="31">
        <f>3018-3018</f>
        <v>0</v>
      </c>
      <c r="F439" s="31">
        <f>2413-1506-417-490</f>
        <v>0</v>
      </c>
    </row>
    <row r="440" spans="1:6" s="60" customFormat="1" hidden="1">
      <c r="A440" s="64"/>
      <c r="B440" s="41" t="s">
        <v>229</v>
      </c>
      <c r="C440" s="37">
        <v>45876</v>
      </c>
      <c r="D440" s="23">
        <f ca="1">$F$1-C440</f>
        <v>137.53177569444233</v>
      </c>
      <c r="E440" s="31">
        <f>642-642</f>
        <v>0</v>
      </c>
      <c r="F440" s="31">
        <f>2413-1506-417-490</f>
        <v>0</v>
      </c>
    </row>
    <row r="441" spans="1:6" s="60" customFormat="1" hidden="1">
      <c r="A441" s="66"/>
      <c r="B441" s="48" t="s">
        <v>227</v>
      </c>
      <c r="C441" s="33">
        <v>45862</v>
      </c>
      <c r="D441" s="20" t="e">
        <f>#REF!-C441</f>
        <v>#REF!</v>
      </c>
      <c r="E441" s="38">
        <f>1716.9-1716.9</f>
        <v>0</v>
      </c>
      <c r="F441" s="38">
        <f>2413-1506-417-490</f>
        <v>0</v>
      </c>
    </row>
    <row r="442" spans="1:6" s="60" customFormat="1" ht="6.75" hidden="1" customHeight="1">
      <c r="A442" s="64"/>
      <c r="C442" s="21"/>
      <c r="D442" s="21"/>
    </row>
    <row r="443" spans="1:6" s="32" customFormat="1" hidden="1">
      <c r="A443" s="52"/>
      <c r="B443" s="10">
        <f>SUM(E443:F443)</f>
        <v>0</v>
      </c>
      <c r="C443" s="19"/>
      <c r="D443" s="19"/>
      <c r="E443" s="10">
        <f>SUM(E439:E441)</f>
        <v>0</v>
      </c>
      <c r="F443" s="10">
        <f>SUM(F439:F441)</f>
        <v>0</v>
      </c>
    </row>
    <row r="444" spans="1:6" s="32" customFormat="1" hidden="1">
      <c r="A444" s="52"/>
      <c r="B444" s="10"/>
      <c r="C444" s="19"/>
      <c r="D444" s="19"/>
      <c r="E444" s="10"/>
      <c r="F444" s="10"/>
    </row>
    <row r="445" spans="1:6" s="32" customFormat="1" hidden="1">
      <c r="A445" s="71">
        <v>7440</v>
      </c>
      <c r="B445" s="32" t="s">
        <v>37</v>
      </c>
      <c r="C445" s="19"/>
      <c r="D445" s="19"/>
      <c r="F445" s="32" t="s">
        <v>32</v>
      </c>
    </row>
    <row r="446" spans="1:6" s="32" customFormat="1" ht="6.75" hidden="1" customHeight="1">
      <c r="A446" s="52"/>
      <c r="C446" s="19"/>
      <c r="D446" s="19"/>
    </row>
    <row r="447" spans="1:6" s="60" customFormat="1" hidden="1">
      <c r="A447" s="66"/>
      <c r="B447" s="73" t="s">
        <v>88</v>
      </c>
      <c r="C447" s="33">
        <v>45693</v>
      </c>
      <c r="D447" s="20" t="e">
        <f>#REF!-C447</f>
        <v>#REF!</v>
      </c>
      <c r="E447" s="38">
        <f>6208-5000-1208</f>
        <v>0</v>
      </c>
      <c r="F447" s="38">
        <v>0</v>
      </c>
    </row>
    <row r="448" spans="1:6" s="60" customFormat="1" ht="6.75" hidden="1" customHeight="1">
      <c r="A448" s="64"/>
      <c r="C448" s="21"/>
      <c r="D448" s="21"/>
    </row>
    <row r="449" spans="1:6" s="32" customFormat="1" hidden="1">
      <c r="A449" s="52"/>
      <c r="B449" s="10">
        <f>SUM(E449:F449)</f>
        <v>0</v>
      </c>
      <c r="C449" s="19"/>
      <c r="D449" s="19"/>
      <c r="E449" s="10">
        <f>SUM(E447:E447)</f>
        <v>0</v>
      </c>
      <c r="F449" s="10">
        <f>SUM(F447:F447)</f>
        <v>0</v>
      </c>
    </row>
    <row r="450" spans="1:6" s="32" customFormat="1" hidden="1">
      <c r="A450" s="52"/>
      <c r="B450" s="10"/>
      <c r="C450" s="19"/>
      <c r="D450" s="19"/>
      <c r="E450" s="10"/>
      <c r="F450" s="10"/>
    </row>
    <row r="451" spans="1:6" s="32" customFormat="1" hidden="1">
      <c r="A451" s="71">
        <v>7442</v>
      </c>
      <c r="B451" s="32" t="s">
        <v>39</v>
      </c>
      <c r="C451" s="19"/>
      <c r="D451" s="19"/>
      <c r="F451" s="32" t="s">
        <v>32</v>
      </c>
    </row>
    <row r="452" spans="1:6" s="32" customFormat="1" ht="6.75" hidden="1" customHeight="1">
      <c r="A452" s="52"/>
      <c r="C452" s="19"/>
      <c r="D452" s="19"/>
    </row>
    <row r="453" spans="1:6" s="60" customFormat="1" hidden="1">
      <c r="A453" s="66"/>
      <c r="B453" s="73" t="s">
        <v>91</v>
      </c>
      <c r="C453" s="33">
        <v>45693</v>
      </c>
      <c r="D453" s="20" t="e">
        <f>#REF!-C453</f>
        <v>#REF!</v>
      </c>
      <c r="E453" s="38">
        <f>3994-3994</f>
        <v>0</v>
      </c>
      <c r="F453" s="38">
        <v>0</v>
      </c>
    </row>
    <row r="454" spans="1:6" s="60" customFormat="1" ht="6.75" hidden="1" customHeight="1">
      <c r="A454" s="64"/>
      <c r="C454" s="21"/>
      <c r="D454" s="21"/>
    </row>
    <row r="455" spans="1:6" s="32" customFormat="1" hidden="1">
      <c r="A455" s="52"/>
      <c r="B455" s="10">
        <f>SUM(E455:F455)</f>
        <v>0</v>
      </c>
      <c r="C455" s="19"/>
      <c r="D455" s="19"/>
      <c r="E455" s="10">
        <f>SUM(E453:E453)</f>
        <v>0</v>
      </c>
      <c r="F455" s="10">
        <f>SUM(F453:F453)</f>
        <v>0</v>
      </c>
    </row>
    <row r="456" spans="1:6" s="32" customFormat="1" hidden="1">
      <c r="A456" s="52"/>
      <c r="B456" s="10"/>
      <c r="C456" s="19"/>
      <c r="D456" s="19"/>
      <c r="E456" s="10"/>
      <c r="F456" s="10"/>
    </row>
    <row r="457" spans="1:6" s="32" customFormat="1">
      <c r="A457" s="34">
        <v>7449</v>
      </c>
      <c r="B457" s="2" t="s">
        <v>193</v>
      </c>
      <c r="C457" s="4"/>
      <c r="D457" s="4"/>
      <c r="E457" s="2"/>
      <c r="F457" s="2" t="s">
        <v>32</v>
      </c>
    </row>
    <row r="458" spans="1:6" s="32" customFormat="1" ht="6.75" customHeight="1">
      <c r="A458" s="52"/>
      <c r="C458" s="19"/>
      <c r="D458" s="19"/>
    </row>
    <row r="459" spans="1:6" s="60" customFormat="1" hidden="1">
      <c r="A459" s="64"/>
      <c r="B459" s="47" t="s">
        <v>194</v>
      </c>
      <c r="C459" s="37">
        <v>45831</v>
      </c>
      <c r="D459" s="23" t="e">
        <f>#REF!-C459</f>
        <v>#REF!</v>
      </c>
      <c r="E459" s="31">
        <f>3586-1700-1886</f>
        <v>0</v>
      </c>
      <c r="F459" s="31">
        <v>0</v>
      </c>
    </row>
    <row r="460" spans="1:6" s="60" customFormat="1" hidden="1">
      <c r="A460" s="64"/>
      <c r="B460" s="76" t="s">
        <v>283</v>
      </c>
      <c r="C460" s="37">
        <v>45945</v>
      </c>
      <c r="D460" s="23" t="e">
        <f>#REF!-C460</f>
        <v>#REF!</v>
      </c>
      <c r="E460" s="31">
        <f>468-468</f>
        <v>0</v>
      </c>
      <c r="F460" s="31">
        <v>0</v>
      </c>
    </row>
    <row r="461" spans="1:6" s="60" customFormat="1" hidden="1">
      <c r="A461" s="64"/>
      <c r="B461" s="49" t="s">
        <v>302</v>
      </c>
      <c r="C461" s="37">
        <v>45967</v>
      </c>
      <c r="D461" s="23" t="e">
        <f>#REF!-C461</f>
        <v>#REF!</v>
      </c>
      <c r="E461" s="31">
        <f>4114-4114</f>
        <v>0</v>
      </c>
      <c r="F461" s="31">
        <v>0</v>
      </c>
    </row>
    <row r="462" spans="1:6" s="60" customFormat="1">
      <c r="A462" s="66"/>
      <c r="B462" s="48" t="s">
        <v>204</v>
      </c>
      <c r="C462" s="33">
        <v>45848</v>
      </c>
      <c r="D462" s="20">
        <f ca="1">$F$1-C462</f>
        <v>165.53177569444233</v>
      </c>
      <c r="E462" s="38">
        <v>0</v>
      </c>
      <c r="F462" s="38">
        <f>670-621</f>
        <v>49</v>
      </c>
    </row>
    <row r="463" spans="1:6" s="60" customFormat="1" ht="6.75" customHeight="1">
      <c r="A463" s="64"/>
      <c r="C463" s="21"/>
      <c r="D463" s="21"/>
    </row>
    <row r="464" spans="1:6" s="32" customFormat="1">
      <c r="A464" s="52"/>
      <c r="B464" s="3">
        <f>SUM(E464:F464)</f>
        <v>49</v>
      </c>
      <c r="C464" s="19"/>
      <c r="D464" s="19"/>
      <c r="E464" s="10">
        <f>SUM(E459:E462)</f>
        <v>0</v>
      </c>
      <c r="F464" s="10">
        <f>SUM(F459:F462)</f>
        <v>49</v>
      </c>
    </row>
    <row r="465" spans="1:6" s="32" customFormat="1">
      <c r="A465" s="52"/>
      <c r="B465" s="10"/>
      <c r="C465" s="19"/>
      <c r="D465" s="19"/>
      <c r="E465" s="10"/>
      <c r="F465" s="10"/>
    </row>
    <row r="466" spans="1:6" s="32" customFormat="1">
      <c r="A466" s="71">
        <v>7464</v>
      </c>
      <c r="B466" s="32" t="s">
        <v>163</v>
      </c>
      <c r="C466" s="19"/>
      <c r="D466" s="19"/>
      <c r="F466" s="32" t="s">
        <v>32</v>
      </c>
    </row>
    <row r="467" spans="1:6" s="32" customFormat="1" ht="6.75" customHeight="1">
      <c r="A467" s="52"/>
      <c r="C467" s="19"/>
      <c r="D467" s="19"/>
    </row>
    <row r="468" spans="1:6" s="60" customFormat="1" hidden="1">
      <c r="A468" s="64"/>
      <c r="B468" s="39" t="s">
        <v>164</v>
      </c>
      <c r="C468" s="37">
        <v>45798</v>
      </c>
      <c r="D468" s="23" t="e">
        <f>#REF!-C468</f>
        <v>#REF!</v>
      </c>
      <c r="E468" s="31">
        <f>1276.2-1276.2</f>
        <v>0</v>
      </c>
      <c r="F468" s="31">
        <v>0</v>
      </c>
    </row>
    <row r="469" spans="1:6" s="60" customFormat="1">
      <c r="A469" s="66"/>
      <c r="B469" s="79" t="s">
        <v>339</v>
      </c>
      <c r="C469" s="33">
        <v>45994</v>
      </c>
      <c r="D469" s="20">
        <f ca="1">$F$1-C469</f>
        <v>19.531775694442331</v>
      </c>
      <c r="E469" s="38">
        <v>2126</v>
      </c>
      <c r="F469" s="38">
        <v>0</v>
      </c>
    </row>
    <row r="470" spans="1:6" s="60" customFormat="1" ht="6.75" customHeight="1">
      <c r="A470" s="64"/>
      <c r="C470" s="21"/>
      <c r="D470" s="21"/>
    </row>
    <row r="471" spans="1:6" s="32" customFormat="1">
      <c r="A471" s="52"/>
      <c r="B471" s="10">
        <f>SUM(E471:F471)</f>
        <v>2126</v>
      </c>
      <c r="C471" s="19"/>
      <c r="D471" s="19"/>
      <c r="E471" s="10">
        <f>SUM(E468:E469)</f>
        <v>2126</v>
      </c>
      <c r="F471" s="10">
        <f>SUM(F468:F469)</f>
        <v>0</v>
      </c>
    </row>
    <row r="472" spans="1:6" s="32" customFormat="1">
      <c r="A472" s="52"/>
      <c r="B472" s="10"/>
      <c r="C472" s="19"/>
      <c r="D472" s="19"/>
      <c r="E472" s="10"/>
      <c r="F472" s="10"/>
    </row>
    <row r="473" spans="1:6" s="32" customFormat="1" hidden="1">
      <c r="A473" s="71">
        <v>7483</v>
      </c>
      <c r="B473" s="32" t="s">
        <v>46</v>
      </c>
      <c r="C473" s="19"/>
      <c r="D473" s="19"/>
      <c r="F473" s="32" t="s">
        <v>32</v>
      </c>
    </row>
    <row r="474" spans="1:6" s="32" customFormat="1" ht="6.75" hidden="1" customHeight="1">
      <c r="A474" s="52"/>
      <c r="C474" s="19"/>
      <c r="D474" s="19"/>
    </row>
    <row r="475" spans="1:6" s="60" customFormat="1" hidden="1">
      <c r="A475" s="64"/>
      <c r="B475" s="44" t="s">
        <v>81</v>
      </c>
      <c r="C475" s="37">
        <v>45688</v>
      </c>
      <c r="D475" s="23" t="e">
        <f>#REF!-C475</f>
        <v>#REF!</v>
      </c>
      <c r="E475" s="31">
        <f>5155-5155</f>
        <v>0</v>
      </c>
      <c r="F475" s="31">
        <v>0</v>
      </c>
    </row>
    <row r="476" spans="1:6" s="60" customFormat="1" hidden="1">
      <c r="A476" s="64"/>
      <c r="B476" s="44" t="s">
        <v>144</v>
      </c>
      <c r="C476" s="37">
        <v>45762</v>
      </c>
      <c r="D476" s="23" t="e">
        <f>#REF!-C476</f>
        <v>#REF!</v>
      </c>
      <c r="E476" s="31">
        <f>8175-6175-2000</f>
        <v>0</v>
      </c>
      <c r="F476" s="31">
        <v>0</v>
      </c>
    </row>
    <row r="477" spans="1:6" s="60" customFormat="1" hidden="1">
      <c r="A477" s="64"/>
      <c r="B477" s="47" t="s">
        <v>173</v>
      </c>
      <c r="C477" s="37">
        <v>45817</v>
      </c>
      <c r="D477" s="23" t="e">
        <f>#REF!-C477</f>
        <v>#REF!</v>
      </c>
      <c r="E477" s="31">
        <f>2963-1200-1750-13</f>
        <v>0</v>
      </c>
      <c r="F477" s="31">
        <v>0</v>
      </c>
    </row>
    <row r="478" spans="1:6" s="60" customFormat="1" hidden="1">
      <c r="A478" s="64"/>
      <c r="B478" s="47" t="s">
        <v>200</v>
      </c>
      <c r="C478" s="37">
        <v>45831</v>
      </c>
      <c r="D478" s="23" t="e">
        <f>#REF!-C478</f>
        <v>#REF!</v>
      </c>
      <c r="E478" s="31">
        <f>807-807</f>
        <v>0</v>
      </c>
      <c r="F478" s="31">
        <v>0</v>
      </c>
    </row>
    <row r="479" spans="1:6" s="60" customFormat="1" hidden="1">
      <c r="A479" s="64"/>
      <c r="B479" s="41" t="s">
        <v>238</v>
      </c>
      <c r="C479" s="37">
        <v>45878</v>
      </c>
      <c r="D479" s="23" t="e">
        <f>#REF!-C479</f>
        <v>#REF!</v>
      </c>
      <c r="E479" s="31">
        <f>3484-3484</f>
        <v>0</v>
      </c>
      <c r="F479" s="31">
        <v>0</v>
      </c>
    </row>
    <row r="480" spans="1:6" s="60" customFormat="1" hidden="1">
      <c r="A480" s="66"/>
      <c r="B480" s="78" t="s">
        <v>308</v>
      </c>
      <c r="C480" s="33">
        <v>45975</v>
      </c>
      <c r="D480" s="20" t="e">
        <f>#REF!-C480</f>
        <v>#REF!</v>
      </c>
      <c r="E480" s="38">
        <f>10510-5005-4000-1505</f>
        <v>0</v>
      </c>
      <c r="F480" s="38">
        <v>0</v>
      </c>
    </row>
    <row r="481" spans="1:6" s="60" customFormat="1" ht="6.75" hidden="1" customHeight="1">
      <c r="A481" s="64"/>
      <c r="C481" s="21"/>
      <c r="D481" s="21"/>
    </row>
    <row r="482" spans="1:6" s="32" customFormat="1" hidden="1">
      <c r="A482" s="52"/>
      <c r="B482" s="10">
        <f>SUM(E482:F482)</f>
        <v>0</v>
      </c>
      <c r="C482" s="19"/>
      <c r="D482" s="19"/>
      <c r="E482" s="10">
        <f>SUM(E475:E480)</f>
        <v>0</v>
      </c>
      <c r="F482" s="10">
        <f>SUM(F475:F480)</f>
        <v>0</v>
      </c>
    </row>
    <row r="483" spans="1:6" s="32" customFormat="1" hidden="1">
      <c r="A483" s="52"/>
      <c r="B483" s="10"/>
      <c r="C483" s="19"/>
      <c r="D483" s="19"/>
      <c r="E483" s="10"/>
      <c r="F483" s="10"/>
    </row>
    <row r="484" spans="1:6" s="32" customFormat="1">
      <c r="A484" s="34">
        <v>7488</v>
      </c>
      <c r="B484" s="2" t="s">
        <v>43</v>
      </c>
      <c r="C484" s="4"/>
      <c r="D484" s="4"/>
      <c r="E484" s="2"/>
      <c r="F484" s="2" t="s">
        <v>32</v>
      </c>
    </row>
    <row r="485" spans="1:6" s="32" customFormat="1" ht="6.75" customHeight="1">
      <c r="A485" s="52"/>
      <c r="C485" s="19"/>
      <c r="D485" s="19"/>
    </row>
    <row r="486" spans="1:6" s="60" customFormat="1">
      <c r="A486" s="66"/>
      <c r="B486" s="74" t="s">
        <v>44</v>
      </c>
      <c r="C486" s="33">
        <v>45325</v>
      </c>
      <c r="D486" s="20">
        <f ca="1">$F$1-C486</f>
        <v>688.53177569444233</v>
      </c>
      <c r="E486" s="38">
        <v>0</v>
      </c>
      <c r="F486" s="38">
        <f>4805-1000-1331</f>
        <v>2474</v>
      </c>
    </row>
    <row r="487" spans="1:6" s="60" customFormat="1" ht="6.75" customHeight="1">
      <c r="A487" s="64"/>
      <c r="C487" s="21"/>
      <c r="D487" s="21"/>
    </row>
    <row r="488" spans="1:6" s="32" customFormat="1">
      <c r="A488" s="52"/>
      <c r="B488" s="3">
        <f>SUM(E488:F488)</f>
        <v>2474</v>
      </c>
      <c r="C488" s="19"/>
      <c r="D488" s="19"/>
      <c r="E488" s="10">
        <f>SUM(E486:E486)</f>
        <v>0</v>
      </c>
      <c r="F488" s="10">
        <f>SUM(F486:F486)</f>
        <v>2474</v>
      </c>
    </row>
    <row r="489" spans="1:6" s="32" customFormat="1">
      <c r="A489" s="52"/>
      <c r="B489" s="10"/>
      <c r="C489" s="19"/>
      <c r="D489" s="19"/>
      <c r="E489" s="10"/>
      <c r="F489" s="10"/>
    </row>
    <row r="490" spans="1:6" s="32" customFormat="1">
      <c r="A490" s="34">
        <v>7508</v>
      </c>
      <c r="B490" s="2" t="s">
        <v>79</v>
      </c>
      <c r="C490" s="4"/>
      <c r="D490" s="4"/>
      <c r="E490" s="2"/>
      <c r="F490" s="2" t="s">
        <v>32</v>
      </c>
    </row>
    <row r="491" spans="1:6" s="32" customFormat="1" ht="6.75" customHeight="1">
      <c r="A491" s="52"/>
      <c r="C491" s="19"/>
      <c r="D491" s="19"/>
    </row>
    <row r="492" spans="1:6" s="60" customFormat="1" hidden="1">
      <c r="A492" s="64"/>
      <c r="B492" s="44" t="s">
        <v>80</v>
      </c>
      <c r="C492" s="37">
        <v>45688</v>
      </c>
      <c r="D492" s="23" t="e">
        <f>#REF!-C492</f>
        <v>#REF!</v>
      </c>
      <c r="E492" s="31">
        <v>0</v>
      </c>
      <c r="F492" s="31">
        <f>13598-6000-2600-3000-1998</f>
        <v>0</v>
      </c>
    </row>
    <row r="493" spans="1:6" s="60" customFormat="1" hidden="1">
      <c r="A493" s="64"/>
      <c r="B493" s="46" t="s">
        <v>124</v>
      </c>
      <c r="C493" s="37">
        <v>45738</v>
      </c>
      <c r="D493" s="23">
        <f t="shared" ref="D493:D501" ca="1" si="20">$F$1-C493</f>
        <v>275.53177569444233</v>
      </c>
      <c r="E493" s="31">
        <v>0</v>
      </c>
      <c r="F493" s="31">
        <f>772-772</f>
        <v>0</v>
      </c>
    </row>
    <row r="494" spans="1:6" s="60" customFormat="1" hidden="1">
      <c r="A494" s="64"/>
      <c r="B494" s="46" t="s">
        <v>125</v>
      </c>
      <c r="C494" s="37">
        <v>45738</v>
      </c>
      <c r="D494" s="23">
        <f t="shared" ca="1" si="20"/>
        <v>275.53177569444233</v>
      </c>
      <c r="E494" s="31"/>
      <c r="F494" s="31">
        <f>3772-448-2200-1124</f>
        <v>0</v>
      </c>
    </row>
    <row r="495" spans="1:6" s="60" customFormat="1" hidden="1">
      <c r="A495" s="64"/>
      <c r="B495" s="39" t="s">
        <v>162</v>
      </c>
      <c r="C495" s="37">
        <v>45798</v>
      </c>
      <c r="D495" s="23">
        <f t="shared" ca="1" si="20"/>
        <v>215.53177569444233</v>
      </c>
      <c r="E495" s="31">
        <v>0</v>
      </c>
      <c r="F495" s="31">
        <f>3728.2-1200-1200-1328.2</f>
        <v>0</v>
      </c>
    </row>
    <row r="496" spans="1:6" s="60" customFormat="1" hidden="1">
      <c r="A496" s="64"/>
      <c r="B496" s="39" t="s">
        <v>186</v>
      </c>
      <c r="C496" s="37">
        <v>45818</v>
      </c>
      <c r="D496" s="23">
        <f t="shared" ca="1" si="20"/>
        <v>195.53177569444233</v>
      </c>
      <c r="E496" s="31">
        <v>0</v>
      </c>
      <c r="F496" s="31">
        <f>511.6-511.6</f>
        <v>0</v>
      </c>
    </row>
    <row r="497" spans="1:6" s="60" customFormat="1" hidden="1">
      <c r="A497" s="64"/>
      <c r="B497" s="49" t="s">
        <v>206</v>
      </c>
      <c r="C497" s="37">
        <v>45848</v>
      </c>
      <c r="D497" s="23">
        <f t="shared" ca="1" si="20"/>
        <v>165.53177569444233</v>
      </c>
      <c r="E497" s="31">
        <v>0</v>
      </c>
      <c r="F497" s="31">
        <f>3763-2000-1000-763</f>
        <v>0</v>
      </c>
    </row>
    <row r="498" spans="1:6" s="60" customFormat="1" hidden="1">
      <c r="A498" s="64"/>
      <c r="B498" s="49" t="s">
        <v>207</v>
      </c>
      <c r="C498" s="37">
        <v>45848</v>
      </c>
      <c r="D498" s="23">
        <f ca="1">$F$1-C498</f>
        <v>165.53177569444233</v>
      </c>
      <c r="E498" s="31">
        <v>0</v>
      </c>
      <c r="F498" s="31">
        <f>590-590</f>
        <v>0</v>
      </c>
    </row>
    <row r="499" spans="1:6" s="60" customFormat="1" hidden="1">
      <c r="A499" s="64"/>
      <c r="B499" s="50" t="s">
        <v>254</v>
      </c>
      <c r="C499" s="37">
        <v>45906</v>
      </c>
      <c r="D499" s="23">
        <f ca="1">$F$1-C499</f>
        <v>107.53177569444233</v>
      </c>
      <c r="E499" s="31">
        <v>0</v>
      </c>
      <c r="F499" s="31">
        <f>9250-1447-2000-2000-803-3000</f>
        <v>0</v>
      </c>
    </row>
    <row r="500" spans="1:6" s="60" customFormat="1" hidden="1">
      <c r="A500" s="64"/>
      <c r="B500" s="77" t="s">
        <v>303</v>
      </c>
      <c r="C500" s="37">
        <v>45967</v>
      </c>
      <c r="D500" s="23">
        <f ca="1">$F$1-C500</f>
        <v>46.531775694442331</v>
      </c>
      <c r="E500" s="31">
        <v>0</v>
      </c>
      <c r="F500" s="31">
        <f>5510-3000-2500-10</f>
        <v>0</v>
      </c>
    </row>
    <row r="501" spans="1:6" s="60" customFormat="1">
      <c r="A501" s="66"/>
      <c r="B501" s="78" t="s">
        <v>304</v>
      </c>
      <c r="C501" s="33">
        <v>45967</v>
      </c>
      <c r="D501" s="20">
        <f t="shared" ca="1" si="20"/>
        <v>46.531775694442331</v>
      </c>
      <c r="E501" s="38">
        <v>0</v>
      </c>
      <c r="F501" s="38">
        <f>5778-1990</f>
        <v>3788</v>
      </c>
    </row>
    <row r="502" spans="1:6" s="60" customFormat="1" ht="6.75" customHeight="1">
      <c r="A502" s="64"/>
      <c r="C502" s="21"/>
      <c r="D502" s="21"/>
    </row>
    <row r="503" spans="1:6" s="32" customFormat="1">
      <c r="A503" s="52"/>
      <c r="B503" s="3">
        <f>SUM(E503:F503)</f>
        <v>3788</v>
      </c>
      <c r="C503" s="19"/>
      <c r="D503" s="19"/>
      <c r="E503" s="10">
        <f>SUM(E492:E501)</f>
        <v>0</v>
      </c>
      <c r="F503" s="10">
        <f>SUM(F492:F501)</f>
        <v>3788</v>
      </c>
    </row>
    <row r="504" spans="1:6" s="32" customFormat="1">
      <c r="A504" s="52"/>
      <c r="B504" s="10"/>
      <c r="C504" s="19"/>
      <c r="D504" s="19"/>
      <c r="E504" s="10"/>
      <c r="F504" s="10"/>
    </row>
    <row r="505" spans="1:6" s="32" customFormat="1" hidden="1">
      <c r="A505" s="34">
        <v>7510</v>
      </c>
      <c r="B505" s="2" t="s">
        <v>230</v>
      </c>
      <c r="C505" s="4"/>
      <c r="D505" s="4"/>
      <c r="E505" s="2"/>
      <c r="F505" s="2" t="s">
        <v>32</v>
      </c>
    </row>
    <row r="506" spans="1:6" s="32" customFormat="1" ht="6.75" hidden="1" customHeight="1">
      <c r="A506" s="52"/>
      <c r="C506" s="19"/>
      <c r="D506" s="19"/>
    </row>
    <row r="507" spans="1:6" s="60" customFormat="1" hidden="1">
      <c r="A507" s="64"/>
      <c r="B507" s="41" t="s">
        <v>231</v>
      </c>
      <c r="C507" s="37">
        <v>45876</v>
      </c>
      <c r="D507" s="23">
        <f ca="1">$F$1-C507</f>
        <v>137.53177569444233</v>
      </c>
      <c r="E507" s="31">
        <f>3947-2300-1647</f>
        <v>0</v>
      </c>
      <c r="F507" s="31">
        <v>0</v>
      </c>
    </row>
    <row r="508" spans="1:6" s="60" customFormat="1" hidden="1">
      <c r="A508" s="66"/>
      <c r="B508" s="51" t="s">
        <v>278</v>
      </c>
      <c r="C508" s="33">
        <v>45940</v>
      </c>
      <c r="D508" s="20">
        <f ca="1">$F$1-C508</f>
        <v>73.531775694442331</v>
      </c>
      <c r="E508" s="38">
        <v>0</v>
      </c>
      <c r="F508" s="38">
        <f>318-318</f>
        <v>0</v>
      </c>
    </row>
    <row r="509" spans="1:6" s="60" customFormat="1" ht="6.75" hidden="1" customHeight="1">
      <c r="A509" s="64"/>
      <c r="C509" s="21"/>
      <c r="D509" s="21"/>
    </row>
    <row r="510" spans="1:6" s="32" customFormat="1" hidden="1">
      <c r="A510" s="52"/>
      <c r="B510" s="3">
        <f>SUM(E510:F510)</f>
        <v>0</v>
      </c>
      <c r="C510" s="19"/>
      <c r="D510" s="19"/>
      <c r="E510" s="10">
        <f>SUM(E507:E508)</f>
        <v>0</v>
      </c>
      <c r="F510" s="10">
        <f>SUM(F507:F508)</f>
        <v>0</v>
      </c>
    </row>
    <row r="511" spans="1:6" s="32" customFormat="1" hidden="1">
      <c r="A511" s="52"/>
      <c r="B511" s="10"/>
      <c r="C511" s="19"/>
      <c r="D511" s="19"/>
      <c r="E511" s="10"/>
      <c r="F511" s="10"/>
    </row>
    <row r="512" spans="1:6" s="32" customFormat="1" hidden="1">
      <c r="A512" s="34">
        <v>7525</v>
      </c>
      <c r="B512" s="2" t="s">
        <v>310</v>
      </c>
      <c r="C512" s="4"/>
      <c r="D512" s="4"/>
      <c r="E512" s="2"/>
      <c r="F512" s="2" t="s">
        <v>32</v>
      </c>
    </row>
    <row r="513" spans="1:6" s="32" customFormat="1" ht="6.75" hidden="1" customHeight="1">
      <c r="A513" s="52"/>
      <c r="C513" s="19"/>
      <c r="D513" s="19"/>
    </row>
    <row r="514" spans="1:6" s="60" customFormat="1" hidden="1">
      <c r="A514" s="64"/>
      <c r="B514" s="77" t="s">
        <v>311</v>
      </c>
      <c r="C514" s="37">
        <v>45975</v>
      </c>
      <c r="D514" s="23">
        <f ca="1">$F$1-C514</f>
        <v>38.531775694442331</v>
      </c>
      <c r="E514" s="31">
        <f>4783-796-3280-707</f>
        <v>0</v>
      </c>
      <c r="F514" s="31">
        <v>0</v>
      </c>
    </row>
    <row r="515" spans="1:6" s="60" customFormat="1" hidden="1">
      <c r="A515" s="66"/>
      <c r="B515" s="78" t="s">
        <v>312</v>
      </c>
      <c r="C515" s="33">
        <v>45975</v>
      </c>
      <c r="D515" s="20">
        <f ca="1">$F$1-C515</f>
        <v>38.531775694442331</v>
      </c>
      <c r="E515" s="38">
        <f>1097-1097</f>
        <v>0</v>
      </c>
      <c r="F515" s="38">
        <v>0</v>
      </c>
    </row>
    <row r="516" spans="1:6" s="60" customFormat="1" ht="6.75" hidden="1" customHeight="1">
      <c r="A516" s="64"/>
      <c r="C516" s="21"/>
      <c r="D516" s="21"/>
    </row>
    <row r="517" spans="1:6" s="32" customFormat="1" hidden="1">
      <c r="A517" s="52"/>
      <c r="B517" s="3">
        <f>SUM(E517:F517)</f>
        <v>0</v>
      </c>
      <c r="C517" s="19"/>
      <c r="D517" s="19"/>
      <c r="E517" s="10">
        <f>SUM(E514:E515)</f>
        <v>0</v>
      </c>
      <c r="F517" s="10">
        <f>SUM(F514:F515)</f>
        <v>0</v>
      </c>
    </row>
    <row r="518" spans="1:6" s="32" customFormat="1" hidden="1">
      <c r="A518" s="52"/>
      <c r="B518" s="10"/>
      <c r="C518" s="19"/>
      <c r="D518" s="19"/>
      <c r="E518" s="10"/>
      <c r="F518" s="10"/>
    </row>
    <row r="519" spans="1:6" s="32" customFormat="1" hidden="1">
      <c r="A519" s="71">
        <v>7521</v>
      </c>
      <c r="B519" s="32" t="s">
        <v>288</v>
      </c>
      <c r="C519" s="19"/>
      <c r="D519" s="19"/>
      <c r="F519" s="32" t="s">
        <v>32</v>
      </c>
    </row>
    <row r="520" spans="1:6" s="32" customFormat="1" ht="6.75" hidden="1" customHeight="1">
      <c r="A520" s="52"/>
      <c r="C520" s="19"/>
      <c r="D520" s="19"/>
    </row>
    <row r="521" spans="1:6" s="60" customFormat="1" hidden="1">
      <c r="A521" s="64"/>
      <c r="B521" s="41" t="s">
        <v>231</v>
      </c>
      <c r="C521" s="37">
        <v>45876</v>
      </c>
      <c r="D521" s="23">
        <f ca="1">$F$1-C521</f>
        <v>137.53177569444233</v>
      </c>
      <c r="E521" s="31">
        <f>3947-2300-1647</f>
        <v>0</v>
      </c>
      <c r="F521" s="31">
        <v>0</v>
      </c>
    </row>
    <row r="522" spans="1:6" s="60" customFormat="1" hidden="1">
      <c r="A522" s="66"/>
      <c r="B522" s="51" t="s">
        <v>289</v>
      </c>
      <c r="C522" s="33">
        <v>45945</v>
      </c>
      <c r="D522" s="20">
        <f ca="1">$F$1-C522</f>
        <v>68.531775694442331</v>
      </c>
      <c r="E522" s="38">
        <f>518-518</f>
        <v>0</v>
      </c>
      <c r="F522" s="38">
        <v>0</v>
      </c>
    </row>
    <row r="523" spans="1:6" s="60" customFormat="1" ht="6.75" hidden="1" customHeight="1">
      <c r="A523" s="64"/>
      <c r="C523" s="21"/>
      <c r="D523" s="21"/>
    </row>
    <row r="524" spans="1:6" s="32" customFormat="1" hidden="1">
      <c r="A524" s="52"/>
      <c r="B524" s="10">
        <f>SUM(E524:F524)</f>
        <v>0</v>
      </c>
      <c r="C524" s="19"/>
      <c r="D524" s="19"/>
      <c r="E524" s="10">
        <f>SUM(E521:E522)</f>
        <v>0</v>
      </c>
      <c r="F524" s="10">
        <f>SUM(F521:F522)</f>
        <v>0</v>
      </c>
    </row>
    <row r="525" spans="1:6" s="32" customFormat="1" hidden="1">
      <c r="A525" s="52"/>
      <c r="B525" s="10"/>
      <c r="C525" s="19"/>
      <c r="D525" s="19"/>
      <c r="E525" s="10"/>
      <c r="F525" s="10"/>
    </row>
    <row r="526" spans="1:6" s="32" customFormat="1" hidden="1">
      <c r="A526" s="71">
        <v>7509</v>
      </c>
      <c r="B526" s="32" t="s">
        <v>118</v>
      </c>
      <c r="C526" s="19"/>
      <c r="D526" s="19"/>
      <c r="F526" s="32" t="s">
        <v>32</v>
      </c>
    </row>
    <row r="527" spans="1:6" s="32" customFormat="1" ht="6.75" hidden="1" customHeight="1">
      <c r="A527" s="52"/>
      <c r="C527" s="19"/>
      <c r="D527" s="19"/>
    </row>
    <row r="528" spans="1:6" s="60" customFormat="1" hidden="1">
      <c r="A528" s="66"/>
      <c r="B528" s="75" t="s">
        <v>119</v>
      </c>
      <c r="C528" s="33">
        <v>45735</v>
      </c>
      <c r="D528" s="20">
        <f ca="1">$F$1-C528</f>
        <v>278.53177569444233</v>
      </c>
      <c r="E528" s="38">
        <v>0</v>
      </c>
      <c r="F528" s="38">
        <f>1625-1000-505-120</f>
        <v>0</v>
      </c>
    </row>
    <row r="529" spans="1:8" s="60" customFormat="1" ht="6.75" hidden="1" customHeight="1">
      <c r="A529" s="64"/>
      <c r="C529" s="21"/>
      <c r="D529" s="21"/>
    </row>
    <row r="530" spans="1:8" s="32" customFormat="1" hidden="1">
      <c r="A530" s="52"/>
      <c r="B530" s="10">
        <f>SUM(E530:F530)</f>
        <v>0</v>
      </c>
      <c r="C530" s="19"/>
      <c r="D530" s="19"/>
      <c r="E530" s="10">
        <f>SUM(E528:E528)</f>
        <v>0</v>
      </c>
      <c r="F530" s="10">
        <f>SUM(F528:F528)</f>
        <v>0</v>
      </c>
    </row>
    <row r="531" spans="1:8" s="32" customFormat="1" hidden="1">
      <c r="A531" s="52"/>
      <c r="B531" s="10"/>
      <c r="C531" s="19"/>
      <c r="D531" s="19"/>
      <c r="E531" s="10"/>
      <c r="F531" s="10"/>
    </row>
    <row r="532" spans="1:8" s="32" customFormat="1" hidden="1">
      <c r="A532" s="71">
        <v>7518</v>
      </c>
      <c r="B532" s="32" t="s">
        <v>260</v>
      </c>
      <c r="C532" s="19"/>
      <c r="D532" s="19"/>
      <c r="F532" s="32" t="s">
        <v>32</v>
      </c>
    </row>
    <row r="533" spans="1:8" s="32" customFormat="1" ht="6.75" hidden="1" customHeight="1">
      <c r="A533" s="52"/>
      <c r="C533" s="19"/>
      <c r="D533" s="19"/>
    </row>
    <row r="534" spans="1:8" s="60" customFormat="1" hidden="1">
      <c r="A534" s="66"/>
      <c r="B534" s="62" t="s">
        <v>261</v>
      </c>
      <c r="C534" s="33">
        <v>45912</v>
      </c>
      <c r="D534" s="20">
        <f ca="1">$F$1-C534</f>
        <v>101.53177569444233</v>
      </c>
      <c r="E534" s="38">
        <f>1576-576-1000</f>
        <v>0</v>
      </c>
      <c r="F534" s="38">
        <f>1625-1000-505-120</f>
        <v>0</v>
      </c>
    </row>
    <row r="535" spans="1:8" s="60" customFormat="1" ht="6.75" hidden="1" customHeight="1">
      <c r="A535" s="64"/>
      <c r="C535" s="21"/>
      <c r="D535" s="21"/>
    </row>
    <row r="536" spans="1:8" s="32" customFormat="1" hidden="1">
      <c r="A536" s="52"/>
      <c r="B536" s="10">
        <f>SUM(E536:F536)</f>
        <v>0</v>
      </c>
      <c r="C536" s="19"/>
      <c r="D536" s="19"/>
      <c r="E536" s="10">
        <f>SUM(E534:E534)</f>
        <v>0</v>
      </c>
      <c r="F536" s="10">
        <f>SUM(F534:F534)</f>
        <v>0</v>
      </c>
    </row>
    <row r="537" spans="1:8" s="32" customFormat="1" hidden="1">
      <c r="A537" s="52"/>
      <c r="B537" s="10"/>
      <c r="C537" s="19"/>
      <c r="D537" s="19"/>
      <c r="E537" s="10"/>
      <c r="F537" s="10"/>
    </row>
    <row r="538" spans="1:8" s="32" customFormat="1" hidden="1">
      <c r="A538" s="71" t="s">
        <v>134</v>
      </c>
      <c r="B538" s="32" t="s">
        <v>135</v>
      </c>
      <c r="C538" s="19"/>
      <c r="D538" s="19"/>
      <c r="F538" s="32" t="s">
        <v>32</v>
      </c>
    </row>
    <row r="539" spans="1:8" ht="6.75" hidden="1" customHeight="1">
      <c r="D539" s="7"/>
      <c r="E539"/>
    </row>
    <row r="540" spans="1:8" s="11" customFormat="1" hidden="1">
      <c r="A540" s="5"/>
      <c r="B540" s="29" t="s">
        <v>136</v>
      </c>
      <c r="C540" s="13">
        <v>45751</v>
      </c>
      <c r="D540" s="14">
        <f ca="1">$F$1-C540</f>
        <v>262.53177569444233</v>
      </c>
      <c r="E540" s="15">
        <f>6144-6144</f>
        <v>0</v>
      </c>
      <c r="F540" s="15">
        <v>0</v>
      </c>
    </row>
    <row r="541" spans="1:8" s="11" customFormat="1" ht="6.75" hidden="1" customHeight="1">
      <c r="A541" s="6"/>
      <c r="C541" s="12"/>
      <c r="D541" s="12"/>
    </row>
    <row r="542" spans="1:8" hidden="1">
      <c r="B542" s="3">
        <f>SUM(E542:F542)</f>
        <v>0</v>
      </c>
      <c r="C542" s="4"/>
      <c r="D542" s="4"/>
      <c r="E542" s="10">
        <f>SUM(E540:E540)</f>
        <v>0</v>
      </c>
      <c r="F542" s="10">
        <f>SUM(F540:F540)</f>
        <v>0</v>
      </c>
    </row>
    <row r="543" spans="1:8" hidden="1">
      <c r="B543" s="3"/>
      <c r="C543" s="4"/>
      <c r="D543" s="4"/>
      <c r="E543" s="10"/>
      <c r="F543" s="10"/>
    </row>
    <row r="544" spans="1:8">
      <c r="B544" s="17">
        <f>SUM(B5:B543)</f>
        <v>194275.40000000002</v>
      </c>
      <c r="C544" s="3"/>
      <c r="D544" s="4"/>
      <c r="E544" s="27"/>
      <c r="F544" s="10"/>
      <c r="G544" s="2"/>
      <c r="H544" s="18"/>
    </row>
  </sheetData>
  <sortState ref="B2215:F2216">
    <sortCondition ref="B2215"/>
  </sortState>
  <mergeCells count="1">
    <mergeCell ref="A2:F2"/>
  </mergeCells>
  <pageMargins left="1.3385826771653544" right="0.70866141732283472" top="0.31496062992125984" bottom="0.15748031496062992" header="0.31496062992125984" footer="0.15748031496062992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FER</vt:lpstr>
      <vt:lpstr>FER!Área_de_impresión</vt:lpstr>
      <vt:lpstr>FER!Títulos_a_imprimir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*</cp:lastModifiedBy>
  <cp:lastPrinted>2025-12-17T05:16:52Z</cp:lastPrinted>
  <dcterms:created xsi:type="dcterms:W3CDTF">2020-11-19T19:44:31Z</dcterms:created>
  <dcterms:modified xsi:type="dcterms:W3CDTF">2025-12-22T18:46:51Z</dcterms:modified>
</cp:coreProperties>
</file>