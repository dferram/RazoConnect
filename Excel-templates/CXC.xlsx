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20" yWindow="-120" windowWidth="15480" windowHeight="11160"/>
  </bookViews>
  <sheets>
    <sheet name="FER" sheetId="2" r:id="rId1"/>
  </sheets>
  <definedNames>
    <definedName name="_xlnm.Print_Area" localSheetId="0">FER!$A$1:$F$544</definedName>
    <definedName name="_xlnm.Print_Titles" localSheetId="0">FER!$1:$4</definedName>
  </definedNames>
  <calcPr calcId="125725"/>
</workbook>
</file>

<file path=xl/calcChain.xml><?xml version="1.0" encoding="utf-8"?>
<calcChain xmlns="http://schemas.openxmlformats.org/spreadsheetml/2006/main">
  <c r="E20" i="2"/>
  <c r="E154" l="1"/>
  <c r="E160"/>
  <c r="F202" l="1"/>
  <c r="E202"/>
  <c r="E515" l="1"/>
  <c r="E514"/>
  <c r="F471" l="1"/>
  <c r="E471"/>
  <c r="F26" l="1"/>
  <c r="E396" l="1"/>
  <c r="F408" l="1"/>
  <c r="F409"/>
  <c r="F242" l="1"/>
  <c r="E242"/>
  <c r="E153"/>
  <c r="E480" l="1"/>
  <c r="F407" l="1"/>
  <c r="E162"/>
  <c r="F160"/>
  <c r="F162" s="1"/>
  <c r="E195"/>
  <c r="F193"/>
  <c r="F195" s="1"/>
  <c r="B195" l="1"/>
  <c r="B162"/>
  <c r="E395" l="1"/>
  <c r="F508"/>
  <c r="F187" l="1"/>
  <c r="F510" l="1"/>
  <c r="E507"/>
  <c r="E510" s="1"/>
  <c r="E479"/>
  <c r="B510" l="1"/>
  <c r="F464" l="1"/>
  <c r="F186" l="1"/>
  <c r="E433"/>
  <c r="E522" l="1"/>
  <c r="E152" l="1"/>
  <c r="E25"/>
  <c r="F517"/>
  <c r="E517"/>
  <c r="F398"/>
  <c r="E394"/>
  <c r="E398" s="1"/>
  <c r="F329"/>
  <c r="B517" l="1"/>
  <c r="F432" l="1"/>
  <c r="F524"/>
  <c r="E521"/>
  <c r="E524" s="1"/>
  <c r="E534" l="1"/>
  <c r="F235" l="1"/>
  <c r="E233"/>
  <c r="E232"/>
  <c r="E235" l="1"/>
  <c r="B235" s="1"/>
  <c r="F140"/>
  <c r="F185" l="1"/>
  <c r="F406" l="1"/>
  <c r="E530" l="1"/>
  <c r="F528"/>
  <c r="F530" s="1"/>
  <c r="F534"/>
  <c r="E536"/>
  <c r="F536"/>
  <c r="F28"/>
  <c r="E24"/>
  <c r="E28" s="1"/>
  <c r="E151"/>
  <c r="B536" l="1"/>
  <c r="B530"/>
  <c r="E189" l="1"/>
  <c r="E431" l="1"/>
  <c r="E503" l="1"/>
  <c r="F184"/>
  <c r="F189" s="1"/>
  <c r="E441" l="1"/>
  <c r="E440"/>
  <c r="F440" l="1"/>
  <c r="E87" l="1"/>
  <c r="E478" l="1"/>
  <c r="F142" l="1"/>
  <c r="E142"/>
  <c r="F439"/>
  <c r="E439"/>
  <c r="E443" s="1"/>
  <c r="F503" l="1"/>
  <c r="B503" s="1"/>
  <c r="B142"/>
  <c r="F405" l="1"/>
  <c r="E380" l="1"/>
  <c r="E150" l="1"/>
  <c r="E83" l="1"/>
  <c r="F83"/>
  <c r="B83" l="1"/>
  <c r="F113" l="1"/>
  <c r="E464"/>
  <c r="E477"/>
  <c r="F382" l="1"/>
  <c r="E382"/>
  <c r="B382" s="1"/>
  <c r="E425"/>
  <c r="E254"/>
  <c r="F404" l="1"/>
  <c r="E113" l="1"/>
  <c r="F455" l="1"/>
  <c r="E453"/>
  <c r="E455" s="1"/>
  <c r="B455" s="1"/>
  <c r="E149" l="1"/>
  <c r="B189" l="1"/>
  <c r="E476" l="1"/>
  <c r="E304" l="1"/>
  <c r="E148" l="1"/>
  <c r="B464" l="1"/>
  <c r="F430"/>
  <c r="E430"/>
  <c r="E540" l="1"/>
  <c r="E435" l="1"/>
  <c r="F429"/>
  <c r="F435" s="1"/>
  <c r="E403" l="1"/>
  <c r="E411" s="1"/>
  <c r="F482" l="1"/>
  <c r="E475"/>
  <c r="E482" s="1"/>
  <c r="B398" l="1"/>
  <c r="F206" l="1"/>
  <c r="E388" l="1"/>
  <c r="F304" l="1"/>
  <c r="E147" l="1"/>
  <c r="E317"/>
  <c r="F317"/>
  <c r="B435" l="1"/>
  <c r="B524" l="1"/>
  <c r="E56" l="1"/>
  <c r="F441"/>
  <c r="F443" s="1"/>
  <c r="E488" l="1"/>
  <c r="F488"/>
  <c r="B488" s="1"/>
  <c r="F56"/>
  <c r="E180"/>
  <c r="F180"/>
  <c r="F222"/>
  <c r="E387" l="1"/>
  <c r="F117" l="1"/>
  <c r="E146" l="1"/>
  <c r="F402"/>
  <c r="E156" l="1"/>
  <c r="F387"/>
  <c r="E292" l="1"/>
  <c r="E447"/>
  <c r="F136" l="1"/>
  <c r="E136"/>
  <c r="E348"/>
  <c r="F386" l="1"/>
  <c r="E386"/>
  <c r="E390" s="1"/>
  <c r="F20" l="1"/>
  <c r="F348" l="1"/>
  <c r="F411" l="1"/>
  <c r="E376" l="1"/>
  <c r="F376"/>
  <c r="E37" l="1"/>
  <c r="F37"/>
  <c r="E222"/>
  <c r="F156"/>
  <c r="B156" s="1"/>
  <c r="B180" l="1"/>
  <c r="E329" l="1"/>
  <c r="E542" l="1"/>
  <c r="F542"/>
  <c r="B542" l="1"/>
  <c r="B304" l="1"/>
  <c r="F254" l="1"/>
  <c r="D160" l="1"/>
  <c r="D153"/>
  <c r="D479"/>
  <c r="D395"/>
  <c r="D394"/>
  <c r="D152"/>
  <c r="D408"/>
  <c r="D432"/>
  <c r="D407"/>
  <c r="D151"/>
  <c r="D431"/>
  <c r="D406"/>
  <c r="D478"/>
  <c r="D441"/>
  <c r="D405"/>
  <c r="D140"/>
  <c r="D409"/>
  <c r="D150"/>
  <c r="D380"/>
  <c r="D477"/>
  <c r="D453"/>
  <c r="D149"/>
  <c r="D476"/>
  <c r="D148"/>
  <c r="D404"/>
  <c r="D430"/>
  <c r="D403"/>
  <c r="D429"/>
  <c r="D475"/>
  <c r="D396"/>
  <c r="D147"/>
  <c r="D433"/>
  <c r="D387"/>
  <c r="D146"/>
  <c r="D386"/>
  <c r="D402"/>
  <c r="D154"/>
  <c r="D480" l="1"/>
  <c r="B482"/>
  <c r="B471" l="1"/>
  <c r="D447"/>
  <c r="F449"/>
  <c r="E449" l="1"/>
  <c r="B449" s="1"/>
  <c r="B443" l="1"/>
  <c r="F425"/>
  <c r="B425" l="1"/>
  <c r="B411" l="1"/>
  <c r="F388" l="1"/>
  <c r="F390" s="1"/>
  <c r="B390" l="1"/>
  <c r="B376" l="1"/>
  <c r="B348" l="1"/>
  <c r="B329" l="1"/>
  <c r="B317" l="1"/>
  <c r="F292" l="1"/>
  <c r="B292" l="1"/>
  <c r="F272"/>
  <c r="E272"/>
  <c r="B272" l="1"/>
  <c r="B254" l="1"/>
  <c r="B242" l="1"/>
  <c r="E228" l="1"/>
  <c r="F228"/>
  <c r="B228" l="1"/>
  <c r="F208" l="1"/>
  <c r="E208"/>
  <c r="B208" l="1"/>
  <c r="B222" l="1"/>
  <c r="B202" l="1"/>
  <c r="B136" l="1"/>
  <c r="E119"/>
  <c r="F119" l="1"/>
  <c r="B119" s="1"/>
  <c r="B113" l="1"/>
  <c r="E104" l="1"/>
  <c r="F104"/>
  <c r="B104" l="1"/>
  <c r="E89" l="1"/>
  <c r="F89" l="1"/>
  <c r="B89" s="1"/>
  <c r="E75" l="1"/>
  <c r="F75" l="1"/>
  <c r="B75" s="1"/>
  <c r="B56" l="1"/>
  <c r="B37" l="1"/>
  <c r="B28" l="1"/>
  <c r="B20" l="1"/>
  <c r="B544" s="1"/>
  <c r="F1"/>
  <c r="D193" l="1"/>
  <c r="D508"/>
  <c r="D507"/>
  <c r="D25"/>
  <c r="D515"/>
  <c r="D514"/>
  <c r="D521"/>
  <c r="D233"/>
  <c r="D232"/>
  <c r="D186"/>
  <c r="D534"/>
  <c r="D528"/>
  <c r="D24"/>
  <c r="D185"/>
  <c r="D184"/>
  <c r="D440"/>
  <c r="D439"/>
  <c r="D187"/>
  <c r="D540"/>
  <c r="D522"/>
  <c r="D388"/>
  <c r="D87"/>
  <c r="D206"/>
  <c r="D117"/>
  <c r="D26"/>
</calcChain>
</file>

<file path=xl/sharedStrings.xml><?xml version="1.0" encoding="utf-8"?>
<sst xmlns="http://schemas.openxmlformats.org/spreadsheetml/2006/main" count="120" uniqueCount="100">
  <si>
    <t>ANTIGÜEDAD DE SALDOS</t>
  </si>
  <si>
    <t>L08</t>
  </si>
  <si>
    <t>EDUARDO URBANO DE JESUS (ATLACOMULCO)</t>
  </si>
  <si>
    <t>Documento</t>
  </si>
  <si>
    <t>Fecha</t>
  </si>
  <si>
    <t>1-30</t>
  </si>
  <si>
    <t>31 o más</t>
  </si>
  <si>
    <t>F04</t>
  </si>
  <si>
    <t>J02</t>
  </si>
  <si>
    <t>J02X</t>
  </si>
  <si>
    <t>C01</t>
  </si>
  <si>
    <t>SONIA GOMEZ JIMENEZ / RODOLFO HERRERA (COACALCO)</t>
  </si>
  <si>
    <t xml:space="preserve">NORMA MIRANDA HERNANDEZ (ATLACOMULCO)                       </t>
  </si>
  <si>
    <t>ANGELICA REYES (TEQUISQUIAC)</t>
  </si>
  <si>
    <t>JESSICA ZUÑIGA (TEPEJI)</t>
  </si>
  <si>
    <t>F02</t>
  </si>
  <si>
    <t>GEMA MALDONADO (JILOTEPEC)</t>
  </si>
  <si>
    <t>PAPELERIA DORITA (PROGRESO)</t>
  </si>
  <si>
    <t>GUILLERMINA (PROGRESO)</t>
  </si>
  <si>
    <t>MARIA INES (TLAHUELILPAN)</t>
  </si>
  <si>
    <t>BOLSAS ROMINA (TLAXCOAPAN)</t>
  </si>
  <si>
    <t>AURELIA CRUZ (HUICHAPAN)</t>
  </si>
  <si>
    <t>F-0964</t>
  </si>
  <si>
    <t>F0830</t>
  </si>
  <si>
    <t>I-2526</t>
  </si>
  <si>
    <t>F-1019</t>
  </si>
  <si>
    <t>F0988</t>
  </si>
  <si>
    <t>I-2568</t>
  </si>
  <si>
    <t>I-2567</t>
  </si>
  <si>
    <t>F001023</t>
  </si>
  <si>
    <t>F001024</t>
  </si>
  <si>
    <t>F001027</t>
  </si>
  <si>
    <t>F001030</t>
  </si>
  <si>
    <t>LETICIA MIRANDA (ATLACOMULCO)</t>
  </si>
  <si>
    <t>F001032</t>
  </si>
  <si>
    <t>F001011</t>
  </si>
  <si>
    <t>F0999</t>
  </si>
  <si>
    <t>F001058</t>
  </si>
  <si>
    <t>F001060</t>
  </si>
  <si>
    <t>F001067</t>
  </si>
  <si>
    <t>LADY PAPELERIA (TLAHUELILPAN)</t>
  </si>
  <si>
    <t>F001073</t>
  </si>
  <si>
    <t>ANGEL HERNANDEZ FLORES (TULA)</t>
  </si>
  <si>
    <t>F001080</t>
  </si>
  <si>
    <t>F001091</t>
  </si>
  <si>
    <t>NUEVO SUPER DON NICO S. DE RL. DE C.V. (JILOTEPEC)</t>
  </si>
  <si>
    <t>F-1033</t>
  </si>
  <si>
    <t>C1023</t>
  </si>
  <si>
    <t>ROSALIA (TEXCOCO)</t>
  </si>
  <si>
    <t>F-1034</t>
  </si>
  <si>
    <t>F001155</t>
  </si>
  <si>
    <t>F001036</t>
  </si>
  <si>
    <t>F001163</t>
  </si>
  <si>
    <t>F001182</t>
  </si>
  <si>
    <t>F001193</t>
  </si>
  <si>
    <t>I-2603</t>
  </si>
  <si>
    <t>I-2635</t>
  </si>
  <si>
    <t>JUANA SIMON (TEZONTEPEC)</t>
  </si>
  <si>
    <t>F001210</t>
  </si>
  <si>
    <t>F001223</t>
  </si>
  <si>
    <t>F001242</t>
  </si>
  <si>
    <t>F001251</t>
  </si>
  <si>
    <t>YADIRA SEBASTIAN CRUZ (MIXQUIAHUALA)</t>
  </si>
  <si>
    <t>F001254</t>
  </si>
  <si>
    <t>R-2122</t>
  </si>
  <si>
    <t>MA. DEL CARMEN REYES PEREZ (ROMERO)</t>
  </si>
  <si>
    <t>F001276</t>
  </si>
  <si>
    <t>F001273</t>
  </si>
  <si>
    <t>I-2666</t>
  </si>
  <si>
    <t>I-2671</t>
  </si>
  <si>
    <t>ROSY (TULA)</t>
  </si>
  <si>
    <t>I-2675</t>
  </si>
  <si>
    <t>DORA MARIA CORNEJO VARGAS (TEZONTEPEC)</t>
  </si>
  <si>
    <t>F001281</t>
  </si>
  <si>
    <t>F001288</t>
  </si>
  <si>
    <t>F-1046</t>
  </si>
  <si>
    <t>F-1055</t>
  </si>
  <si>
    <t>F-1058</t>
  </si>
  <si>
    <t>F-1071</t>
  </si>
  <si>
    <t>F-1072</t>
  </si>
  <si>
    <t>ANDREA BECERRIL (ATLACOMULCO)</t>
  </si>
  <si>
    <t>F-1074</t>
  </si>
  <si>
    <t>F-1080</t>
  </si>
  <si>
    <t>F-1100</t>
  </si>
  <si>
    <t>F-1111</t>
  </si>
  <si>
    <t>F-1115</t>
  </si>
  <si>
    <t>F-1126</t>
  </si>
  <si>
    <t>F-1128</t>
  </si>
  <si>
    <t>FLOR (JILOTEPEC)</t>
  </si>
  <si>
    <t>F-1130</t>
  </si>
  <si>
    <t>F-1133</t>
  </si>
  <si>
    <t>F-1134</t>
  </si>
  <si>
    <t>I-2789</t>
  </si>
  <si>
    <t>I-2791</t>
  </si>
  <si>
    <t>LUPITA LEDESMA (TLAHUELILPAN)</t>
  </si>
  <si>
    <t>I-2788</t>
  </si>
  <si>
    <t>F-1166</t>
  </si>
  <si>
    <t>JUANITA PEREZ FUENTES (TULA)</t>
  </si>
  <si>
    <t>F-1178</t>
  </si>
  <si>
    <t>F-1184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</si>
</sst>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.5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43" fontId="5" fillId="2" borderId="0" xfId="1" applyFont="1" applyFill="1"/>
    <xf numFmtId="0" fontId="0" fillId="0" borderId="0" xfId="0" applyFill="1"/>
    <xf numFmtId="0" fontId="2" fillId="0" borderId="0" xfId="0" applyFont="1" applyFill="1"/>
    <xf numFmtId="43" fontId="0" fillId="0" borderId="0" xfId="0" applyNumberFormat="1" applyFont="1" applyFill="1" applyAlignment="1">
      <alignment horizontal="center"/>
    </xf>
    <xf numFmtId="43" fontId="0" fillId="0" borderId="0" xfId="1" applyFont="1" applyFill="1" applyBorder="1"/>
    <xf numFmtId="43" fontId="1" fillId="0" borderId="0" xfId="1" applyFont="1" applyFill="1" applyBorder="1"/>
    <xf numFmtId="0" fontId="2" fillId="0" borderId="0" xfId="0" applyFont="1" applyFill="1" applyAlignment="1">
      <alignment horizontal="right" vertical="center"/>
    </xf>
    <xf numFmtId="49" fontId="6" fillId="0" borderId="0" xfId="0" applyNumberFormat="1" applyFont="1" applyFill="1" applyAlignment="1">
      <alignment horizontal="center" vertical="center"/>
    </xf>
    <xf numFmtId="0" fontId="0" fillId="0" borderId="0" xfId="0" applyFont="1" applyFill="1"/>
    <xf numFmtId="43" fontId="1" fillId="0" borderId="1" xfId="1" applyFont="1" applyFill="1" applyBorder="1"/>
    <xf numFmtId="0" fontId="0" fillId="0" borderId="0" xfId="0" applyFont="1" applyFill="1" applyBorder="1"/>
    <xf numFmtId="0" fontId="0" fillId="0" borderId="0" xfId="0" applyFont="1" applyFill="1" applyAlignment="1">
      <alignment horizontal="right" vertic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15" fontId="0" fillId="0" borderId="0" xfId="0" applyNumberForma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right" vertical="center" indent="1"/>
    </xf>
    <xf numFmtId="15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right" vertical="center" indent="1"/>
    </xf>
    <xf numFmtId="0" fontId="0" fillId="0" borderId="1" xfId="0" applyFont="1" applyFill="1" applyBorder="1"/>
    <xf numFmtId="15" fontId="0" fillId="0" borderId="1" xfId="0" applyNumberFormat="1" applyFont="1" applyFill="1" applyBorder="1" applyAlignment="1">
      <alignment horizontal="center"/>
    </xf>
    <xf numFmtId="1" fontId="0" fillId="0" borderId="1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/>
    </xf>
    <xf numFmtId="43" fontId="2" fillId="0" borderId="0" xfId="0" applyNumberFormat="1" applyFont="1" applyFill="1" applyAlignment="1">
      <alignment horizontal="center"/>
    </xf>
    <xf numFmtId="0" fontId="0" fillId="0" borderId="1" xfId="0" applyFont="1" applyFill="1" applyBorder="1" applyAlignment="1">
      <alignment horizontal="right" vertical="center"/>
    </xf>
    <xf numFmtId="43" fontId="0" fillId="0" borderId="0" xfId="0" applyNumberFormat="1" applyFont="1" applyFill="1"/>
    <xf numFmtId="15" fontId="0" fillId="0" borderId="0" xfId="0" applyNumberFormat="1" applyFont="1" applyFill="1" applyAlignment="1">
      <alignment horizontal="center"/>
    </xf>
    <xf numFmtId="43" fontId="1" fillId="0" borderId="0" xfId="1" applyFont="1" applyFill="1"/>
    <xf numFmtId="1" fontId="4" fillId="0" borderId="0" xfId="0" applyNumberFormat="1" applyFont="1" applyFill="1" applyBorder="1" applyAlignment="1">
      <alignment horizontal="center"/>
    </xf>
    <xf numFmtId="0" fontId="0" fillId="0" borderId="1" xfId="0" applyFill="1" applyBorder="1"/>
    <xf numFmtId="1" fontId="4" fillId="0" borderId="1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15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43" fontId="0" fillId="0" borderId="1" xfId="1" applyFont="1" applyFill="1" applyBorder="1"/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center"/>
    </xf>
    <xf numFmtId="43" fontId="0" fillId="0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CCCCFF"/>
      <color rgb="FFEFBDE2"/>
      <color rgb="FFFF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44"/>
  <sheetViews>
    <sheetView tabSelected="1" view="pageBreakPreview" topLeftCell="A462" zoomScaleNormal="100" zoomScaleSheetLayoutView="100" workbookViewId="0">
      <selection activeCell="A470" sqref="A470"/>
    </sheetView>
  </sheetViews>
  <sheetFormatPr baseColWidth="10" defaultRowHeight="15"/>
  <cols>
    <col min="1" max="1" width="8.28515625" style="37" customWidth="1"/>
    <col min="2" max="2" width="13.7109375" style="2" customWidth="1"/>
    <col min="3" max="3" width="13.7109375" style="13" customWidth="1"/>
    <col min="4" max="4" width="5.140625" style="14" bestFit="1" customWidth="1"/>
    <col min="5" max="6" width="13.7109375" style="2" customWidth="1"/>
    <col min="7" max="7" width="11.42578125" style="2"/>
    <col min="8" max="8" width="11.5703125" style="2" bestFit="1" customWidth="1"/>
    <col min="9" max="16384" width="11.42578125" style="2"/>
  </cols>
  <sheetData>
    <row r="1" spans="1:6">
      <c r="A1" s="12"/>
      <c r="F1" s="15">
        <f ca="1">NOW()</f>
        <v>46014.454043055557</v>
      </c>
    </row>
    <row r="2" spans="1:6" ht="26.25">
      <c r="A2" s="16" t="s">
        <v>0</v>
      </c>
      <c r="B2" s="16"/>
      <c r="C2" s="16"/>
      <c r="D2" s="16"/>
      <c r="E2" s="16"/>
      <c r="F2" s="16"/>
    </row>
    <row r="4" spans="1:6" s="9" customFormat="1" ht="15.75">
      <c r="A4" s="12"/>
      <c r="B4" s="17" t="s">
        <v>3</v>
      </c>
      <c r="C4" s="17" t="s">
        <v>4</v>
      </c>
      <c r="D4" s="17"/>
      <c r="E4" s="8" t="s">
        <v>5</v>
      </c>
      <c r="F4" s="8" t="s">
        <v>6</v>
      </c>
    </row>
    <row r="5" spans="1:6" s="9" customFormat="1" ht="6.75" customHeight="1">
      <c r="A5" s="12"/>
      <c r="C5" s="14"/>
      <c r="D5" s="14"/>
    </row>
    <row r="6" spans="1:6" s="9" customFormat="1">
      <c r="A6" s="7"/>
      <c r="B6" s="3"/>
      <c r="C6" s="18"/>
      <c r="D6" s="18"/>
      <c r="E6" s="3"/>
      <c r="F6" s="3"/>
    </row>
    <row r="7" spans="1:6" s="9" customFormat="1" ht="6.75" customHeight="1">
      <c r="A7" s="12"/>
      <c r="C7" s="14"/>
      <c r="D7" s="14"/>
    </row>
    <row r="8" spans="1:6" s="11" customFormat="1" hidden="1">
      <c r="A8" s="19"/>
      <c r="C8" s="20"/>
      <c r="D8" s="21"/>
      <c r="E8" s="6"/>
      <c r="F8" s="6"/>
    </row>
    <row r="9" spans="1:6" s="11" customFormat="1" hidden="1">
      <c r="A9" s="19"/>
      <c r="C9" s="20"/>
      <c r="D9" s="21"/>
      <c r="E9" s="6"/>
      <c r="F9" s="6"/>
    </row>
    <row r="10" spans="1:6" s="11" customFormat="1" hidden="1">
      <c r="A10" s="19"/>
      <c r="C10" s="20"/>
      <c r="D10" s="21"/>
      <c r="E10" s="6"/>
      <c r="F10" s="6"/>
    </row>
    <row r="11" spans="1:6" s="11" customFormat="1" hidden="1">
      <c r="A11" s="19"/>
      <c r="C11" s="20"/>
      <c r="D11" s="21"/>
      <c r="E11" s="6"/>
      <c r="F11" s="6"/>
    </row>
    <row r="12" spans="1:6" s="11" customFormat="1" hidden="1">
      <c r="A12" s="19"/>
      <c r="C12" s="20"/>
      <c r="D12" s="21"/>
      <c r="E12" s="6"/>
      <c r="F12" s="6"/>
    </row>
    <row r="13" spans="1:6" s="11" customFormat="1" hidden="1">
      <c r="A13" s="19"/>
      <c r="C13" s="20"/>
      <c r="D13" s="21"/>
      <c r="E13" s="6"/>
      <c r="F13" s="6"/>
    </row>
    <row r="14" spans="1:6" s="11" customFormat="1" hidden="1">
      <c r="A14" s="19"/>
      <c r="C14" s="20"/>
      <c r="D14" s="21"/>
      <c r="E14" s="6"/>
      <c r="F14" s="6"/>
    </row>
    <row r="15" spans="1:6" s="11" customFormat="1" hidden="1">
      <c r="A15" s="19"/>
      <c r="C15" s="20"/>
      <c r="D15" s="21"/>
      <c r="E15" s="6"/>
      <c r="F15" s="6"/>
    </row>
    <row r="16" spans="1:6" s="11" customFormat="1" hidden="1">
      <c r="A16" s="19"/>
      <c r="C16" s="20"/>
      <c r="D16" s="21"/>
      <c r="E16" s="6"/>
      <c r="F16" s="6"/>
    </row>
    <row r="17" spans="1:6" s="11" customFormat="1">
      <c r="A17" s="19"/>
      <c r="C17" s="20"/>
      <c r="D17" s="21"/>
      <c r="E17" s="6"/>
      <c r="F17" s="6"/>
    </row>
    <row r="18" spans="1:6" s="11" customFormat="1">
      <c r="A18" s="22"/>
      <c r="B18" s="23"/>
      <c r="C18" s="24"/>
      <c r="D18" s="25"/>
      <c r="E18" s="10"/>
      <c r="F18" s="10"/>
    </row>
    <row r="19" spans="1:6" s="11" customFormat="1" ht="6.75" customHeight="1">
      <c r="A19" s="26"/>
      <c r="C19" s="27"/>
      <c r="D19" s="27"/>
    </row>
    <row r="20" spans="1:6" s="9" customFormat="1">
      <c r="A20" s="12"/>
      <c r="B20" s="28">
        <f>SUM(E20:F20)</f>
        <v>0</v>
      </c>
      <c r="C20" s="14"/>
      <c r="D20" s="14"/>
      <c r="E20" s="4">
        <f>SUM(E8:E18)</f>
        <v>0</v>
      </c>
      <c r="F20" s="4">
        <f>SUM(F8:F18)</f>
        <v>0</v>
      </c>
    </row>
    <row r="21" spans="1:6" s="9" customFormat="1">
      <c r="A21" s="12"/>
      <c r="C21" s="14"/>
      <c r="D21" s="14"/>
    </row>
    <row r="22" spans="1:6" s="9" customFormat="1" hidden="1">
      <c r="A22" s="7">
        <v>2025</v>
      </c>
      <c r="B22" s="3" t="s">
        <v>12</v>
      </c>
      <c r="C22" s="18"/>
      <c r="D22" s="18"/>
      <c r="E22" s="3"/>
      <c r="F22" s="3" t="s">
        <v>1</v>
      </c>
    </row>
    <row r="23" spans="1:6" s="9" customFormat="1" ht="6.75" hidden="1" customHeight="1">
      <c r="A23" s="12"/>
      <c r="C23" s="14"/>
      <c r="D23" s="14"/>
    </row>
    <row r="24" spans="1:6" s="11" customFormat="1" hidden="1">
      <c r="A24" s="26"/>
      <c r="B24" s="11" t="s">
        <v>26</v>
      </c>
      <c r="C24" s="20">
        <v>45672</v>
      </c>
      <c r="D24" s="21">
        <f ca="1">$F$1-C24</f>
        <v>342.45404305555712</v>
      </c>
      <c r="E24" s="6">
        <f>8905-8905</f>
        <v>0</v>
      </c>
      <c r="F24" s="6">
        <v>0</v>
      </c>
    </row>
    <row r="25" spans="1:6" s="11" customFormat="1" hidden="1">
      <c r="A25" s="26"/>
      <c r="B25" s="11" t="s">
        <v>79</v>
      </c>
      <c r="C25" s="20">
        <v>45913</v>
      </c>
      <c r="D25" s="21">
        <f ca="1">$F$1-C25</f>
        <v>101.45404305555712</v>
      </c>
      <c r="E25" s="6">
        <f>2097-2097</f>
        <v>0</v>
      </c>
      <c r="F25" s="6">
        <v>0</v>
      </c>
    </row>
    <row r="26" spans="1:6" s="11" customFormat="1" hidden="1">
      <c r="A26" s="29"/>
      <c r="B26" s="23" t="s">
        <v>90</v>
      </c>
      <c r="C26" s="24">
        <v>45945</v>
      </c>
      <c r="D26" s="25">
        <f ca="1">$F$1-C26</f>
        <v>69.454043055557122</v>
      </c>
      <c r="E26" s="10">
        <v>0</v>
      </c>
      <c r="F26" s="10">
        <f>1580-1580</f>
        <v>0</v>
      </c>
    </row>
    <row r="27" spans="1:6" s="11" customFormat="1" ht="6.75" hidden="1" customHeight="1">
      <c r="A27" s="26"/>
      <c r="C27" s="27"/>
      <c r="D27" s="27"/>
    </row>
    <row r="28" spans="1:6" s="9" customFormat="1" hidden="1">
      <c r="A28" s="12"/>
      <c r="B28" s="28">
        <f>SUM(E28:F28)</f>
        <v>0</v>
      </c>
      <c r="C28" s="14"/>
      <c r="D28" s="14"/>
      <c r="E28" s="4">
        <f>SUM(E24:E26)</f>
        <v>0</v>
      </c>
      <c r="F28" s="4">
        <f>SUM(F24:F26)</f>
        <v>0</v>
      </c>
    </row>
    <row r="29" spans="1:6" s="9" customFormat="1" hidden="1">
      <c r="A29" s="12"/>
      <c r="C29" s="14"/>
      <c r="D29" s="14"/>
    </row>
    <row r="30" spans="1:6" s="9" customFormat="1">
      <c r="A30" s="7"/>
      <c r="B30" s="3"/>
      <c r="C30" s="14"/>
      <c r="D30" s="14"/>
    </row>
    <row r="31" spans="1:6" s="9" customFormat="1" ht="6.75" customHeight="1">
      <c r="A31" s="12"/>
      <c r="C31" s="14"/>
      <c r="D31" s="14"/>
    </row>
    <row r="32" spans="1:6" s="11" customFormat="1" hidden="1">
      <c r="A32" s="26"/>
      <c r="C32" s="20"/>
      <c r="D32" s="21"/>
      <c r="E32" s="6"/>
      <c r="F32" s="6"/>
    </row>
    <row r="33" spans="1:6" s="11" customFormat="1" hidden="1">
      <c r="A33" s="26"/>
      <c r="C33" s="20"/>
      <c r="D33" s="21"/>
      <c r="E33" s="6"/>
      <c r="F33" s="6"/>
    </row>
    <row r="34" spans="1:6" s="11" customFormat="1" hidden="1">
      <c r="A34" s="26"/>
      <c r="C34" s="20"/>
      <c r="D34" s="21"/>
      <c r="E34" s="6"/>
      <c r="F34" s="6"/>
    </row>
    <row r="35" spans="1:6" s="11" customFormat="1">
      <c r="A35" s="29"/>
      <c r="B35" s="23"/>
      <c r="C35" s="24"/>
      <c r="D35" s="25"/>
      <c r="E35" s="10"/>
      <c r="F35" s="10"/>
    </row>
    <row r="36" spans="1:6" s="11" customFormat="1" ht="6.75" customHeight="1">
      <c r="A36" s="26"/>
      <c r="C36" s="27"/>
      <c r="D36" s="27"/>
    </row>
    <row r="37" spans="1:6" s="9" customFormat="1">
      <c r="A37" s="12"/>
      <c r="B37" s="4">
        <f>SUM(E37:F37)</f>
        <v>0</v>
      </c>
      <c r="C37" s="14"/>
      <c r="D37" s="14"/>
      <c r="E37" s="4">
        <f>SUM(E32:E35)</f>
        <v>0</v>
      </c>
      <c r="F37" s="4">
        <f>SUM(F32:F35)</f>
        <v>0</v>
      </c>
    </row>
    <row r="38" spans="1:6" s="9" customFormat="1">
      <c r="A38" s="12"/>
      <c r="B38" s="4"/>
      <c r="C38" s="14"/>
      <c r="D38" s="14"/>
      <c r="E38" s="4"/>
      <c r="F38" s="4"/>
    </row>
    <row r="39" spans="1:6" s="9" customFormat="1">
      <c r="A39" s="7"/>
      <c r="B39" s="3"/>
      <c r="C39" s="18"/>
      <c r="D39" s="18"/>
      <c r="E39" s="3"/>
      <c r="F39" s="3"/>
    </row>
    <row r="40" spans="1:6" s="9" customFormat="1" ht="6.75" customHeight="1">
      <c r="A40" s="12"/>
      <c r="C40" s="14"/>
      <c r="D40" s="14"/>
    </row>
    <row r="41" spans="1:6" s="11" customFormat="1" hidden="1">
      <c r="A41" s="26"/>
      <c r="C41" s="20"/>
      <c r="D41" s="21"/>
      <c r="E41" s="6"/>
      <c r="F41" s="6"/>
    </row>
    <row r="42" spans="1:6" s="11" customFormat="1" hidden="1">
      <c r="A42" s="26"/>
      <c r="C42" s="20"/>
      <c r="D42" s="21"/>
      <c r="E42" s="6"/>
      <c r="F42" s="6"/>
    </row>
    <row r="43" spans="1:6" s="11" customFormat="1" hidden="1">
      <c r="A43" s="26"/>
      <c r="C43" s="20"/>
      <c r="D43" s="21"/>
      <c r="E43" s="6"/>
      <c r="F43" s="6"/>
    </row>
    <row r="44" spans="1:6" s="11" customFormat="1" hidden="1">
      <c r="A44" s="26"/>
      <c r="C44" s="20"/>
      <c r="D44" s="21"/>
      <c r="E44" s="6"/>
      <c r="F44" s="6"/>
    </row>
    <row r="45" spans="1:6" s="11" customFormat="1" hidden="1">
      <c r="A45" s="26"/>
      <c r="C45" s="20"/>
      <c r="D45" s="21"/>
      <c r="E45" s="6"/>
      <c r="F45" s="6"/>
    </row>
    <row r="46" spans="1:6" s="11" customFormat="1" hidden="1">
      <c r="A46" s="26"/>
      <c r="C46" s="20"/>
      <c r="D46" s="21"/>
      <c r="E46" s="6"/>
      <c r="F46" s="6"/>
    </row>
    <row r="47" spans="1:6" s="11" customFormat="1" hidden="1">
      <c r="A47" s="26"/>
      <c r="C47" s="20"/>
      <c r="D47" s="21"/>
      <c r="E47" s="6"/>
      <c r="F47" s="6"/>
    </row>
    <row r="48" spans="1:6" s="11" customFormat="1" hidden="1">
      <c r="A48" s="26"/>
      <c r="C48" s="20"/>
      <c r="D48" s="21"/>
      <c r="E48" s="6"/>
      <c r="F48" s="6"/>
    </row>
    <row r="49" spans="1:6" s="11" customFormat="1" hidden="1">
      <c r="A49" s="26"/>
      <c r="C49" s="20"/>
      <c r="D49" s="21"/>
      <c r="E49" s="6"/>
      <c r="F49" s="6"/>
    </row>
    <row r="50" spans="1:6" s="11" customFormat="1" hidden="1">
      <c r="A50" s="26"/>
      <c r="C50" s="20"/>
      <c r="D50" s="21"/>
      <c r="E50" s="6"/>
      <c r="F50" s="6"/>
    </row>
    <row r="51" spans="1:6" s="11" customFormat="1" hidden="1">
      <c r="A51" s="26"/>
      <c r="C51" s="20"/>
      <c r="D51" s="21"/>
      <c r="E51" s="6"/>
      <c r="F51" s="6"/>
    </row>
    <row r="52" spans="1:6" s="11" customFormat="1" hidden="1">
      <c r="A52" s="26"/>
      <c r="C52" s="20"/>
      <c r="D52" s="21"/>
      <c r="E52" s="6"/>
      <c r="F52" s="6"/>
    </row>
    <row r="53" spans="1:6" s="11" customFormat="1" hidden="1">
      <c r="A53" s="26"/>
      <c r="C53" s="20"/>
      <c r="D53" s="21"/>
      <c r="E53" s="6"/>
      <c r="F53" s="6"/>
    </row>
    <row r="54" spans="1:6" s="11" customFormat="1">
      <c r="A54" s="29"/>
      <c r="B54" s="23"/>
      <c r="C54" s="24"/>
      <c r="D54" s="25"/>
      <c r="E54" s="10"/>
      <c r="F54" s="10"/>
    </row>
    <row r="55" spans="1:6" s="11" customFormat="1" ht="6.75" customHeight="1">
      <c r="A55" s="26"/>
      <c r="C55" s="27"/>
      <c r="D55" s="27"/>
    </row>
    <row r="56" spans="1:6" s="9" customFormat="1">
      <c r="A56" s="12"/>
      <c r="B56" s="28">
        <f>SUM(E56:F56)</f>
        <v>0</v>
      </c>
      <c r="C56" s="14"/>
      <c r="D56" s="14"/>
      <c r="E56" s="4">
        <f>SUM(E41:E54)</f>
        <v>0</v>
      </c>
      <c r="F56" s="4">
        <f>SUM(F41:F54)</f>
        <v>0</v>
      </c>
    </row>
    <row r="57" spans="1:6" s="9" customFormat="1">
      <c r="A57" s="12"/>
      <c r="B57" s="4"/>
      <c r="C57" s="14"/>
      <c r="D57" s="14"/>
      <c r="E57" s="4"/>
      <c r="F57" s="4"/>
    </row>
    <row r="58" spans="1:6" s="9" customFormat="1">
      <c r="A58" s="7"/>
      <c r="B58" s="3"/>
      <c r="C58" s="18"/>
      <c r="D58" s="18"/>
      <c r="E58" s="3"/>
      <c r="F58" s="3"/>
    </row>
    <row r="59" spans="1:6" s="9" customFormat="1" ht="6.75" customHeight="1">
      <c r="A59" s="12"/>
      <c r="C59" s="14"/>
      <c r="D59" s="14"/>
    </row>
    <row r="60" spans="1:6" s="11" customFormat="1" hidden="1">
      <c r="A60" s="26"/>
      <c r="C60" s="20"/>
      <c r="D60" s="21"/>
      <c r="E60" s="6"/>
      <c r="F60" s="6"/>
    </row>
    <row r="61" spans="1:6" s="11" customFormat="1" hidden="1">
      <c r="A61" s="26"/>
      <c r="C61" s="20"/>
      <c r="D61" s="21"/>
      <c r="E61" s="6"/>
      <c r="F61" s="6"/>
    </row>
    <row r="62" spans="1:6" s="11" customFormat="1" hidden="1">
      <c r="A62" s="26"/>
      <c r="C62" s="20"/>
      <c r="D62" s="21"/>
      <c r="E62" s="6"/>
      <c r="F62" s="6"/>
    </row>
    <row r="63" spans="1:6" s="11" customFormat="1" hidden="1">
      <c r="A63" s="26"/>
      <c r="C63" s="20"/>
      <c r="D63" s="21"/>
      <c r="E63" s="6"/>
      <c r="F63" s="6"/>
    </row>
    <row r="64" spans="1:6" s="11" customFormat="1" hidden="1">
      <c r="A64" s="26"/>
      <c r="C64" s="20"/>
      <c r="D64" s="21"/>
      <c r="E64" s="6"/>
      <c r="F64" s="6"/>
    </row>
    <row r="65" spans="1:7" s="11" customFormat="1" hidden="1">
      <c r="A65" s="26"/>
      <c r="C65" s="20"/>
      <c r="D65" s="21"/>
      <c r="E65" s="6"/>
      <c r="F65" s="6"/>
    </row>
    <row r="66" spans="1:7" s="11" customFormat="1" hidden="1">
      <c r="A66" s="26"/>
      <c r="C66" s="20"/>
      <c r="D66" s="21"/>
      <c r="E66" s="6"/>
      <c r="F66" s="6"/>
    </row>
    <row r="67" spans="1:7" s="11" customFormat="1" hidden="1">
      <c r="A67" s="26"/>
      <c r="C67" s="20"/>
      <c r="D67" s="21"/>
      <c r="E67" s="6"/>
      <c r="F67" s="6"/>
    </row>
    <row r="68" spans="1:7" s="11" customFormat="1" hidden="1">
      <c r="A68" s="26"/>
      <c r="C68" s="20"/>
      <c r="D68" s="21"/>
      <c r="E68" s="6"/>
      <c r="F68" s="6"/>
    </row>
    <row r="69" spans="1:7" s="11" customFormat="1" hidden="1">
      <c r="A69" s="26"/>
      <c r="C69" s="20"/>
      <c r="D69" s="21"/>
      <c r="E69" s="6"/>
      <c r="F69" s="6"/>
    </row>
    <row r="70" spans="1:7" s="11" customFormat="1">
      <c r="A70" s="26"/>
      <c r="C70" s="20"/>
      <c r="D70" s="21"/>
      <c r="E70" s="6"/>
      <c r="F70" s="6"/>
    </row>
    <row r="71" spans="1:7" s="11" customFormat="1">
      <c r="A71" s="26"/>
      <c r="C71" s="20"/>
      <c r="D71" s="21"/>
      <c r="E71" s="6"/>
      <c r="F71" s="6"/>
    </row>
    <row r="72" spans="1:7" s="11" customFormat="1">
      <c r="A72" s="26"/>
      <c r="C72" s="20"/>
      <c r="D72" s="21"/>
      <c r="E72" s="6"/>
      <c r="F72" s="6"/>
    </row>
    <row r="73" spans="1:7" s="11" customFormat="1">
      <c r="A73" s="29"/>
      <c r="B73" s="23"/>
      <c r="C73" s="24"/>
      <c r="D73" s="25"/>
      <c r="E73" s="10"/>
      <c r="F73" s="10"/>
    </row>
    <row r="74" spans="1:7" s="11" customFormat="1" ht="6.75" customHeight="1">
      <c r="A74" s="26"/>
      <c r="C74" s="27"/>
      <c r="D74" s="27"/>
    </row>
    <row r="75" spans="1:7" s="9" customFormat="1">
      <c r="A75" s="12"/>
      <c r="B75" s="28">
        <f>SUM(E75:F75)</f>
        <v>0</v>
      </c>
      <c r="C75" s="14"/>
      <c r="D75" s="14"/>
      <c r="E75" s="4">
        <f>SUM(E60:E73)</f>
        <v>0</v>
      </c>
      <c r="F75" s="4">
        <f>SUM(F60:F73)</f>
        <v>0</v>
      </c>
      <c r="G75" s="30"/>
    </row>
    <row r="76" spans="1:7" s="9" customFormat="1">
      <c r="A76" s="12"/>
      <c r="C76" s="14"/>
      <c r="D76" s="14"/>
    </row>
    <row r="77" spans="1:7" s="9" customFormat="1">
      <c r="A77" s="7"/>
      <c r="B77" s="3"/>
      <c r="C77" s="18"/>
      <c r="D77" s="18"/>
      <c r="E77" s="3"/>
      <c r="F77" s="3"/>
    </row>
    <row r="78" spans="1:7" s="9" customFormat="1" ht="6.75" customHeight="1">
      <c r="A78" s="12"/>
      <c r="C78" s="14"/>
      <c r="D78" s="14"/>
    </row>
    <row r="79" spans="1:7" s="11" customFormat="1">
      <c r="A79" s="26"/>
      <c r="C79" s="20"/>
      <c r="D79" s="21"/>
      <c r="E79" s="6"/>
      <c r="F79" s="6"/>
    </row>
    <row r="80" spans="1:7" s="11" customFormat="1">
      <c r="A80" s="26"/>
      <c r="C80" s="20"/>
      <c r="D80" s="21"/>
      <c r="E80" s="6"/>
      <c r="F80" s="6"/>
    </row>
    <row r="81" spans="1:6" s="11" customFormat="1">
      <c r="A81" s="29"/>
      <c r="B81" s="23"/>
      <c r="C81" s="24"/>
      <c r="D81" s="25"/>
      <c r="E81" s="10"/>
      <c r="F81" s="10"/>
    </row>
    <row r="82" spans="1:6" s="11" customFormat="1" ht="6.75" customHeight="1">
      <c r="A82" s="26"/>
      <c r="C82" s="27"/>
      <c r="D82" s="27"/>
    </row>
    <row r="83" spans="1:6" s="9" customFormat="1">
      <c r="A83" s="12"/>
      <c r="B83" s="28">
        <f>SUM(E83:F83)</f>
        <v>0</v>
      </c>
      <c r="C83" s="14"/>
      <c r="D83" s="14"/>
      <c r="E83" s="4">
        <f>SUM(E79:E81)</f>
        <v>0</v>
      </c>
      <c r="F83" s="4">
        <f>SUM(F79:F81)</f>
        <v>0</v>
      </c>
    </row>
    <row r="84" spans="1:6" s="9" customFormat="1">
      <c r="A84" s="12"/>
      <c r="C84" s="31"/>
      <c r="D84" s="31"/>
      <c r="E84" s="32"/>
    </row>
    <row r="85" spans="1:6" s="9" customFormat="1" hidden="1">
      <c r="A85" s="12">
        <v>2194</v>
      </c>
      <c r="B85" s="9" t="s">
        <v>65</v>
      </c>
      <c r="C85" s="14"/>
      <c r="D85" s="14"/>
      <c r="F85" s="9" t="s">
        <v>8</v>
      </c>
    </row>
    <row r="86" spans="1:6" s="9" customFormat="1" ht="6.75" hidden="1" customHeight="1">
      <c r="A86" s="12"/>
      <c r="C86" s="14"/>
      <c r="D86" s="14"/>
    </row>
    <row r="87" spans="1:6" s="11" customFormat="1" hidden="1">
      <c r="A87" s="29"/>
      <c r="B87" s="23" t="s">
        <v>64</v>
      </c>
      <c r="C87" s="24">
        <v>45861</v>
      </c>
      <c r="D87" s="25">
        <f ca="1">$F$1-C87</f>
        <v>153.45404305555712</v>
      </c>
      <c r="E87" s="10">
        <f>3900-3900</f>
        <v>0</v>
      </c>
      <c r="F87" s="10">
        <v>0</v>
      </c>
    </row>
    <row r="88" spans="1:6" s="11" customFormat="1" ht="6.75" hidden="1" customHeight="1">
      <c r="A88" s="26"/>
      <c r="C88" s="27"/>
      <c r="D88" s="27"/>
    </row>
    <row r="89" spans="1:6" s="9" customFormat="1" hidden="1">
      <c r="A89" s="12"/>
      <c r="B89" s="4">
        <f>SUM(E89:F89)</f>
        <v>0</v>
      </c>
      <c r="C89" s="14"/>
      <c r="D89" s="14"/>
      <c r="E89" s="4">
        <f>SUM(E87:E87)</f>
        <v>0</v>
      </c>
      <c r="F89" s="4">
        <f>SUM(F87:F87)</f>
        <v>0</v>
      </c>
    </row>
    <row r="90" spans="1:6" s="9" customFormat="1" hidden="1">
      <c r="A90" s="12"/>
      <c r="C90" s="31"/>
      <c r="D90" s="31"/>
      <c r="E90" s="32"/>
    </row>
    <row r="91" spans="1:6" s="9" customFormat="1">
      <c r="A91" s="7"/>
      <c r="B91" s="3"/>
      <c r="C91" s="18"/>
      <c r="D91" s="18"/>
      <c r="E91" s="3"/>
      <c r="F91" s="3"/>
    </row>
    <row r="92" spans="1:6" s="9" customFormat="1" ht="6.75" customHeight="1">
      <c r="A92" s="12"/>
      <c r="C92" s="14"/>
      <c r="D92" s="14"/>
    </row>
    <row r="93" spans="1:6" s="11" customFormat="1" hidden="1">
      <c r="A93" s="26"/>
      <c r="C93" s="20"/>
      <c r="D93" s="21"/>
      <c r="E93" s="6"/>
      <c r="F93" s="6"/>
    </row>
    <row r="94" spans="1:6" s="11" customFormat="1" hidden="1">
      <c r="A94" s="26"/>
      <c r="C94" s="20"/>
      <c r="D94" s="21"/>
      <c r="E94" s="6"/>
      <c r="F94" s="6"/>
    </row>
    <row r="95" spans="1:6" s="11" customFormat="1" hidden="1">
      <c r="A95" s="26"/>
      <c r="C95" s="20"/>
      <c r="D95" s="21"/>
      <c r="E95" s="6"/>
      <c r="F95" s="6"/>
    </row>
    <row r="96" spans="1:6" s="11" customFormat="1" hidden="1">
      <c r="A96" s="26"/>
      <c r="C96" s="20"/>
      <c r="D96" s="21"/>
      <c r="E96" s="6"/>
      <c r="F96" s="6"/>
    </row>
    <row r="97" spans="1:6" s="11" customFormat="1" hidden="1">
      <c r="A97" s="26"/>
      <c r="C97" s="20"/>
      <c r="D97" s="21"/>
      <c r="E97" s="6"/>
      <c r="F97" s="6"/>
    </row>
    <row r="98" spans="1:6" s="11" customFormat="1" hidden="1">
      <c r="A98" s="26"/>
      <c r="C98" s="20"/>
      <c r="D98" s="21"/>
      <c r="E98" s="6"/>
      <c r="F98" s="6"/>
    </row>
    <row r="99" spans="1:6" s="11" customFormat="1" hidden="1">
      <c r="A99" s="26"/>
      <c r="C99" s="20"/>
      <c r="D99" s="21"/>
      <c r="E99" s="6"/>
      <c r="F99" s="6"/>
    </row>
    <row r="100" spans="1:6" s="11" customFormat="1" hidden="1">
      <c r="A100" s="26"/>
      <c r="C100" s="20"/>
      <c r="D100" s="21"/>
      <c r="E100" s="6"/>
      <c r="F100" s="6"/>
    </row>
    <row r="101" spans="1:6" s="11" customFormat="1">
      <c r="A101" s="26"/>
      <c r="C101" s="20"/>
      <c r="D101" s="21"/>
      <c r="E101" s="6"/>
      <c r="F101" s="6"/>
    </row>
    <row r="102" spans="1:6" s="11" customFormat="1">
      <c r="A102" s="29"/>
      <c r="B102" s="23"/>
      <c r="C102" s="24"/>
      <c r="D102" s="25"/>
      <c r="E102" s="10"/>
      <c r="F102" s="10"/>
    </row>
    <row r="103" spans="1:6" s="11" customFormat="1" ht="6.75" customHeight="1">
      <c r="A103" s="26"/>
      <c r="C103" s="27"/>
      <c r="D103" s="27"/>
    </row>
    <row r="104" spans="1:6" s="9" customFormat="1">
      <c r="A104" s="12"/>
      <c r="B104" s="28">
        <f>SUM(E104:F104)</f>
        <v>0</v>
      </c>
      <c r="C104" s="14"/>
      <c r="D104" s="14"/>
      <c r="E104" s="4">
        <f>SUM(E93:E102)</f>
        <v>0</v>
      </c>
      <c r="F104" s="4">
        <f>SUM(F93:F102)</f>
        <v>0</v>
      </c>
    </row>
    <row r="105" spans="1:6" s="9" customFormat="1">
      <c r="A105" s="12"/>
      <c r="C105" s="14"/>
      <c r="D105" s="14"/>
    </row>
    <row r="106" spans="1:6" s="9" customFormat="1">
      <c r="A106" s="7"/>
      <c r="B106" s="3"/>
      <c r="C106" s="18"/>
      <c r="D106" s="18"/>
      <c r="E106" s="3"/>
      <c r="F106" s="3"/>
    </row>
    <row r="107" spans="1:6" s="9" customFormat="1" ht="6.75" customHeight="1">
      <c r="A107" s="12"/>
      <c r="C107" s="14"/>
      <c r="D107" s="14"/>
    </row>
    <row r="108" spans="1:6" s="11" customFormat="1" hidden="1">
      <c r="A108" s="26"/>
      <c r="C108" s="20"/>
      <c r="D108" s="21"/>
      <c r="E108" s="6"/>
      <c r="F108" s="6"/>
    </row>
    <row r="109" spans="1:6" s="11" customFormat="1" hidden="1">
      <c r="A109" s="26"/>
      <c r="C109" s="20"/>
      <c r="D109" s="21"/>
      <c r="E109" s="6"/>
      <c r="F109" s="6"/>
    </row>
    <row r="110" spans="1:6" s="11" customFormat="1" hidden="1">
      <c r="A110" s="26"/>
      <c r="C110" s="20"/>
      <c r="D110" s="21"/>
      <c r="E110" s="6"/>
      <c r="F110" s="6"/>
    </row>
    <row r="111" spans="1:6" s="11" customFormat="1">
      <c r="A111" s="29"/>
      <c r="B111" s="23"/>
      <c r="C111" s="24"/>
      <c r="D111" s="25"/>
      <c r="E111" s="10"/>
      <c r="F111" s="10"/>
    </row>
    <row r="112" spans="1:6" s="11" customFormat="1" ht="6.75" customHeight="1">
      <c r="A112" s="26"/>
      <c r="C112" s="27"/>
      <c r="D112" s="27"/>
    </row>
    <row r="113" spans="1:6" s="9" customFormat="1">
      <c r="A113" s="12"/>
      <c r="B113" s="28">
        <f>SUM(E113:F113)</f>
        <v>0</v>
      </c>
      <c r="C113" s="14"/>
      <c r="D113" s="14"/>
      <c r="E113" s="4">
        <f>SUM(E108:E111)</f>
        <v>0</v>
      </c>
      <c r="F113" s="4">
        <f>SUM(F108:F111)</f>
        <v>0</v>
      </c>
    </row>
    <row r="114" spans="1:6" s="9" customFormat="1">
      <c r="A114" s="12"/>
      <c r="B114" s="4"/>
      <c r="C114" s="14"/>
      <c r="D114" s="14"/>
      <c r="E114" s="4"/>
      <c r="F114" s="4"/>
    </row>
    <row r="115" spans="1:6" s="9" customFormat="1" hidden="1">
      <c r="A115" s="12">
        <v>2380</v>
      </c>
      <c r="B115" s="9" t="s">
        <v>11</v>
      </c>
      <c r="C115" s="14"/>
      <c r="D115" s="14"/>
      <c r="F115" s="9" t="s">
        <v>10</v>
      </c>
    </row>
    <row r="116" spans="1:6" s="9" customFormat="1" ht="6.75" hidden="1" customHeight="1">
      <c r="A116" s="12"/>
      <c r="C116" s="14"/>
      <c r="D116" s="14"/>
    </row>
    <row r="117" spans="1:6" s="11" customFormat="1" hidden="1">
      <c r="A117" s="29"/>
      <c r="B117" s="23" t="s">
        <v>23</v>
      </c>
      <c r="C117" s="24">
        <v>45623</v>
      </c>
      <c r="D117" s="25">
        <f ca="1">FER!$F$1-C117</f>
        <v>391.45404305555712</v>
      </c>
      <c r="E117" s="10">
        <v>0</v>
      </c>
      <c r="F117" s="10">
        <f>19920-3000-5000-5000-1000-1966-3954</f>
        <v>0</v>
      </c>
    </row>
    <row r="118" spans="1:6" s="9" customFormat="1" ht="6.75" hidden="1" customHeight="1">
      <c r="A118" s="12"/>
      <c r="C118" s="14"/>
      <c r="D118" s="14"/>
    </row>
    <row r="119" spans="1:6" s="9" customFormat="1" hidden="1">
      <c r="A119" s="12"/>
      <c r="B119" s="4">
        <f>SUM(E119:F119)</f>
        <v>0</v>
      </c>
      <c r="C119" s="14"/>
      <c r="D119" s="14"/>
      <c r="E119" s="4">
        <f>SUM(E117:E117)</f>
        <v>0</v>
      </c>
      <c r="F119" s="4">
        <f>SUM(F117:F117)</f>
        <v>0</v>
      </c>
    </row>
    <row r="120" spans="1:6" s="9" customFormat="1" hidden="1">
      <c r="A120" s="12"/>
      <c r="C120" s="14"/>
      <c r="D120" s="14"/>
    </row>
    <row r="121" spans="1:6" s="9" customFormat="1">
      <c r="A121" s="7"/>
      <c r="B121" s="3"/>
      <c r="C121" s="18"/>
      <c r="D121" s="18"/>
      <c r="E121" s="3"/>
      <c r="F121" s="3"/>
    </row>
    <row r="122" spans="1:6" s="9" customFormat="1" ht="6.75" customHeight="1">
      <c r="A122" s="12"/>
      <c r="C122" s="14"/>
      <c r="D122" s="14"/>
    </row>
    <row r="123" spans="1:6" s="11" customFormat="1" hidden="1">
      <c r="A123" s="26"/>
      <c r="C123" s="20"/>
      <c r="D123" s="33"/>
      <c r="E123" s="6"/>
      <c r="F123" s="6"/>
    </row>
    <row r="124" spans="1:6" s="11" customFormat="1" hidden="1">
      <c r="A124" s="26"/>
      <c r="C124" s="20"/>
      <c r="D124" s="33"/>
      <c r="E124" s="6"/>
      <c r="F124" s="6"/>
    </row>
    <row r="125" spans="1:6" s="11" customFormat="1" hidden="1">
      <c r="A125" s="26"/>
      <c r="C125" s="20"/>
      <c r="D125" s="33"/>
      <c r="E125" s="6"/>
      <c r="F125" s="6"/>
    </row>
    <row r="126" spans="1:6" s="11" customFormat="1" hidden="1">
      <c r="A126" s="26"/>
      <c r="C126" s="20"/>
      <c r="D126" s="33"/>
      <c r="E126" s="6"/>
      <c r="F126" s="6"/>
    </row>
    <row r="127" spans="1:6" s="11" customFormat="1" hidden="1">
      <c r="A127" s="26"/>
      <c r="C127" s="20"/>
      <c r="D127" s="33"/>
      <c r="E127" s="6"/>
      <c r="F127" s="6"/>
    </row>
    <row r="128" spans="1:6" s="11" customFormat="1" hidden="1">
      <c r="A128" s="26"/>
      <c r="C128" s="20"/>
      <c r="D128" s="33"/>
      <c r="E128" s="6"/>
      <c r="F128" s="6"/>
    </row>
    <row r="129" spans="1:6" s="11" customFormat="1" hidden="1">
      <c r="A129" s="26"/>
      <c r="C129" s="20"/>
      <c r="D129" s="33"/>
      <c r="E129" s="6"/>
      <c r="F129" s="6"/>
    </row>
    <row r="130" spans="1:6" s="11" customFormat="1" hidden="1">
      <c r="A130" s="26"/>
      <c r="C130" s="20"/>
      <c r="D130" s="33"/>
      <c r="E130" s="6"/>
      <c r="F130" s="6"/>
    </row>
    <row r="131" spans="1:6" s="11" customFormat="1" hidden="1">
      <c r="A131" s="26"/>
      <c r="C131" s="20"/>
      <c r="D131" s="33"/>
      <c r="E131" s="6"/>
      <c r="F131" s="6"/>
    </row>
    <row r="132" spans="1:6" s="11" customFormat="1" hidden="1">
      <c r="A132" s="26"/>
      <c r="C132" s="20"/>
      <c r="D132" s="33"/>
      <c r="E132" s="6"/>
      <c r="F132" s="6"/>
    </row>
    <row r="133" spans="1:6" s="11" customFormat="1">
      <c r="A133" s="26"/>
      <c r="C133" s="20"/>
      <c r="D133" s="33"/>
      <c r="E133" s="6"/>
      <c r="F133" s="6"/>
    </row>
    <row r="134" spans="1:6" s="11" customFormat="1">
      <c r="A134" s="29"/>
      <c r="B134" s="34"/>
      <c r="C134" s="24"/>
      <c r="D134" s="35"/>
      <c r="E134" s="10"/>
      <c r="F134" s="10"/>
    </row>
    <row r="135" spans="1:6" s="9" customFormat="1" ht="6.75" customHeight="1">
      <c r="A135" s="12"/>
      <c r="C135" s="14"/>
      <c r="D135" s="14"/>
    </row>
    <row r="136" spans="1:6" s="9" customFormat="1">
      <c r="A136" s="12"/>
      <c r="B136" s="28">
        <f>SUM(E136:F136)</f>
        <v>0</v>
      </c>
      <c r="C136" s="14"/>
      <c r="D136" s="14"/>
      <c r="E136" s="4">
        <f>SUM(E123:E134)</f>
        <v>0</v>
      </c>
      <c r="F136" s="4">
        <f>SUM(F123:F134)</f>
        <v>0</v>
      </c>
    </row>
    <row r="137" spans="1:6" s="9" customFormat="1">
      <c r="A137" s="12"/>
      <c r="C137" s="14"/>
      <c r="D137" s="14"/>
    </row>
    <row r="138" spans="1:6" s="9" customFormat="1" hidden="1">
      <c r="A138" s="7">
        <v>2407</v>
      </c>
      <c r="B138" s="3" t="s">
        <v>72</v>
      </c>
      <c r="C138" s="18"/>
      <c r="D138" s="18"/>
      <c r="E138" s="3"/>
      <c r="F138" s="3" t="s">
        <v>9</v>
      </c>
    </row>
    <row r="139" spans="1:6" s="9" customFormat="1" ht="6.75" hidden="1" customHeight="1">
      <c r="A139" s="12"/>
      <c r="C139" s="14"/>
      <c r="D139" s="14"/>
    </row>
    <row r="140" spans="1:6" s="11" customFormat="1" hidden="1">
      <c r="A140" s="29"/>
      <c r="B140" s="23" t="s">
        <v>73</v>
      </c>
      <c r="C140" s="24">
        <v>45877</v>
      </c>
      <c r="D140" s="35" t="e">
        <f>#REF!-C140</f>
        <v>#REF!</v>
      </c>
      <c r="E140" s="10">
        <v>0</v>
      </c>
      <c r="F140" s="10">
        <f>374-374</f>
        <v>0</v>
      </c>
    </row>
    <row r="141" spans="1:6" s="9" customFormat="1" ht="6.75" hidden="1" customHeight="1">
      <c r="A141" s="12"/>
      <c r="C141" s="14"/>
      <c r="D141" s="14"/>
    </row>
    <row r="142" spans="1:6" s="9" customFormat="1" hidden="1">
      <c r="A142" s="12"/>
      <c r="B142" s="4">
        <f>SUM(E142:F142)</f>
        <v>0</v>
      </c>
      <c r="C142" s="14"/>
      <c r="D142" s="14"/>
      <c r="E142" s="4">
        <f>SUM(E140:E140)</f>
        <v>0</v>
      </c>
      <c r="F142" s="4">
        <f>SUM(F140:F140)</f>
        <v>0</v>
      </c>
    </row>
    <row r="143" spans="1:6" s="9" customFormat="1" hidden="1">
      <c r="A143" s="12"/>
      <c r="C143" s="14"/>
      <c r="D143" s="14"/>
    </row>
    <row r="144" spans="1:6" s="9" customFormat="1" hidden="1">
      <c r="A144" s="7">
        <v>2417</v>
      </c>
      <c r="B144" s="3" t="s">
        <v>2</v>
      </c>
      <c r="C144" s="18"/>
      <c r="D144" s="18"/>
      <c r="E144" s="3"/>
      <c r="F144" s="3" t="s">
        <v>9</v>
      </c>
    </row>
    <row r="145" spans="1:6" s="9" customFormat="1" ht="6.75" hidden="1" customHeight="1">
      <c r="A145" s="12"/>
      <c r="C145" s="14"/>
      <c r="D145" s="14"/>
    </row>
    <row r="146" spans="1:6" s="11" customFormat="1" hidden="1">
      <c r="A146" s="26"/>
      <c r="B146" s="11" t="s">
        <v>32</v>
      </c>
      <c r="C146" s="20">
        <v>45700</v>
      </c>
      <c r="D146" s="33" t="e">
        <f>#REF!-C146</f>
        <v>#REF!</v>
      </c>
      <c r="E146" s="6">
        <f>1742.4-1000-742.4</f>
        <v>0</v>
      </c>
      <c r="F146" s="6">
        <v>0</v>
      </c>
    </row>
    <row r="147" spans="1:6" s="11" customFormat="1" hidden="1">
      <c r="A147" s="26"/>
      <c r="B147" s="11" t="s">
        <v>38</v>
      </c>
      <c r="C147" s="20">
        <v>45714</v>
      </c>
      <c r="D147" s="33" t="e">
        <f>#REF!-C147</f>
        <v>#REF!</v>
      </c>
      <c r="E147" s="6">
        <f>1587-1587</f>
        <v>0</v>
      </c>
      <c r="F147" s="6">
        <v>0</v>
      </c>
    </row>
    <row r="148" spans="1:6" s="11" customFormat="1" hidden="1">
      <c r="A148" s="26"/>
      <c r="B148" s="11" t="s">
        <v>44</v>
      </c>
      <c r="C148" s="20">
        <v>45741</v>
      </c>
      <c r="D148" s="33" t="e">
        <f>#REF!-C148</f>
        <v>#REF!</v>
      </c>
      <c r="E148" s="6">
        <f>9240-6240-3000</f>
        <v>0</v>
      </c>
      <c r="F148" s="6">
        <v>0</v>
      </c>
    </row>
    <row r="149" spans="1:6" s="11" customFormat="1" hidden="1">
      <c r="A149" s="26"/>
      <c r="B149" s="11" t="s">
        <v>54</v>
      </c>
      <c r="C149" s="20">
        <v>45799</v>
      </c>
      <c r="D149" s="33" t="e">
        <f>#REF!-C149</f>
        <v>#REF!</v>
      </c>
      <c r="E149" s="6">
        <f>2387.6-2387.6</f>
        <v>0</v>
      </c>
      <c r="F149" s="6">
        <v>0</v>
      </c>
    </row>
    <row r="150" spans="1:6" s="11" customFormat="1" hidden="1">
      <c r="A150" s="26"/>
      <c r="B150" s="11" t="s">
        <v>59</v>
      </c>
      <c r="C150" s="20">
        <v>45819</v>
      </c>
      <c r="D150" s="33" t="e">
        <f>#REF!-C150</f>
        <v>#REF!</v>
      </c>
      <c r="E150" s="6">
        <f>3128.2-3128.2</f>
        <v>0</v>
      </c>
      <c r="F150" s="6">
        <v>0</v>
      </c>
    </row>
    <row r="151" spans="1:6" s="11" customFormat="1" hidden="1">
      <c r="A151" s="26"/>
      <c r="B151" s="11" t="s">
        <v>66</v>
      </c>
      <c r="C151" s="20">
        <v>45863</v>
      </c>
      <c r="D151" s="33" t="e">
        <f>#REF!-C151</f>
        <v>#REF!</v>
      </c>
      <c r="E151" s="6">
        <f>4715-4715</f>
        <v>0</v>
      </c>
      <c r="F151" s="6">
        <v>0</v>
      </c>
    </row>
    <row r="152" spans="1:6" s="11" customFormat="1" hidden="1">
      <c r="A152" s="26"/>
      <c r="B152" s="11" t="s">
        <v>78</v>
      </c>
      <c r="C152" s="20">
        <v>45912</v>
      </c>
      <c r="D152" s="33" t="e">
        <f>#REF!-C152</f>
        <v>#REF!</v>
      </c>
      <c r="E152" s="6">
        <f>11713-6000-5713</f>
        <v>0</v>
      </c>
      <c r="F152" s="6">
        <v>0</v>
      </c>
    </row>
    <row r="153" spans="1:6" s="11" customFormat="1" hidden="1">
      <c r="A153" s="26"/>
      <c r="B153" s="11" t="s">
        <v>91</v>
      </c>
      <c r="C153" s="20">
        <v>45945</v>
      </c>
      <c r="D153" s="33" t="e">
        <f>#REF!-C153</f>
        <v>#REF!</v>
      </c>
      <c r="E153" s="6">
        <f>6472-3472-3000</f>
        <v>0</v>
      </c>
      <c r="F153" s="6">
        <v>0</v>
      </c>
    </row>
    <row r="154" spans="1:6" s="11" customFormat="1" hidden="1">
      <c r="A154" s="29"/>
      <c r="B154" s="34" t="s">
        <v>99</v>
      </c>
      <c r="C154" s="24">
        <v>45988</v>
      </c>
      <c r="D154" s="35" t="e">
        <f>#REF!-C154</f>
        <v>#REF!</v>
      </c>
      <c r="E154" s="10">
        <f>1468.2-1468.2</f>
        <v>0</v>
      </c>
      <c r="F154" s="10">
        <v>0</v>
      </c>
    </row>
    <row r="155" spans="1:6" s="9" customFormat="1" ht="6.75" hidden="1" customHeight="1">
      <c r="A155" s="12"/>
      <c r="C155" s="14"/>
      <c r="D155" s="14"/>
    </row>
    <row r="156" spans="1:6" s="9" customFormat="1" hidden="1">
      <c r="A156" s="12"/>
      <c r="B156" s="28">
        <f>SUM(E156:F156)</f>
        <v>0</v>
      </c>
      <c r="C156" s="14"/>
      <c r="D156" s="14"/>
      <c r="E156" s="4">
        <f>SUM(E146:E154)</f>
        <v>0</v>
      </c>
      <c r="F156" s="4">
        <f>SUM(F154:F154)</f>
        <v>0</v>
      </c>
    </row>
    <row r="157" spans="1:6" s="9" customFormat="1" hidden="1">
      <c r="A157" s="12"/>
      <c r="C157" s="14"/>
      <c r="D157" s="14"/>
    </row>
    <row r="158" spans="1:6" s="9" customFormat="1" hidden="1">
      <c r="A158" s="7">
        <v>2442</v>
      </c>
      <c r="B158" s="3" t="s">
        <v>97</v>
      </c>
      <c r="C158" s="18"/>
      <c r="D158" s="18"/>
      <c r="E158" s="3"/>
      <c r="F158" s="3" t="s">
        <v>9</v>
      </c>
    </row>
    <row r="159" spans="1:6" s="9" customFormat="1" ht="6.75" hidden="1" customHeight="1">
      <c r="A159" s="12"/>
      <c r="C159" s="14"/>
      <c r="D159" s="14"/>
    </row>
    <row r="160" spans="1:6" s="11" customFormat="1" hidden="1">
      <c r="A160" s="29"/>
      <c r="B160" s="34" t="s">
        <v>98</v>
      </c>
      <c r="C160" s="24">
        <v>45982</v>
      </c>
      <c r="D160" s="35" t="e">
        <f>#REF!-C160</f>
        <v>#REF!</v>
      </c>
      <c r="E160" s="10">
        <f>21910-15000-6910</f>
        <v>0</v>
      </c>
      <c r="F160" s="10">
        <f>374-374</f>
        <v>0</v>
      </c>
    </row>
    <row r="161" spans="1:6" s="9" customFormat="1" ht="6.75" hidden="1" customHeight="1">
      <c r="A161" s="12"/>
      <c r="C161" s="14"/>
      <c r="D161" s="14"/>
    </row>
    <row r="162" spans="1:6" s="9" customFormat="1" hidden="1">
      <c r="A162" s="12"/>
      <c r="B162" s="28">
        <f>SUM(E162:F162)</f>
        <v>0</v>
      </c>
      <c r="C162" s="14"/>
      <c r="D162" s="14"/>
      <c r="E162" s="4">
        <f>SUM(E160:E160)</f>
        <v>0</v>
      </c>
      <c r="F162" s="4">
        <f>SUM(F160:F160)</f>
        <v>0</v>
      </c>
    </row>
    <row r="163" spans="1:6" s="9" customFormat="1" hidden="1">
      <c r="A163" s="12"/>
      <c r="C163" s="14"/>
      <c r="D163" s="14"/>
    </row>
    <row r="164" spans="1:6" s="9" customFormat="1">
      <c r="A164" s="7"/>
      <c r="B164" s="3"/>
      <c r="C164" s="18"/>
      <c r="D164" s="18"/>
      <c r="E164" s="3"/>
      <c r="F164" s="3"/>
    </row>
    <row r="165" spans="1:6" s="9" customFormat="1" ht="6.75" customHeight="1">
      <c r="A165" s="12"/>
      <c r="C165" s="14"/>
      <c r="D165" s="14"/>
    </row>
    <row r="166" spans="1:6" s="11" customFormat="1" hidden="1">
      <c r="A166" s="26"/>
      <c r="C166" s="20"/>
      <c r="D166" s="33"/>
      <c r="E166" s="6"/>
      <c r="F166" s="6"/>
    </row>
    <row r="167" spans="1:6" s="11" customFormat="1" hidden="1">
      <c r="A167" s="26"/>
      <c r="C167" s="20"/>
      <c r="D167" s="33"/>
      <c r="E167" s="6"/>
      <c r="F167" s="6"/>
    </row>
    <row r="168" spans="1:6" s="11" customFormat="1" hidden="1">
      <c r="A168" s="26"/>
      <c r="C168" s="20"/>
      <c r="D168" s="33"/>
      <c r="E168" s="6"/>
      <c r="F168" s="6"/>
    </row>
    <row r="169" spans="1:6" s="11" customFormat="1" hidden="1">
      <c r="A169" s="26"/>
      <c r="C169" s="20"/>
      <c r="D169" s="33"/>
      <c r="E169" s="6"/>
      <c r="F169" s="6"/>
    </row>
    <row r="170" spans="1:6" s="11" customFormat="1" hidden="1">
      <c r="A170" s="26"/>
      <c r="C170" s="20"/>
      <c r="D170" s="33"/>
      <c r="E170" s="6"/>
      <c r="F170" s="6"/>
    </row>
    <row r="171" spans="1:6" s="11" customFormat="1" hidden="1">
      <c r="A171" s="26"/>
      <c r="C171" s="20"/>
      <c r="D171" s="33"/>
      <c r="E171" s="6"/>
      <c r="F171" s="6"/>
    </row>
    <row r="172" spans="1:6" s="11" customFormat="1" hidden="1">
      <c r="A172" s="26"/>
      <c r="C172" s="20"/>
      <c r="D172" s="33"/>
      <c r="E172" s="6"/>
      <c r="F172" s="6"/>
    </row>
    <row r="173" spans="1:6" s="11" customFormat="1" hidden="1">
      <c r="A173" s="26"/>
      <c r="C173" s="20"/>
      <c r="D173" s="33"/>
      <c r="E173" s="6"/>
      <c r="F173" s="6"/>
    </row>
    <row r="174" spans="1:6" s="11" customFormat="1" hidden="1">
      <c r="A174" s="26"/>
      <c r="C174" s="20"/>
      <c r="D174" s="33"/>
      <c r="E174" s="6"/>
      <c r="F174" s="6"/>
    </row>
    <row r="175" spans="1:6" s="11" customFormat="1" hidden="1">
      <c r="A175" s="26"/>
      <c r="C175" s="20"/>
      <c r="D175" s="33"/>
      <c r="E175" s="6"/>
      <c r="F175" s="6"/>
    </row>
    <row r="176" spans="1:6" s="11" customFormat="1" hidden="1">
      <c r="A176" s="26"/>
      <c r="C176" s="20"/>
      <c r="D176" s="33"/>
      <c r="E176" s="6"/>
      <c r="F176" s="6"/>
    </row>
    <row r="177" spans="1:6" s="11" customFormat="1" hidden="1">
      <c r="A177" s="26"/>
      <c r="C177" s="20"/>
      <c r="D177" s="33"/>
      <c r="E177" s="6"/>
      <c r="F177" s="6"/>
    </row>
    <row r="178" spans="1:6" s="11" customFormat="1">
      <c r="A178" s="29"/>
      <c r="B178" s="34"/>
      <c r="C178" s="24"/>
      <c r="D178" s="35"/>
      <c r="E178" s="10"/>
      <c r="F178" s="10"/>
    </row>
    <row r="179" spans="1:6" s="9" customFormat="1" ht="6.75" customHeight="1">
      <c r="A179" s="12"/>
      <c r="C179" s="14"/>
      <c r="D179" s="14"/>
    </row>
    <row r="180" spans="1:6" s="9" customFormat="1">
      <c r="A180" s="12"/>
      <c r="B180" s="28">
        <f>SUM(E180:F180)</f>
        <v>0</v>
      </c>
      <c r="C180" s="14"/>
      <c r="D180" s="14"/>
      <c r="E180" s="4">
        <f>SUM(E166:E178)</f>
        <v>0</v>
      </c>
      <c r="F180" s="4">
        <f>SUM(F166:F178)</f>
        <v>0</v>
      </c>
    </row>
    <row r="181" spans="1:6" s="9" customFormat="1">
      <c r="A181" s="12"/>
      <c r="C181" s="14"/>
      <c r="D181" s="14"/>
    </row>
    <row r="182" spans="1:6" s="9" customFormat="1" hidden="1">
      <c r="A182" s="7">
        <v>2453</v>
      </c>
      <c r="B182" s="3" t="s">
        <v>57</v>
      </c>
      <c r="C182" s="18"/>
      <c r="D182" s="18"/>
      <c r="E182" s="3"/>
      <c r="F182" s="3" t="s">
        <v>9</v>
      </c>
    </row>
    <row r="183" spans="1:6" s="9" customFormat="1" ht="6.75" hidden="1" customHeight="1">
      <c r="A183" s="12"/>
      <c r="C183" s="14"/>
      <c r="D183" s="14"/>
    </row>
    <row r="184" spans="1:6" s="11" customFormat="1" hidden="1">
      <c r="A184" s="26"/>
      <c r="B184" s="11" t="s">
        <v>61</v>
      </c>
      <c r="C184" s="20">
        <v>45848</v>
      </c>
      <c r="D184" s="33">
        <f ca="1">$F$1-C184</f>
        <v>166.45404305555712</v>
      </c>
      <c r="E184" s="6">
        <v>0</v>
      </c>
      <c r="F184" s="6">
        <f>2463-2463</f>
        <v>0</v>
      </c>
    </row>
    <row r="185" spans="1:6" s="11" customFormat="1" hidden="1">
      <c r="A185" s="26"/>
      <c r="B185" s="11" t="s">
        <v>58</v>
      </c>
      <c r="C185" s="20">
        <v>45818</v>
      </c>
      <c r="D185" s="33">
        <f ca="1">$F$1-C185</f>
        <v>196.45404305555712</v>
      </c>
      <c r="E185" s="6">
        <v>0</v>
      </c>
      <c r="F185" s="6">
        <f>9678-2000-2000-2000-2000-1678</f>
        <v>0</v>
      </c>
    </row>
    <row r="186" spans="1:6" s="11" customFormat="1" hidden="1">
      <c r="A186" s="26"/>
      <c r="B186" s="11" t="s">
        <v>76</v>
      </c>
      <c r="C186" s="20">
        <v>45904</v>
      </c>
      <c r="D186" s="33">
        <f ca="1">$F$1-C186</f>
        <v>110.45404305555712</v>
      </c>
      <c r="E186" s="6">
        <v>0</v>
      </c>
      <c r="F186" s="6">
        <f>3292-2000-1292</f>
        <v>0</v>
      </c>
    </row>
    <row r="187" spans="1:6" s="11" customFormat="1" hidden="1">
      <c r="A187" s="29"/>
      <c r="B187" s="23" t="s">
        <v>82</v>
      </c>
      <c r="C187" s="24">
        <v>45926</v>
      </c>
      <c r="D187" s="35">
        <f ca="1">$F$1-C187</f>
        <v>88.454043055557122</v>
      </c>
      <c r="E187" s="10">
        <v>0</v>
      </c>
      <c r="F187" s="10">
        <f>2908-22-700-2186</f>
        <v>0</v>
      </c>
    </row>
    <row r="188" spans="1:6" s="9" customFormat="1" ht="6.75" hidden="1" customHeight="1">
      <c r="A188" s="12"/>
      <c r="C188" s="14"/>
      <c r="D188" s="14"/>
    </row>
    <row r="189" spans="1:6" s="9" customFormat="1" hidden="1">
      <c r="A189" s="12"/>
      <c r="B189" s="28">
        <f>SUM(E189:F189)</f>
        <v>0</v>
      </c>
      <c r="C189" s="14"/>
      <c r="D189" s="14"/>
      <c r="E189" s="4">
        <f>SUM(E184:E187)</f>
        <v>0</v>
      </c>
      <c r="F189" s="4">
        <f>SUM(F184:F187)</f>
        <v>0</v>
      </c>
    </row>
    <row r="190" spans="1:6" s="9" customFormat="1" hidden="1">
      <c r="A190" s="12"/>
      <c r="C190" s="14"/>
      <c r="D190" s="14"/>
    </row>
    <row r="191" spans="1:6" s="9" customFormat="1" hidden="1">
      <c r="A191" s="12">
        <v>2485</v>
      </c>
      <c r="B191" s="9" t="s">
        <v>33</v>
      </c>
      <c r="C191" s="14"/>
      <c r="D191" s="14"/>
      <c r="F191" s="9" t="s">
        <v>9</v>
      </c>
    </row>
    <row r="192" spans="1:6" s="9" customFormat="1" ht="6.75" hidden="1" customHeight="1">
      <c r="A192" s="12"/>
      <c r="C192" s="14"/>
      <c r="D192" s="14"/>
    </row>
    <row r="193" spans="1:6" s="11" customFormat="1" hidden="1">
      <c r="A193" s="29"/>
      <c r="B193" s="23" t="s">
        <v>34</v>
      </c>
      <c r="C193" s="24">
        <v>45700</v>
      </c>
      <c r="D193" s="35">
        <f ca="1">$F$1-C193</f>
        <v>314.45404305555712</v>
      </c>
      <c r="E193" s="10">
        <v>0</v>
      </c>
      <c r="F193" s="10">
        <f>1253-753-500</f>
        <v>0</v>
      </c>
    </row>
    <row r="194" spans="1:6" s="9" customFormat="1" ht="6.75" hidden="1" customHeight="1">
      <c r="A194" s="12"/>
      <c r="C194" s="14"/>
      <c r="D194" s="14"/>
    </row>
    <row r="195" spans="1:6" s="9" customFormat="1" hidden="1">
      <c r="A195" s="12"/>
      <c r="B195" s="4">
        <f>SUM(E195:F195)</f>
        <v>0</v>
      </c>
      <c r="C195" s="14"/>
      <c r="D195" s="14"/>
      <c r="E195" s="4">
        <f>SUM(E193:E193)</f>
        <v>0</v>
      </c>
      <c r="F195" s="4">
        <f>SUM(F193:F193)</f>
        <v>0</v>
      </c>
    </row>
    <row r="196" spans="1:6" s="9" customFormat="1" hidden="1">
      <c r="A196" s="12"/>
      <c r="C196" s="14"/>
      <c r="D196" s="14"/>
    </row>
    <row r="197" spans="1:6" s="9" customFormat="1">
      <c r="A197" s="7"/>
      <c r="B197" s="3"/>
      <c r="C197" s="14"/>
      <c r="D197" s="14"/>
      <c r="F197" s="3"/>
    </row>
    <row r="198" spans="1:6" s="9" customFormat="1" ht="6.75" customHeight="1">
      <c r="A198" s="12"/>
      <c r="C198" s="14"/>
      <c r="D198" s="14"/>
    </row>
    <row r="199" spans="1:6" s="11" customFormat="1">
      <c r="A199" s="26"/>
      <c r="B199" s="36"/>
      <c r="C199" s="20"/>
      <c r="D199" s="33"/>
      <c r="E199" s="6"/>
      <c r="F199" s="6"/>
    </row>
    <row r="200" spans="1:6" s="11" customFormat="1">
      <c r="A200" s="29"/>
      <c r="B200" s="34"/>
      <c r="C200" s="24"/>
      <c r="D200" s="35"/>
      <c r="E200" s="10"/>
      <c r="F200" s="10"/>
    </row>
    <row r="201" spans="1:6" s="9" customFormat="1" ht="6.75" customHeight="1">
      <c r="A201" s="12"/>
      <c r="C201" s="14"/>
      <c r="D201" s="14"/>
    </row>
    <row r="202" spans="1:6" s="9" customFormat="1">
      <c r="A202" s="12"/>
      <c r="B202" s="4">
        <f>SUM(E202:F202)</f>
        <v>0</v>
      </c>
      <c r="C202" s="14"/>
      <c r="D202" s="14"/>
      <c r="E202" s="4">
        <f>SUM(E199:E200)</f>
        <v>0</v>
      </c>
      <c r="F202" s="4">
        <f>SUM(F199:F200)</f>
        <v>0</v>
      </c>
    </row>
    <row r="203" spans="1:6" s="9" customFormat="1">
      <c r="A203" s="12"/>
      <c r="C203" s="14"/>
      <c r="D203" s="14"/>
    </row>
    <row r="204" spans="1:6" s="9" customFormat="1" hidden="1">
      <c r="A204" s="12">
        <v>7040</v>
      </c>
      <c r="B204" s="9" t="s">
        <v>21</v>
      </c>
      <c r="C204" s="14"/>
      <c r="D204" s="14"/>
      <c r="F204" s="9" t="s">
        <v>7</v>
      </c>
    </row>
    <row r="205" spans="1:6" s="9" customFormat="1" ht="6.75" hidden="1" customHeight="1">
      <c r="A205" s="12"/>
      <c r="C205" s="14"/>
      <c r="D205" s="14"/>
    </row>
    <row r="206" spans="1:6" s="11" customFormat="1" hidden="1">
      <c r="A206" s="29"/>
      <c r="B206" s="23" t="s">
        <v>22</v>
      </c>
      <c r="C206" s="24">
        <v>45583</v>
      </c>
      <c r="D206" s="25">
        <f ca="1">$F$1-C206</f>
        <v>431.45404305555712</v>
      </c>
      <c r="E206" s="10">
        <v>0</v>
      </c>
      <c r="F206" s="10">
        <f>1540-1500-40</f>
        <v>0</v>
      </c>
    </row>
    <row r="207" spans="1:6" s="9" customFormat="1" ht="6.75" hidden="1" customHeight="1">
      <c r="A207" s="12"/>
      <c r="C207" s="14"/>
      <c r="D207" s="14"/>
    </row>
    <row r="208" spans="1:6" s="9" customFormat="1" hidden="1">
      <c r="A208" s="12"/>
      <c r="B208" s="4">
        <f>SUM(E208:F208)</f>
        <v>0</v>
      </c>
      <c r="C208" s="14"/>
      <c r="D208" s="14"/>
      <c r="E208" s="4">
        <f>SUM(E206:E206)</f>
        <v>0</v>
      </c>
      <c r="F208" s="4">
        <f>SUM(F206:F206)</f>
        <v>0</v>
      </c>
    </row>
    <row r="209" spans="1:6" s="9" customFormat="1" hidden="1">
      <c r="A209" s="12"/>
      <c r="B209" s="4"/>
      <c r="C209" s="14"/>
      <c r="D209" s="14"/>
      <c r="E209" s="4"/>
      <c r="F209" s="4"/>
    </row>
    <row r="210" spans="1:6" s="9" customFormat="1">
      <c r="A210" s="7"/>
      <c r="B210" s="3"/>
      <c r="C210" s="18"/>
      <c r="D210" s="18"/>
      <c r="E210" s="3"/>
      <c r="F210" s="3"/>
    </row>
    <row r="211" spans="1:6" s="9" customFormat="1" ht="6.75" customHeight="1">
      <c r="A211" s="12"/>
      <c r="C211" s="14"/>
      <c r="D211" s="14"/>
    </row>
    <row r="212" spans="1:6" s="11" customFormat="1" hidden="1">
      <c r="A212" s="26"/>
      <c r="C212" s="20"/>
      <c r="D212" s="21"/>
      <c r="E212" s="6"/>
      <c r="F212" s="6"/>
    </row>
    <row r="213" spans="1:6" s="11" customFormat="1" hidden="1">
      <c r="A213" s="26"/>
      <c r="C213" s="20"/>
      <c r="D213" s="21"/>
      <c r="E213" s="6"/>
      <c r="F213" s="6"/>
    </row>
    <row r="214" spans="1:6" s="11" customFormat="1" hidden="1">
      <c r="A214" s="26"/>
      <c r="C214" s="20"/>
      <c r="D214" s="21"/>
      <c r="E214" s="6"/>
      <c r="F214" s="6"/>
    </row>
    <row r="215" spans="1:6" s="11" customFormat="1" hidden="1">
      <c r="A215" s="26"/>
      <c r="C215" s="20"/>
      <c r="D215" s="21"/>
      <c r="E215" s="6"/>
      <c r="F215" s="6"/>
    </row>
    <row r="216" spans="1:6" s="11" customFormat="1" hidden="1">
      <c r="A216" s="26"/>
      <c r="C216" s="20"/>
      <c r="D216" s="21"/>
      <c r="E216" s="6"/>
      <c r="F216" s="6"/>
    </row>
    <row r="217" spans="1:6" s="11" customFormat="1" hidden="1">
      <c r="A217" s="26"/>
      <c r="C217" s="20"/>
      <c r="D217" s="21"/>
      <c r="E217" s="6"/>
      <c r="F217" s="6"/>
    </row>
    <row r="218" spans="1:6" s="11" customFormat="1" ht="15" hidden="1" customHeight="1">
      <c r="A218" s="26"/>
      <c r="C218" s="20"/>
      <c r="D218" s="21"/>
      <c r="E218" s="6"/>
      <c r="F218" s="6"/>
    </row>
    <row r="219" spans="1:6" s="11" customFormat="1" hidden="1">
      <c r="A219" s="26"/>
      <c r="C219" s="20"/>
      <c r="D219" s="21"/>
      <c r="E219" s="6"/>
      <c r="F219" s="6"/>
    </row>
    <row r="220" spans="1:6" s="11" customFormat="1">
      <c r="A220" s="29"/>
      <c r="B220" s="34"/>
      <c r="C220" s="24"/>
      <c r="D220" s="25"/>
      <c r="E220" s="10"/>
      <c r="F220" s="10"/>
    </row>
    <row r="221" spans="1:6" s="9" customFormat="1" ht="6.75" customHeight="1">
      <c r="A221" s="12"/>
      <c r="C221" s="14"/>
      <c r="D221" s="14"/>
    </row>
    <row r="222" spans="1:6" s="9" customFormat="1">
      <c r="A222" s="12"/>
      <c r="B222" s="28">
        <f>SUM(E222:F222)</f>
        <v>0</v>
      </c>
      <c r="C222" s="14"/>
      <c r="D222" s="14"/>
      <c r="E222" s="4">
        <f>SUM(E212:E220)</f>
        <v>0</v>
      </c>
      <c r="F222" s="4">
        <f>SUM(F212:F220)</f>
        <v>0</v>
      </c>
    </row>
    <row r="223" spans="1:6" s="9" customFormat="1">
      <c r="A223" s="12"/>
      <c r="B223" s="4"/>
      <c r="C223" s="14"/>
      <c r="D223" s="14"/>
      <c r="E223" s="4"/>
      <c r="F223" s="4"/>
    </row>
    <row r="224" spans="1:6" s="9" customFormat="1">
      <c r="A224" s="7"/>
      <c r="B224" s="3"/>
      <c r="C224" s="18"/>
      <c r="D224" s="18"/>
      <c r="E224" s="3"/>
      <c r="F224" s="3"/>
    </row>
    <row r="225" spans="1:6" s="9" customFormat="1" ht="6.75" customHeight="1">
      <c r="A225" s="12"/>
      <c r="C225" s="14"/>
      <c r="D225" s="14"/>
    </row>
    <row r="226" spans="1:6" s="11" customFormat="1">
      <c r="A226" s="29"/>
      <c r="B226" s="23"/>
      <c r="C226" s="24"/>
      <c r="D226" s="25"/>
      <c r="E226" s="10"/>
      <c r="F226" s="10"/>
    </row>
    <row r="227" spans="1:6" s="11" customFormat="1" ht="6.75" customHeight="1">
      <c r="A227" s="26"/>
      <c r="C227" s="27"/>
      <c r="D227" s="27"/>
    </row>
    <row r="228" spans="1:6" s="9" customFormat="1">
      <c r="A228" s="12"/>
      <c r="B228" s="28">
        <f>SUM(E228:F228)</f>
        <v>0</v>
      </c>
      <c r="C228" s="14"/>
      <c r="D228" s="14"/>
      <c r="E228" s="4">
        <f>SUM(E226:E226)</f>
        <v>0</v>
      </c>
      <c r="F228" s="4">
        <f>SUM(F226:F226)</f>
        <v>0</v>
      </c>
    </row>
    <row r="229" spans="1:6" s="9" customFormat="1">
      <c r="A229" s="12"/>
      <c r="B229" s="4"/>
      <c r="C229" s="14"/>
      <c r="D229" s="14"/>
      <c r="E229" s="4"/>
      <c r="F229" s="4"/>
    </row>
    <row r="230" spans="1:6" s="9" customFormat="1" hidden="1">
      <c r="A230" s="12">
        <v>7122</v>
      </c>
      <c r="B230" s="9" t="s">
        <v>13</v>
      </c>
      <c r="C230" s="14"/>
      <c r="D230" s="14"/>
      <c r="F230" s="9" t="s">
        <v>7</v>
      </c>
    </row>
    <row r="231" spans="1:6" s="9" customFormat="1" ht="6.75" hidden="1" customHeight="1">
      <c r="A231" s="12"/>
      <c r="C231" s="14"/>
      <c r="D231" s="14"/>
    </row>
    <row r="232" spans="1:6" s="11" customFormat="1" hidden="1">
      <c r="A232" s="26"/>
      <c r="B232" s="11" t="s">
        <v>24</v>
      </c>
      <c r="C232" s="20">
        <v>45699</v>
      </c>
      <c r="D232" s="21">
        <f ca="1">$F$1-C232</f>
        <v>315.45404305555712</v>
      </c>
      <c r="E232" s="6">
        <f>1986-1000-986</f>
        <v>0</v>
      </c>
      <c r="F232" s="6">
        <v>0</v>
      </c>
    </row>
    <row r="233" spans="1:6" s="11" customFormat="1" hidden="1">
      <c r="A233" s="29"/>
      <c r="B233" s="23" t="s">
        <v>39</v>
      </c>
      <c r="C233" s="24">
        <v>45735</v>
      </c>
      <c r="D233" s="25">
        <f ca="1">$F$1-C233</f>
        <v>279.45404305555712</v>
      </c>
      <c r="E233" s="10">
        <f>912-200-712</f>
        <v>0</v>
      </c>
      <c r="F233" s="10">
        <v>0</v>
      </c>
    </row>
    <row r="234" spans="1:6" s="9" customFormat="1" ht="6.75" hidden="1" customHeight="1">
      <c r="A234" s="12"/>
      <c r="C234" s="14"/>
      <c r="D234" s="14"/>
    </row>
    <row r="235" spans="1:6" s="9" customFormat="1" hidden="1">
      <c r="A235" s="12"/>
      <c r="B235" s="4">
        <f>SUM(E235:F235)</f>
        <v>0</v>
      </c>
      <c r="C235" s="14"/>
      <c r="D235" s="14"/>
      <c r="E235" s="4">
        <f>SUM(E232:E233)</f>
        <v>0</v>
      </c>
      <c r="F235" s="4">
        <f>SUM(F232:F233)</f>
        <v>0</v>
      </c>
    </row>
    <row r="236" spans="1:6" s="9" customFormat="1" hidden="1">
      <c r="A236" s="12"/>
      <c r="B236" s="4"/>
      <c r="C236" s="14"/>
      <c r="D236" s="14"/>
      <c r="E236" s="4"/>
      <c r="F236" s="4"/>
    </row>
    <row r="237" spans="1:6" s="9" customFormat="1">
      <c r="A237" s="7"/>
      <c r="B237" s="3"/>
      <c r="C237" s="18"/>
      <c r="D237" s="18"/>
      <c r="E237" s="3"/>
      <c r="F237" s="3"/>
    </row>
    <row r="238" spans="1:6" s="9" customFormat="1" ht="6.75" customHeight="1">
      <c r="A238" s="12"/>
      <c r="C238" s="14"/>
      <c r="D238" s="14"/>
    </row>
    <row r="239" spans="1:6" s="11" customFormat="1" hidden="1">
      <c r="A239" s="26"/>
      <c r="C239" s="20"/>
      <c r="D239" s="21"/>
      <c r="E239" s="6"/>
      <c r="F239" s="6"/>
    </row>
    <row r="240" spans="1:6" s="11" customFormat="1">
      <c r="A240" s="29"/>
      <c r="B240" s="34"/>
      <c r="C240" s="24"/>
      <c r="D240" s="25"/>
      <c r="E240" s="10"/>
      <c r="F240" s="10"/>
    </row>
    <row r="241" spans="1:6" s="9" customFormat="1" ht="6.75" customHeight="1">
      <c r="A241" s="12"/>
      <c r="C241" s="14"/>
      <c r="D241" s="14"/>
    </row>
    <row r="242" spans="1:6" s="9" customFormat="1">
      <c r="A242" s="12"/>
      <c r="B242" s="28">
        <f>SUM(E242:F242)</f>
        <v>0</v>
      </c>
      <c r="C242" s="14"/>
      <c r="D242" s="14"/>
      <c r="E242" s="4">
        <f>SUM(E239:E240)</f>
        <v>0</v>
      </c>
      <c r="F242" s="4">
        <f>SUM(F239:F240)</f>
        <v>0</v>
      </c>
    </row>
    <row r="243" spans="1:6" s="9" customFormat="1">
      <c r="A243" s="12"/>
      <c r="B243" s="4"/>
      <c r="C243" s="14"/>
      <c r="D243" s="14"/>
      <c r="E243" s="4"/>
      <c r="F243" s="4"/>
    </row>
    <row r="244" spans="1:6" s="9" customFormat="1">
      <c r="A244" s="7"/>
      <c r="B244" s="3"/>
      <c r="C244" s="18"/>
      <c r="D244" s="18"/>
      <c r="E244" s="3"/>
      <c r="F244" s="3"/>
    </row>
    <row r="245" spans="1:6" s="9" customFormat="1" ht="6.75" customHeight="1">
      <c r="A245" s="12"/>
      <c r="C245" s="14"/>
      <c r="D245" s="14"/>
    </row>
    <row r="246" spans="1:6" s="11" customFormat="1" hidden="1">
      <c r="A246" s="26"/>
      <c r="C246" s="20"/>
      <c r="D246" s="33"/>
      <c r="E246" s="6"/>
      <c r="F246" s="6"/>
    </row>
    <row r="247" spans="1:6" s="11" customFormat="1" hidden="1">
      <c r="A247" s="26"/>
      <c r="C247" s="20"/>
      <c r="D247" s="33"/>
      <c r="E247" s="6"/>
      <c r="F247" s="6"/>
    </row>
    <row r="248" spans="1:6" s="11" customFormat="1" hidden="1">
      <c r="A248" s="26"/>
      <c r="C248" s="20"/>
      <c r="D248" s="33"/>
      <c r="E248" s="6"/>
      <c r="F248" s="6"/>
    </row>
    <row r="249" spans="1:6" s="11" customFormat="1">
      <c r="A249" s="26"/>
      <c r="C249" s="20"/>
      <c r="D249" s="33"/>
      <c r="E249" s="6"/>
      <c r="F249" s="6"/>
    </row>
    <row r="250" spans="1:6" s="11" customFormat="1">
      <c r="A250" s="26"/>
      <c r="C250" s="20"/>
      <c r="D250" s="33"/>
      <c r="E250" s="6"/>
      <c r="F250" s="6"/>
    </row>
    <row r="251" spans="1:6" s="11" customFormat="1">
      <c r="A251" s="26"/>
      <c r="C251" s="20"/>
      <c r="D251" s="33"/>
      <c r="E251" s="6"/>
      <c r="F251" s="6"/>
    </row>
    <row r="252" spans="1:6" s="11" customFormat="1">
      <c r="A252" s="29"/>
      <c r="B252" s="23"/>
      <c r="C252" s="24"/>
      <c r="D252" s="35"/>
      <c r="E252" s="10"/>
      <c r="F252" s="10"/>
    </row>
    <row r="253" spans="1:6" s="9" customFormat="1" ht="6.75" customHeight="1">
      <c r="A253" s="12"/>
      <c r="C253" s="14"/>
      <c r="D253" s="14"/>
    </row>
    <row r="254" spans="1:6" s="9" customFormat="1">
      <c r="A254" s="12"/>
      <c r="B254" s="28">
        <f>SUM(E254:F254)</f>
        <v>0</v>
      </c>
      <c r="C254" s="14"/>
      <c r="D254" s="14"/>
      <c r="E254" s="4">
        <f>SUM(E246:E252)</f>
        <v>0</v>
      </c>
      <c r="F254" s="4">
        <f>SUM(F246:F252)</f>
        <v>0</v>
      </c>
    </row>
    <row r="255" spans="1:6" s="9" customFormat="1">
      <c r="A255" s="12"/>
      <c r="B255" s="4"/>
      <c r="C255" s="14"/>
      <c r="D255" s="14"/>
      <c r="E255" s="4"/>
      <c r="F255" s="4"/>
    </row>
    <row r="256" spans="1:6" s="9" customFormat="1">
      <c r="A256" s="7"/>
      <c r="B256" s="3"/>
      <c r="C256" s="18"/>
      <c r="D256" s="18"/>
      <c r="E256" s="3"/>
      <c r="F256" s="3"/>
    </row>
    <row r="257" spans="1:9" s="9" customFormat="1" ht="6.75" customHeight="1">
      <c r="A257" s="12"/>
      <c r="C257" s="14"/>
      <c r="D257" s="14"/>
    </row>
    <row r="258" spans="1:9" s="11" customFormat="1" hidden="1">
      <c r="A258" s="26"/>
      <c r="C258" s="20"/>
      <c r="D258" s="33"/>
      <c r="E258" s="6"/>
      <c r="F258" s="6"/>
    </row>
    <row r="259" spans="1:9" s="11" customFormat="1" hidden="1">
      <c r="A259" s="26"/>
      <c r="C259" s="20"/>
      <c r="D259" s="33"/>
      <c r="E259" s="6"/>
      <c r="F259" s="6"/>
    </row>
    <row r="260" spans="1:9" s="11" customFormat="1" hidden="1">
      <c r="A260" s="26"/>
      <c r="C260" s="20"/>
      <c r="D260" s="33"/>
      <c r="E260" s="6"/>
      <c r="F260" s="6"/>
    </row>
    <row r="261" spans="1:9" s="11" customFormat="1" hidden="1">
      <c r="A261" s="26"/>
      <c r="C261" s="20"/>
      <c r="D261" s="33"/>
      <c r="E261" s="6"/>
      <c r="F261" s="6"/>
    </row>
    <row r="262" spans="1:9" s="11" customFormat="1" ht="15" hidden="1" customHeight="1">
      <c r="A262" s="26"/>
      <c r="C262" s="20"/>
      <c r="D262" s="33"/>
      <c r="E262" s="6"/>
      <c r="F262" s="6"/>
    </row>
    <row r="263" spans="1:9" s="11" customFormat="1" hidden="1">
      <c r="A263" s="26"/>
      <c r="C263" s="20"/>
      <c r="D263" s="33"/>
      <c r="E263" s="6"/>
      <c r="F263" s="6"/>
    </row>
    <row r="264" spans="1:9" s="11" customFormat="1" hidden="1">
      <c r="A264" s="26"/>
      <c r="C264" s="20"/>
      <c r="D264" s="33"/>
      <c r="E264" s="6"/>
      <c r="F264" s="6"/>
    </row>
    <row r="265" spans="1:9" s="11" customFormat="1" hidden="1">
      <c r="A265" s="26"/>
      <c r="C265" s="20"/>
      <c r="D265" s="33"/>
      <c r="E265" s="6"/>
      <c r="F265" s="6"/>
    </row>
    <row r="266" spans="1:9" s="11" customFormat="1" hidden="1">
      <c r="A266" s="26"/>
      <c r="C266" s="20"/>
      <c r="D266" s="33"/>
      <c r="E266" s="6"/>
      <c r="F266" s="6"/>
    </row>
    <row r="267" spans="1:9" s="11" customFormat="1">
      <c r="A267" s="26"/>
      <c r="C267" s="20"/>
      <c r="D267" s="33"/>
      <c r="E267" s="6"/>
      <c r="F267" s="6"/>
    </row>
    <row r="268" spans="1:9" s="11" customFormat="1">
      <c r="A268" s="26"/>
      <c r="C268" s="20"/>
      <c r="D268" s="33"/>
      <c r="E268" s="6"/>
      <c r="F268" s="6"/>
    </row>
    <row r="269" spans="1:9" s="11" customFormat="1">
      <c r="A269" s="26"/>
      <c r="C269" s="20"/>
      <c r="D269" s="33"/>
      <c r="E269" s="6"/>
      <c r="F269" s="6"/>
    </row>
    <row r="270" spans="1:9" s="11" customFormat="1">
      <c r="A270" s="29"/>
      <c r="B270" s="23"/>
      <c r="C270" s="24"/>
      <c r="D270" s="35"/>
      <c r="E270" s="10"/>
      <c r="F270" s="10"/>
    </row>
    <row r="271" spans="1:9" s="9" customFormat="1" ht="6.75" customHeight="1">
      <c r="A271" s="12"/>
      <c r="C271" s="14"/>
      <c r="D271" s="14"/>
    </row>
    <row r="272" spans="1:9" s="9" customFormat="1">
      <c r="A272" s="12"/>
      <c r="B272" s="28">
        <f>SUM(E272:F272)</f>
        <v>0</v>
      </c>
      <c r="C272" s="14"/>
      <c r="D272" s="14"/>
      <c r="E272" s="4">
        <f>SUM(E258:E270)</f>
        <v>0</v>
      </c>
      <c r="F272" s="4">
        <f>SUM(F258:F270)</f>
        <v>0</v>
      </c>
      <c r="I272" s="11"/>
    </row>
    <row r="273" spans="1:9" s="9" customFormat="1">
      <c r="A273" s="12"/>
      <c r="B273" s="4"/>
      <c r="C273" s="14"/>
      <c r="D273" s="14"/>
      <c r="E273" s="4"/>
      <c r="F273" s="4"/>
      <c r="I273" s="11"/>
    </row>
    <row r="274" spans="1:9" s="9" customFormat="1">
      <c r="A274" s="7"/>
      <c r="B274" s="3"/>
      <c r="C274" s="18"/>
      <c r="D274" s="18"/>
      <c r="E274" s="3"/>
      <c r="F274" s="3"/>
    </row>
    <row r="275" spans="1:9" s="9" customFormat="1" ht="6.75" customHeight="1">
      <c r="A275" s="12"/>
      <c r="C275" s="14"/>
      <c r="D275" s="14"/>
    </row>
    <row r="276" spans="1:9" s="11" customFormat="1" hidden="1">
      <c r="A276" s="26"/>
      <c r="C276" s="20"/>
      <c r="D276" s="21"/>
      <c r="E276" s="6"/>
      <c r="F276" s="6"/>
    </row>
    <row r="277" spans="1:9" s="11" customFormat="1" hidden="1">
      <c r="A277" s="26"/>
      <c r="C277" s="20"/>
      <c r="D277" s="21"/>
      <c r="E277" s="6"/>
      <c r="F277" s="6"/>
    </row>
    <row r="278" spans="1:9" s="11" customFormat="1" hidden="1">
      <c r="A278" s="26"/>
      <c r="C278" s="20"/>
      <c r="D278" s="21"/>
      <c r="E278" s="6"/>
      <c r="F278" s="6"/>
    </row>
    <row r="279" spans="1:9" s="11" customFormat="1" hidden="1">
      <c r="A279" s="26"/>
      <c r="C279" s="20"/>
      <c r="D279" s="21"/>
      <c r="E279" s="6"/>
      <c r="F279" s="6"/>
    </row>
    <row r="280" spans="1:9" s="11" customFormat="1" hidden="1">
      <c r="A280" s="26"/>
      <c r="C280" s="20"/>
      <c r="D280" s="21"/>
      <c r="E280" s="6"/>
      <c r="F280" s="6"/>
    </row>
    <row r="281" spans="1:9" s="11" customFormat="1" hidden="1">
      <c r="A281" s="26"/>
      <c r="C281" s="20"/>
      <c r="D281" s="21"/>
      <c r="E281" s="6"/>
      <c r="F281" s="6"/>
    </row>
    <row r="282" spans="1:9" s="11" customFormat="1" hidden="1">
      <c r="A282" s="26"/>
      <c r="C282" s="20"/>
      <c r="D282" s="21"/>
      <c r="E282" s="6"/>
      <c r="F282" s="6"/>
    </row>
    <row r="283" spans="1:9" s="11" customFormat="1" hidden="1">
      <c r="A283" s="26"/>
      <c r="C283" s="20"/>
      <c r="D283" s="21"/>
      <c r="E283" s="6"/>
      <c r="F283" s="6"/>
    </row>
    <row r="284" spans="1:9" s="11" customFormat="1" hidden="1">
      <c r="A284" s="26"/>
      <c r="C284" s="20"/>
      <c r="D284" s="21"/>
      <c r="E284" s="6"/>
      <c r="F284" s="6"/>
    </row>
    <row r="285" spans="1:9" s="11" customFormat="1" hidden="1">
      <c r="A285" s="26"/>
      <c r="C285" s="20"/>
      <c r="D285" s="21"/>
      <c r="E285" s="6"/>
      <c r="F285" s="6"/>
    </row>
    <row r="286" spans="1:9" s="11" customFormat="1" hidden="1">
      <c r="A286" s="26"/>
      <c r="C286" s="20"/>
      <c r="D286" s="21"/>
      <c r="E286" s="6"/>
      <c r="F286" s="6"/>
    </row>
    <row r="287" spans="1:9" s="11" customFormat="1" hidden="1">
      <c r="A287" s="26"/>
      <c r="C287" s="20"/>
      <c r="D287" s="21"/>
      <c r="E287" s="6"/>
      <c r="F287" s="6"/>
    </row>
    <row r="288" spans="1:9" s="11" customFormat="1">
      <c r="A288" s="26"/>
      <c r="C288" s="20"/>
      <c r="D288" s="21"/>
      <c r="E288" s="6"/>
      <c r="F288" s="6"/>
    </row>
    <row r="289" spans="1:6" s="11" customFormat="1">
      <c r="A289" s="26"/>
      <c r="C289" s="20"/>
      <c r="D289" s="21"/>
      <c r="E289" s="6"/>
      <c r="F289" s="6"/>
    </row>
    <row r="290" spans="1:6" s="11" customFormat="1">
      <c r="A290" s="29"/>
      <c r="B290" s="23"/>
      <c r="C290" s="24"/>
      <c r="D290" s="25"/>
      <c r="E290" s="10"/>
      <c r="F290" s="10"/>
    </row>
    <row r="291" spans="1:6" s="11" customFormat="1" ht="6.75" customHeight="1">
      <c r="A291" s="26"/>
      <c r="C291" s="27"/>
      <c r="D291" s="27"/>
    </row>
    <row r="292" spans="1:6" s="9" customFormat="1">
      <c r="A292" s="12"/>
      <c r="B292" s="28">
        <f>SUM(E292:F292)</f>
        <v>0</v>
      </c>
      <c r="C292" s="14"/>
      <c r="D292" s="14"/>
      <c r="E292" s="4">
        <f>SUM(E276:E290)</f>
        <v>0</v>
      </c>
      <c r="F292" s="4">
        <f>SUM(F276:F290)</f>
        <v>0</v>
      </c>
    </row>
    <row r="293" spans="1:6" s="9" customFormat="1">
      <c r="A293" s="12"/>
      <c r="B293" s="4"/>
      <c r="C293" s="14"/>
      <c r="D293" s="14"/>
      <c r="E293" s="4"/>
      <c r="F293" s="4"/>
    </row>
    <row r="294" spans="1:6" s="9" customFormat="1">
      <c r="A294" s="7"/>
      <c r="B294" s="3"/>
      <c r="C294" s="18"/>
      <c r="D294" s="18"/>
      <c r="E294" s="3"/>
      <c r="F294" s="3"/>
    </row>
    <row r="295" spans="1:6" s="9" customFormat="1" ht="6.75" customHeight="1">
      <c r="A295" s="12"/>
      <c r="C295" s="14"/>
      <c r="D295" s="14"/>
    </row>
    <row r="296" spans="1:6" s="11" customFormat="1" hidden="1">
      <c r="A296" s="26"/>
      <c r="C296" s="20"/>
      <c r="D296" s="21"/>
      <c r="E296" s="6"/>
      <c r="F296" s="6"/>
    </row>
    <row r="297" spans="1:6" s="11" customFormat="1" hidden="1">
      <c r="A297" s="26"/>
      <c r="C297" s="20"/>
      <c r="D297" s="21"/>
      <c r="E297" s="6"/>
      <c r="F297" s="6"/>
    </row>
    <row r="298" spans="1:6" s="11" customFormat="1" hidden="1">
      <c r="A298" s="26"/>
      <c r="C298" s="20"/>
      <c r="D298" s="21"/>
      <c r="E298" s="6"/>
      <c r="F298" s="6"/>
    </row>
    <row r="299" spans="1:6" s="11" customFormat="1" hidden="1">
      <c r="A299" s="26"/>
      <c r="C299" s="20"/>
      <c r="D299" s="21"/>
      <c r="E299" s="6"/>
      <c r="F299" s="6"/>
    </row>
    <row r="300" spans="1:6" s="11" customFormat="1" hidden="1">
      <c r="A300" s="26"/>
      <c r="C300" s="20"/>
      <c r="D300" s="21"/>
      <c r="E300" s="6"/>
      <c r="F300" s="6"/>
    </row>
    <row r="301" spans="1:6" s="11" customFormat="1" hidden="1">
      <c r="A301" s="26"/>
      <c r="C301" s="20"/>
      <c r="D301" s="21"/>
      <c r="E301" s="6"/>
      <c r="F301" s="6"/>
    </row>
    <row r="302" spans="1:6" s="11" customFormat="1">
      <c r="A302" s="29"/>
      <c r="B302" s="23"/>
      <c r="C302" s="24"/>
      <c r="D302" s="25"/>
      <c r="E302" s="10"/>
      <c r="F302" s="10"/>
    </row>
    <row r="303" spans="1:6" s="9" customFormat="1" ht="6.75" customHeight="1">
      <c r="A303" s="12"/>
      <c r="C303" s="14"/>
      <c r="D303" s="14"/>
    </row>
    <row r="304" spans="1:6" s="9" customFormat="1">
      <c r="A304" s="12"/>
      <c r="B304" s="28">
        <f>SUM(E304:F304)</f>
        <v>0</v>
      </c>
      <c r="C304" s="14"/>
      <c r="D304" s="14"/>
      <c r="E304" s="4">
        <f>SUM(E298:E302)</f>
        <v>0</v>
      </c>
      <c r="F304" s="4">
        <f>SUM(F298:F302)</f>
        <v>0</v>
      </c>
    </row>
    <row r="305" spans="1:6" s="9" customFormat="1">
      <c r="A305" s="12"/>
      <c r="B305" s="4"/>
      <c r="C305" s="14"/>
      <c r="D305" s="14"/>
      <c r="E305" s="4"/>
      <c r="F305" s="4"/>
    </row>
    <row r="306" spans="1:6" s="9" customFormat="1">
      <c r="A306" s="7"/>
      <c r="B306" s="3"/>
      <c r="C306" s="18"/>
      <c r="D306" s="18"/>
      <c r="E306" s="3"/>
      <c r="F306" s="3"/>
    </row>
    <row r="307" spans="1:6" s="9" customFormat="1" ht="6.75" customHeight="1">
      <c r="A307" s="12"/>
      <c r="C307" s="14"/>
      <c r="D307" s="14"/>
    </row>
    <row r="308" spans="1:6" s="11" customFormat="1" hidden="1">
      <c r="A308" s="26"/>
      <c r="C308" s="20"/>
      <c r="D308" s="21"/>
      <c r="E308" s="6"/>
      <c r="F308" s="6"/>
    </row>
    <row r="309" spans="1:6" s="11" customFormat="1" hidden="1">
      <c r="A309" s="26"/>
      <c r="C309" s="20"/>
      <c r="D309" s="21"/>
      <c r="E309" s="6"/>
      <c r="F309" s="6"/>
    </row>
    <row r="310" spans="1:6" s="11" customFormat="1" hidden="1">
      <c r="A310" s="26"/>
      <c r="C310" s="20"/>
      <c r="D310" s="21"/>
      <c r="E310" s="6"/>
      <c r="F310" s="6"/>
    </row>
    <row r="311" spans="1:6" s="11" customFormat="1" hidden="1">
      <c r="A311" s="26"/>
      <c r="C311" s="20"/>
      <c r="D311" s="21"/>
      <c r="E311" s="6"/>
      <c r="F311" s="6"/>
    </row>
    <row r="312" spans="1:6" s="11" customFormat="1" hidden="1">
      <c r="A312" s="26"/>
      <c r="C312" s="20"/>
      <c r="D312" s="21"/>
      <c r="E312" s="6"/>
      <c r="F312" s="6"/>
    </row>
    <row r="313" spans="1:6" s="11" customFormat="1" hidden="1">
      <c r="A313" s="26"/>
      <c r="C313" s="20"/>
      <c r="D313" s="21"/>
      <c r="E313" s="6"/>
      <c r="F313" s="6"/>
    </row>
    <row r="314" spans="1:6" s="11" customFormat="1" hidden="1">
      <c r="A314" s="26"/>
      <c r="C314" s="20"/>
      <c r="D314" s="21"/>
      <c r="E314" s="6"/>
      <c r="F314" s="6"/>
    </row>
    <row r="315" spans="1:6" s="11" customFormat="1">
      <c r="A315" s="29"/>
      <c r="B315" s="23"/>
      <c r="C315" s="24"/>
      <c r="D315" s="25"/>
      <c r="E315" s="10"/>
      <c r="F315" s="10"/>
    </row>
    <row r="316" spans="1:6" s="9" customFormat="1" ht="6.75" customHeight="1">
      <c r="A316" s="12"/>
      <c r="C316" s="14"/>
      <c r="D316" s="14"/>
    </row>
    <row r="317" spans="1:6" s="9" customFormat="1">
      <c r="A317" s="12"/>
      <c r="B317" s="28">
        <f>SUM(E317:F317)</f>
        <v>0</v>
      </c>
      <c r="C317" s="14"/>
      <c r="D317" s="14"/>
      <c r="E317" s="4">
        <f>SUM(E309:E315)</f>
        <v>0</v>
      </c>
      <c r="F317" s="4">
        <f>SUM(F309:F315)</f>
        <v>0</v>
      </c>
    </row>
    <row r="318" spans="1:6" s="9" customFormat="1">
      <c r="A318" s="12"/>
      <c r="B318" s="4"/>
      <c r="C318" s="14"/>
      <c r="D318" s="14"/>
      <c r="E318" s="4"/>
      <c r="F318" s="4"/>
    </row>
    <row r="319" spans="1:6" s="9" customFormat="1">
      <c r="A319" s="7"/>
      <c r="B319" s="3"/>
      <c r="C319" s="18"/>
      <c r="D319" s="18"/>
      <c r="E319" s="3"/>
      <c r="F319" s="3"/>
    </row>
    <row r="320" spans="1:6" s="9" customFormat="1" ht="6.75" customHeight="1">
      <c r="A320" s="12"/>
      <c r="C320" s="14"/>
      <c r="D320" s="14"/>
    </row>
    <row r="321" spans="1:6" s="11" customFormat="1" hidden="1">
      <c r="A321" s="26"/>
      <c r="C321" s="20"/>
      <c r="D321" s="21"/>
      <c r="E321" s="6"/>
      <c r="F321" s="6"/>
    </row>
    <row r="322" spans="1:6" s="11" customFormat="1" hidden="1">
      <c r="A322" s="26"/>
      <c r="C322" s="20"/>
      <c r="D322" s="21"/>
      <c r="E322" s="6"/>
      <c r="F322" s="6"/>
    </row>
    <row r="323" spans="1:6" s="11" customFormat="1" hidden="1">
      <c r="A323" s="26"/>
      <c r="C323" s="20"/>
      <c r="D323" s="21"/>
      <c r="E323" s="6"/>
      <c r="F323" s="6"/>
    </row>
    <row r="324" spans="1:6" s="11" customFormat="1" hidden="1">
      <c r="A324" s="26"/>
      <c r="C324" s="20"/>
      <c r="D324" s="21"/>
      <c r="E324" s="6"/>
      <c r="F324" s="6"/>
    </row>
    <row r="325" spans="1:6" s="11" customFormat="1" hidden="1">
      <c r="A325" s="26"/>
      <c r="C325" s="20"/>
      <c r="D325" s="21"/>
      <c r="E325" s="6"/>
      <c r="F325" s="5"/>
    </row>
    <row r="326" spans="1:6" s="11" customFormat="1" hidden="1">
      <c r="A326" s="26"/>
      <c r="C326" s="20"/>
      <c r="D326" s="21"/>
      <c r="E326" s="6"/>
      <c r="F326" s="6"/>
    </row>
    <row r="327" spans="1:6" s="11" customFormat="1">
      <c r="A327" s="29"/>
      <c r="B327" s="23"/>
      <c r="C327" s="24"/>
      <c r="D327" s="25"/>
      <c r="E327" s="10"/>
      <c r="F327" s="10"/>
    </row>
    <row r="328" spans="1:6" s="9" customFormat="1" ht="6.75" customHeight="1">
      <c r="A328" s="12"/>
      <c r="C328" s="14"/>
      <c r="D328" s="14"/>
    </row>
    <row r="329" spans="1:6" s="9" customFormat="1">
      <c r="A329" s="12"/>
      <c r="B329" s="28">
        <f>SUM(E329:F329)</f>
        <v>0</v>
      </c>
      <c r="C329" s="14"/>
      <c r="D329" s="14"/>
      <c r="E329" s="4">
        <f>SUM(E321:E327)</f>
        <v>0</v>
      </c>
      <c r="F329" s="4">
        <f>SUM(F325:F327)</f>
        <v>0</v>
      </c>
    </row>
    <row r="330" spans="1:6" s="9" customFormat="1">
      <c r="A330" s="12"/>
      <c r="B330" s="4"/>
      <c r="C330" s="14"/>
      <c r="D330" s="14"/>
      <c r="E330" s="4"/>
      <c r="F330" s="4"/>
    </row>
    <row r="331" spans="1:6" s="9" customFormat="1">
      <c r="A331" s="7"/>
      <c r="B331" s="3"/>
      <c r="C331" s="18"/>
      <c r="D331" s="18"/>
      <c r="E331" s="3"/>
      <c r="F331" s="3"/>
    </row>
    <row r="332" spans="1:6" s="9" customFormat="1" ht="6.75" customHeight="1">
      <c r="A332" s="12"/>
      <c r="C332" s="14"/>
      <c r="D332" s="14"/>
    </row>
    <row r="333" spans="1:6" s="11" customFormat="1" hidden="1">
      <c r="A333" s="26"/>
      <c r="C333" s="20"/>
      <c r="D333" s="33"/>
      <c r="E333" s="6"/>
      <c r="F333" s="6"/>
    </row>
    <row r="334" spans="1:6" s="11" customFormat="1" hidden="1">
      <c r="A334" s="26"/>
      <c r="C334" s="20"/>
      <c r="D334" s="33"/>
      <c r="E334" s="6"/>
      <c r="F334" s="6"/>
    </row>
    <row r="335" spans="1:6" s="11" customFormat="1" hidden="1">
      <c r="A335" s="26"/>
      <c r="C335" s="20"/>
      <c r="D335" s="33"/>
      <c r="E335" s="6"/>
      <c r="F335" s="6"/>
    </row>
    <row r="336" spans="1:6" s="11" customFormat="1" hidden="1">
      <c r="A336" s="26"/>
      <c r="C336" s="20"/>
      <c r="D336" s="33"/>
      <c r="E336" s="6"/>
      <c r="F336" s="6"/>
    </row>
    <row r="337" spans="1:6" s="11" customFormat="1" hidden="1">
      <c r="A337" s="26"/>
      <c r="C337" s="20"/>
      <c r="D337" s="33"/>
      <c r="E337" s="6"/>
      <c r="F337" s="6"/>
    </row>
    <row r="338" spans="1:6" s="11" customFormat="1" hidden="1">
      <c r="A338" s="26"/>
      <c r="C338" s="20"/>
      <c r="D338" s="33"/>
      <c r="E338" s="6"/>
      <c r="F338" s="6"/>
    </row>
    <row r="339" spans="1:6" s="11" customFormat="1" hidden="1">
      <c r="A339" s="26"/>
      <c r="C339" s="20"/>
      <c r="D339" s="33"/>
      <c r="E339" s="6"/>
      <c r="F339" s="6"/>
    </row>
    <row r="340" spans="1:6" s="11" customFormat="1" hidden="1">
      <c r="A340" s="26"/>
      <c r="C340" s="20"/>
      <c r="D340" s="33"/>
      <c r="E340" s="6"/>
      <c r="F340" s="6"/>
    </row>
    <row r="341" spans="1:6" s="11" customFormat="1" hidden="1">
      <c r="A341" s="26"/>
      <c r="C341" s="20"/>
      <c r="D341" s="33"/>
      <c r="E341" s="6"/>
      <c r="F341" s="6"/>
    </row>
    <row r="342" spans="1:6" s="11" customFormat="1" hidden="1">
      <c r="A342" s="26"/>
      <c r="C342" s="20"/>
      <c r="D342" s="33"/>
      <c r="E342" s="6"/>
      <c r="F342" s="6"/>
    </row>
    <row r="343" spans="1:6" s="11" customFormat="1" hidden="1">
      <c r="A343" s="26"/>
      <c r="C343" s="20"/>
      <c r="D343" s="33"/>
      <c r="E343" s="6"/>
      <c r="F343" s="6"/>
    </row>
    <row r="344" spans="1:6" s="11" customFormat="1" hidden="1">
      <c r="A344" s="26"/>
      <c r="C344" s="20"/>
      <c r="D344" s="33"/>
      <c r="E344" s="6"/>
      <c r="F344" s="6"/>
    </row>
    <row r="345" spans="1:6" s="11" customFormat="1">
      <c r="A345" s="26"/>
      <c r="C345" s="20"/>
      <c r="D345" s="33"/>
      <c r="E345" s="6"/>
      <c r="F345" s="6"/>
    </row>
    <row r="346" spans="1:6" s="11" customFormat="1">
      <c r="A346" s="29"/>
      <c r="B346" s="23"/>
      <c r="C346" s="24"/>
      <c r="D346" s="35"/>
      <c r="E346" s="10"/>
      <c r="F346" s="10"/>
    </row>
    <row r="347" spans="1:6" s="9" customFormat="1" ht="6.75" customHeight="1">
      <c r="A347" s="12"/>
      <c r="C347" s="14"/>
      <c r="D347" s="14"/>
    </row>
    <row r="348" spans="1:6" s="9" customFormat="1">
      <c r="A348" s="12"/>
      <c r="B348" s="28">
        <f>SUM(E348:F348)</f>
        <v>0</v>
      </c>
      <c r="C348" s="14"/>
      <c r="D348" s="14"/>
      <c r="E348" s="4">
        <f>SUM(E333:E346)</f>
        <v>0</v>
      </c>
      <c r="F348" s="4">
        <f>SUM(F333:F346)</f>
        <v>0</v>
      </c>
    </row>
    <row r="349" spans="1:6" s="9" customFormat="1">
      <c r="A349" s="12"/>
      <c r="B349" s="4"/>
      <c r="C349" s="14"/>
      <c r="D349" s="14"/>
      <c r="E349" s="4"/>
      <c r="F349" s="4"/>
    </row>
    <row r="350" spans="1:6" s="9" customFormat="1">
      <c r="A350" s="7"/>
      <c r="B350" s="3"/>
      <c r="C350" s="18"/>
      <c r="D350" s="18"/>
      <c r="E350" s="3"/>
      <c r="F350" s="3"/>
    </row>
    <row r="351" spans="1:6" s="9" customFormat="1" ht="6.75" customHeight="1">
      <c r="A351" s="12"/>
      <c r="C351" s="14"/>
      <c r="D351" s="14"/>
    </row>
    <row r="352" spans="1:6" s="11" customFormat="1" hidden="1">
      <c r="A352" s="26"/>
      <c r="C352" s="20"/>
      <c r="D352" s="33"/>
      <c r="E352" s="6"/>
      <c r="F352" s="6"/>
    </row>
    <row r="353" spans="1:6" s="11" customFormat="1" hidden="1">
      <c r="A353" s="26"/>
      <c r="C353" s="20"/>
      <c r="D353" s="33"/>
      <c r="E353" s="6"/>
      <c r="F353" s="6"/>
    </row>
    <row r="354" spans="1:6" s="11" customFormat="1" hidden="1">
      <c r="A354" s="26"/>
      <c r="C354" s="20"/>
      <c r="D354" s="33"/>
      <c r="E354" s="6"/>
      <c r="F354" s="6"/>
    </row>
    <row r="355" spans="1:6" s="11" customFormat="1" hidden="1">
      <c r="A355" s="26"/>
      <c r="C355" s="20"/>
      <c r="D355" s="33"/>
      <c r="E355" s="6"/>
      <c r="F355" s="6"/>
    </row>
    <row r="356" spans="1:6" s="11" customFormat="1" hidden="1">
      <c r="A356" s="26"/>
      <c r="C356" s="20"/>
      <c r="D356" s="33"/>
      <c r="E356" s="6"/>
      <c r="F356" s="6"/>
    </row>
    <row r="357" spans="1:6" s="11" customFormat="1" hidden="1">
      <c r="A357" s="26"/>
      <c r="C357" s="20"/>
      <c r="D357" s="33"/>
      <c r="E357" s="6"/>
      <c r="F357" s="6"/>
    </row>
    <row r="358" spans="1:6" s="11" customFormat="1" hidden="1">
      <c r="A358" s="26"/>
      <c r="C358" s="20"/>
      <c r="D358" s="33"/>
      <c r="E358" s="6"/>
      <c r="F358" s="6"/>
    </row>
    <row r="359" spans="1:6" s="11" customFormat="1" hidden="1">
      <c r="A359" s="26"/>
      <c r="C359" s="20"/>
      <c r="D359" s="33"/>
      <c r="E359" s="6"/>
      <c r="F359" s="6"/>
    </row>
    <row r="360" spans="1:6" s="11" customFormat="1" hidden="1">
      <c r="A360" s="26"/>
      <c r="C360" s="20"/>
      <c r="D360" s="33"/>
      <c r="E360" s="6"/>
      <c r="F360" s="6"/>
    </row>
    <row r="361" spans="1:6" s="11" customFormat="1" hidden="1">
      <c r="A361" s="26"/>
      <c r="C361" s="20"/>
      <c r="D361" s="33"/>
      <c r="E361" s="6"/>
      <c r="F361" s="6"/>
    </row>
    <row r="362" spans="1:6" s="11" customFormat="1" hidden="1">
      <c r="A362" s="26"/>
      <c r="C362" s="20"/>
      <c r="D362" s="33"/>
      <c r="E362" s="6"/>
      <c r="F362" s="6"/>
    </row>
    <row r="363" spans="1:6" s="11" customFormat="1" hidden="1">
      <c r="A363" s="26"/>
      <c r="C363" s="20"/>
      <c r="D363" s="33"/>
      <c r="E363" s="6"/>
      <c r="F363" s="6"/>
    </row>
    <row r="364" spans="1:6" s="11" customFormat="1" hidden="1">
      <c r="A364" s="26"/>
      <c r="C364" s="20"/>
      <c r="D364" s="33"/>
      <c r="E364" s="6"/>
      <c r="F364" s="6"/>
    </row>
    <row r="365" spans="1:6" s="11" customFormat="1" hidden="1">
      <c r="A365" s="26"/>
      <c r="C365" s="20"/>
      <c r="D365" s="33"/>
      <c r="E365" s="6"/>
      <c r="F365" s="6"/>
    </row>
    <row r="366" spans="1:6" s="11" customFormat="1" hidden="1">
      <c r="A366" s="26"/>
      <c r="C366" s="20"/>
      <c r="D366" s="33"/>
      <c r="E366" s="6"/>
      <c r="F366" s="6"/>
    </row>
    <row r="367" spans="1:6" s="11" customFormat="1" hidden="1">
      <c r="A367" s="26"/>
      <c r="C367" s="20"/>
      <c r="D367" s="33"/>
      <c r="E367" s="6"/>
      <c r="F367" s="6"/>
    </row>
    <row r="368" spans="1:6" s="11" customFormat="1" hidden="1">
      <c r="A368" s="26"/>
      <c r="C368" s="20"/>
      <c r="D368" s="33"/>
      <c r="E368" s="6"/>
      <c r="F368" s="6"/>
    </row>
    <row r="369" spans="1:6" s="11" customFormat="1" hidden="1">
      <c r="A369" s="26"/>
      <c r="C369" s="20"/>
      <c r="D369" s="33"/>
      <c r="E369" s="6"/>
      <c r="F369" s="6"/>
    </row>
    <row r="370" spans="1:6" s="11" customFormat="1" hidden="1">
      <c r="A370" s="26"/>
      <c r="C370" s="20"/>
      <c r="D370" s="33"/>
      <c r="E370" s="6"/>
      <c r="F370" s="6"/>
    </row>
    <row r="371" spans="1:6" s="11" customFormat="1" hidden="1">
      <c r="A371" s="26"/>
      <c r="C371" s="20"/>
      <c r="D371" s="33"/>
      <c r="E371" s="5"/>
      <c r="F371" s="5"/>
    </row>
    <row r="372" spans="1:6" s="11" customFormat="1">
      <c r="A372" s="26"/>
      <c r="C372" s="20"/>
      <c r="D372" s="33"/>
      <c r="E372" s="6"/>
      <c r="F372" s="6"/>
    </row>
    <row r="373" spans="1:6" s="11" customFormat="1">
      <c r="A373" s="26"/>
      <c r="C373" s="20"/>
      <c r="D373" s="33"/>
      <c r="E373" s="6"/>
      <c r="F373" s="6"/>
    </row>
    <row r="374" spans="1:6" s="11" customFormat="1">
      <c r="A374" s="29"/>
      <c r="B374" s="23"/>
      <c r="C374" s="24"/>
      <c r="D374" s="35"/>
      <c r="E374" s="10"/>
      <c r="F374" s="10"/>
    </row>
    <row r="375" spans="1:6" s="9" customFormat="1" ht="6.75" customHeight="1">
      <c r="A375" s="12"/>
      <c r="C375" s="14"/>
      <c r="D375" s="14"/>
    </row>
    <row r="376" spans="1:6" s="9" customFormat="1">
      <c r="A376" s="12"/>
      <c r="B376" s="28">
        <f>SUM(E376:F376)</f>
        <v>0</v>
      </c>
      <c r="C376" s="14"/>
      <c r="D376" s="14"/>
      <c r="E376" s="4">
        <f>SUM(E352:E374)</f>
        <v>0</v>
      </c>
      <c r="F376" s="4">
        <f>SUM(F352:F374)</f>
        <v>0</v>
      </c>
    </row>
    <row r="377" spans="1:6" s="9" customFormat="1">
      <c r="A377" s="12"/>
      <c r="B377" s="4"/>
      <c r="C377" s="14"/>
      <c r="D377" s="14"/>
      <c r="E377" s="4"/>
      <c r="F377" s="4"/>
    </row>
    <row r="378" spans="1:6" s="9" customFormat="1" hidden="1">
      <c r="A378" s="12">
        <v>7255</v>
      </c>
      <c r="B378" s="9" t="s">
        <v>62</v>
      </c>
      <c r="C378" s="14"/>
      <c r="D378" s="14"/>
      <c r="F378" s="9" t="s">
        <v>15</v>
      </c>
    </row>
    <row r="379" spans="1:6" s="9" customFormat="1" ht="6.75" hidden="1" customHeight="1">
      <c r="A379" s="12"/>
      <c r="C379" s="14"/>
      <c r="D379" s="14"/>
    </row>
    <row r="380" spans="1:6" s="11" customFormat="1" hidden="1">
      <c r="A380" s="29"/>
      <c r="B380" s="23" t="s">
        <v>63</v>
      </c>
      <c r="C380" s="24">
        <v>45849</v>
      </c>
      <c r="D380" s="25" t="e">
        <f>#REF!-C380</f>
        <v>#REF!</v>
      </c>
      <c r="E380" s="10">
        <f>880-880</f>
        <v>0</v>
      </c>
      <c r="F380" s="10">
        <v>0</v>
      </c>
    </row>
    <row r="381" spans="1:6" s="11" customFormat="1" ht="6.75" hidden="1" customHeight="1">
      <c r="A381" s="26"/>
      <c r="C381" s="27"/>
      <c r="D381" s="27"/>
    </row>
    <row r="382" spans="1:6" s="9" customFormat="1" hidden="1">
      <c r="A382" s="12"/>
      <c r="B382" s="4">
        <f>SUM(E382:F382)</f>
        <v>0</v>
      </c>
      <c r="C382" s="14"/>
      <c r="D382" s="14"/>
      <c r="E382" s="4">
        <f>SUM(E380:E380)</f>
        <v>0</v>
      </c>
      <c r="F382" s="4">
        <f>SUM(F380:F380)</f>
        <v>0</v>
      </c>
    </row>
    <row r="383" spans="1:6" s="9" customFormat="1" hidden="1">
      <c r="A383" s="12"/>
      <c r="B383" s="4"/>
      <c r="C383" s="14"/>
      <c r="D383" s="14"/>
      <c r="E383" s="4"/>
      <c r="F383" s="4"/>
    </row>
    <row r="384" spans="1:6" s="9" customFormat="1" ht="15" hidden="1" customHeight="1">
      <c r="A384" s="12">
        <v>7367</v>
      </c>
      <c r="B384" s="9" t="s">
        <v>14</v>
      </c>
      <c r="C384" s="14"/>
      <c r="D384" s="14"/>
      <c r="F384" s="9" t="s">
        <v>15</v>
      </c>
    </row>
    <row r="385" spans="1:6" s="9" customFormat="1" ht="6.75" hidden="1" customHeight="1">
      <c r="A385" s="12"/>
      <c r="C385" s="14"/>
      <c r="D385" s="14"/>
    </row>
    <row r="386" spans="1:6" s="11" customFormat="1" ht="15" hidden="1" customHeight="1">
      <c r="A386" s="26"/>
      <c r="B386" s="11" t="s">
        <v>27</v>
      </c>
      <c r="C386" s="20">
        <v>45688</v>
      </c>
      <c r="D386" s="21" t="e">
        <f>#REF!-C386</f>
        <v>#REF!</v>
      </c>
      <c r="E386" s="6">
        <f>2152.8-2152.8</f>
        <v>0</v>
      </c>
      <c r="F386" s="6">
        <f>1956-1956</f>
        <v>0</v>
      </c>
    </row>
    <row r="387" spans="1:6" s="11" customFormat="1" ht="15" hidden="1" customHeight="1">
      <c r="A387" s="26"/>
      <c r="B387" s="11" t="s">
        <v>36</v>
      </c>
      <c r="C387" s="20">
        <v>45707</v>
      </c>
      <c r="D387" s="21" t="e">
        <f>#REF!-C387</f>
        <v>#REF!</v>
      </c>
      <c r="E387" s="6">
        <f>4295-1295-3000</f>
        <v>0</v>
      </c>
      <c r="F387" s="6">
        <f>1956-1956</f>
        <v>0</v>
      </c>
    </row>
    <row r="388" spans="1:6" s="11" customFormat="1" ht="15" hidden="1" customHeight="1">
      <c r="A388" s="29"/>
      <c r="B388" s="23" t="s">
        <v>37</v>
      </c>
      <c r="C388" s="24">
        <v>45714</v>
      </c>
      <c r="D388" s="25">
        <f ca="1">$F$1-C388</f>
        <v>300.45404305555712</v>
      </c>
      <c r="E388" s="10">
        <f>1737-100-1637</f>
        <v>0</v>
      </c>
      <c r="F388" s="10">
        <f>1956-1956</f>
        <v>0</v>
      </c>
    </row>
    <row r="389" spans="1:6" s="11" customFormat="1" ht="6.75" hidden="1" customHeight="1">
      <c r="A389" s="26"/>
      <c r="C389" s="27"/>
      <c r="D389" s="27"/>
    </row>
    <row r="390" spans="1:6" s="9" customFormat="1" ht="15" hidden="1" customHeight="1">
      <c r="A390" s="12"/>
      <c r="B390" s="4">
        <f>SUM(E390:F390)</f>
        <v>0</v>
      </c>
      <c r="C390" s="14"/>
      <c r="D390" s="14"/>
      <c r="E390" s="4">
        <f>SUM(E386:E388)</f>
        <v>0</v>
      </c>
      <c r="F390" s="4">
        <f>SUM(F386:F388)</f>
        <v>0</v>
      </c>
    </row>
    <row r="391" spans="1:6" s="9" customFormat="1" ht="15" hidden="1" customHeight="1">
      <c r="A391" s="12"/>
      <c r="B391" s="4"/>
      <c r="C391" s="14"/>
      <c r="D391" s="14"/>
      <c r="E391" s="4"/>
      <c r="F391" s="4"/>
    </row>
    <row r="392" spans="1:6" s="9" customFormat="1" hidden="1">
      <c r="A392" s="7">
        <v>7402</v>
      </c>
      <c r="B392" s="3" t="s">
        <v>45</v>
      </c>
      <c r="C392" s="18"/>
      <c r="D392" s="18"/>
      <c r="E392" s="3"/>
      <c r="F392" s="3" t="s">
        <v>15</v>
      </c>
    </row>
    <row r="393" spans="1:6" s="9" customFormat="1" ht="6.75" hidden="1" customHeight="1">
      <c r="A393" s="12"/>
      <c r="C393" s="14"/>
      <c r="D393" s="14"/>
    </row>
    <row r="394" spans="1:6" s="11" customFormat="1" hidden="1">
      <c r="A394" s="26"/>
      <c r="B394" s="11" t="s">
        <v>46</v>
      </c>
      <c r="C394" s="20">
        <v>45751</v>
      </c>
      <c r="D394" s="21" t="e">
        <f>#REF!-C394</f>
        <v>#REF!</v>
      </c>
      <c r="E394" s="6">
        <f>31533.7-31533.7</f>
        <v>0</v>
      </c>
      <c r="F394" s="6">
        <v>0</v>
      </c>
    </row>
    <row r="395" spans="1:6" s="11" customFormat="1" hidden="1">
      <c r="A395" s="26"/>
      <c r="B395" s="11" t="s">
        <v>87</v>
      </c>
      <c r="C395" s="20">
        <v>45945</v>
      </c>
      <c r="D395" s="21" t="e">
        <f>#REF!-C395</f>
        <v>#REF!</v>
      </c>
      <c r="E395" s="6">
        <f>7597-7597</f>
        <v>0</v>
      </c>
      <c r="F395" s="6">
        <v>0</v>
      </c>
    </row>
    <row r="396" spans="1:6" s="11" customFormat="1" hidden="1">
      <c r="A396" s="29"/>
      <c r="B396" s="23" t="s">
        <v>92</v>
      </c>
      <c r="C396" s="24">
        <v>45975</v>
      </c>
      <c r="D396" s="25" t="e">
        <f>#REF!-C396</f>
        <v>#REF!</v>
      </c>
      <c r="E396" s="10">
        <f>21825.61-21825.61</f>
        <v>0</v>
      </c>
      <c r="F396" s="10">
        <v>0</v>
      </c>
    </row>
    <row r="397" spans="1:6" s="11" customFormat="1" ht="6.75" hidden="1" customHeight="1">
      <c r="A397" s="26"/>
      <c r="C397" s="27"/>
      <c r="D397" s="27"/>
    </row>
    <row r="398" spans="1:6" s="9" customFormat="1" hidden="1">
      <c r="A398" s="12"/>
      <c r="B398" s="28">
        <f>SUM(E398:F398)</f>
        <v>0</v>
      </c>
      <c r="C398" s="14"/>
      <c r="D398" s="14"/>
      <c r="E398" s="4">
        <f>SUM(E394:E396)</f>
        <v>0</v>
      </c>
      <c r="F398" s="4">
        <f>SUM(F394:F396)</f>
        <v>0</v>
      </c>
    </row>
    <row r="399" spans="1:6" s="9" customFormat="1" hidden="1">
      <c r="A399" s="12"/>
      <c r="B399" s="4"/>
      <c r="C399" s="14"/>
      <c r="D399" s="14"/>
      <c r="E399" s="4"/>
      <c r="F399" s="4"/>
    </row>
    <row r="400" spans="1:6" s="9" customFormat="1" hidden="1">
      <c r="A400" s="7">
        <v>7407</v>
      </c>
      <c r="B400" s="3" t="s">
        <v>16</v>
      </c>
      <c r="C400" s="18"/>
      <c r="D400" s="18"/>
      <c r="E400" s="3"/>
      <c r="F400" s="3" t="s">
        <v>15</v>
      </c>
    </row>
    <row r="401" spans="1:6" s="9" customFormat="1" ht="6.75" hidden="1" customHeight="1">
      <c r="A401" s="12"/>
      <c r="C401" s="14"/>
      <c r="D401" s="14"/>
    </row>
    <row r="402" spans="1:6" s="11" customFormat="1" hidden="1">
      <c r="A402" s="26"/>
      <c r="B402" s="11" t="s">
        <v>25</v>
      </c>
      <c r="C402" s="20">
        <v>45654</v>
      </c>
      <c r="D402" s="21" t="e">
        <f>#REF!-C402</f>
        <v>#REF!</v>
      </c>
      <c r="E402" s="6">
        <v>0</v>
      </c>
      <c r="F402" s="6">
        <f>210-210</f>
        <v>0</v>
      </c>
    </row>
    <row r="403" spans="1:6" s="11" customFormat="1" hidden="1">
      <c r="A403" s="26"/>
      <c r="B403" s="11" t="s">
        <v>35</v>
      </c>
      <c r="C403" s="20">
        <v>45688</v>
      </c>
      <c r="D403" s="21" t="e">
        <f>#REF!-C403</f>
        <v>#REF!</v>
      </c>
      <c r="E403" s="6">
        <f>2234-2234</f>
        <v>0</v>
      </c>
      <c r="F403" s="6">
        <v>0</v>
      </c>
    </row>
    <row r="404" spans="1:6" s="11" customFormat="1" hidden="1">
      <c r="A404" s="26"/>
      <c r="B404" s="11" t="s">
        <v>50</v>
      </c>
      <c r="C404" s="20">
        <v>45776</v>
      </c>
      <c r="D404" s="21" t="e">
        <f>#REF!-C404</f>
        <v>#REF!</v>
      </c>
      <c r="E404" s="6">
        <v>0</v>
      </c>
      <c r="F404" s="6">
        <f>1392-1042-350</f>
        <v>0</v>
      </c>
    </row>
    <row r="405" spans="1:6" s="11" customFormat="1" hidden="1">
      <c r="A405" s="26"/>
      <c r="B405" s="11" t="s">
        <v>55</v>
      </c>
      <c r="C405" s="20">
        <v>45799</v>
      </c>
      <c r="D405" s="21" t="e">
        <f>#REF!-C405</f>
        <v>#REF!</v>
      </c>
      <c r="E405" s="6">
        <v>0</v>
      </c>
      <c r="F405" s="6">
        <f>2084-884-1200</f>
        <v>0</v>
      </c>
    </row>
    <row r="406" spans="1:6" s="11" customFormat="1" hidden="1">
      <c r="A406" s="26"/>
      <c r="B406" s="11" t="s">
        <v>68</v>
      </c>
      <c r="C406" s="20">
        <v>45863</v>
      </c>
      <c r="D406" s="21" t="e">
        <f>#REF!-C406</f>
        <v>#REF!</v>
      </c>
      <c r="E406" s="6">
        <v>0</v>
      </c>
      <c r="F406" s="6">
        <f>2568-2500-68</f>
        <v>0</v>
      </c>
    </row>
    <row r="407" spans="1:6" s="11" customFormat="1" hidden="1">
      <c r="A407" s="26"/>
      <c r="B407" s="11" t="s">
        <v>75</v>
      </c>
      <c r="C407" s="20">
        <v>45889</v>
      </c>
      <c r="D407" s="21" t="e">
        <f>#REF!-C407</f>
        <v>#REF!</v>
      </c>
      <c r="E407" s="6">
        <v>0</v>
      </c>
      <c r="F407" s="6">
        <f>1413.6-632-700-81.6</f>
        <v>0</v>
      </c>
    </row>
    <row r="408" spans="1:6" s="11" customFormat="1" hidden="1">
      <c r="A408" s="26"/>
      <c r="B408" s="11" t="s">
        <v>83</v>
      </c>
      <c r="C408" s="20">
        <v>45932</v>
      </c>
      <c r="D408" s="21" t="e">
        <f>#REF!-C408</f>
        <v>#REF!</v>
      </c>
      <c r="E408" s="6">
        <v>0</v>
      </c>
      <c r="F408" s="6">
        <f>984-918.4-65.6</f>
        <v>0</v>
      </c>
    </row>
    <row r="409" spans="1:6" s="11" customFormat="1" hidden="1">
      <c r="A409" s="29"/>
      <c r="B409" s="23" t="s">
        <v>86</v>
      </c>
      <c r="C409" s="24">
        <v>45945</v>
      </c>
      <c r="D409" s="25" t="e">
        <f>#REF!-C409</f>
        <v>#REF!</v>
      </c>
      <c r="E409" s="10">
        <v>0</v>
      </c>
      <c r="F409" s="10">
        <f>879-879</f>
        <v>0</v>
      </c>
    </row>
    <row r="410" spans="1:6" s="11" customFormat="1" ht="6.75" hidden="1" customHeight="1">
      <c r="A410" s="26"/>
      <c r="C410" s="27"/>
      <c r="D410" s="27"/>
    </row>
    <row r="411" spans="1:6" s="9" customFormat="1" hidden="1">
      <c r="A411" s="12"/>
      <c r="B411" s="28">
        <f>SUM(E411:F411)</f>
        <v>0</v>
      </c>
      <c r="C411" s="14"/>
      <c r="D411" s="14"/>
      <c r="E411" s="4">
        <f>SUM(E402:E409)</f>
        <v>0</v>
      </c>
      <c r="F411" s="4">
        <f>SUM(F402:F409)</f>
        <v>0</v>
      </c>
    </row>
    <row r="412" spans="1:6" s="9" customFormat="1" hidden="1">
      <c r="A412" s="12"/>
      <c r="B412" s="4"/>
      <c r="C412" s="14"/>
      <c r="D412" s="14"/>
      <c r="E412" s="4"/>
      <c r="F412" s="4"/>
    </row>
    <row r="413" spans="1:6" s="9" customFormat="1">
      <c r="A413" s="7"/>
      <c r="B413" s="3"/>
      <c r="C413" s="14"/>
      <c r="D413" s="14"/>
      <c r="F413" s="3"/>
    </row>
    <row r="414" spans="1:6" s="9" customFormat="1" ht="6.75" customHeight="1">
      <c r="A414" s="12"/>
      <c r="C414" s="14"/>
      <c r="D414" s="14"/>
    </row>
    <row r="415" spans="1:6" s="11" customFormat="1" hidden="1">
      <c r="A415" s="26"/>
      <c r="C415" s="20"/>
      <c r="D415" s="21"/>
      <c r="E415" s="6"/>
      <c r="F415" s="6"/>
    </row>
    <row r="416" spans="1:6" s="11" customFormat="1" hidden="1">
      <c r="A416" s="26"/>
      <c r="C416" s="20"/>
      <c r="D416" s="21"/>
      <c r="E416" s="6"/>
      <c r="F416" s="6"/>
    </row>
    <row r="417" spans="1:6" s="11" customFormat="1" hidden="1">
      <c r="A417" s="26"/>
      <c r="C417" s="20"/>
      <c r="D417" s="21"/>
      <c r="E417" s="6"/>
      <c r="F417" s="6"/>
    </row>
    <row r="418" spans="1:6" s="11" customFormat="1" hidden="1">
      <c r="A418" s="26"/>
      <c r="C418" s="20"/>
      <c r="D418" s="21"/>
      <c r="E418" s="6"/>
      <c r="F418" s="6"/>
    </row>
    <row r="419" spans="1:6" s="11" customFormat="1" hidden="1">
      <c r="A419" s="26"/>
      <c r="C419" s="20"/>
      <c r="D419" s="21"/>
      <c r="E419" s="6"/>
      <c r="F419" s="6"/>
    </row>
    <row r="420" spans="1:6" s="11" customFormat="1" hidden="1">
      <c r="A420" s="26"/>
      <c r="C420" s="20"/>
      <c r="D420" s="21"/>
      <c r="E420" s="6"/>
      <c r="F420" s="6"/>
    </row>
    <row r="421" spans="1:6" s="11" customFormat="1">
      <c r="A421" s="26"/>
      <c r="C421" s="20"/>
      <c r="D421" s="21"/>
      <c r="E421" s="6"/>
      <c r="F421" s="6"/>
    </row>
    <row r="422" spans="1:6" s="11" customFormat="1">
      <c r="A422" s="26"/>
      <c r="C422" s="20"/>
      <c r="D422" s="21"/>
      <c r="E422" s="6"/>
      <c r="F422" s="6"/>
    </row>
    <row r="423" spans="1:6" s="11" customFormat="1">
      <c r="A423" s="29"/>
      <c r="B423" s="23"/>
      <c r="C423" s="24"/>
      <c r="D423" s="25"/>
      <c r="E423" s="10"/>
      <c r="F423" s="10"/>
    </row>
    <row r="424" spans="1:6" s="11" customFormat="1" ht="6.75" customHeight="1">
      <c r="A424" s="26"/>
      <c r="C424" s="27"/>
      <c r="D424" s="27"/>
    </row>
    <row r="425" spans="1:6" s="9" customFormat="1">
      <c r="A425" s="12"/>
      <c r="B425" s="28">
        <f>SUM(E425:F425)</f>
        <v>0</v>
      </c>
      <c r="C425" s="14"/>
      <c r="D425" s="14"/>
      <c r="E425" s="4">
        <f>SUM(E415:E423)</f>
        <v>0</v>
      </c>
      <c r="F425" s="4">
        <f>SUM(F415:F423)</f>
        <v>0</v>
      </c>
    </row>
    <row r="426" spans="1:6" s="9" customFormat="1">
      <c r="A426" s="12"/>
      <c r="B426" s="4"/>
      <c r="C426" s="14"/>
      <c r="D426" s="14"/>
      <c r="E426" s="4"/>
      <c r="F426" s="4"/>
    </row>
    <row r="427" spans="1:6" s="9" customFormat="1" hidden="1">
      <c r="A427" s="12">
        <v>7426</v>
      </c>
      <c r="B427" s="9" t="s">
        <v>17</v>
      </c>
      <c r="C427" s="14"/>
      <c r="D427" s="14"/>
      <c r="F427" s="9" t="s">
        <v>15</v>
      </c>
    </row>
    <row r="428" spans="1:6" s="9" customFormat="1" ht="6.75" hidden="1" customHeight="1">
      <c r="A428" s="12"/>
      <c r="C428" s="14"/>
      <c r="D428" s="14"/>
    </row>
    <row r="429" spans="1:6" s="11" customFormat="1" hidden="1">
      <c r="A429" s="26"/>
      <c r="B429" s="11" t="s">
        <v>30</v>
      </c>
      <c r="C429" s="20">
        <v>45693</v>
      </c>
      <c r="D429" s="21" t="e">
        <f>#REF!-C429</f>
        <v>#REF!</v>
      </c>
      <c r="E429" s="6">
        <v>0</v>
      </c>
      <c r="F429" s="6">
        <f>2413-1506-417-490</f>
        <v>0</v>
      </c>
    </row>
    <row r="430" spans="1:6" s="11" customFormat="1" hidden="1">
      <c r="A430" s="26"/>
      <c r="B430" s="11" t="s">
        <v>52</v>
      </c>
      <c r="C430" s="20">
        <v>45777</v>
      </c>
      <c r="D430" s="21" t="e">
        <f>#REF!-C430</f>
        <v>#REF!</v>
      </c>
      <c r="E430" s="6">
        <f>1369-600-769</f>
        <v>0</v>
      </c>
      <c r="F430" s="6">
        <f>2413-1506-417-490</f>
        <v>0</v>
      </c>
    </row>
    <row r="431" spans="1:6" s="11" customFormat="1" hidden="1">
      <c r="A431" s="26"/>
      <c r="B431" s="11" t="s">
        <v>53</v>
      </c>
      <c r="C431" s="20">
        <v>45798</v>
      </c>
      <c r="D431" s="21" t="e">
        <f>#REF!-C431</f>
        <v>#REF!</v>
      </c>
      <c r="E431" s="6">
        <f>2654-1754-900</f>
        <v>0</v>
      </c>
      <c r="F431" s="6">
        <v>0</v>
      </c>
    </row>
    <row r="432" spans="1:6" s="11" customFormat="1" hidden="1">
      <c r="A432" s="26"/>
      <c r="B432" s="11" t="s">
        <v>77</v>
      </c>
      <c r="C432" s="20">
        <v>45905</v>
      </c>
      <c r="D432" s="21" t="e">
        <f>#REF!-C432</f>
        <v>#REF!</v>
      </c>
      <c r="E432" s="6">
        <v>0</v>
      </c>
      <c r="F432" s="6">
        <f>2941-2500-441</f>
        <v>0</v>
      </c>
    </row>
    <row r="433" spans="1:6" s="11" customFormat="1" hidden="1">
      <c r="A433" s="29"/>
      <c r="B433" s="23" t="s">
        <v>85</v>
      </c>
      <c r="C433" s="24">
        <v>45940</v>
      </c>
      <c r="D433" s="25" t="e">
        <f>#REF!-C433</f>
        <v>#REF!</v>
      </c>
      <c r="E433" s="10">
        <f>2210-1410-800</f>
        <v>0</v>
      </c>
      <c r="F433" s="10">
        <v>0</v>
      </c>
    </row>
    <row r="434" spans="1:6" s="11" customFormat="1" ht="6.75" hidden="1" customHeight="1">
      <c r="A434" s="26"/>
      <c r="C434" s="27"/>
      <c r="D434" s="27"/>
    </row>
    <row r="435" spans="1:6" s="9" customFormat="1" hidden="1">
      <c r="A435" s="12"/>
      <c r="B435" s="4">
        <f>SUM(E435:F435)</f>
        <v>0</v>
      </c>
      <c r="C435" s="14"/>
      <c r="D435" s="14"/>
      <c r="E435" s="4">
        <f>SUM(E429:E433)</f>
        <v>0</v>
      </c>
      <c r="F435" s="4">
        <f>SUM(F429:F433)</f>
        <v>0</v>
      </c>
    </row>
    <row r="436" spans="1:6" s="9" customFormat="1" hidden="1">
      <c r="A436" s="12"/>
      <c r="B436" s="4"/>
      <c r="C436" s="14"/>
      <c r="D436" s="14"/>
      <c r="E436" s="4"/>
      <c r="F436" s="4"/>
    </row>
    <row r="437" spans="1:6" s="9" customFormat="1" hidden="1">
      <c r="A437" s="12">
        <v>7438</v>
      </c>
      <c r="B437" s="9" t="s">
        <v>42</v>
      </c>
      <c r="C437" s="14"/>
      <c r="D437" s="14"/>
      <c r="F437" s="9" t="s">
        <v>15</v>
      </c>
    </row>
    <row r="438" spans="1:6" s="9" customFormat="1" ht="6.75" hidden="1" customHeight="1">
      <c r="A438" s="12"/>
      <c r="C438" s="14"/>
      <c r="D438" s="14"/>
    </row>
    <row r="439" spans="1:6" s="11" customFormat="1" hidden="1">
      <c r="A439" s="26"/>
      <c r="B439" s="11" t="s">
        <v>43</v>
      </c>
      <c r="C439" s="20">
        <v>45738</v>
      </c>
      <c r="D439" s="21">
        <f ca="1">$F$1-C439</f>
        <v>276.45404305555712</v>
      </c>
      <c r="E439" s="6">
        <f>3018-3018</f>
        <v>0</v>
      </c>
      <c r="F439" s="6">
        <f>2413-1506-417-490</f>
        <v>0</v>
      </c>
    </row>
    <row r="440" spans="1:6" s="11" customFormat="1" hidden="1">
      <c r="A440" s="26"/>
      <c r="B440" s="11" t="s">
        <v>69</v>
      </c>
      <c r="C440" s="20">
        <v>45876</v>
      </c>
      <c r="D440" s="21">
        <f ca="1">$F$1-C440</f>
        <v>138.45404305555712</v>
      </c>
      <c r="E440" s="6">
        <f>642-642</f>
        <v>0</v>
      </c>
      <c r="F440" s="6">
        <f>2413-1506-417-490</f>
        <v>0</v>
      </c>
    </row>
    <row r="441" spans="1:6" s="11" customFormat="1" hidden="1">
      <c r="A441" s="29"/>
      <c r="B441" s="23" t="s">
        <v>67</v>
      </c>
      <c r="C441" s="24">
        <v>45862</v>
      </c>
      <c r="D441" s="25" t="e">
        <f>#REF!-C441</f>
        <v>#REF!</v>
      </c>
      <c r="E441" s="10">
        <f>1716.9-1716.9</f>
        <v>0</v>
      </c>
      <c r="F441" s="10">
        <f>2413-1506-417-490</f>
        <v>0</v>
      </c>
    </row>
    <row r="442" spans="1:6" s="11" customFormat="1" ht="6.75" hidden="1" customHeight="1">
      <c r="A442" s="26"/>
      <c r="C442" s="27"/>
      <c r="D442" s="27"/>
    </row>
    <row r="443" spans="1:6" s="9" customFormat="1" hidden="1">
      <c r="A443" s="12"/>
      <c r="B443" s="4">
        <f>SUM(E443:F443)</f>
        <v>0</v>
      </c>
      <c r="C443" s="14"/>
      <c r="D443" s="14"/>
      <c r="E443" s="4">
        <f>SUM(E439:E441)</f>
        <v>0</v>
      </c>
      <c r="F443" s="4">
        <f>SUM(F439:F441)</f>
        <v>0</v>
      </c>
    </row>
    <row r="444" spans="1:6" s="9" customFormat="1" hidden="1">
      <c r="A444" s="12"/>
      <c r="B444" s="4"/>
      <c r="C444" s="14"/>
      <c r="D444" s="14"/>
      <c r="E444" s="4"/>
      <c r="F444" s="4"/>
    </row>
    <row r="445" spans="1:6" s="9" customFormat="1" hidden="1">
      <c r="A445" s="12">
        <v>7440</v>
      </c>
      <c r="B445" s="9" t="s">
        <v>18</v>
      </c>
      <c r="C445" s="14"/>
      <c r="D445" s="14"/>
      <c r="F445" s="9" t="s">
        <v>15</v>
      </c>
    </row>
    <row r="446" spans="1:6" s="9" customFormat="1" ht="6.75" hidden="1" customHeight="1">
      <c r="A446" s="12"/>
      <c r="C446" s="14"/>
      <c r="D446" s="14"/>
    </row>
    <row r="447" spans="1:6" s="11" customFormat="1" hidden="1">
      <c r="A447" s="29"/>
      <c r="B447" s="23" t="s">
        <v>29</v>
      </c>
      <c r="C447" s="24">
        <v>45693</v>
      </c>
      <c r="D447" s="25" t="e">
        <f>#REF!-C447</f>
        <v>#REF!</v>
      </c>
      <c r="E447" s="10">
        <f>6208-5000-1208</f>
        <v>0</v>
      </c>
      <c r="F447" s="10">
        <v>0</v>
      </c>
    </row>
    <row r="448" spans="1:6" s="11" customFormat="1" ht="6.75" hidden="1" customHeight="1">
      <c r="A448" s="26"/>
      <c r="C448" s="27"/>
      <c r="D448" s="27"/>
    </row>
    <row r="449" spans="1:6" s="9" customFormat="1" hidden="1">
      <c r="A449" s="12"/>
      <c r="B449" s="4">
        <f>SUM(E449:F449)</f>
        <v>0</v>
      </c>
      <c r="C449" s="14"/>
      <c r="D449" s="14"/>
      <c r="E449" s="4">
        <f>SUM(E447:E447)</f>
        <v>0</v>
      </c>
      <c r="F449" s="4">
        <f>SUM(F447:F447)</f>
        <v>0</v>
      </c>
    </row>
    <row r="450" spans="1:6" s="9" customFormat="1" hidden="1">
      <c r="A450" s="12"/>
      <c r="B450" s="4"/>
      <c r="C450" s="14"/>
      <c r="D450" s="14"/>
      <c r="E450" s="4"/>
      <c r="F450" s="4"/>
    </row>
    <row r="451" spans="1:6" s="9" customFormat="1" hidden="1">
      <c r="A451" s="12">
        <v>7442</v>
      </c>
      <c r="B451" s="9" t="s">
        <v>19</v>
      </c>
      <c r="C451" s="14"/>
      <c r="D451" s="14"/>
      <c r="F451" s="9" t="s">
        <v>15</v>
      </c>
    </row>
    <row r="452" spans="1:6" s="9" customFormat="1" ht="6.75" hidden="1" customHeight="1">
      <c r="A452" s="12"/>
      <c r="C452" s="14"/>
      <c r="D452" s="14"/>
    </row>
    <row r="453" spans="1:6" s="11" customFormat="1" hidden="1">
      <c r="A453" s="29"/>
      <c r="B453" s="23" t="s">
        <v>31</v>
      </c>
      <c r="C453" s="24">
        <v>45693</v>
      </c>
      <c r="D453" s="25" t="e">
        <f>#REF!-C453</f>
        <v>#REF!</v>
      </c>
      <c r="E453" s="10">
        <f>3994-3994</f>
        <v>0</v>
      </c>
      <c r="F453" s="10">
        <v>0</v>
      </c>
    </row>
    <row r="454" spans="1:6" s="11" customFormat="1" ht="6.75" hidden="1" customHeight="1">
      <c r="A454" s="26"/>
      <c r="C454" s="27"/>
      <c r="D454" s="27"/>
    </row>
    <row r="455" spans="1:6" s="9" customFormat="1" hidden="1">
      <c r="A455" s="12"/>
      <c r="B455" s="4">
        <f>SUM(E455:F455)</f>
        <v>0</v>
      </c>
      <c r="C455" s="14"/>
      <c r="D455" s="14"/>
      <c r="E455" s="4">
        <f>SUM(E453:E453)</f>
        <v>0</v>
      </c>
      <c r="F455" s="4">
        <f>SUM(F453:F453)</f>
        <v>0</v>
      </c>
    </row>
    <row r="456" spans="1:6" s="9" customFormat="1" hidden="1">
      <c r="A456" s="12"/>
      <c r="B456" s="4"/>
      <c r="C456" s="14"/>
      <c r="D456" s="14"/>
      <c r="E456" s="4"/>
      <c r="F456" s="4"/>
    </row>
    <row r="457" spans="1:6" s="9" customFormat="1">
      <c r="A457" s="7"/>
      <c r="B457" s="3"/>
      <c r="C457" s="18"/>
      <c r="D457" s="18"/>
      <c r="E457" s="3"/>
      <c r="F457" s="3"/>
    </row>
    <row r="458" spans="1:6" s="9" customFormat="1" ht="6.75" customHeight="1">
      <c r="A458" s="12"/>
      <c r="C458" s="14"/>
      <c r="D458" s="14"/>
    </row>
    <row r="459" spans="1:6" s="11" customFormat="1" hidden="1">
      <c r="A459" s="26"/>
      <c r="C459" s="20"/>
      <c r="D459" s="21"/>
      <c r="E459" s="6"/>
      <c r="F459" s="6"/>
    </row>
    <row r="460" spans="1:6" s="11" customFormat="1" hidden="1">
      <c r="A460" s="26"/>
      <c r="C460" s="20"/>
      <c r="D460" s="21"/>
      <c r="E460" s="6"/>
      <c r="F460" s="6"/>
    </row>
    <row r="461" spans="1:6" s="11" customFormat="1" hidden="1">
      <c r="A461" s="26"/>
      <c r="C461" s="20"/>
      <c r="D461" s="21"/>
      <c r="E461" s="6"/>
      <c r="F461" s="6"/>
    </row>
    <row r="462" spans="1:6" s="11" customFormat="1">
      <c r="A462" s="29"/>
      <c r="B462" s="23"/>
      <c r="C462" s="24"/>
      <c r="D462" s="25"/>
      <c r="E462" s="10"/>
      <c r="F462" s="10"/>
    </row>
    <row r="463" spans="1:6" s="11" customFormat="1" ht="6.75" customHeight="1">
      <c r="A463" s="26"/>
      <c r="C463" s="27"/>
      <c r="D463" s="27"/>
    </row>
    <row r="464" spans="1:6" s="9" customFormat="1">
      <c r="A464" s="12"/>
      <c r="B464" s="28">
        <f>SUM(E464:F464)</f>
        <v>0</v>
      </c>
      <c r="C464" s="14"/>
      <c r="D464" s="14"/>
      <c r="E464" s="4">
        <f>SUM(E459:E462)</f>
        <v>0</v>
      </c>
      <c r="F464" s="4">
        <f>SUM(F459:F462)</f>
        <v>0</v>
      </c>
    </row>
    <row r="465" spans="1:6" s="9" customFormat="1">
      <c r="A465" s="12"/>
      <c r="B465" s="4"/>
      <c r="C465" s="14"/>
      <c r="D465" s="14"/>
      <c r="E465" s="4"/>
      <c r="F465" s="4"/>
    </row>
    <row r="466" spans="1:6" s="9" customFormat="1">
      <c r="A466" s="12"/>
      <c r="C466" s="14"/>
      <c r="D466" s="14"/>
    </row>
    <row r="467" spans="1:6" s="9" customFormat="1" ht="6.75" customHeight="1">
      <c r="A467" s="12"/>
      <c r="C467" s="14"/>
      <c r="D467" s="14"/>
    </row>
    <row r="468" spans="1:6" s="11" customFormat="1" hidden="1">
      <c r="A468" s="26"/>
      <c r="C468" s="20"/>
      <c r="D468" s="21"/>
      <c r="E468" s="6"/>
      <c r="F468" s="6"/>
    </row>
    <row r="469" spans="1:6" s="11" customFormat="1">
      <c r="A469" s="29"/>
      <c r="B469" s="23"/>
      <c r="C469" s="24"/>
      <c r="D469" s="25"/>
      <c r="E469" s="10"/>
      <c r="F469" s="10"/>
    </row>
    <row r="470" spans="1:6" s="11" customFormat="1" ht="6.75" customHeight="1">
      <c r="A470" s="26"/>
      <c r="C470" s="27"/>
      <c r="D470" s="27"/>
    </row>
    <row r="471" spans="1:6" s="9" customFormat="1">
      <c r="A471" s="12"/>
      <c r="B471" s="4">
        <f>SUM(E471:F471)</f>
        <v>0</v>
      </c>
      <c r="C471" s="14"/>
      <c r="D471" s="14"/>
      <c r="E471" s="4">
        <f>SUM(E468:E469)</f>
        <v>0</v>
      </c>
      <c r="F471" s="4">
        <f>SUM(F468:F469)</f>
        <v>0</v>
      </c>
    </row>
    <row r="472" spans="1:6" s="9" customFormat="1">
      <c r="A472" s="12"/>
      <c r="B472" s="4"/>
      <c r="C472" s="14"/>
      <c r="D472" s="14"/>
      <c r="E472" s="4"/>
      <c r="F472" s="4"/>
    </row>
    <row r="473" spans="1:6" s="9" customFormat="1" hidden="1">
      <c r="A473" s="12">
        <v>7483</v>
      </c>
      <c r="B473" s="9" t="s">
        <v>20</v>
      </c>
      <c r="C473" s="14"/>
      <c r="D473" s="14"/>
      <c r="F473" s="9" t="s">
        <v>15</v>
      </c>
    </row>
    <row r="474" spans="1:6" s="9" customFormat="1" ht="6.75" hidden="1" customHeight="1">
      <c r="A474" s="12"/>
      <c r="C474" s="14"/>
      <c r="D474" s="14"/>
    </row>
    <row r="475" spans="1:6" s="11" customFormat="1" hidden="1">
      <c r="A475" s="26"/>
      <c r="B475" s="11" t="s">
        <v>28</v>
      </c>
      <c r="C475" s="20">
        <v>45688</v>
      </c>
      <c r="D475" s="21" t="e">
        <f>#REF!-C475</f>
        <v>#REF!</v>
      </c>
      <c r="E475" s="6">
        <f>5155-5155</f>
        <v>0</v>
      </c>
      <c r="F475" s="6">
        <v>0</v>
      </c>
    </row>
    <row r="476" spans="1:6" s="11" customFormat="1" hidden="1">
      <c r="A476" s="26"/>
      <c r="B476" s="11" t="s">
        <v>51</v>
      </c>
      <c r="C476" s="20">
        <v>45762</v>
      </c>
      <c r="D476" s="21" t="e">
        <f>#REF!-C476</f>
        <v>#REF!</v>
      </c>
      <c r="E476" s="6">
        <f>8175-6175-2000</f>
        <v>0</v>
      </c>
      <c r="F476" s="6">
        <v>0</v>
      </c>
    </row>
    <row r="477" spans="1:6" s="11" customFormat="1" hidden="1">
      <c r="A477" s="26"/>
      <c r="B477" s="11" t="s">
        <v>56</v>
      </c>
      <c r="C477" s="20">
        <v>45817</v>
      </c>
      <c r="D477" s="21" t="e">
        <f>#REF!-C477</f>
        <v>#REF!</v>
      </c>
      <c r="E477" s="6">
        <f>2963-1200-1750-13</f>
        <v>0</v>
      </c>
      <c r="F477" s="6">
        <v>0</v>
      </c>
    </row>
    <row r="478" spans="1:6" s="11" customFormat="1" hidden="1">
      <c r="A478" s="26"/>
      <c r="B478" s="11" t="s">
        <v>60</v>
      </c>
      <c r="C478" s="20">
        <v>45831</v>
      </c>
      <c r="D478" s="21" t="e">
        <f>#REF!-C478</f>
        <v>#REF!</v>
      </c>
      <c r="E478" s="6">
        <f>807-807</f>
        <v>0</v>
      </c>
      <c r="F478" s="6">
        <v>0</v>
      </c>
    </row>
    <row r="479" spans="1:6" s="11" customFormat="1" hidden="1">
      <c r="A479" s="26"/>
      <c r="B479" s="11" t="s">
        <v>74</v>
      </c>
      <c r="C479" s="20">
        <v>45878</v>
      </c>
      <c r="D479" s="21" t="e">
        <f>#REF!-C479</f>
        <v>#REF!</v>
      </c>
      <c r="E479" s="6">
        <f>3484-3484</f>
        <v>0</v>
      </c>
      <c r="F479" s="6">
        <v>0</v>
      </c>
    </row>
    <row r="480" spans="1:6" s="11" customFormat="1" hidden="1">
      <c r="A480" s="29"/>
      <c r="B480" s="23" t="s">
        <v>93</v>
      </c>
      <c r="C480" s="24">
        <v>45975</v>
      </c>
      <c r="D480" s="25" t="e">
        <f>#REF!-C480</f>
        <v>#REF!</v>
      </c>
      <c r="E480" s="10">
        <f>10510-5005-4000-1505</f>
        <v>0</v>
      </c>
      <c r="F480" s="10">
        <v>0</v>
      </c>
    </row>
    <row r="481" spans="1:6" s="11" customFormat="1" ht="6.75" hidden="1" customHeight="1">
      <c r="A481" s="26"/>
      <c r="C481" s="27"/>
      <c r="D481" s="27"/>
    </row>
    <row r="482" spans="1:6" s="9" customFormat="1" hidden="1">
      <c r="A482" s="12"/>
      <c r="B482" s="4">
        <f>SUM(E482:F482)</f>
        <v>0</v>
      </c>
      <c r="C482" s="14"/>
      <c r="D482" s="14"/>
      <c r="E482" s="4">
        <f>SUM(E475:E480)</f>
        <v>0</v>
      </c>
      <c r="F482" s="4">
        <f>SUM(F475:F480)</f>
        <v>0</v>
      </c>
    </row>
    <row r="483" spans="1:6" s="9" customFormat="1" hidden="1">
      <c r="A483" s="12"/>
      <c r="B483" s="4"/>
      <c r="C483" s="14"/>
      <c r="D483" s="14"/>
      <c r="E483" s="4"/>
      <c r="F483" s="4"/>
    </row>
    <row r="484" spans="1:6" s="9" customFormat="1">
      <c r="A484" s="7"/>
      <c r="B484" s="3"/>
      <c r="C484" s="18"/>
      <c r="D484" s="18"/>
      <c r="E484" s="3"/>
      <c r="F484" s="3"/>
    </row>
    <row r="485" spans="1:6" s="9" customFormat="1" ht="6.75" customHeight="1">
      <c r="A485" s="12"/>
      <c r="C485" s="14"/>
      <c r="D485" s="14"/>
    </row>
    <row r="486" spans="1:6" s="11" customFormat="1">
      <c r="A486" s="29"/>
      <c r="B486" s="23"/>
      <c r="C486" s="24"/>
      <c r="D486" s="25"/>
      <c r="E486" s="10"/>
      <c r="F486" s="10"/>
    </row>
    <row r="487" spans="1:6" s="11" customFormat="1" ht="6.75" customHeight="1">
      <c r="A487" s="26"/>
      <c r="C487" s="27"/>
      <c r="D487" s="27"/>
    </row>
    <row r="488" spans="1:6" s="9" customFormat="1">
      <c r="A488" s="12"/>
      <c r="B488" s="28">
        <f>SUM(E488:F488)</f>
        <v>0</v>
      </c>
      <c r="C488" s="14"/>
      <c r="D488" s="14"/>
      <c r="E488" s="4">
        <f>SUM(E486:E486)</f>
        <v>0</v>
      </c>
      <c r="F488" s="4">
        <f>SUM(F486:F486)</f>
        <v>0</v>
      </c>
    </row>
    <row r="489" spans="1:6" s="9" customFormat="1">
      <c r="A489" s="12"/>
      <c r="B489" s="4"/>
      <c r="C489" s="14"/>
      <c r="D489" s="14"/>
      <c r="E489" s="4"/>
      <c r="F489" s="4"/>
    </row>
    <row r="490" spans="1:6" s="9" customFormat="1">
      <c r="A490" s="7"/>
      <c r="B490" s="3"/>
      <c r="C490" s="18"/>
      <c r="D490" s="18"/>
      <c r="E490" s="3"/>
      <c r="F490" s="3"/>
    </row>
    <row r="491" spans="1:6" s="9" customFormat="1" ht="6.75" customHeight="1">
      <c r="A491" s="12"/>
      <c r="C491" s="14"/>
      <c r="D491" s="14"/>
    </row>
    <row r="492" spans="1:6" s="11" customFormat="1" hidden="1">
      <c r="A492" s="26"/>
      <c r="C492" s="20"/>
      <c r="D492" s="21"/>
      <c r="E492" s="6"/>
      <c r="F492" s="6"/>
    </row>
    <row r="493" spans="1:6" s="11" customFormat="1" hidden="1">
      <c r="A493" s="26"/>
      <c r="C493" s="20"/>
      <c r="D493" s="21"/>
      <c r="E493" s="6"/>
      <c r="F493" s="6"/>
    </row>
    <row r="494" spans="1:6" s="11" customFormat="1" hidden="1">
      <c r="A494" s="26"/>
      <c r="C494" s="20"/>
      <c r="D494" s="21"/>
      <c r="E494" s="6"/>
      <c r="F494" s="6"/>
    </row>
    <row r="495" spans="1:6" s="11" customFormat="1" hidden="1">
      <c r="A495" s="26"/>
      <c r="C495" s="20"/>
      <c r="D495" s="21"/>
      <c r="E495" s="6"/>
      <c r="F495" s="6"/>
    </row>
    <row r="496" spans="1:6" s="11" customFormat="1" hidden="1">
      <c r="A496" s="26"/>
      <c r="C496" s="20"/>
      <c r="D496" s="21"/>
      <c r="E496" s="6"/>
      <c r="F496" s="6"/>
    </row>
    <row r="497" spans="1:6" s="11" customFormat="1" hidden="1">
      <c r="A497" s="26"/>
      <c r="C497" s="20"/>
      <c r="D497" s="21"/>
      <c r="E497" s="6"/>
      <c r="F497" s="6"/>
    </row>
    <row r="498" spans="1:6" s="11" customFormat="1" hidden="1">
      <c r="A498" s="26"/>
      <c r="C498" s="20"/>
      <c r="D498" s="21"/>
      <c r="E498" s="6"/>
      <c r="F498" s="6"/>
    </row>
    <row r="499" spans="1:6" s="11" customFormat="1" hidden="1">
      <c r="A499" s="26"/>
      <c r="C499" s="20"/>
      <c r="D499" s="21"/>
      <c r="E499" s="6"/>
      <c r="F499" s="6"/>
    </row>
    <row r="500" spans="1:6" s="11" customFormat="1" hidden="1">
      <c r="A500" s="26"/>
      <c r="C500" s="20"/>
      <c r="D500" s="21"/>
      <c r="E500" s="6"/>
      <c r="F500" s="6"/>
    </row>
    <row r="501" spans="1:6" s="11" customFormat="1">
      <c r="A501" s="29"/>
      <c r="B501" s="23"/>
      <c r="C501" s="24"/>
      <c r="D501" s="25"/>
      <c r="E501" s="10"/>
      <c r="F501" s="10"/>
    </row>
    <row r="502" spans="1:6" s="11" customFormat="1" ht="6.75" customHeight="1">
      <c r="A502" s="26"/>
      <c r="C502" s="27"/>
      <c r="D502" s="27"/>
    </row>
    <row r="503" spans="1:6" s="9" customFormat="1">
      <c r="A503" s="12"/>
      <c r="B503" s="28">
        <f>SUM(E503:F503)</f>
        <v>0</v>
      </c>
      <c r="C503" s="14"/>
      <c r="D503" s="14"/>
      <c r="E503" s="4">
        <f>SUM(E492:E501)</f>
        <v>0</v>
      </c>
      <c r="F503" s="4">
        <f>SUM(F492:F501)</f>
        <v>0</v>
      </c>
    </row>
    <row r="504" spans="1:6" s="9" customFormat="1">
      <c r="A504" s="12"/>
      <c r="B504" s="4"/>
      <c r="C504" s="14"/>
      <c r="D504" s="14"/>
      <c r="E504" s="4"/>
      <c r="F504" s="4"/>
    </row>
    <row r="505" spans="1:6" s="9" customFormat="1" hidden="1">
      <c r="A505" s="7">
        <v>7510</v>
      </c>
      <c r="B505" s="3" t="s">
        <v>70</v>
      </c>
      <c r="C505" s="18"/>
      <c r="D505" s="18"/>
      <c r="E505" s="3"/>
      <c r="F505" s="3" t="s">
        <v>15</v>
      </c>
    </row>
    <row r="506" spans="1:6" s="9" customFormat="1" ht="6.75" hidden="1" customHeight="1">
      <c r="A506" s="12"/>
      <c r="C506" s="14"/>
      <c r="D506" s="14"/>
    </row>
    <row r="507" spans="1:6" s="11" customFormat="1" hidden="1">
      <c r="A507" s="26"/>
      <c r="B507" s="11" t="s">
        <v>71</v>
      </c>
      <c r="C507" s="20">
        <v>45876</v>
      </c>
      <c r="D507" s="21">
        <f ca="1">$F$1-C507</f>
        <v>138.45404305555712</v>
      </c>
      <c r="E507" s="6">
        <f>3947-2300-1647</f>
        <v>0</v>
      </c>
      <c r="F507" s="6">
        <v>0</v>
      </c>
    </row>
    <row r="508" spans="1:6" s="11" customFormat="1" hidden="1">
      <c r="A508" s="29"/>
      <c r="B508" s="23" t="s">
        <v>84</v>
      </c>
      <c r="C508" s="24">
        <v>45940</v>
      </c>
      <c r="D508" s="25">
        <f ca="1">$F$1-C508</f>
        <v>74.454043055557122</v>
      </c>
      <c r="E508" s="10">
        <v>0</v>
      </c>
      <c r="F508" s="10">
        <f>318-318</f>
        <v>0</v>
      </c>
    </row>
    <row r="509" spans="1:6" s="11" customFormat="1" ht="6.75" hidden="1" customHeight="1">
      <c r="A509" s="26"/>
      <c r="C509" s="27"/>
      <c r="D509" s="27"/>
    </row>
    <row r="510" spans="1:6" s="9" customFormat="1" hidden="1">
      <c r="A510" s="12"/>
      <c r="B510" s="28">
        <f>SUM(E510:F510)</f>
        <v>0</v>
      </c>
      <c r="C510" s="14"/>
      <c r="D510" s="14"/>
      <c r="E510" s="4">
        <f>SUM(E507:E508)</f>
        <v>0</v>
      </c>
      <c r="F510" s="4">
        <f>SUM(F507:F508)</f>
        <v>0</v>
      </c>
    </row>
    <row r="511" spans="1:6" s="9" customFormat="1" hidden="1">
      <c r="A511" s="12"/>
      <c r="B511" s="4"/>
      <c r="C511" s="14"/>
      <c r="D511" s="14"/>
      <c r="E511" s="4"/>
      <c r="F511" s="4"/>
    </row>
    <row r="512" spans="1:6" s="9" customFormat="1" hidden="1">
      <c r="A512" s="7">
        <v>7525</v>
      </c>
      <c r="B512" s="3" t="s">
        <v>94</v>
      </c>
      <c r="C512" s="18"/>
      <c r="D512" s="18"/>
      <c r="E512" s="3"/>
      <c r="F512" s="3" t="s">
        <v>15</v>
      </c>
    </row>
    <row r="513" spans="1:6" s="9" customFormat="1" ht="6.75" hidden="1" customHeight="1">
      <c r="A513" s="12"/>
      <c r="C513" s="14"/>
      <c r="D513" s="14"/>
    </row>
    <row r="514" spans="1:6" s="11" customFormat="1" hidden="1">
      <c r="A514" s="26"/>
      <c r="B514" s="11" t="s">
        <v>95</v>
      </c>
      <c r="C514" s="20">
        <v>45975</v>
      </c>
      <c r="D514" s="21">
        <f ca="1">$F$1-C514</f>
        <v>39.454043055557122</v>
      </c>
      <c r="E514" s="6">
        <f>4783-796-3280-707</f>
        <v>0</v>
      </c>
      <c r="F514" s="6">
        <v>0</v>
      </c>
    </row>
    <row r="515" spans="1:6" s="11" customFormat="1" hidden="1">
      <c r="A515" s="29"/>
      <c r="B515" s="23" t="s">
        <v>96</v>
      </c>
      <c r="C515" s="24">
        <v>45975</v>
      </c>
      <c r="D515" s="25">
        <f ca="1">$F$1-C515</f>
        <v>39.454043055557122</v>
      </c>
      <c r="E515" s="10">
        <f>1097-1097</f>
        <v>0</v>
      </c>
      <c r="F515" s="10">
        <v>0</v>
      </c>
    </row>
    <row r="516" spans="1:6" s="11" customFormat="1" ht="6.75" hidden="1" customHeight="1">
      <c r="A516" s="26"/>
      <c r="C516" s="27"/>
      <c r="D516" s="27"/>
    </row>
    <row r="517" spans="1:6" s="9" customFormat="1" hidden="1">
      <c r="A517" s="12"/>
      <c r="B517" s="28">
        <f>SUM(E517:F517)</f>
        <v>0</v>
      </c>
      <c r="C517" s="14"/>
      <c r="D517" s="14"/>
      <c r="E517" s="4">
        <f>SUM(E514:E515)</f>
        <v>0</v>
      </c>
      <c r="F517" s="4">
        <f>SUM(F514:F515)</f>
        <v>0</v>
      </c>
    </row>
    <row r="518" spans="1:6" s="9" customFormat="1" hidden="1">
      <c r="A518" s="12"/>
      <c r="B518" s="4"/>
      <c r="C518" s="14"/>
      <c r="D518" s="14"/>
      <c r="E518" s="4"/>
      <c r="F518" s="4"/>
    </row>
    <row r="519" spans="1:6" s="9" customFormat="1" hidden="1">
      <c r="A519" s="12">
        <v>7521</v>
      </c>
      <c r="B519" s="9" t="s">
        <v>88</v>
      </c>
      <c r="C519" s="14"/>
      <c r="D519" s="14"/>
      <c r="F519" s="9" t="s">
        <v>15</v>
      </c>
    </row>
    <row r="520" spans="1:6" s="9" customFormat="1" ht="6.75" hidden="1" customHeight="1">
      <c r="A520" s="12"/>
      <c r="C520" s="14"/>
      <c r="D520" s="14"/>
    </row>
    <row r="521" spans="1:6" s="11" customFormat="1" hidden="1">
      <c r="A521" s="26"/>
      <c r="B521" s="11" t="s">
        <v>71</v>
      </c>
      <c r="C521" s="20">
        <v>45876</v>
      </c>
      <c r="D521" s="21">
        <f ca="1">$F$1-C521</f>
        <v>138.45404305555712</v>
      </c>
      <c r="E521" s="6">
        <f>3947-2300-1647</f>
        <v>0</v>
      </c>
      <c r="F521" s="6">
        <v>0</v>
      </c>
    </row>
    <row r="522" spans="1:6" s="11" customFormat="1" hidden="1">
      <c r="A522" s="29"/>
      <c r="B522" s="23" t="s">
        <v>89</v>
      </c>
      <c r="C522" s="24">
        <v>45945</v>
      </c>
      <c r="D522" s="25">
        <f ca="1">$F$1-C522</f>
        <v>69.454043055557122</v>
      </c>
      <c r="E522" s="10">
        <f>518-518</f>
        <v>0</v>
      </c>
      <c r="F522" s="10">
        <v>0</v>
      </c>
    </row>
    <row r="523" spans="1:6" s="11" customFormat="1" ht="6.75" hidden="1" customHeight="1">
      <c r="A523" s="26"/>
      <c r="C523" s="27"/>
      <c r="D523" s="27"/>
    </row>
    <row r="524" spans="1:6" s="9" customFormat="1" hidden="1">
      <c r="A524" s="12"/>
      <c r="B524" s="4">
        <f>SUM(E524:F524)</f>
        <v>0</v>
      </c>
      <c r="C524" s="14"/>
      <c r="D524" s="14"/>
      <c r="E524" s="4">
        <f>SUM(E521:E522)</f>
        <v>0</v>
      </c>
      <c r="F524" s="4">
        <f>SUM(F521:F522)</f>
        <v>0</v>
      </c>
    </row>
    <row r="525" spans="1:6" s="9" customFormat="1" hidden="1">
      <c r="A525" s="12"/>
      <c r="B525" s="4"/>
      <c r="C525" s="14"/>
      <c r="D525" s="14"/>
      <c r="E525" s="4"/>
      <c r="F525" s="4"/>
    </row>
    <row r="526" spans="1:6" s="9" customFormat="1" hidden="1">
      <c r="A526" s="12">
        <v>7509</v>
      </c>
      <c r="B526" s="9" t="s">
        <v>40</v>
      </c>
      <c r="C526" s="14"/>
      <c r="D526" s="14"/>
      <c r="F526" s="9" t="s">
        <v>15</v>
      </c>
    </row>
    <row r="527" spans="1:6" s="9" customFormat="1" ht="6.75" hidden="1" customHeight="1">
      <c r="A527" s="12"/>
      <c r="C527" s="14"/>
      <c r="D527" s="14"/>
    </row>
    <row r="528" spans="1:6" s="11" customFormat="1" hidden="1">
      <c r="A528" s="29"/>
      <c r="B528" s="23" t="s">
        <v>41</v>
      </c>
      <c r="C528" s="24">
        <v>45735</v>
      </c>
      <c r="D528" s="25">
        <f ca="1">$F$1-C528</f>
        <v>279.45404305555712</v>
      </c>
      <c r="E528" s="10">
        <v>0</v>
      </c>
      <c r="F528" s="10">
        <f>1625-1000-505-120</f>
        <v>0</v>
      </c>
    </row>
    <row r="529" spans="1:8" s="11" customFormat="1" ht="6.75" hidden="1" customHeight="1">
      <c r="A529" s="26"/>
      <c r="C529" s="27"/>
      <c r="D529" s="27"/>
    </row>
    <row r="530" spans="1:8" s="9" customFormat="1" hidden="1">
      <c r="A530" s="12"/>
      <c r="B530" s="4">
        <f>SUM(E530:F530)</f>
        <v>0</v>
      </c>
      <c r="C530" s="14"/>
      <c r="D530" s="14"/>
      <c r="E530" s="4">
        <f>SUM(E528:E528)</f>
        <v>0</v>
      </c>
      <c r="F530" s="4">
        <f>SUM(F528:F528)</f>
        <v>0</v>
      </c>
    </row>
    <row r="531" spans="1:8" s="9" customFormat="1" hidden="1">
      <c r="A531" s="12"/>
      <c r="B531" s="4"/>
      <c r="C531" s="14"/>
      <c r="D531" s="14"/>
      <c r="E531" s="4"/>
      <c r="F531" s="4"/>
    </row>
    <row r="532" spans="1:8" s="9" customFormat="1" hidden="1">
      <c r="A532" s="12">
        <v>7518</v>
      </c>
      <c r="B532" s="9" t="s">
        <v>80</v>
      </c>
      <c r="C532" s="14"/>
      <c r="D532" s="14"/>
      <c r="F532" s="9" t="s">
        <v>15</v>
      </c>
    </row>
    <row r="533" spans="1:8" s="9" customFormat="1" ht="6.75" hidden="1" customHeight="1">
      <c r="A533" s="12"/>
      <c r="C533" s="14"/>
      <c r="D533" s="14"/>
    </row>
    <row r="534" spans="1:8" s="11" customFormat="1" hidden="1">
      <c r="A534" s="29"/>
      <c r="B534" s="23" t="s">
        <v>81</v>
      </c>
      <c r="C534" s="24">
        <v>45912</v>
      </c>
      <c r="D534" s="25">
        <f ca="1">$F$1-C534</f>
        <v>102.45404305555712</v>
      </c>
      <c r="E534" s="10">
        <f>1576-576-1000</f>
        <v>0</v>
      </c>
      <c r="F534" s="10">
        <f>1625-1000-505-120</f>
        <v>0</v>
      </c>
    </row>
    <row r="535" spans="1:8" s="11" customFormat="1" ht="6.75" hidden="1" customHeight="1">
      <c r="A535" s="26"/>
      <c r="C535" s="27"/>
      <c r="D535" s="27"/>
    </row>
    <row r="536" spans="1:8" s="9" customFormat="1" hidden="1">
      <c r="A536" s="12"/>
      <c r="B536" s="4">
        <f>SUM(E536:F536)</f>
        <v>0</v>
      </c>
      <c r="C536" s="14"/>
      <c r="D536" s="14"/>
      <c r="E536" s="4">
        <f>SUM(E534:E534)</f>
        <v>0</v>
      </c>
      <c r="F536" s="4">
        <f>SUM(F534:F534)</f>
        <v>0</v>
      </c>
    </row>
    <row r="537" spans="1:8" s="9" customFormat="1" hidden="1">
      <c r="A537" s="12"/>
      <c r="B537" s="4"/>
      <c r="C537" s="14"/>
      <c r="D537" s="14"/>
      <c r="E537" s="4"/>
      <c r="F537" s="4"/>
    </row>
    <row r="538" spans="1:8" s="9" customFormat="1" hidden="1">
      <c r="A538" s="12" t="s">
        <v>47</v>
      </c>
      <c r="B538" s="9" t="s">
        <v>48</v>
      </c>
      <c r="C538" s="14"/>
      <c r="D538" s="14"/>
      <c r="F538" s="9" t="s">
        <v>15</v>
      </c>
    </row>
    <row r="539" spans="1:8" ht="6.75" hidden="1" customHeight="1">
      <c r="D539" s="13"/>
    </row>
    <row r="540" spans="1:8" s="36" customFormat="1" hidden="1">
      <c r="A540" s="38"/>
      <c r="B540" s="34" t="s">
        <v>49</v>
      </c>
      <c r="C540" s="39">
        <v>45751</v>
      </c>
      <c r="D540" s="40">
        <f ca="1">$F$1-C540</f>
        <v>263.45404305555712</v>
      </c>
      <c r="E540" s="41">
        <f>6144-6144</f>
        <v>0</v>
      </c>
      <c r="F540" s="41">
        <v>0</v>
      </c>
    </row>
    <row r="541" spans="1:8" s="36" customFormat="1" ht="6.75" hidden="1" customHeight="1">
      <c r="A541" s="42"/>
      <c r="C541" s="43"/>
      <c r="D541" s="43"/>
    </row>
    <row r="542" spans="1:8" hidden="1">
      <c r="B542" s="28">
        <f>SUM(E542:F542)</f>
        <v>0</v>
      </c>
      <c r="C542" s="18"/>
      <c r="D542" s="18"/>
      <c r="E542" s="4">
        <f>SUM(E540:E540)</f>
        <v>0</v>
      </c>
      <c r="F542" s="4">
        <f>SUM(F540:F540)</f>
        <v>0</v>
      </c>
    </row>
    <row r="543" spans="1:8" hidden="1">
      <c r="B543" s="28"/>
      <c r="C543" s="18"/>
      <c r="D543" s="18"/>
      <c r="E543" s="4"/>
      <c r="F543" s="4"/>
    </row>
    <row r="544" spans="1:8">
      <c r="B544" s="1">
        <f>SUM(B5:B543)</f>
        <v>0</v>
      </c>
      <c r="C544" s="28"/>
      <c r="D544" s="18"/>
      <c r="E544" s="4"/>
      <c r="F544" s="4"/>
      <c r="G544" s="3"/>
      <c r="H544" s="44"/>
    </row>
  </sheetData>
  <sortState ref="B2215:F2216">
    <sortCondition ref="B2215"/>
  </sortState>
  <mergeCells count="1">
    <mergeCell ref="A2:F2"/>
  </mergeCells>
  <pageMargins left="1.3385826771653544" right="0.70866141732283472" top="0.31496062992125984" bottom="0.15748031496062992" header="0.31496062992125984" footer="0.1574803149606299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FER</vt:lpstr>
      <vt:lpstr>FER!Área_de_impresión</vt:lpstr>
      <vt:lpstr>FER!Títulos_a_imprimir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*</cp:lastModifiedBy>
  <cp:lastPrinted>2025-12-17T05:16:52Z</cp:lastPrinted>
  <dcterms:created xsi:type="dcterms:W3CDTF">2020-11-19T19:44:31Z</dcterms:created>
  <dcterms:modified xsi:type="dcterms:W3CDTF">2025-12-23T16:54:00Z</dcterms:modified>
</cp:coreProperties>
</file>