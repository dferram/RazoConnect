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05" windowWidth="15135" windowHeight="7365" tabRatio="604"/>
  </bookViews>
  <sheets>
    <sheet name="ENTRADA ALMACEN" sheetId="22" r:id="rId1"/>
  </sheets>
  <definedNames>
    <definedName name="_xlnm._FilterDatabase" localSheetId="0" hidden="1">'ENTRADA ALMACEN'!$B$17:$G$28</definedName>
    <definedName name="_xlnm.Print_Area" localSheetId="0">'ENTRADA ALMACEN'!$B$1:$G$56</definedName>
  </definedNames>
  <calcPr calcId="125725"/>
</workbook>
</file>

<file path=xl/calcChain.xml><?xml version="1.0" encoding="utf-8"?>
<calcChain xmlns="http://schemas.openxmlformats.org/spreadsheetml/2006/main">
  <c r="D48" i="22"/>
  <c r="C55"/>
  <c r="C54"/>
  <c r="G43" l="1"/>
  <c r="B48"/>
  <c r="F50" s="1"/>
  <c r="F48"/>
</calcChain>
</file>

<file path=xl/sharedStrings.xml><?xml version="1.0" encoding="utf-8"?>
<sst xmlns="http://schemas.openxmlformats.org/spreadsheetml/2006/main" count="28" uniqueCount="26">
  <si>
    <t>FOLIO</t>
  </si>
  <si>
    <t>NO. CLIENTE:</t>
  </si>
  <si>
    <t>NOMBRE:</t>
  </si>
  <si>
    <t>JOSE GARCIA</t>
  </si>
  <si>
    <t>PEDIDO</t>
  </si>
  <si>
    <t>DESCRIPCIÓN</t>
  </si>
  <si>
    <t xml:space="preserve">Precio Unitario </t>
  </si>
  <si>
    <t>TOTAL</t>
  </si>
  <si>
    <t>Artículos fueron surtidos</t>
  </si>
  <si>
    <t>BUENO POR $</t>
  </si>
  <si>
    <t>a la orden de:</t>
  </si>
  <si>
    <t>MARIA TERESA RAZO VALENCIA</t>
  </si>
  <si>
    <t xml:space="preserve">La cantidad de </t>
  </si>
  <si>
    <r>
      <t>Valor recibido a mi (nuestra) entera satisfacción. Este pagaré forma parte de una serie numerada del 1 al</t>
    </r>
    <r>
      <rPr>
        <u/>
        <sz val="7.5"/>
        <rFont val="Arial"/>
        <family val="2"/>
      </rPr>
      <t xml:space="preserve">  1  </t>
    </r>
    <r>
      <rPr>
        <sz val="7.5"/>
        <rFont val="Arial"/>
        <family val="2"/>
      </rPr>
      <t>y todos están sujetos a la condición de que al no pagarse cualquiera de ellos a su vencimiento, serán exigibles todos los que le sigan en número, además de los ya vencidos, desde la fecha de vencimiento de este documento hasta el día de su liquidación, causará intereses moratorios al tipo de 3% mensual, pagadero en esta cuidad juntamente con el principal.</t>
    </r>
  </si>
  <si>
    <t>Nombre:</t>
  </si>
  <si>
    <t>Acepto(amos) y pagare(mos) a su vencimiento.</t>
  </si>
  <si>
    <t>Dirección.</t>
  </si>
  <si>
    <t>Firma</t>
  </si>
  <si>
    <t>Lugar de expedición</t>
  </si>
  <si>
    <t xml:space="preserve">Debe(mos) y pagare(mos) incondicionalmente sin pretexto este pagaré en el lugar y fecha citadas donde elija el tenedor el día de su vencimiento </t>
  </si>
  <si>
    <t>CODIGO</t>
  </si>
  <si>
    <t>IVA</t>
  </si>
  <si>
    <t>I-2833</t>
  </si>
  <si>
    <t>(CINCO MIL QUINIENTOS TREINTA Y UN PESOS 10/100 M.N.)</t>
  </si>
  <si>
    <t>ENTRADA DE ALMACEN</t>
  </si>
  <si>
    <t>ENTRADA ALMACEN</t>
  </si>
</sst>
</file>

<file path=xl/styles.xml><?xml version="1.0" encoding="utf-8"?>
<styleSheet xmlns="http://schemas.openxmlformats.org/spreadsheetml/2006/main">
  <numFmts count="8">
    <numFmt numFmtId="8" formatCode="&quot;$&quot;#,##0.00;[Red]\-&quot;$&quot;#,##0.00"/>
    <numFmt numFmtId="41" formatCode="_-* #,##0_-;\-* #,##0_-;_-* &quot;-&quot;_-;_-@_-"/>
    <numFmt numFmtId="44" formatCode="_-&quot;$&quot;* #,##0.00_-;\-&quot;$&quot;* #,##0.00_-;_-&quot;$&quot;* &quot;-&quot;??_-;_-@_-"/>
    <numFmt numFmtId="43" formatCode="_-* #,##0.00_-;\-* #,##0.00_-;_-* &quot;-&quot;??_-;_-@_-"/>
    <numFmt numFmtId="164" formatCode="dd/mmm/yyyy"/>
    <numFmt numFmtId="165" formatCode="dd/mm/yy;@"/>
    <numFmt numFmtId="166" formatCode="_-* #,##0.00_-;\-* #,##0.00_-;_-* &quot;-&quot;_-;_-@_-"/>
    <numFmt numFmtId="167" formatCode="0.000000000000000"/>
  </numFmts>
  <fonts count="42">
    <font>
      <sz val="11"/>
      <color theme="1"/>
      <name val="Calibri"/>
      <family val="2"/>
      <scheme val="minor"/>
    </font>
    <font>
      <sz val="11"/>
      <color theme="1"/>
      <name val="Calibri"/>
      <family val="2"/>
      <scheme val="minor"/>
    </font>
    <font>
      <sz val="8"/>
      <name val="Arial"/>
      <family val="2"/>
    </font>
    <font>
      <sz val="18"/>
      <color indexed="8"/>
      <name val="Arial Black"/>
      <family val="2"/>
    </font>
    <font>
      <b/>
      <sz val="10"/>
      <color indexed="10"/>
      <name val="Arial"/>
      <family val="2"/>
    </font>
    <font>
      <b/>
      <sz val="10"/>
      <color indexed="8"/>
      <name val="Dungeon"/>
      <family val="5"/>
    </font>
    <font>
      <sz val="10"/>
      <name val="Arial"/>
      <family val="2"/>
    </font>
    <font>
      <b/>
      <sz val="8"/>
      <name val="Arial"/>
      <family val="2"/>
    </font>
    <font>
      <sz val="9"/>
      <name val="Arial"/>
      <family val="2"/>
    </font>
    <font>
      <b/>
      <sz val="9"/>
      <name val="Arial"/>
      <family val="2"/>
    </font>
    <font>
      <sz val="9"/>
      <color indexed="9"/>
      <name val="Arial"/>
      <family val="2"/>
    </font>
    <font>
      <b/>
      <sz val="10"/>
      <name val="Arial"/>
      <family val="2"/>
    </font>
    <font>
      <sz val="7"/>
      <name val="Arial"/>
      <family val="2"/>
    </font>
    <font>
      <sz val="7"/>
      <color indexed="9"/>
      <name val="Arial"/>
      <family val="2"/>
    </font>
    <font>
      <sz val="7.5"/>
      <name val="Arial"/>
      <family val="2"/>
    </font>
    <font>
      <u/>
      <sz val="7.5"/>
      <name val="Arial"/>
      <family val="2"/>
    </font>
    <font>
      <b/>
      <sz val="30"/>
      <color indexed="8"/>
      <name val="Magneto"/>
      <family val="5"/>
    </font>
    <font>
      <b/>
      <sz val="11"/>
      <color theme="1"/>
      <name val="Calibri"/>
      <family val="2"/>
      <scheme val="minor"/>
    </font>
    <font>
      <sz val="12"/>
      <name val="宋体"/>
      <family val="3"/>
      <charset val="134"/>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MS Sans Serif"/>
      <family val="2"/>
    </font>
    <font>
      <sz val="12"/>
      <name val="宋体"/>
      <charset val="134"/>
    </font>
    <font>
      <b/>
      <sz val="7.5"/>
      <name val="Arial"/>
      <family val="2"/>
    </font>
    <font>
      <sz val="9"/>
      <color theme="1"/>
      <name val="Arial Rounded MT Bold"/>
      <family val="2"/>
    </font>
    <font>
      <sz val="6"/>
      <name val="Arial"/>
      <family val="2"/>
    </font>
    <font>
      <sz val="8"/>
      <color theme="1"/>
      <name val="Arial Rounded MT Bold"/>
      <family val="2"/>
    </font>
    <font>
      <sz val="10"/>
      <name val="Arial"/>
      <family val="2"/>
    </font>
    <font>
      <b/>
      <sz val="12"/>
      <color indexed="8"/>
      <name val="Verdan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41">
    <border>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s>
  <cellStyleXfs count="111">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xf numFmtId="0" fontId="18" fillId="0" borderId="0">
      <alignment vertical="center"/>
    </xf>
    <xf numFmtId="0" fontId="19" fillId="0" borderId="0" applyNumberFormat="0" applyFill="0" applyBorder="0" applyAlignment="0" applyProtection="0"/>
    <xf numFmtId="0" fontId="20" fillId="0" borderId="20" applyNumberFormat="0" applyFill="0" applyAlignment="0" applyProtection="0"/>
    <xf numFmtId="0" fontId="21" fillId="0" borderId="21" applyNumberFormat="0" applyFill="0" applyAlignment="0" applyProtection="0"/>
    <xf numFmtId="0" fontId="22" fillId="0" borderId="22" applyNumberFormat="0" applyFill="0" applyAlignment="0" applyProtection="0"/>
    <xf numFmtId="0" fontId="22" fillId="0" borderId="0" applyNumberFormat="0" applyFill="0" applyBorder="0" applyAlignment="0" applyProtection="0"/>
    <xf numFmtId="0" fontId="23" fillId="2" borderId="0" applyNumberFormat="0" applyBorder="0" applyAlignment="0" applyProtection="0"/>
    <xf numFmtId="0" fontId="24" fillId="3" borderId="0" applyNumberFormat="0" applyBorder="0" applyAlignment="0" applyProtection="0"/>
    <xf numFmtId="0" fontId="25" fillId="4" borderId="0" applyNumberFormat="0" applyBorder="0" applyAlignment="0" applyProtection="0"/>
    <xf numFmtId="0" fontId="26" fillId="5" borderId="23" applyNumberFormat="0" applyAlignment="0" applyProtection="0"/>
    <xf numFmtId="0" fontId="27" fillId="6" borderId="24" applyNumberFormat="0" applyAlignment="0" applyProtection="0"/>
    <xf numFmtId="0" fontId="28" fillId="6" borderId="23" applyNumberFormat="0" applyAlignment="0" applyProtection="0"/>
    <xf numFmtId="0" fontId="29" fillId="0" borderId="25" applyNumberFormat="0" applyFill="0" applyAlignment="0" applyProtection="0"/>
    <xf numFmtId="0" fontId="30" fillId="7" borderId="26"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17" fillId="0" borderId="28" applyNumberFormat="0" applyFill="0" applyAlignment="0" applyProtection="0"/>
    <xf numFmtId="0" fontId="3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33" fillId="20" borderId="0" applyNumberFormat="0" applyBorder="0" applyAlignment="0" applyProtection="0"/>
    <xf numFmtId="0" fontId="3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33" fillId="24" borderId="0" applyNumberFormat="0" applyBorder="0" applyAlignment="0" applyProtection="0"/>
    <xf numFmtId="0" fontId="3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33" fillId="28" borderId="0" applyNumberFormat="0" applyBorder="0" applyAlignment="0" applyProtection="0"/>
    <xf numFmtId="0" fontId="3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3" fillId="32" borderId="0" applyNumberFormat="0" applyBorder="0" applyAlignment="0" applyProtection="0"/>
    <xf numFmtId="0" fontId="34"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8" borderId="27" applyNumberFormat="0" applyFont="0" applyAlignment="0" applyProtection="0"/>
    <xf numFmtId="0" fontId="1" fillId="0" borderId="0"/>
    <xf numFmtId="0" fontId="35" fillId="0" borderId="0"/>
    <xf numFmtId="0" fontId="1" fillId="0" borderId="0"/>
    <xf numFmtId="0" fontId="1" fillId="0" borderId="0"/>
    <xf numFmtId="0" fontId="35" fillId="0" borderId="0"/>
    <xf numFmtId="0" fontId="34"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34" fillId="0" borderId="0"/>
    <xf numFmtId="0" fontId="1" fillId="0" borderId="0"/>
    <xf numFmtId="0" fontId="1" fillId="0" borderId="0"/>
    <xf numFmtId="0" fontId="35" fillId="0" borderId="0"/>
    <xf numFmtId="0" fontId="34" fillId="0" borderId="0"/>
    <xf numFmtId="0" fontId="1" fillId="0" borderId="0"/>
    <xf numFmtId="0" fontId="1" fillId="0" borderId="0"/>
    <xf numFmtId="0" fontId="35" fillId="0" borderId="0"/>
    <xf numFmtId="0" fontId="34" fillId="0" borderId="0"/>
    <xf numFmtId="0" fontId="1" fillId="0" borderId="0"/>
    <xf numFmtId="0" fontId="1" fillId="0" borderId="0"/>
    <xf numFmtId="0" fontId="35" fillId="0" borderId="0"/>
    <xf numFmtId="0" fontId="34" fillId="0" borderId="0"/>
    <xf numFmtId="0" fontId="1" fillId="0" borderId="0"/>
    <xf numFmtId="0" fontId="34" fillId="0" borderId="0"/>
    <xf numFmtId="0" fontId="1" fillId="0" borderId="0"/>
    <xf numFmtId="0" fontId="34" fillId="0" borderId="0"/>
    <xf numFmtId="0" fontId="34" fillId="0" borderId="0"/>
    <xf numFmtId="0" fontId="34" fillId="0" borderId="0"/>
    <xf numFmtId="0" fontId="34" fillId="0" borderId="0"/>
    <xf numFmtId="0" fontId="34" fillId="0" borderId="0"/>
    <xf numFmtId="0" fontId="34" fillId="0" borderId="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40" fillId="0" borderId="0"/>
    <xf numFmtId="43" fontId="40" fillId="0" borderId="0" applyFont="0" applyFill="0" applyBorder="0" applyAlignment="0" applyProtection="0"/>
    <xf numFmtId="44" fontId="40" fillId="0" borderId="0" applyFont="0" applyFill="0" applyBorder="0" applyAlignment="0" applyProtection="0"/>
  </cellStyleXfs>
  <cellXfs count="132">
    <xf numFmtId="0" fontId="0" fillId="0" borderId="0" xfId="0"/>
    <xf numFmtId="0" fontId="3" fillId="0" borderId="0" xfId="0" applyFont="1" applyFill="1" applyAlignment="1">
      <alignment horizontal="center"/>
    </xf>
    <xf numFmtId="49" fontId="0" fillId="0" borderId="0" xfId="0" applyNumberFormat="1"/>
    <xf numFmtId="41" fontId="0" fillId="0" borderId="0" xfId="0" applyNumberFormat="1"/>
    <xf numFmtId="0" fontId="0" fillId="0" borderId="0" xfId="0" applyBorder="1"/>
    <xf numFmtId="49" fontId="8" fillId="0" borderId="0" xfId="0" applyNumberFormat="1" applyFont="1" applyBorder="1" applyAlignment="1">
      <alignment horizontal="left"/>
    </xf>
    <xf numFmtId="0" fontId="8" fillId="0" borderId="0" xfId="0" applyFont="1" applyBorder="1"/>
    <xf numFmtId="2" fontId="8" fillId="0" borderId="0" xfId="0" applyNumberFormat="1" applyFont="1" applyBorder="1"/>
    <xf numFmtId="2" fontId="0" fillId="0" borderId="0" xfId="0" applyNumberFormat="1" applyBorder="1"/>
    <xf numFmtId="0" fontId="11" fillId="0" borderId="0" xfId="0" applyFont="1" applyBorder="1" applyAlignment="1">
      <alignment horizontal="center"/>
    </xf>
    <xf numFmtId="0" fontId="12" fillId="0" borderId="0" xfId="0" applyFont="1" applyBorder="1" applyAlignment="1" applyProtection="1">
      <alignment horizontal="center"/>
    </xf>
    <xf numFmtId="0" fontId="0" fillId="0" borderId="4" xfId="0" applyBorder="1" applyProtection="1"/>
    <xf numFmtId="49" fontId="0" fillId="0" borderId="4" xfId="0" applyNumberFormat="1" applyBorder="1" applyProtection="1"/>
    <xf numFmtId="0" fontId="12" fillId="0" borderId="4" xfId="0" applyFont="1" applyBorder="1" applyAlignment="1" applyProtection="1">
      <alignment horizontal="left"/>
    </xf>
    <xf numFmtId="0" fontId="0" fillId="0" borderId="0" xfId="0" applyProtection="1"/>
    <xf numFmtId="0" fontId="0" fillId="0" borderId="0" xfId="0" applyBorder="1" applyProtection="1"/>
    <xf numFmtId="0" fontId="13" fillId="0" borderId="0" xfId="0" applyFont="1" applyBorder="1" applyAlignment="1" applyProtection="1">
      <alignment horizontal="center"/>
    </xf>
    <xf numFmtId="0" fontId="2" fillId="0" borderId="0" xfId="0" applyFont="1" applyAlignment="1" applyProtection="1">
      <alignment horizontal="left"/>
    </xf>
    <xf numFmtId="49" fontId="0" fillId="0" borderId="0" xfId="0" applyNumberFormat="1" applyBorder="1"/>
    <xf numFmtId="0" fontId="9" fillId="0" borderId="6" xfId="0" applyFont="1" applyBorder="1" applyAlignment="1">
      <alignment horizontal="center" vertical="center" wrapText="1"/>
    </xf>
    <xf numFmtId="0" fontId="9" fillId="0" borderId="6" xfId="0" applyFont="1" applyBorder="1" applyAlignment="1">
      <alignment horizontal="center" vertical="center"/>
    </xf>
    <xf numFmtId="0" fontId="9" fillId="0" borderId="8" xfId="0" applyFont="1" applyBorder="1" applyAlignment="1">
      <alignment horizontal="center" vertical="center" wrapText="1"/>
    </xf>
    <xf numFmtId="0" fontId="8" fillId="0" borderId="0" xfId="0" applyNumberFormat="1" applyFont="1" applyAlignment="1">
      <alignment horizontal="left" vertical="center"/>
    </xf>
    <xf numFmtId="0" fontId="9" fillId="0" borderId="10" xfId="0" applyFont="1" applyBorder="1" applyAlignment="1">
      <alignment horizontal="center" vertical="center" wrapText="1"/>
    </xf>
    <xf numFmtId="167" fontId="0" fillId="0" borderId="0" xfId="0" applyNumberFormat="1"/>
    <xf numFmtId="0" fontId="0" fillId="0" borderId="0" xfId="0" applyFill="1"/>
    <xf numFmtId="0" fontId="9" fillId="0" borderId="7"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0" fillId="0" borderId="0" xfId="0" applyFill="1" applyBorder="1"/>
    <xf numFmtId="0" fontId="8" fillId="0" borderId="0" xfId="0" applyNumberFormat="1" applyFont="1" applyFill="1" applyAlignment="1">
      <alignment horizontal="left" vertical="center"/>
    </xf>
    <xf numFmtId="2" fontId="8" fillId="0" borderId="14" xfId="0" applyNumberFormat="1" applyFont="1" applyBorder="1"/>
    <xf numFmtId="0" fontId="9" fillId="0" borderId="0" xfId="0" applyFont="1" applyBorder="1" applyAlignment="1">
      <alignment horizontal="right"/>
    </xf>
    <xf numFmtId="2" fontId="0" fillId="0" borderId="14" xfId="0" applyNumberFormat="1" applyBorder="1"/>
    <xf numFmtId="0" fontId="0" fillId="0" borderId="30" xfId="0" applyBorder="1" applyProtection="1"/>
    <xf numFmtId="0" fontId="0" fillId="0" borderId="14" xfId="0" applyBorder="1" applyProtection="1"/>
    <xf numFmtId="43" fontId="0" fillId="0" borderId="0" xfId="0" applyNumberFormat="1"/>
    <xf numFmtId="0" fontId="0" fillId="0" borderId="9" xfId="0" applyBorder="1"/>
    <xf numFmtId="43" fontId="0" fillId="0" borderId="0" xfId="0" applyNumberFormat="1" applyProtection="1"/>
    <xf numFmtId="0" fontId="12" fillId="0" borderId="16" xfId="0" applyFont="1" applyFill="1" applyBorder="1" applyAlignment="1" applyProtection="1">
      <alignment horizontal="center"/>
    </xf>
    <xf numFmtId="14" fontId="13" fillId="0" borderId="16" xfId="0" applyNumberFormat="1" applyFont="1" applyFill="1" applyBorder="1" applyAlignment="1" applyProtection="1">
      <alignment horizontal="center"/>
    </xf>
    <xf numFmtId="0" fontId="14" fillId="0" borderId="16" xfId="0" applyFont="1" applyFill="1" applyBorder="1" applyAlignment="1" applyProtection="1">
      <alignment horizontal="left"/>
    </xf>
    <xf numFmtId="0" fontId="2" fillId="0" borderId="29" xfId="0" applyFont="1" applyFill="1" applyBorder="1" applyAlignment="1" applyProtection="1">
      <alignment horizontal="left" vertical="center" wrapText="1"/>
    </xf>
    <xf numFmtId="0" fontId="2" fillId="0" borderId="16" xfId="0" applyFont="1" applyFill="1" applyBorder="1" applyAlignment="1" applyProtection="1">
      <alignment horizontal="left" vertical="center"/>
    </xf>
    <xf numFmtId="0" fontId="0" fillId="0" borderId="32" xfId="0" applyFill="1" applyBorder="1" applyAlignment="1" applyProtection="1">
      <alignment horizontal="center"/>
    </xf>
    <xf numFmtId="44" fontId="11" fillId="0" borderId="12" xfId="2" applyNumberFormat="1" applyFont="1" applyBorder="1" applyAlignment="1" applyProtection="1">
      <alignment horizontal="center" shrinkToFit="1"/>
    </xf>
    <xf numFmtId="0" fontId="12"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0" fillId="0" borderId="0" xfId="0" applyBorder="1" applyAlignment="1" applyProtection="1">
      <alignment horizontal="center" vertical="center"/>
    </xf>
    <xf numFmtId="0" fontId="0" fillId="0" borderId="0" xfId="0"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12" fillId="0" borderId="4" xfId="0" applyFont="1" applyBorder="1" applyAlignment="1" applyProtection="1">
      <alignment horizontal="center" vertical="center"/>
    </xf>
    <xf numFmtId="166" fontId="0" fillId="0" borderId="0" xfId="0" applyNumberFormat="1"/>
    <xf numFmtId="44" fontId="9" fillId="0" borderId="36" xfId="0" applyNumberFormat="1" applyFont="1" applyBorder="1" applyAlignment="1">
      <alignment horizontal="right" vertical="center" wrapText="1"/>
    </xf>
    <xf numFmtId="44" fontId="9" fillId="0" borderId="13" xfId="0" applyNumberFormat="1" applyFont="1" applyBorder="1" applyAlignment="1">
      <alignment horizontal="right" vertical="center" wrapText="1"/>
    </xf>
    <xf numFmtId="0" fontId="37" fillId="0" borderId="19" xfId="0" applyFont="1" applyFill="1" applyBorder="1" applyAlignment="1">
      <alignment horizontal="center" vertical="center"/>
    </xf>
    <xf numFmtId="43" fontId="17" fillId="0" borderId="6" xfId="1" applyFont="1" applyBorder="1"/>
    <xf numFmtId="43" fontId="1" fillId="0" borderId="38" xfId="1" applyFont="1" applyBorder="1"/>
    <xf numFmtId="0" fontId="5" fillId="0" borderId="0" xfId="0" applyFont="1" applyFill="1" applyBorder="1" applyAlignment="1">
      <alignment horizontal="center"/>
    </xf>
    <xf numFmtId="0" fontId="5" fillId="0" borderId="0" xfId="0" applyFont="1" applyFill="1" applyBorder="1" applyAlignment="1">
      <alignment horizontal="center" vertical="center"/>
    </xf>
    <xf numFmtId="0" fontId="8" fillId="0" borderId="0" xfId="0" applyNumberFormat="1" applyFont="1" applyBorder="1" applyAlignment="1">
      <alignment horizontal="left" vertical="center"/>
    </xf>
    <xf numFmtId="0" fontId="8" fillId="0" borderId="0" xfId="0" applyNumberFormat="1" applyFont="1" applyFill="1" applyBorder="1" applyAlignment="1">
      <alignment horizontal="left" vertical="center"/>
    </xf>
    <xf numFmtId="49" fontId="8" fillId="0" borderId="0" xfId="0" applyNumberFormat="1" applyFont="1" applyBorder="1" applyAlignment="1">
      <alignment horizontal="left" vertical="center"/>
    </xf>
    <xf numFmtId="0" fontId="9" fillId="0" borderId="0" xfId="0" applyFont="1" applyBorder="1" applyAlignment="1">
      <alignment horizontal="center"/>
    </xf>
    <xf numFmtId="0" fontId="16" fillId="0" borderId="0" xfId="0" applyFont="1" applyFill="1" applyBorder="1" applyAlignment="1"/>
    <xf numFmtId="0" fontId="16" fillId="0" borderId="0" xfId="0" applyFont="1" applyFill="1" applyBorder="1" applyAlignment="1">
      <alignment horizontal="center" vertical="center"/>
    </xf>
    <xf numFmtId="49" fontId="4" fillId="0" borderId="0" xfId="0" applyNumberFormat="1" applyFont="1" applyBorder="1" applyAlignment="1">
      <alignment horizontal="center"/>
    </xf>
    <xf numFmtId="0" fontId="7" fillId="0" borderId="0" xfId="0" applyFont="1" applyBorder="1" applyAlignment="1">
      <alignment horizontal="center"/>
    </xf>
    <xf numFmtId="164" fontId="8" fillId="0" borderId="0" xfId="0" applyNumberFormat="1" applyFont="1" applyBorder="1" applyAlignment="1">
      <alignment horizontal="center"/>
    </xf>
    <xf numFmtId="0" fontId="10" fillId="0" borderId="0" xfId="0" applyFont="1" applyBorder="1" applyAlignment="1">
      <alignment horizontal="center"/>
    </xf>
    <xf numFmtId="0" fontId="6" fillId="0" borderId="0" xfId="0" applyFont="1" applyBorder="1" applyAlignment="1"/>
    <xf numFmtId="0" fontId="2" fillId="0" borderId="0" xfId="0" applyFont="1" applyBorder="1" applyAlignment="1">
      <alignment horizontal="center" vertical="center"/>
    </xf>
    <xf numFmtId="0" fontId="39" fillId="0" borderId="3" xfId="0" applyFont="1" applyFill="1" applyBorder="1" applyAlignment="1">
      <alignment vertical="center"/>
    </xf>
    <xf numFmtId="0" fontId="39" fillId="0" borderId="37" xfId="0" applyFont="1" applyFill="1" applyBorder="1" applyAlignment="1">
      <alignment vertical="center"/>
    </xf>
    <xf numFmtId="0" fontId="39" fillId="0" borderId="3" xfId="0" applyFont="1" applyFill="1" applyBorder="1" applyAlignment="1">
      <alignment horizontal="left" vertical="center"/>
    </xf>
    <xf numFmtId="2" fontId="8" fillId="0" borderId="39" xfId="0" applyNumberFormat="1" applyFont="1" applyBorder="1" applyAlignment="1">
      <alignment horizontal="right" vertical="center"/>
    </xf>
    <xf numFmtId="0" fontId="12" fillId="0" borderId="39" xfId="0" applyNumberFormat="1" applyFont="1" applyBorder="1" applyAlignment="1">
      <alignment horizontal="center" vertical="center" wrapText="1"/>
    </xf>
    <xf numFmtId="0" fontId="0" fillId="33" borderId="0" xfId="0" applyFill="1"/>
    <xf numFmtId="0" fontId="39" fillId="0" borderId="37" xfId="0" applyFont="1" applyFill="1" applyBorder="1" applyAlignment="1">
      <alignment horizontal="left" vertical="center"/>
    </xf>
    <xf numFmtId="43" fontId="1" fillId="0" borderId="12" xfId="1" applyFont="1" applyBorder="1"/>
    <xf numFmtId="0" fontId="6" fillId="0" borderId="16" xfId="0" applyFont="1" applyFill="1" applyBorder="1" applyAlignment="1">
      <alignment horizontal="center"/>
    </xf>
    <xf numFmtId="0" fontId="17" fillId="0" borderId="32" xfId="0" applyFont="1" applyFill="1" applyBorder="1" applyAlignment="1">
      <alignment horizontal="center"/>
    </xf>
    <xf numFmtId="0" fontId="17" fillId="0" borderId="16" xfId="0" applyFont="1" applyFill="1" applyBorder="1" applyAlignment="1">
      <alignment horizontal="center"/>
    </xf>
    <xf numFmtId="0" fontId="0" fillId="0" borderId="16" xfId="0" applyFill="1" applyBorder="1"/>
    <xf numFmtId="0" fontId="0" fillId="0" borderId="29" xfId="0" applyFill="1" applyBorder="1" applyProtection="1"/>
    <xf numFmtId="8" fontId="0" fillId="0" borderId="0" xfId="0" applyNumberFormat="1" applyFill="1" applyBorder="1"/>
    <xf numFmtId="0" fontId="39" fillId="0" borderId="11" xfId="0" applyFont="1" applyFill="1" applyBorder="1" applyAlignment="1">
      <alignment horizontal="center" vertical="center"/>
    </xf>
    <xf numFmtId="0" fontId="39" fillId="0" borderId="18" xfId="0" applyFont="1" applyFill="1" applyBorder="1" applyAlignment="1">
      <alignment horizontal="left" vertical="center"/>
    </xf>
    <xf numFmtId="0" fontId="39" fillId="0" borderId="18" xfId="0" applyFont="1" applyFill="1" applyBorder="1" applyAlignment="1">
      <alignment vertical="center"/>
    </xf>
    <xf numFmtId="0" fontId="37" fillId="0" borderId="40" xfId="0" applyFont="1" applyFill="1" applyBorder="1" applyAlignment="1">
      <alignment horizontal="center" vertical="center"/>
    </xf>
    <xf numFmtId="0" fontId="39" fillId="0" borderId="39" xfId="0" applyFont="1" applyFill="1" applyBorder="1" applyAlignment="1">
      <alignment horizontal="left" vertical="center"/>
    </xf>
    <xf numFmtId="0" fontId="39" fillId="0" borderId="39" xfId="0" applyFont="1" applyFill="1" applyBorder="1" applyAlignment="1">
      <alignment vertical="center"/>
    </xf>
    <xf numFmtId="0" fontId="37" fillId="0" borderId="11" xfId="0" applyFont="1" applyFill="1" applyBorder="1" applyAlignment="1">
      <alignment horizontal="center" vertical="center"/>
    </xf>
    <xf numFmtId="0" fontId="38" fillId="0" borderId="37" xfId="0" applyNumberFormat="1" applyFont="1" applyFill="1" applyBorder="1" applyAlignment="1">
      <alignment horizontal="center" vertical="center" wrapText="1"/>
    </xf>
    <xf numFmtId="2" fontId="8" fillId="0" borderId="37" xfId="0" applyNumberFormat="1" applyFont="1" applyFill="1" applyBorder="1" applyAlignment="1">
      <alignment horizontal="right" vertical="center"/>
    </xf>
    <xf numFmtId="2" fontId="8" fillId="0" borderId="18" xfId="0" applyNumberFormat="1" applyFont="1" applyFill="1" applyBorder="1" applyAlignment="1">
      <alignment horizontal="right" vertical="center"/>
    </xf>
    <xf numFmtId="0" fontId="38" fillId="0" borderId="3" xfId="0" applyNumberFormat="1" applyFont="1" applyFill="1" applyBorder="1" applyAlignment="1">
      <alignment horizontal="center" vertical="center" wrapText="1"/>
    </xf>
    <xf numFmtId="2" fontId="8" fillId="0" borderId="3" xfId="0" applyNumberFormat="1" applyFont="1" applyFill="1" applyBorder="1" applyAlignment="1">
      <alignment horizontal="right" vertical="center"/>
    </xf>
    <xf numFmtId="0" fontId="12" fillId="0" borderId="18" xfId="0" applyNumberFormat="1" applyFont="1" applyFill="1" applyBorder="1" applyAlignment="1">
      <alignment horizontal="center" vertical="center" wrapText="1"/>
    </xf>
    <xf numFmtId="0" fontId="39" fillId="0" borderId="15" xfId="0" applyFont="1" applyFill="1" applyBorder="1" applyAlignment="1">
      <alignment horizontal="center" vertical="center"/>
    </xf>
    <xf numFmtId="2" fontId="12" fillId="0" borderId="18" xfId="0" applyNumberFormat="1" applyFont="1" applyFill="1" applyBorder="1" applyAlignment="1">
      <alignment horizontal="center" vertical="center" wrapText="1"/>
    </xf>
    <xf numFmtId="0" fontId="9" fillId="0" borderId="0" xfId="0" applyFont="1" applyFill="1" applyBorder="1" applyAlignment="1">
      <alignment horizontal="left"/>
    </xf>
    <xf numFmtId="0" fontId="14" fillId="0" borderId="16" xfId="0" applyFont="1" applyFill="1" applyBorder="1" applyAlignment="1" applyProtection="1">
      <alignment horizontal="center"/>
    </xf>
    <xf numFmtId="0" fontId="9" fillId="0" borderId="9" xfId="0" applyFont="1" applyBorder="1" applyAlignment="1">
      <alignment horizontal="center" vertical="center" wrapText="1"/>
    </xf>
    <xf numFmtId="0" fontId="11" fillId="0" borderId="0" xfId="0" applyFont="1" applyFill="1" applyBorder="1" applyAlignment="1" applyProtection="1">
      <alignment vertical="center" shrinkToFit="1"/>
    </xf>
    <xf numFmtId="0" fontId="36" fillId="0" borderId="0" xfId="0" applyFont="1" applyBorder="1" applyAlignment="1" applyProtection="1">
      <alignment horizontal="center"/>
    </xf>
    <xf numFmtId="0" fontId="14" fillId="0" borderId="0" xfId="0" applyNumberFormat="1" applyFont="1" applyBorder="1" applyAlignment="1" applyProtection="1">
      <alignment horizontal="left"/>
    </xf>
    <xf numFmtId="0" fontId="14" fillId="0" borderId="14" xfId="0" applyNumberFormat="1" applyFont="1" applyBorder="1" applyAlignment="1" applyProtection="1">
      <alignment horizontal="left"/>
    </xf>
    <xf numFmtId="0" fontId="14" fillId="0" borderId="1" xfId="0" applyFont="1" applyBorder="1" applyAlignment="1" applyProtection="1">
      <alignment horizontal="center"/>
    </xf>
    <xf numFmtId="0" fontId="14" fillId="0" borderId="31" xfId="0" applyFont="1" applyBorder="1" applyAlignment="1" applyProtection="1">
      <alignment horizontal="center"/>
    </xf>
    <xf numFmtId="0" fontId="14" fillId="0" borderId="16" xfId="0" applyFont="1" applyBorder="1" applyAlignment="1" applyProtection="1">
      <alignment horizontal="justify" vertical="center" wrapText="1"/>
    </xf>
    <xf numFmtId="0" fontId="0" fillId="0" borderId="0" xfId="0" applyBorder="1" applyAlignment="1" applyProtection="1">
      <alignment horizontal="justify" vertical="center" wrapText="1"/>
    </xf>
    <xf numFmtId="0" fontId="0" fillId="0" borderId="14" xfId="0" applyBorder="1" applyAlignment="1" applyProtection="1">
      <alignment horizontal="justify" vertical="center" wrapText="1"/>
    </xf>
    <xf numFmtId="0" fontId="0" fillId="0" borderId="16" xfId="0" applyBorder="1" applyAlignment="1" applyProtection="1">
      <alignment horizontal="justify" vertical="center" wrapText="1"/>
    </xf>
    <xf numFmtId="0" fontId="2" fillId="0" borderId="4" xfId="0" applyNumberFormat="1" applyFont="1" applyBorder="1" applyAlignment="1" applyProtection="1">
      <alignment horizontal="left" vertical="center" wrapText="1"/>
    </xf>
    <xf numFmtId="0" fontId="2" fillId="0" borderId="5" xfId="0" applyNumberFormat="1" applyFont="1" applyBorder="1" applyAlignment="1" applyProtection="1">
      <alignment horizontal="left" vertical="center" wrapText="1"/>
    </xf>
    <xf numFmtId="0" fontId="12" fillId="0" borderId="4" xfId="0" applyFont="1" applyBorder="1" applyAlignment="1" applyProtection="1">
      <alignment horizontal="center" vertical="top" wrapText="1"/>
    </xf>
    <xf numFmtId="0" fontId="12" fillId="0" borderId="30" xfId="0" applyFont="1" applyBorder="1" applyAlignment="1" applyProtection="1">
      <alignment horizontal="center" vertical="top" wrapText="1"/>
    </xf>
    <xf numFmtId="0" fontId="12" fillId="0" borderId="0" xfId="0" applyFont="1" applyBorder="1" applyAlignment="1" applyProtection="1">
      <alignment horizontal="center" vertical="top" wrapText="1"/>
    </xf>
    <xf numFmtId="0" fontId="12" fillId="0" borderId="14" xfId="0" applyFont="1" applyBorder="1" applyAlignment="1" applyProtection="1">
      <alignment horizontal="center" vertical="top" wrapText="1"/>
    </xf>
    <xf numFmtId="0" fontId="2" fillId="0" borderId="0" xfId="0" applyFont="1" applyBorder="1" applyAlignment="1" applyProtection="1">
      <alignment horizontal="left" vertical="top" wrapText="1"/>
    </xf>
    <xf numFmtId="0" fontId="2" fillId="0" borderId="2" xfId="0" applyFont="1" applyBorder="1" applyAlignment="1" applyProtection="1">
      <alignment horizontal="left" vertical="top" wrapText="1"/>
    </xf>
    <xf numFmtId="0" fontId="2" fillId="0" borderId="33" xfId="0" applyFont="1" applyBorder="1" applyAlignment="1" applyProtection="1">
      <alignment horizontal="left" vertical="top" wrapText="1"/>
    </xf>
    <xf numFmtId="0" fontId="2" fillId="0" borderId="34" xfId="0" applyFont="1" applyBorder="1" applyAlignment="1" applyProtection="1">
      <alignment horizontal="left" vertical="top" wrapText="1"/>
    </xf>
    <xf numFmtId="0" fontId="0" fillId="0" borderId="17" xfId="0" applyNumberFormat="1" applyBorder="1" applyAlignment="1" applyProtection="1">
      <alignment horizontal="center" vertical="center"/>
    </xf>
    <xf numFmtId="0" fontId="0" fillId="0" borderId="35" xfId="0" applyNumberFormat="1" applyBorder="1" applyAlignment="1" applyProtection="1">
      <alignment horizontal="center" vertical="center"/>
    </xf>
    <xf numFmtId="165" fontId="2" fillId="0" borderId="0" xfId="0" applyNumberFormat="1" applyFont="1" applyBorder="1" applyAlignment="1" applyProtection="1">
      <alignment horizontal="center"/>
    </xf>
    <xf numFmtId="165" fontId="2" fillId="0" borderId="14" xfId="0" applyNumberFormat="1" applyFont="1" applyBorder="1" applyAlignment="1" applyProtection="1">
      <alignment horizontal="center"/>
    </xf>
    <xf numFmtId="0" fontId="14" fillId="0" borderId="16" xfId="0" applyFont="1" applyBorder="1" applyAlignment="1" applyProtection="1">
      <alignment horizontal="justify"/>
    </xf>
    <xf numFmtId="0" fontId="14" fillId="0" borderId="0" xfId="0" applyFont="1" applyBorder="1" applyAlignment="1" applyProtection="1">
      <alignment horizontal="justify"/>
    </xf>
    <xf numFmtId="0" fontId="14" fillId="0" borderId="14" xfId="0" applyFont="1" applyBorder="1" applyAlignment="1" applyProtection="1">
      <alignment horizontal="justify"/>
    </xf>
    <xf numFmtId="0" fontId="41" fillId="0" borderId="0" xfId="0" applyFont="1" applyFill="1" applyBorder="1" applyAlignment="1">
      <alignment horizontal="center" vertical="center"/>
    </xf>
  </cellXfs>
  <cellStyles count="111">
    <cellStyle name="20% - Énfasis1" xfId="22" builtinId="30" customBuiltin="1"/>
    <cellStyle name="20% - Énfasis2" xfId="26" builtinId="34" customBuiltin="1"/>
    <cellStyle name="20% - Énfasis3" xfId="30" builtinId="38" customBuiltin="1"/>
    <cellStyle name="20% - Énfasis4" xfId="34" builtinId="42" customBuiltin="1"/>
    <cellStyle name="20% - Énfasis5" xfId="38" builtinId="46" customBuiltin="1"/>
    <cellStyle name="20% - Énfasis6" xfId="42" builtinId="50" customBuiltin="1"/>
    <cellStyle name="40% - Énfasis1" xfId="23" builtinId="31" customBuiltin="1"/>
    <cellStyle name="40% - Énfasis2" xfId="27" builtinId="35" customBuiltin="1"/>
    <cellStyle name="40% - Énfasis3" xfId="31" builtinId="39" customBuiltin="1"/>
    <cellStyle name="40% - Énfasis4" xfId="35" builtinId="43" customBuiltin="1"/>
    <cellStyle name="40% - Énfasis5" xfId="39" builtinId="47" customBuiltin="1"/>
    <cellStyle name="40% - Énfasis6" xfId="43" builtinId="51" customBuiltin="1"/>
    <cellStyle name="60% - Énfasis1" xfId="24" builtinId="32" customBuiltin="1"/>
    <cellStyle name="60% - Énfasis2" xfId="28" builtinId="36" customBuiltin="1"/>
    <cellStyle name="60% - Énfasis3" xfId="32" builtinId="40" customBuiltin="1"/>
    <cellStyle name="60% - Énfasis4" xfId="36" builtinId="44" customBuiltin="1"/>
    <cellStyle name="60% - Énfasis5" xfId="40" builtinId="48" customBuiltin="1"/>
    <cellStyle name="60% - Énfasis6" xfId="44" builtinId="52" customBuiltin="1"/>
    <cellStyle name="Buena" xfId="10" builtinId="26" customBuiltin="1"/>
    <cellStyle name="Cálculo" xfId="15" builtinId="22" customBuiltin="1"/>
    <cellStyle name="Celda de comprobación" xfId="17" builtinId="23" customBuiltin="1"/>
    <cellStyle name="Celda vinculada" xfId="16" builtinId="24" customBuiltin="1"/>
    <cellStyle name="Encabezado 4" xfId="9" builtinId="19" customBuiltin="1"/>
    <cellStyle name="Énfasis1" xfId="21" builtinId="29" customBuiltin="1"/>
    <cellStyle name="Énfasis2" xfId="25" builtinId="33" customBuiltin="1"/>
    <cellStyle name="Énfasis3" xfId="29" builtinId="37" customBuiltin="1"/>
    <cellStyle name="Énfasis4" xfId="33" builtinId="41" customBuiltin="1"/>
    <cellStyle name="Énfasis5" xfId="37" builtinId="45" customBuiltin="1"/>
    <cellStyle name="Énfasis6" xfId="41" builtinId="49" customBuiltin="1"/>
    <cellStyle name="Entrada" xfId="13" builtinId="20" customBuiltin="1"/>
    <cellStyle name="Incorrecto" xfId="11" builtinId="27" customBuiltin="1"/>
    <cellStyle name="Millares" xfId="1" builtinId="3"/>
    <cellStyle name="Millares 2" xfId="106"/>
    <cellStyle name="Millares 3" xfId="105"/>
    <cellStyle name="Millares 4" xfId="109"/>
    <cellStyle name="Moneda" xfId="2" builtinId="4"/>
    <cellStyle name="Moneda 2" xfId="107"/>
    <cellStyle name="Moneda 3" xfId="110"/>
    <cellStyle name="Neutral" xfId="12" builtinId="28" customBuiltin="1"/>
    <cellStyle name="Normal" xfId="0" builtinId="0"/>
    <cellStyle name="Normal 10" xfId="100"/>
    <cellStyle name="Normal 11" xfId="101"/>
    <cellStyle name="Normal 12" xfId="102"/>
    <cellStyle name="Normal 13" xfId="103"/>
    <cellStyle name="Normal 14" xfId="104"/>
    <cellStyle name="Normal 15" xfId="108"/>
    <cellStyle name="Normal 2" xfId="45"/>
    <cellStyle name="Normal 2 10" xfId="47"/>
    <cellStyle name="Normal 2 11" xfId="54"/>
    <cellStyle name="Normal 2 12" xfId="75"/>
    <cellStyle name="Normal 2 13" xfId="68"/>
    <cellStyle name="Normal 2 14" xfId="78"/>
    <cellStyle name="Normal 2 15" xfId="71"/>
    <cellStyle name="Normal 2 16" xfId="81"/>
    <cellStyle name="Normal 2 17" xfId="85"/>
    <cellStyle name="Normal 2 18" xfId="89"/>
    <cellStyle name="Normal 2 19" xfId="93"/>
    <cellStyle name="Normal 2 2" xfId="57"/>
    <cellStyle name="Normal 2 2 10" xfId="72"/>
    <cellStyle name="Normal 2 2 11" xfId="82"/>
    <cellStyle name="Normal 2 2 12" xfId="86"/>
    <cellStyle name="Normal 2 2 13" xfId="90"/>
    <cellStyle name="Normal 2 2 14" xfId="94"/>
    <cellStyle name="Normal 2 2 2" xfId="58"/>
    <cellStyle name="Normal 2 2 2 10" xfId="84"/>
    <cellStyle name="Normal 2 2 2 11" xfId="88"/>
    <cellStyle name="Normal 2 2 2 12" xfId="92"/>
    <cellStyle name="Normal 2 2 2 13" xfId="96"/>
    <cellStyle name="Normal 2 2 2 14" xfId="98"/>
    <cellStyle name="Normal 2 2 2 2" xfId="59"/>
    <cellStyle name="Normal 2 2 2 3" xfId="48"/>
    <cellStyle name="Normal 2 2 2 4" xfId="53"/>
    <cellStyle name="Normal 2 2 2 5" xfId="74"/>
    <cellStyle name="Normal 2 2 2 6" xfId="56"/>
    <cellStyle name="Normal 2 2 2 7" xfId="77"/>
    <cellStyle name="Normal 2 2 2 8" xfId="70"/>
    <cellStyle name="Normal 2 2 2 9" xfId="80"/>
    <cellStyle name="Normal 2 2 3" xfId="49"/>
    <cellStyle name="Normal 2 2 4" xfId="52"/>
    <cellStyle name="Normal 2 2 5" xfId="46"/>
    <cellStyle name="Normal 2 2 6" xfId="55"/>
    <cellStyle name="Normal 2 2 7" xfId="76"/>
    <cellStyle name="Normal 2 2 8" xfId="69"/>
    <cellStyle name="Normal 2 2 9" xfId="79"/>
    <cellStyle name="Normal 2 3" xfId="60"/>
    <cellStyle name="Normal 2 4" xfId="61"/>
    <cellStyle name="Normal 2 5" xfId="62"/>
    <cellStyle name="Normal 2 6" xfId="63"/>
    <cellStyle name="Normal 2 7" xfId="64"/>
    <cellStyle name="Normal 2 8" xfId="50"/>
    <cellStyle name="Normal 2 9" xfId="51"/>
    <cellStyle name="Normal 20" xfId="65"/>
    <cellStyle name="Normal 20 2" xfId="66"/>
    <cellStyle name="Normal 3" xfId="73"/>
    <cellStyle name="Normal 38" xfId="3"/>
    <cellStyle name="Normal 4" xfId="83"/>
    <cellStyle name="Normal 5" xfId="87"/>
    <cellStyle name="Normal 6" xfId="91"/>
    <cellStyle name="Normal 7" xfId="95"/>
    <cellStyle name="Normal 8" xfId="97"/>
    <cellStyle name="Normal 9" xfId="99"/>
    <cellStyle name="Notas 2" xfId="67"/>
    <cellStyle name="Salida" xfId="14" builtinId="21" customBuiltin="1"/>
    <cellStyle name="Texto de advertencia" xfId="18" builtinId="11" customBuiltin="1"/>
    <cellStyle name="Texto explicativo" xfId="19" builtinId="53" customBuiltin="1"/>
    <cellStyle name="Título" xfId="5" builtinId="15" customBuiltin="1"/>
    <cellStyle name="Título 1" xfId="6" builtinId="16" customBuiltin="1"/>
    <cellStyle name="Título 2" xfId="7" builtinId="17" customBuiltin="1"/>
    <cellStyle name="Título 3" xfId="8" builtinId="18" customBuiltin="1"/>
    <cellStyle name="Total" xfId="20" builtinId="25" customBuiltin="1"/>
    <cellStyle name="常规_合同附表" xfId="4"/>
  </cellStyles>
  <dxfs count="0"/>
  <tableStyles count="0" defaultTableStyle="TableStyleMedium9" defaultPivotStyle="PivotStyleLight16"/>
  <colors>
    <mruColors>
      <color rgb="FFFFFFCC"/>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304801</xdr:colOff>
      <xdr:row>0</xdr:row>
      <xdr:rowOff>66677</xdr:rowOff>
    </xdr:from>
    <xdr:to>
      <xdr:col>2</xdr:col>
      <xdr:colOff>390525</xdr:colOff>
      <xdr:row>4</xdr:row>
      <xdr:rowOff>133351</xdr:rowOff>
    </xdr:to>
    <xdr:pic>
      <xdr:nvPicPr>
        <xdr:cNvPr id="2" name="1 Imagen" descr="D:\Documents and Settings\Compac Presario\Configuración local\Archivos temporales de Internet\Content.Word\IMG-20240313-WA0045.jpg"/>
        <xdr:cNvPicPr/>
      </xdr:nvPicPr>
      <xdr:blipFill>
        <a:blip xmlns:r="http://schemas.openxmlformats.org/officeDocument/2006/relationships" r:embed="rId1" cstate="print"/>
        <a:srcRect l="13953" t="10000" r="15504" b="10000"/>
        <a:stretch>
          <a:fillRect/>
        </a:stretch>
      </xdr:blipFill>
      <xdr:spPr bwMode="auto">
        <a:xfrm>
          <a:off x="304801" y="66677"/>
          <a:ext cx="676274" cy="77152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3462"/>
  <sheetViews>
    <sheetView tabSelected="1" view="pageBreakPreview" topLeftCell="B1" zoomScaleSheetLayoutView="100" workbookViewId="0">
      <selection activeCell="B41" sqref="B41"/>
    </sheetView>
  </sheetViews>
  <sheetFormatPr baseColWidth="10" defaultRowHeight="15"/>
  <cols>
    <col min="1" max="1" width="6.140625" hidden="1" customWidth="1"/>
    <col min="2" max="2" width="8.85546875" style="25" customWidth="1"/>
    <col min="3" max="3" width="14.28515625" style="2" customWidth="1"/>
    <col min="4" max="4" width="41.7109375" customWidth="1"/>
    <col min="5" max="5" width="11.85546875" style="48" bestFit="1" customWidth="1"/>
    <col min="6" max="6" width="10.85546875" customWidth="1"/>
    <col min="7" max="7" width="16.42578125" bestFit="1" customWidth="1"/>
    <col min="8" max="8" width="11.5703125" bestFit="1" customWidth="1"/>
    <col min="9" max="9" width="15.140625" bestFit="1" customWidth="1"/>
    <col min="10" max="10" width="20.7109375" bestFit="1" customWidth="1"/>
  </cols>
  <sheetData>
    <row r="1" spans="1:12" ht="21.75" customHeight="1">
      <c r="B1" s="64"/>
      <c r="C1" s="64"/>
      <c r="D1" s="64"/>
      <c r="E1" s="65"/>
      <c r="F1" s="64"/>
      <c r="G1" s="71" t="s">
        <v>0</v>
      </c>
      <c r="H1" s="1"/>
      <c r="I1" s="1"/>
      <c r="J1" s="1"/>
      <c r="K1" s="1"/>
      <c r="L1" s="1"/>
    </row>
    <row r="2" spans="1:12">
      <c r="B2" s="28"/>
      <c r="C2" s="131" t="s">
        <v>24</v>
      </c>
      <c r="D2" s="131"/>
      <c r="E2" s="131"/>
      <c r="F2" s="131"/>
      <c r="G2" s="66" t="s">
        <v>22</v>
      </c>
    </row>
    <row r="3" spans="1:12">
      <c r="B3" s="28"/>
      <c r="C3" s="131"/>
      <c r="D3" s="131"/>
      <c r="E3" s="131"/>
      <c r="F3" s="131"/>
      <c r="G3" s="67" t="s">
        <v>25</v>
      </c>
    </row>
    <row r="4" spans="1:12" ht="3.75" customHeight="1">
      <c r="B4" s="58"/>
      <c r="C4" s="58"/>
      <c r="D4" s="58"/>
      <c r="E4" s="59"/>
      <c r="F4" s="58"/>
      <c r="G4" s="66"/>
    </row>
    <row r="5" spans="1:12">
      <c r="B5" s="70"/>
      <c r="C5" s="70"/>
      <c r="D5" s="70"/>
      <c r="E5" s="70"/>
      <c r="F5" s="70"/>
      <c r="G5" s="68"/>
    </row>
    <row r="6" spans="1:12">
      <c r="B6" s="101" t="s">
        <v>1</v>
      </c>
      <c r="C6" s="18"/>
      <c r="D6" s="60"/>
      <c r="E6" s="50"/>
      <c r="F6" s="6"/>
      <c r="G6" s="68"/>
      <c r="H6" s="22"/>
    </row>
    <row r="7" spans="1:12" ht="15" customHeight="1">
      <c r="B7" s="101" t="s">
        <v>2</v>
      </c>
      <c r="C7" s="18"/>
      <c r="D7" s="61"/>
      <c r="E7" s="50"/>
      <c r="F7" s="6"/>
      <c r="G7" s="69" t="s">
        <v>3</v>
      </c>
      <c r="H7" s="29"/>
    </row>
    <row r="8" spans="1:12" ht="6" customHeight="1" thickBot="1">
      <c r="B8" s="101"/>
      <c r="C8" s="62"/>
      <c r="D8" s="4"/>
      <c r="E8" s="50"/>
      <c r="F8" s="6"/>
      <c r="G8" s="63"/>
    </row>
    <row r="9" spans="1:12" ht="24.75" thickBot="1">
      <c r="B9" s="27" t="s">
        <v>4</v>
      </c>
      <c r="C9" s="103" t="s">
        <v>20</v>
      </c>
      <c r="D9" s="20" t="s">
        <v>5</v>
      </c>
      <c r="E9" s="20"/>
      <c r="F9" s="21" t="s">
        <v>6</v>
      </c>
      <c r="G9" s="19" t="s">
        <v>7</v>
      </c>
    </row>
    <row r="10" spans="1:12" ht="4.5" customHeight="1" thickBot="1">
      <c r="A10" s="23"/>
      <c r="B10" s="26"/>
      <c r="C10" s="21"/>
      <c r="D10" s="21"/>
      <c r="E10" s="21"/>
      <c r="F10" s="21"/>
      <c r="G10" s="36"/>
      <c r="H10" s="3"/>
      <c r="I10" s="3"/>
      <c r="J10" s="24"/>
    </row>
    <row r="11" spans="1:12" ht="18" customHeight="1">
      <c r="B11" s="99"/>
      <c r="C11" s="78"/>
      <c r="D11" s="73"/>
      <c r="E11" s="93"/>
      <c r="F11" s="94"/>
      <c r="G11" s="53"/>
      <c r="H11" s="52"/>
      <c r="I11" s="52"/>
      <c r="J11" s="24"/>
    </row>
    <row r="12" spans="1:12" ht="18" customHeight="1">
      <c r="B12" s="86"/>
      <c r="C12" s="74"/>
      <c r="D12" s="72"/>
      <c r="E12" s="96"/>
      <c r="F12" s="97"/>
      <c r="G12" s="53"/>
      <c r="H12" s="52"/>
      <c r="I12" s="52"/>
      <c r="J12" s="24"/>
    </row>
    <row r="13" spans="1:12" ht="18" customHeight="1">
      <c r="B13" s="86"/>
      <c r="C13" s="87"/>
      <c r="D13" s="88"/>
      <c r="E13" s="96"/>
      <c r="F13" s="97"/>
      <c r="G13" s="53"/>
      <c r="H13" s="52"/>
      <c r="I13" s="52"/>
      <c r="J13" s="24"/>
    </row>
    <row r="14" spans="1:12" ht="18" customHeight="1">
      <c r="B14" s="86"/>
      <c r="C14" s="87"/>
      <c r="D14" s="88"/>
      <c r="E14" s="96"/>
      <c r="F14" s="97"/>
      <c r="G14" s="53"/>
      <c r="H14" s="52"/>
      <c r="I14" s="52"/>
      <c r="J14" s="24"/>
    </row>
    <row r="15" spans="1:12" ht="18" customHeight="1">
      <c r="B15" s="86"/>
      <c r="C15" s="87"/>
      <c r="D15" s="88"/>
      <c r="E15" s="96"/>
      <c r="F15" s="97"/>
      <c r="G15" s="53"/>
      <c r="H15" s="52"/>
      <c r="I15" s="52"/>
      <c r="J15" s="24"/>
    </row>
    <row r="16" spans="1:12" ht="18" customHeight="1">
      <c r="B16" s="86"/>
      <c r="C16" s="87"/>
      <c r="D16" s="88"/>
      <c r="E16" s="96"/>
      <c r="F16" s="97"/>
      <c r="G16" s="53"/>
      <c r="H16" s="52"/>
      <c r="I16" s="52"/>
      <c r="J16" s="24"/>
    </row>
    <row r="17" spans="1:10" ht="18" customHeight="1">
      <c r="B17" s="86"/>
      <c r="C17" s="87"/>
      <c r="D17" s="88"/>
      <c r="E17" s="96"/>
      <c r="F17" s="97"/>
      <c r="G17" s="53"/>
      <c r="H17" s="52"/>
      <c r="I17" s="52"/>
      <c r="J17" s="24"/>
    </row>
    <row r="18" spans="1:10" ht="18" customHeight="1">
      <c r="B18" s="86"/>
      <c r="C18" s="87"/>
      <c r="D18" s="88"/>
      <c r="E18" s="96"/>
      <c r="F18" s="97"/>
      <c r="G18" s="53"/>
      <c r="H18" s="52"/>
      <c r="I18" s="52"/>
      <c r="J18" s="24"/>
    </row>
    <row r="19" spans="1:10" ht="18" customHeight="1">
      <c r="B19" s="86"/>
      <c r="C19" s="87"/>
      <c r="D19" s="88"/>
      <c r="E19" s="96"/>
      <c r="F19" s="97"/>
      <c r="G19" s="53"/>
      <c r="H19" s="52"/>
      <c r="I19" s="52"/>
      <c r="J19" s="24"/>
    </row>
    <row r="20" spans="1:10" ht="18" customHeight="1">
      <c r="A20" s="77"/>
      <c r="B20" s="86"/>
      <c r="C20" s="87"/>
      <c r="D20" s="88"/>
      <c r="E20" s="96"/>
      <c r="F20" s="97"/>
      <c r="G20" s="53"/>
      <c r="H20" s="52"/>
      <c r="I20" s="52"/>
      <c r="J20" s="24"/>
    </row>
    <row r="21" spans="1:10" ht="18" customHeight="1">
      <c r="B21" s="86"/>
      <c r="C21" s="87"/>
      <c r="D21" s="88"/>
      <c r="E21" s="96"/>
      <c r="F21" s="97"/>
      <c r="G21" s="53"/>
      <c r="H21" s="52"/>
      <c r="I21" s="52"/>
      <c r="J21" s="24"/>
    </row>
    <row r="22" spans="1:10" ht="18" customHeight="1">
      <c r="B22" s="86"/>
      <c r="C22" s="87"/>
      <c r="D22" s="88"/>
      <c r="E22" s="96"/>
      <c r="F22" s="97"/>
      <c r="G22" s="53"/>
      <c r="H22" s="52"/>
      <c r="I22" s="52"/>
      <c r="J22" s="24"/>
    </row>
    <row r="23" spans="1:10" ht="18" customHeight="1">
      <c r="B23" s="86"/>
      <c r="C23" s="87"/>
      <c r="D23" s="88"/>
      <c r="E23" s="96"/>
      <c r="F23" s="97"/>
      <c r="G23" s="53"/>
      <c r="H23" s="52"/>
      <c r="I23" s="52"/>
      <c r="J23" s="24"/>
    </row>
    <row r="24" spans="1:10" ht="18" customHeight="1">
      <c r="B24" s="86"/>
      <c r="C24" s="87"/>
      <c r="D24" s="88"/>
      <c r="E24" s="96"/>
      <c r="F24" s="97"/>
      <c r="G24" s="53"/>
      <c r="H24" s="52"/>
      <c r="I24" s="52"/>
      <c r="J24" s="24"/>
    </row>
    <row r="25" spans="1:10" ht="18" customHeight="1">
      <c r="A25" s="77"/>
      <c r="B25" s="86"/>
      <c r="C25" s="87"/>
      <c r="D25" s="88"/>
      <c r="E25" s="96"/>
      <c r="F25" s="97"/>
      <c r="G25" s="53"/>
      <c r="H25" s="52"/>
      <c r="I25" s="52"/>
      <c r="J25" s="24"/>
    </row>
    <row r="26" spans="1:10" ht="18" customHeight="1">
      <c r="A26" s="77"/>
      <c r="B26" s="86"/>
      <c r="C26" s="87"/>
      <c r="D26" s="88"/>
      <c r="E26" s="96"/>
      <c r="F26" s="97"/>
      <c r="G26" s="53"/>
      <c r="H26" s="52"/>
      <c r="I26" s="52"/>
      <c r="J26" s="24"/>
    </row>
    <row r="27" spans="1:10" ht="18" customHeight="1">
      <c r="B27" s="86"/>
      <c r="C27" s="87"/>
      <c r="D27" s="88"/>
      <c r="E27" s="96"/>
      <c r="F27" s="97"/>
      <c r="G27" s="53"/>
      <c r="H27" s="52"/>
      <c r="I27" s="52"/>
      <c r="J27" s="24"/>
    </row>
    <row r="28" spans="1:10" ht="18" customHeight="1">
      <c r="B28" s="86"/>
      <c r="C28" s="87"/>
      <c r="D28" s="88"/>
      <c r="E28" s="96"/>
      <c r="F28" s="97"/>
      <c r="G28" s="53"/>
      <c r="H28" s="52"/>
      <c r="I28" s="52"/>
      <c r="J28" s="24"/>
    </row>
    <row r="29" spans="1:10" ht="18" customHeight="1">
      <c r="B29" s="86"/>
      <c r="C29" s="87"/>
      <c r="D29" s="88"/>
      <c r="E29" s="96"/>
      <c r="F29" s="97"/>
      <c r="G29" s="53"/>
      <c r="H29" s="52"/>
      <c r="I29" s="52"/>
      <c r="J29" s="24"/>
    </row>
    <row r="30" spans="1:10" ht="18" customHeight="1">
      <c r="B30" s="86"/>
      <c r="C30" s="87"/>
      <c r="D30" s="88"/>
      <c r="E30" s="96"/>
      <c r="F30" s="97"/>
      <c r="G30" s="53"/>
      <c r="H30" s="52"/>
      <c r="I30" s="52"/>
      <c r="J30" s="24"/>
    </row>
    <row r="31" spans="1:10" ht="18" customHeight="1">
      <c r="B31" s="55"/>
      <c r="C31" s="74"/>
      <c r="D31" s="72"/>
      <c r="E31" s="100"/>
      <c r="F31" s="95"/>
      <c r="G31" s="53"/>
      <c r="H31" s="52"/>
      <c r="I31" s="52"/>
      <c r="J31" s="24"/>
    </row>
    <row r="32" spans="1:10" ht="18" customHeight="1">
      <c r="B32" s="55"/>
      <c r="C32" s="74"/>
      <c r="D32" s="72"/>
      <c r="E32" s="100"/>
      <c r="F32" s="95"/>
      <c r="G32" s="53"/>
      <c r="H32" s="52"/>
      <c r="I32" s="52"/>
      <c r="J32" s="24"/>
    </row>
    <row r="33" spans="1:12" ht="18" customHeight="1">
      <c r="B33" s="55"/>
      <c r="C33" s="74"/>
      <c r="D33" s="72"/>
      <c r="E33" s="100"/>
      <c r="F33" s="95"/>
      <c r="G33" s="53"/>
      <c r="H33" s="52"/>
      <c r="I33" s="52"/>
      <c r="J33" s="24"/>
    </row>
    <row r="34" spans="1:12" ht="18" customHeight="1">
      <c r="B34" s="55"/>
      <c r="C34" s="74"/>
      <c r="D34" s="72"/>
      <c r="E34" s="98"/>
      <c r="F34" s="95"/>
      <c r="G34" s="53"/>
      <c r="H34" s="52"/>
      <c r="I34" s="52"/>
      <c r="J34" s="24"/>
    </row>
    <row r="35" spans="1:12" ht="18" customHeight="1">
      <c r="B35" s="55"/>
      <c r="C35" s="74"/>
      <c r="D35" s="72"/>
      <c r="E35" s="98"/>
      <c r="F35" s="95"/>
      <c r="G35" s="53"/>
      <c r="H35" s="52"/>
      <c r="I35" s="52"/>
      <c r="J35" s="24"/>
    </row>
    <row r="36" spans="1:12" ht="18" customHeight="1">
      <c r="B36" s="55"/>
      <c r="C36" s="74"/>
      <c r="D36" s="72"/>
      <c r="E36" s="98"/>
      <c r="F36" s="95"/>
      <c r="G36" s="53"/>
      <c r="H36" s="52"/>
      <c r="I36" s="52"/>
      <c r="J36" s="24"/>
    </row>
    <row r="37" spans="1:12" ht="18" customHeight="1">
      <c r="B37" s="55"/>
      <c r="C37" s="74"/>
      <c r="D37" s="72"/>
      <c r="E37" s="98"/>
      <c r="F37" s="95"/>
      <c r="G37" s="53"/>
      <c r="H37" s="52"/>
      <c r="I37" s="52"/>
      <c r="J37" s="24"/>
    </row>
    <row r="38" spans="1:12" ht="18" customHeight="1">
      <c r="B38" s="92"/>
      <c r="C38" s="74"/>
      <c r="D38" s="72"/>
      <c r="E38" s="98"/>
      <c r="F38" s="95"/>
      <c r="G38" s="53"/>
      <c r="H38" s="52"/>
      <c r="I38" s="52"/>
      <c r="J38" s="24"/>
    </row>
    <row r="39" spans="1:12" ht="18" customHeight="1" thickBot="1">
      <c r="B39" s="89"/>
      <c r="C39" s="90"/>
      <c r="D39" s="91"/>
      <c r="E39" s="76"/>
      <c r="F39" s="75"/>
      <c r="G39" s="54"/>
      <c r="H39" s="52"/>
      <c r="I39" s="52"/>
    </row>
    <row r="40" spans="1:12" ht="6.75" customHeight="1">
      <c r="B40" s="80"/>
      <c r="C40" s="5"/>
      <c r="D40" s="6"/>
      <c r="E40" s="49"/>
      <c r="F40" s="7"/>
      <c r="G40" s="30"/>
      <c r="H40" s="8"/>
      <c r="I40" s="3"/>
      <c r="L40" s="8"/>
    </row>
    <row r="41" spans="1:12" ht="15" customHeight="1" thickBot="1">
      <c r="B41" s="81"/>
      <c r="C41" s="18" t="s">
        <v>8</v>
      </c>
      <c r="D41" s="4"/>
      <c r="E41" s="50"/>
      <c r="F41" s="31" t="s">
        <v>7</v>
      </c>
      <c r="G41" s="79"/>
      <c r="H41" s="35"/>
      <c r="I41" s="35"/>
      <c r="J41" s="35"/>
    </row>
    <row r="42" spans="1:12" ht="15" hidden="1" customHeight="1" thickBot="1">
      <c r="B42" s="82"/>
      <c r="C42" s="18"/>
      <c r="D42" s="4"/>
      <c r="E42" s="50"/>
      <c r="F42" s="31" t="s">
        <v>21</v>
      </c>
      <c r="G42" s="57">
        <v>0</v>
      </c>
      <c r="H42" s="35"/>
      <c r="I42" s="35"/>
      <c r="J42" s="35"/>
    </row>
    <row r="43" spans="1:12" ht="15" hidden="1" customHeight="1" thickBot="1">
      <c r="B43" s="82"/>
      <c r="C43" s="18"/>
      <c r="D43" s="4"/>
      <c r="E43" s="50"/>
      <c r="F43" s="31" t="s">
        <v>7</v>
      </c>
      <c r="G43" s="56">
        <f>SUM(G41:G42)</f>
        <v>0</v>
      </c>
      <c r="H43" s="35"/>
      <c r="I43" s="35"/>
      <c r="J43" s="35"/>
    </row>
    <row r="44" spans="1:12" ht="6" customHeight="1">
      <c r="B44" s="83"/>
      <c r="C44" s="18"/>
      <c r="D44" s="4"/>
      <c r="E44" s="50"/>
      <c r="F44" s="9"/>
      <c r="G44" s="32"/>
    </row>
    <row r="45" spans="1:12" s="14" customFormat="1" ht="9.75" customHeight="1">
      <c r="A45" s="10"/>
      <c r="B45" s="84"/>
      <c r="C45" s="12"/>
      <c r="D45" s="13" t="s">
        <v>18</v>
      </c>
      <c r="E45" s="51"/>
      <c r="F45" s="11"/>
      <c r="G45" s="33"/>
      <c r="I45" s="37"/>
    </row>
    <row r="46" spans="1:12" s="14" customFormat="1" ht="15" customHeight="1">
      <c r="A46" s="10"/>
      <c r="B46" s="104"/>
      <c r="C46" s="10"/>
      <c r="D46" s="10"/>
      <c r="E46" s="45"/>
      <c r="F46" s="10" t="s">
        <v>9</v>
      </c>
      <c r="G46" s="44"/>
      <c r="I46" s="37"/>
    </row>
    <row r="47" spans="1:12" s="14" customFormat="1" ht="6.75" customHeight="1">
      <c r="A47" s="10"/>
      <c r="B47" s="38"/>
      <c r="C47" s="10"/>
      <c r="D47" s="10"/>
      <c r="E47" s="45"/>
      <c r="F47" s="15"/>
      <c r="G47" s="34"/>
    </row>
    <row r="48" spans="1:12" s="14" customFormat="1" ht="11.25" hidden="1" customHeight="1">
      <c r="A48" s="10"/>
      <c r="B48" s="39">
        <f>+G5+30</f>
        <v>30</v>
      </c>
      <c r="C48" s="10"/>
      <c r="D48" s="16" t="e">
        <f>#REF!</f>
        <v>#REF!</v>
      </c>
      <c r="E48" s="46"/>
      <c r="F48" s="126" t="str">
        <f>CONCATENATE("Dia   ",DAY(G5),"   Mes   ",MONTH(G5),"   Año   ",YEAR(G5))</f>
        <v>Dia   0   Mes   1   Año   1900</v>
      </c>
      <c r="G48" s="127"/>
    </row>
    <row r="49" spans="1:7" s="14" customFormat="1" hidden="1">
      <c r="A49" s="10"/>
      <c r="B49" s="128" t="s">
        <v>19</v>
      </c>
      <c r="C49" s="129"/>
      <c r="D49" s="129"/>
      <c r="E49" s="129"/>
      <c r="F49" s="129"/>
      <c r="G49" s="130"/>
    </row>
    <row r="50" spans="1:7" s="14" customFormat="1" hidden="1">
      <c r="A50" s="17"/>
      <c r="B50" s="40" t="s">
        <v>10</v>
      </c>
      <c r="C50" s="105" t="s">
        <v>11</v>
      </c>
      <c r="D50" s="105"/>
      <c r="E50" s="47"/>
      <c r="F50" s="106" t="str">
        <f>CONCATENATE("el  dia  ",DAY(G5),"  del  mes  ",MONTH(B48),"  del  año  ",YEAR(B48))</f>
        <v>el  dia  0  del  mes  1  del  año  1900</v>
      </c>
      <c r="G50" s="107"/>
    </row>
    <row r="51" spans="1:7" s="14" customFormat="1" ht="11.25" hidden="1" customHeight="1">
      <c r="A51" s="17"/>
      <c r="B51" s="102" t="s">
        <v>12</v>
      </c>
      <c r="C51" s="108" t="s">
        <v>23</v>
      </c>
      <c r="D51" s="108"/>
      <c r="E51" s="108"/>
      <c r="F51" s="108"/>
      <c r="G51" s="109"/>
    </row>
    <row r="52" spans="1:7" s="14" customFormat="1" hidden="1">
      <c r="A52" s="15"/>
      <c r="B52" s="110" t="s">
        <v>13</v>
      </c>
      <c r="C52" s="111"/>
      <c r="D52" s="111"/>
      <c r="E52" s="111"/>
      <c r="F52" s="111"/>
      <c r="G52" s="112"/>
    </row>
    <row r="53" spans="1:7" s="14" customFormat="1" hidden="1">
      <c r="A53" s="15"/>
      <c r="B53" s="113"/>
      <c r="C53" s="111"/>
      <c r="D53" s="111"/>
      <c r="E53" s="111"/>
      <c r="F53" s="111"/>
      <c r="G53" s="112"/>
    </row>
    <row r="54" spans="1:7" s="14" customFormat="1" hidden="1">
      <c r="A54" s="15"/>
      <c r="B54" s="41" t="s">
        <v>14</v>
      </c>
      <c r="C54" s="114">
        <f>D7</f>
        <v>0</v>
      </c>
      <c r="D54" s="114"/>
      <c r="E54" s="115"/>
      <c r="F54" s="116" t="s">
        <v>15</v>
      </c>
      <c r="G54" s="117"/>
    </row>
    <row r="55" spans="1:7" s="14" customFormat="1" ht="15" hidden="1" customHeight="1">
      <c r="A55" s="15"/>
      <c r="B55" s="42" t="s">
        <v>16</v>
      </c>
      <c r="C55" s="120" t="e">
        <f>CONCATENATE(#REF!,", ",#REF!, ", ",#REF!,", ",#REF!,", ",#REF!)</f>
        <v>#REF!</v>
      </c>
      <c r="D55" s="120"/>
      <c r="E55" s="121"/>
      <c r="F55" s="118"/>
      <c r="G55" s="119"/>
    </row>
    <row r="56" spans="1:7" s="14" customFormat="1" ht="11.25" hidden="1" customHeight="1" thickBot="1">
      <c r="A56" s="15"/>
      <c r="B56" s="43"/>
      <c r="C56" s="122"/>
      <c r="D56" s="122"/>
      <c r="E56" s="123"/>
      <c r="F56" s="124" t="s">
        <v>17</v>
      </c>
      <c r="G56" s="125"/>
    </row>
    <row r="57" spans="1:7" s="4" customFormat="1">
      <c r="B57" s="28"/>
      <c r="C57" s="18"/>
      <c r="E57" s="50"/>
    </row>
    <row r="58" spans="1:7" s="4" customFormat="1">
      <c r="B58" s="28"/>
      <c r="C58" s="18"/>
      <c r="E58" s="50"/>
    </row>
    <row r="59" spans="1:7" s="4" customFormat="1">
      <c r="B59" s="28"/>
      <c r="C59" s="18"/>
      <c r="E59" s="50"/>
      <c r="F59" s="66"/>
    </row>
    <row r="60" spans="1:7" s="4" customFormat="1">
      <c r="B60" s="28"/>
      <c r="C60" s="18"/>
      <c r="E60" s="50"/>
    </row>
    <row r="61" spans="1:7" s="4" customFormat="1">
      <c r="B61" s="28"/>
      <c r="C61" s="18"/>
      <c r="E61" s="50"/>
    </row>
    <row r="62" spans="1:7" s="4" customFormat="1">
      <c r="B62" s="28"/>
      <c r="C62" s="18"/>
      <c r="E62" s="50"/>
    </row>
    <row r="63" spans="1:7" s="4" customFormat="1">
      <c r="B63" s="28"/>
      <c r="C63" s="18"/>
      <c r="E63" s="50"/>
    </row>
    <row r="64" spans="1:7" s="4" customFormat="1">
      <c r="B64" s="28"/>
      <c r="C64" s="18"/>
      <c r="E64" s="50"/>
    </row>
    <row r="65" spans="2:5" s="4" customFormat="1">
      <c r="B65" s="28"/>
      <c r="C65" s="18"/>
      <c r="E65" s="50"/>
    </row>
    <row r="66" spans="2:5" s="4" customFormat="1">
      <c r="B66" s="85"/>
      <c r="C66" s="18"/>
      <c r="E66" s="50"/>
    </row>
    <row r="67" spans="2:5" s="4" customFormat="1">
      <c r="B67" s="28"/>
      <c r="C67" s="18"/>
      <c r="E67" s="50"/>
    </row>
    <row r="68" spans="2:5" s="4" customFormat="1">
      <c r="B68" s="28"/>
      <c r="C68" s="18"/>
      <c r="E68" s="50"/>
    </row>
    <row r="69" spans="2:5" s="4" customFormat="1">
      <c r="B69" s="28"/>
      <c r="C69" s="18"/>
      <c r="E69" s="50"/>
    </row>
    <row r="70" spans="2:5" s="4" customFormat="1">
      <c r="B70" s="28"/>
      <c r="C70" s="18"/>
      <c r="E70" s="50"/>
    </row>
    <row r="71" spans="2:5" s="4" customFormat="1">
      <c r="B71" s="28"/>
      <c r="C71" s="18"/>
      <c r="E71" s="50"/>
    </row>
    <row r="72" spans="2:5" s="4" customFormat="1">
      <c r="B72" s="85"/>
      <c r="C72" s="18"/>
      <c r="E72" s="50"/>
    </row>
    <row r="73" spans="2:5" s="4" customFormat="1">
      <c r="B73" s="28"/>
      <c r="C73" s="18"/>
      <c r="E73" s="50"/>
    </row>
    <row r="74" spans="2:5" s="4" customFormat="1">
      <c r="B74" s="28"/>
      <c r="C74" s="18"/>
      <c r="E74" s="50"/>
    </row>
    <row r="75" spans="2:5" s="4" customFormat="1">
      <c r="B75" s="28"/>
      <c r="C75" s="18"/>
      <c r="E75" s="50"/>
    </row>
    <row r="76" spans="2:5" s="4" customFormat="1">
      <c r="B76" s="28"/>
      <c r="C76" s="18"/>
      <c r="E76" s="50"/>
    </row>
    <row r="77" spans="2:5" s="4" customFormat="1">
      <c r="B77" s="28"/>
      <c r="C77" s="18"/>
      <c r="E77" s="50"/>
    </row>
    <row r="78" spans="2:5" s="4" customFormat="1">
      <c r="B78" s="85"/>
      <c r="C78" s="18"/>
      <c r="E78" s="50"/>
    </row>
    <row r="79" spans="2:5" s="4" customFormat="1">
      <c r="B79" s="28"/>
      <c r="C79" s="18"/>
      <c r="E79" s="50"/>
    </row>
    <row r="80" spans="2:5" s="4" customFormat="1">
      <c r="B80" s="28"/>
      <c r="C80" s="18"/>
      <c r="E80" s="50"/>
    </row>
    <row r="81" spans="2:5" s="4" customFormat="1">
      <c r="B81" s="28"/>
      <c r="C81" s="18"/>
      <c r="E81" s="50"/>
    </row>
    <row r="82" spans="2:5" s="4" customFormat="1">
      <c r="B82" s="28"/>
      <c r="C82" s="18"/>
      <c r="E82" s="50"/>
    </row>
    <row r="83" spans="2:5" s="4" customFormat="1">
      <c r="B83" s="28"/>
      <c r="C83" s="18"/>
      <c r="E83" s="50"/>
    </row>
    <row r="84" spans="2:5" s="4" customFormat="1">
      <c r="B84" s="85"/>
      <c r="C84" s="18"/>
      <c r="E84" s="50"/>
    </row>
    <row r="85" spans="2:5" s="4" customFormat="1">
      <c r="B85" s="28"/>
      <c r="C85" s="18"/>
      <c r="E85" s="50"/>
    </row>
    <row r="86" spans="2:5" s="4" customFormat="1">
      <c r="B86" s="28"/>
      <c r="C86" s="18"/>
      <c r="E86" s="50"/>
    </row>
    <row r="87" spans="2:5" s="4" customFormat="1">
      <c r="B87" s="28"/>
      <c r="C87" s="18"/>
      <c r="E87" s="50"/>
    </row>
    <row r="88" spans="2:5" s="4" customFormat="1">
      <c r="B88" s="28"/>
      <c r="C88" s="18"/>
      <c r="E88" s="50"/>
    </row>
    <row r="89" spans="2:5" s="4" customFormat="1">
      <c r="B89" s="28"/>
      <c r="C89" s="18"/>
      <c r="E89" s="50"/>
    </row>
    <row r="90" spans="2:5" s="4" customFormat="1">
      <c r="B90" s="85"/>
      <c r="C90" s="18"/>
      <c r="E90" s="50"/>
    </row>
    <row r="91" spans="2:5" s="4" customFormat="1">
      <c r="B91" s="28"/>
      <c r="C91" s="18"/>
      <c r="E91" s="50"/>
    </row>
    <row r="92" spans="2:5" s="4" customFormat="1">
      <c r="B92" s="28"/>
      <c r="C92" s="18"/>
      <c r="E92" s="50"/>
    </row>
    <row r="93" spans="2:5" s="4" customFormat="1">
      <c r="B93" s="28"/>
      <c r="C93" s="18"/>
      <c r="E93" s="50"/>
    </row>
    <row r="94" spans="2:5" s="4" customFormat="1">
      <c r="B94" s="28"/>
      <c r="C94" s="18"/>
      <c r="E94" s="50"/>
    </row>
    <row r="95" spans="2:5" s="4" customFormat="1">
      <c r="B95" s="28"/>
      <c r="C95" s="18"/>
      <c r="E95" s="50"/>
    </row>
    <row r="96" spans="2:5" s="4" customFormat="1">
      <c r="B96" s="85"/>
      <c r="C96" s="18"/>
      <c r="E96" s="50"/>
    </row>
    <row r="97" spans="2:5" s="4" customFormat="1">
      <c r="B97" s="28"/>
      <c r="C97" s="18"/>
      <c r="E97" s="50"/>
    </row>
    <row r="98" spans="2:5" s="4" customFormat="1">
      <c r="B98" s="28"/>
      <c r="C98" s="18"/>
      <c r="E98" s="50"/>
    </row>
    <row r="99" spans="2:5" s="4" customFormat="1">
      <c r="B99" s="28"/>
      <c r="C99" s="18"/>
      <c r="E99" s="50"/>
    </row>
    <row r="100" spans="2:5" s="4" customFormat="1">
      <c r="B100" s="28"/>
      <c r="C100" s="18"/>
      <c r="E100" s="50"/>
    </row>
    <row r="101" spans="2:5" s="4" customFormat="1">
      <c r="B101" s="28"/>
      <c r="C101" s="18"/>
      <c r="E101" s="50"/>
    </row>
    <row r="102" spans="2:5" s="4" customFormat="1">
      <c r="B102" s="85"/>
      <c r="C102" s="18"/>
      <c r="E102" s="50"/>
    </row>
    <row r="103" spans="2:5" s="4" customFormat="1">
      <c r="B103" s="28"/>
      <c r="C103" s="18"/>
      <c r="E103" s="50"/>
    </row>
    <row r="104" spans="2:5" s="4" customFormat="1">
      <c r="B104" s="28"/>
      <c r="C104" s="18"/>
      <c r="E104" s="50"/>
    </row>
    <row r="105" spans="2:5" s="4" customFormat="1">
      <c r="B105" s="28"/>
      <c r="C105" s="18"/>
      <c r="E105" s="50"/>
    </row>
    <row r="106" spans="2:5" s="4" customFormat="1">
      <c r="B106" s="28"/>
      <c r="C106" s="18"/>
      <c r="E106" s="50"/>
    </row>
    <row r="107" spans="2:5" s="4" customFormat="1">
      <c r="B107" s="28"/>
      <c r="C107" s="18"/>
      <c r="E107" s="50"/>
    </row>
    <row r="108" spans="2:5" s="4" customFormat="1">
      <c r="B108" s="85"/>
      <c r="C108" s="18"/>
      <c r="E108" s="50"/>
    </row>
    <row r="109" spans="2:5" s="4" customFormat="1">
      <c r="B109" s="28"/>
      <c r="C109" s="18"/>
      <c r="E109" s="50"/>
    </row>
    <row r="110" spans="2:5" s="4" customFormat="1">
      <c r="B110" s="28"/>
      <c r="C110" s="18"/>
      <c r="E110" s="50"/>
    </row>
    <row r="111" spans="2:5" s="4" customFormat="1">
      <c r="B111" s="28"/>
      <c r="C111" s="18"/>
      <c r="E111" s="50"/>
    </row>
    <row r="112" spans="2:5" s="4" customFormat="1">
      <c r="B112" s="28"/>
      <c r="C112" s="18"/>
      <c r="E112" s="50"/>
    </row>
    <row r="113" spans="2:5" s="4" customFormat="1">
      <c r="B113" s="28"/>
      <c r="C113" s="18"/>
      <c r="E113" s="50"/>
    </row>
    <row r="114" spans="2:5" s="4" customFormat="1">
      <c r="B114" s="85"/>
      <c r="C114" s="18"/>
      <c r="E114" s="50"/>
    </row>
    <row r="115" spans="2:5" s="4" customFormat="1">
      <c r="B115" s="28"/>
      <c r="C115" s="18"/>
      <c r="E115" s="50"/>
    </row>
    <row r="116" spans="2:5" s="4" customFormat="1">
      <c r="B116" s="28"/>
      <c r="C116" s="18"/>
      <c r="E116" s="50"/>
    </row>
    <row r="117" spans="2:5" s="4" customFormat="1">
      <c r="B117" s="28"/>
      <c r="C117" s="18"/>
      <c r="E117" s="50"/>
    </row>
    <row r="118" spans="2:5" s="4" customFormat="1">
      <c r="B118" s="28"/>
      <c r="C118" s="18"/>
      <c r="E118" s="50"/>
    </row>
    <row r="119" spans="2:5" s="4" customFormat="1">
      <c r="B119" s="28"/>
      <c r="C119" s="18"/>
      <c r="E119" s="50"/>
    </row>
    <row r="120" spans="2:5" s="4" customFormat="1">
      <c r="B120" s="85"/>
      <c r="C120" s="18"/>
      <c r="E120" s="50"/>
    </row>
    <row r="121" spans="2:5" s="4" customFormat="1">
      <c r="B121" s="28"/>
      <c r="C121" s="18"/>
      <c r="E121" s="50"/>
    </row>
    <row r="122" spans="2:5" s="4" customFormat="1">
      <c r="B122" s="28"/>
      <c r="C122" s="18"/>
      <c r="E122" s="50"/>
    </row>
    <row r="123" spans="2:5" s="4" customFormat="1">
      <c r="B123" s="28"/>
      <c r="C123" s="18"/>
      <c r="E123" s="50"/>
    </row>
    <row r="124" spans="2:5" s="4" customFormat="1">
      <c r="B124" s="28"/>
      <c r="C124" s="18"/>
      <c r="E124" s="50"/>
    </row>
    <row r="125" spans="2:5" s="4" customFormat="1">
      <c r="B125" s="28"/>
      <c r="C125" s="18"/>
      <c r="E125" s="50"/>
    </row>
    <row r="126" spans="2:5" s="4" customFormat="1">
      <c r="B126" s="85"/>
      <c r="C126" s="18"/>
      <c r="E126" s="50"/>
    </row>
    <row r="127" spans="2:5" s="4" customFormat="1">
      <c r="B127" s="28"/>
      <c r="C127" s="18"/>
      <c r="E127" s="50"/>
    </row>
    <row r="128" spans="2:5" s="4" customFormat="1">
      <c r="B128" s="28"/>
      <c r="C128" s="18"/>
      <c r="E128" s="50"/>
    </row>
    <row r="129" spans="2:5" s="4" customFormat="1">
      <c r="B129" s="28"/>
      <c r="C129" s="18"/>
      <c r="E129" s="50"/>
    </row>
    <row r="130" spans="2:5" s="4" customFormat="1">
      <c r="B130" s="28"/>
      <c r="C130" s="18"/>
      <c r="E130" s="50"/>
    </row>
    <row r="131" spans="2:5" s="4" customFormat="1">
      <c r="B131" s="28"/>
      <c r="C131" s="18"/>
      <c r="E131" s="50"/>
    </row>
    <row r="132" spans="2:5" s="4" customFormat="1">
      <c r="B132" s="85"/>
      <c r="C132" s="18"/>
      <c r="E132" s="50"/>
    </row>
    <row r="133" spans="2:5" s="4" customFormat="1">
      <c r="B133" s="28"/>
      <c r="C133" s="18"/>
      <c r="E133" s="50"/>
    </row>
    <row r="134" spans="2:5" s="4" customFormat="1">
      <c r="B134" s="28"/>
      <c r="C134" s="18"/>
      <c r="E134" s="50"/>
    </row>
    <row r="135" spans="2:5" s="4" customFormat="1">
      <c r="B135" s="28"/>
      <c r="C135" s="18"/>
      <c r="E135" s="50"/>
    </row>
    <row r="136" spans="2:5" s="4" customFormat="1">
      <c r="B136" s="28"/>
      <c r="C136" s="18"/>
      <c r="E136" s="50"/>
    </row>
    <row r="137" spans="2:5" s="4" customFormat="1">
      <c r="B137" s="28"/>
      <c r="C137" s="18"/>
      <c r="E137" s="50"/>
    </row>
    <row r="138" spans="2:5" s="4" customFormat="1">
      <c r="B138" s="85"/>
      <c r="C138" s="18"/>
      <c r="E138" s="50"/>
    </row>
    <row r="139" spans="2:5" s="4" customFormat="1">
      <c r="B139" s="28"/>
      <c r="C139" s="18"/>
      <c r="E139" s="50"/>
    </row>
    <row r="140" spans="2:5" s="4" customFormat="1">
      <c r="B140" s="28"/>
      <c r="C140" s="18"/>
      <c r="E140" s="50"/>
    </row>
    <row r="141" spans="2:5" s="4" customFormat="1">
      <c r="B141" s="28"/>
      <c r="C141" s="18"/>
      <c r="E141" s="50"/>
    </row>
    <row r="142" spans="2:5" s="4" customFormat="1">
      <c r="B142" s="28"/>
      <c r="C142" s="18"/>
      <c r="E142" s="50"/>
    </row>
    <row r="143" spans="2:5" s="4" customFormat="1">
      <c r="B143" s="28"/>
      <c r="C143" s="18"/>
      <c r="E143" s="50"/>
    </row>
    <row r="144" spans="2:5" s="4" customFormat="1">
      <c r="B144" s="85"/>
      <c r="C144" s="18"/>
      <c r="E144" s="50"/>
    </row>
    <row r="145" spans="2:5" s="4" customFormat="1">
      <c r="B145" s="28"/>
      <c r="C145" s="18"/>
      <c r="E145" s="50"/>
    </row>
    <row r="146" spans="2:5" s="4" customFormat="1">
      <c r="B146" s="28"/>
      <c r="C146" s="18"/>
      <c r="E146" s="50"/>
    </row>
    <row r="147" spans="2:5" s="4" customFormat="1">
      <c r="B147" s="28"/>
      <c r="C147" s="18"/>
      <c r="E147" s="50"/>
    </row>
    <row r="148" spans="2:5" s="4" customFormat="1">
      <c r="B148" s="28"/>
      <c r="C148" s="18"/>
      <c r="E148" s="50"/>
    </row>
    <row r="149" spans="2:5" s="4" customFormat="1">
      <c r="B149" s="28"/>
      <c r="C149" s="18"/>
      <c r="E149" s="50"/>
    </row>
    <row r="150" spans="2:5" s="4" customFormat="1">
      <c r="B150" s="85"/>
      <c r="C150" s="18"/>
      <c r="E150" s="50"/>
    </row>
    <row r="151" spans="2:5" s="4" customFormat="1">
      <c r="B151" s="28"/>
      <c r="C151" s="18"/>
      <c r="E151" s="50"/>
    </row>
    <row r="152" spans="2:5" s="4" customFormat="1">
      <c r="B152" s="28"/>
      <c r="C152" s="18"/>
      <c r="E152" s="50"/>
    </row>
    <row r="153" spans="2:5" s="4" customFormat="1">
      <c r="B153" s="28"/>
      <c r="C153" s="18"/>
      <c r="E153" s="50"/>
    </row>
    <row r="154" spans="2:5" s="4" customFormat="1">
      <c r="B154" s="28"/>
      <c r="C154" s="18"/>
      <c r="E154" s="50"/>
    </row>
    <row r="155" spans="2:5" s="4" customFormat="1">
      <c r="B155" s="28"/>
      <c r="C155" s="18"/>
      <c r="E155" s="50"/>
    </row>
    <row r="156" spans="2:5" s="4" customFormat="1">
      <c r="B156" s="85"/>
      <c r="C156" s="18"/>
      <c r="E156" s="50"/>
    </row>
    <row r="157" spans="2:5" s="4" customFormat="1">
      <c r="B157" s="28"/>
      <c r="C157" s="18"/>
      <c r="E157" s="50"/>
    </row>
    <row r="158" spans="2:5" s="4" customFormat="1">
      <c r="B158" s="28"/>
      <c r="C158" s="18"/>
      <c r="E158" s="50"/>
    </row>
    <row r="159" spans="2:5" s="4" customFormat="1">
      <c r="B159" s="28"/>
      <c r="C159" s="18"/>
      <c r="E159" s="50"/>
    </row>
    <row r="160" spans="2:5" s="4" customFormat="1">
      <c r="B160" s="28"/>
      <c r="C160" s="18"/>
      <c r="E160" s="50"/>
    </row>
    <row r="161" spans="2:5" s="4" customFormat="1">
      <c r="B161" s="28"/>
      <c r="C161" s="18"/>
      <c r="E161" s="50"/>
    </row>
    <row r="162" spans="2:5" s="4" customFormat="1">
      <c r="B162" s="85"/>
      <c r="C162" s="18"/>
      <c r="E162" s="50"/>
    </row>
    <row r="163" spans="2:5" s="4" customFormat="1">
      <c r="B163" s="28"/>
      <c r="C163" s="18"/>
      <c r="E163" s="50"/>
    </row>
    <row r="164" spans="2:5" s="4" customFormat="1">
      <c r="B164" s="28"/>
      <c r="C164" s="18"/>
      <c r="E164" s="50"/>
    </row>
    <row r="165" spans="2:5" s="4" customFormat="1">
      <c r="B165" s="28"/>
      <c r="C165" s="18"/>
      <c r="E165" s="50"/>
    </row>
    <row r="166" spans="2:5" s="4" customFormat="1">
      <c r="B166" s="28"/>
      <c r="C166" s="18"/>
      <c r="E166" s="50"/>
    </row>
    <row r="167" spans="2:5" s="4" customFormat="1">
      <c r="B167" s="28"/>
      <c r="C167" s="18"/>
      <c r="E167" s="50"/>
    </row>
    <row r="168" spans="2:5" s="4" customFormat="1">
      <c r="B168" s="28"/>
      <c r="C168" s="18"/>
      <c r="E168" s="50"/>
    </row>
    <row r="169" spans="2:5" s="4" customFormat="1">
      <c r="B169" s="28"/>
      <c r="C169" s="18"/>
      <c r="E169" s="50"/>
    </row>
    <row r="170" spans="2:5" s="4" customFormat="1">
      <c r="B170" s="28"/>
      <c r="C170" s="18"/>
      <c r="E170" s="50"/>
    </row>
    <row r="171" spans="2:5" s="4" customFormat="1">
      <c r="B171" s="28"/>
      <c r="C171" s="18"/>
      <c r="E171" s="50"/>
    </row>
    <row r="172" spans="2:5" s="4" customFormat="1">
      <c r="B172" s="28"/>
      <c r="C172" s="18"/>
      <c r="E172" s="50"/>
    </row>
    <row r="173" spans="2:5" s="4" customFormat="1">
      <c r="B173" s="28"/>
      <c r="C173" s="18"/>
      <c r="E173" s="50"/>
    </row>
    <row r="174" spans="2:5" s="4" customFormat="1">
      <c r="B174" s="28"/>
      <c r="C174" s="18"/>
      <c r="E174" s="50"/>
    </row>
    <row r="175" spans="2:5" s="4" customFormat="1">
      <c r="B175" s="28"/>
      <c r="C175" s="18"/>
      <c r="E175" s="50"/>
    </row>
    <row r="176" spans="2:5" s="4" customFormat="1">
      <c r="B176" s="28"/>
      <c r="C176" s="18"/>
      <c r="E176" s="50"/>
    </row>
    <row r="177" spans="2:5" s="4" customFormat="1">
      <c r="B177" s="28"/>
      <c r="C177" s="18"/>
      <c r="E177" s="50"/>
    </row>
    <row r="178" spans="2:5" s="4" customFormat="1">
      <c r="B178" s="28"/>
      <c r="C178" s="18"/>
      <c r="E178" s="50"/>
    </row>
    <row r="179" spans="2:5" s="4" customFormat="1">
      <c r="B179" s="28"/>
      <c r="C179" s="18"/>
      <c r="E179" s="50"/>
    </row>
    <row r="180" spans="2:5" s="4" customFormat="1">
      <c r="B180" s="28"/>
      <c r="C180" s="18"/>
      <c r="E180" s="50"/>
    </row>
    <row r="181" spans="2:5" s="4" customFormat="1">
      <c r="B181" s="28"/>
      <c r="C181" s="18"/>
      <c r="E181" s="50"/>
    </row>
    <row r="182" spans="2:5" s="4" customFormat="1">
      <c r="B182" s="28"/>
      <c r="C182" s="18"/>
      <c r="E182" s="50"/>
    </row>
    <row r="183" spans="2:5" s="4" customFormat="1">
      <c r="B183" s="28"/>
      <c r="C183" s="18"/>
      <c r="E183" s="50"/>
    </row>
    <row r="184" spans="2:5" s="4" customFormat="1">
      <c r="B184" s="28"/>
      <c r="C184" s="18"/>
      <c r="E184" s="50"/>
    </row>
    <row r="185" spans="2:5" s="4" customFormat="1">
      <c r="B185" s="28"/>
      <c r="C185" s="18"/>
      <c r="E185" s="50"/>
    </row>
    <row r="186" spans="2:5" s="4" customFormat="1">
      <c r="B186" s="28"/>
      <c r="C186" s="18"/>
      <c r="E186" s="50"/>
    </row>
    <row r="187" spans="2:5" s="4" customFormat="1">
      <c r="B187" s="28"/>
      <c r="C187" s="18"/>
      <c r="E187" s="50"/>
    </row>
    <row r="188" spans="2:5" s="4" customFormat="1">
      <c r="B188" s="28"/>
      <c r="C188" s="18"/>
      <c r="E188" s="50"/>
    </row>
    <row r="189" spans="2:5" s="4" customFormat="1">
      <c r="B189" s="28"/>
      <c r="C189" s="18"/>
      <c r="E189" s="50"/>
    </row>
    <row r="190" spans="2:5" s="4" customFormat="1">
      <c r="B190" s="28"/>
      <c r="C190" s="18"/>
      <c r="E190" s="50"/>
    </row>
    <row r="191" spans="2:5" s="4" customFormat="1">
      <c r="B191" s="28"/>
      <c r="C191" s="18"/>
      <c r="E191" s="50"/>
    </row>
    <row r="192" spans="2:5" s="4" customFormat="1">
      <c r="B192" s="28"/>
      <c r="C192" s="18"/>
      <c r="E192" s="50"/>
    </row>
    <row r="193" spans="2:5" s="4" customFormat="1">
      <c r="B193" s="28"/>
      <c r="C193" s="18"/>
      <c r="E193" s="50"/>
    </row>
    <row r="194" spans="2:5" s="4" customFormat="1">
      <c r="B194" s="28"/>
      <c r="C194" s="18"/>
      <c r="E194" s="50"/>
    </row>
    <row r="195" spans="2:5" s="4" customFormat="1">
      <c r="B195" s="28"/>
      <c r="C195" s="18"/>
      <c r="E195" s="50"/>
    </row>
    <row r="196" spans="2:5" s="4" customFormat="1">
      <c r="B196" s="28"/>
      <c r="C196" s="18"/>
      <c r="E196" s="50"/>
    </row>
    <row r="197" spans="2:5" s="4" customFormat="1">
      <c r="B197" s="28"/>
      <c r="C197" s="18"/>
      <c r="E197" s="50"/>
    </row>
    <row r="198" spans="2:5" s="4" customFormat="1">
      <c r="B198" s="28"/>
      <c r="C198" s="18"/>
      <c r="E198" s="50"/>
    </row>
    <row r="199" spans="2:5" s="4" customFormat="1">
      <c r="B199" s="28"/>
      <c r="C199" s="18"/>
      <c r="E199" s="50"/>
    </row>
    <row r="200" spans="2:5" s="4" customFormat="1">
      <c r="B200" s="28"/>
      <c r="C200" s="18"/>
      <c r="E200" s="50"/>
    </row>
    <row r="201" spans="2:5" s="4" customFormat="1">
      <c r="B201" s="28"/>
      <c r="C201" s="18"/>
      <c r="E201" s="50"/>
    </row>
    <row r="202" spans="2:5" s="4" customFormat="1">
      <c r="B202" s="28"/>
      <c r="C202" s="18"/>
      <c r="E202" s="50"/>
    </row>
    <row r="203" spans="2:5" s="4" customFormat="1">
      <c r="B203" s="28"/>
      <c r="C203" s="18"/>
      <c r="E203" s="50"/>
    </row>
    <row r="204" spans="2:5" s="4" customFormat="1">
      <c r="B204" s="28"/>
      <c r="C204" s="18"/>
      <c r="E204" s="50"/>
    </row>
    <row r="205" spans="2:5" s="4" customFormat="1">
      <c r="B205" s="28"/>
      <c r="C205" s="18"/>
      <c r="E205" s="50"/>
    </row>
    <row r="206" spans="2:5" s="4" customFormat="1">
      <c r="B206" s="28"/>
      <c r="C206" s="18"/>
      <c r="E206" s="50"/>
    </row>
    <row r="207" spans="2:5" s="4" customFormat="1">
      <c r="B207" s="28"/>
      <c r="C207" s="18"/>
      <c r="E207" s="50"/>
    </row>
    <row r="208" spans="2:5" s="4" customFormat="1">
      <c r="B208" s="28"/>
      <c r="C208" s="18"/>
      <c r="E208" s="50"/>
    </row>
    <row r="209" spans="2:5" s="4" customFormat="1">
      <c r="B209" s="28"/>
      <c r="C209" s="18"/>
      <c r="E209" s="50"/>
    </row>
    <row r="210" spans="2:5" s="4" customFormat="1">
      <c r="B210" s="28"/>
      <c r="C210" s="18"/>
      <c r="E210" s="50"/>
    </row>
    <row r="211" spans="2:5" s="4" customFormat="1">
      <c r="B211" s="28"/>
      <c r="C211" s="18"/>
      <c r="E211" s="50"/>
    </row>
    <row r="212" spans="2:5" s="4" customFormat="1">
      <c r="B212" s="28"/>
      <c r="C212" s="18"/>
      <c r="E212" s="50"/>
    </row>
    <row r="213" spans="2:5" s="4" customFormat="1">
      <c r="B213" s="28"/>
      <c r="C213" s="18"/>
      <c r="E213" s="50"/>
    </row>
    <row r="214" spans="2:5" s="4" customFormat="1">
      <c r="B214" s="28"/>
      <c r="C214" s="18"/>
      <c r="E214" s="50"/>
    </row>
    <row r="215" spans="2:5" s="4" customFormat="1">
      <c r="B215" s="28"/>
      <c r="C215" s="18"/>
      <c r="E215" s="50"/>
    </row>
    <row r="216" spans="2:5" s="4" customFormat="1">
      <c r="B216" s="28"/>
      <c r="C216" s="18"/>
      <c r="E216" s="50"/>
    </row>
    <row r="217" spans="2:5" s="4" customFormat="1">
      <c r="B217" s="28"/>
      <c r="C217" s="18"/>
      <c r="E217" s="50"/>
    </row>
    <row r="218" spans="2:5" s="4" customFormat="1">
      <c r="B218" s="28"/>
      <c r="C218" s="18"/>
      <c r="E218" s="50"/>
    </row>
    <row r="219" spans="2:5" s="4" customFormat="1">
      <c r="B219" s="28"/>
      <c r="C219" s="18"/>
      <c r="E219" s="50"/>
    </row>
    <row r="220" spans="2:5" s="4" customFormat="1">
      <c r="B220" s="28"/>
      <c r="C220" s="18"/>
      <c r="E220" s="50"/>
    </row>
    <row r="221" spans="2:5" s="4" customFormat="1">
      <c r="B221" s="28"/>
      <c r="C221" s="18"/>
      <c r="E221" s="50"/>
    </row>
    <row r="222" spans="2:5" s="4" customFormat="1">
      <c r="B222" s="28"/>
      <c r="C222" s="18"/>
      <c r="E222" s="50"/>
    </row>
    <row r="223" spans="2:5" s="4" customFormat="1">
      <c r="B223" s="28"/>
      <c r="C223" s="18"/>
      <c r="E223" s="50"/>
    </row>
    <row r="224" spans="2:5" s="4" customFormat="1">
      <c r="B224" s="28"/>
      <c r="C224" s="18"/>
      <c r="E224" s="50"/>
    </row>
    <row r="225" spans="2:5" s="4" customFormat="1">
      <c r="B225" s="28"/>
      <c r="C225" s="18"/>
      <c r="E225" s="50"/>
    </row>
    <row r="226" spans="2:5" s="4" customFormat="1">
      <c r="B226" s="28"/>
      <c r="C226" s="18"/>
      <c r="E226" s="50"/>
    </row>
    <row r="227" spans="2:5" s="4" customFormat="1">
      <c r="B227" s="28"/>
      <c r="C227" s="18"/>
      <c r="E227" s="50"/>
    </row>
    <row r="228" spans="2:5" s="4" customFormat="1">
      <c r="B228" s="28"/>
      <c r="C228" s="18"/>
      <c r="E228" s="50"/>
    </row>
    <row r="229" spans="2:5" s="4" customFormat="1">
      <c r="B229" s="28"/>
      <c r="C229" s="18"/>
      <c r="E229" s="50"/>
    </row>
    <row r="230" spans="2:5" s="4" customFormat="1">
      <c r="B230" s="28"/>
      <c r="C230" s="18"/>
      <c r="E230" s="50"/>
    </row>
    <row r="231" spans="2:5" s="4" customFormat="1">
      <c r="B231" s="28"/>
      <c r="C231" s="18"/>
      <c r="E231" s="50"/>
    </row>
    <row r="232" spans="2:5" s="4" customFormat="1">
      <c r="B232" s="28"/>
      <c r="C232" s="18"/>
      <c r="E232" s="50"/>
    </row>
    <row r="233" spans="2:5" s="4" customFormat="1">
      <c r="B233" s="28"/>
      <c r="C233" s="18"/>
      <c r="E233" s="50"/>
    </row>
    <row r="234" spans="2:5" s="4" customFormat="1">
      <c r="B234" s="28"/>
      <c r="C234" s="18"/>
      <c r="E234" s="50"/>
    </row>
    <row r="235" spans="2:5" s="4" customFormat="1">
      <c r="B235" s="28"/>
      <c r="C235" s="18"/>
      <c r="E235" s="50"/>
    </row>
    <row r="236" spans="2:5" s="4" customFormat="1">
      <c r="B236" s="28"/>
      <c r="C236" s="18"/>
      <c r="E236" s="50"/>
    </row>
    <row r="237" spans="2:5" s="4" customFormat="1">
      <c r="B237" s="28"/>
      <c r="C237" s="18"/>
      <c r="E237" s="50"/>
    </row>
    <row r="238" spans="2:5" s="4" customFormat="1">
      <c r="B238" s="28"/>
      <c r="C238" s="18"/>
      <c r="E238" s="50"/>
    </row>
    <row r="239" spans="2:5" s="4" customFormat="1">
      <c r="B239" s="28"/>
      <c r="C239" s="18"/>
      <c r="E239" s="50"/>
    </row>
    <row r="240" spans="2:5" s="4" customFormat="1">
      <c r="B240" s="28"/>
      <c r="C240" s="18"/>
      <c r="E240" s="50"/>
    </row>
    <row r="241" spans="2:5" s="4" customFormat="1">
      <c r="B241" s="28"/>
      <c r="C241" s="18"/>
      <c r="E241" s="50"/>
    </row>
    <row r="242" spans="2:5" s="4" customFormat="1">
      <c r="B242" s="28"/>
      <c r="C242" s="18"/>
      <c r="E242" s="50"/>
    </row>
    <row r="243" spans="2:5" s="4" customFormat="1">
      <c r="B243" s="28"/>
      <c r="C243" s="18"/>
      <c r="E243" s="50"/>
    </row>
    <row r="244" spans="2:5" s="4" customFormat="1">
      <c r="B244" s="28"/>
      <c r="C244" s="18"/>
      <c r="E244" s="50"/>
    </row>
    <row r="245" spans="2:5" s="4" customFormat="1">
      <c r="B245" s="28"/>
      <c r="C245" s="18"/>
      <c r="E245" s="50"/>
    </row>
    <row r="246" spans="2:5" s="4" customFormat="1">
      <c r="B246" s="28"/>
      <c r="C246" s="18"/>
      <c r="E246" s="50"/>
    </row>
    <row r="247" spans="2:5" s="4" customFormat="1">
      <c r="B247" s="28"/>
      <c r="C247" s="18"/>
      <c r="E247" s="50"/>
    </row>
    <row r="248" spans="2:5" s="4" customFormat="1">
      <c r="B248" s="28"/>
      <c r="C248" s="18"/>
      <c r="E248" s="50"/>
    </row>
    <row r="249" spans="2:5" s="4" customFormat="1">
      <c r="B249" s="28"/>
      <c r="C249" s="18"/>
      <c r="E249" s="50"/>
    </row>
    <row r="250" spans="2:5" s="4" customFormat="1">
      <c r="B250" s="28"/>
      <c r="C250" s="18"/>
      <c r="E250" s="50"/>
    </row>
    <row r="251" spans="2:5" s="4" customFormat="1">
      <c r="B251" s="28"/>
      <c r="C251" s="18"/>
      <c r="E251" s="50"/>
    </row>
    <row r="252" spans="2:5" s="4" customFormat="1">
      <c r="B252" s="28"/>
      <c r="C252" s="18"/>
      <c r="E252" s="50"/>
    </row>
    <row r="253" spans="2:5" s="4" customFormat="1">
      <c r="B253" s="28"/>
      <c r="C253" s="18"/>
      <c r="E253" s="50"/>
    </row>
    <row r="254" spans="2:5" s="4" customFormat="1">
      <c r="B254" s="28"/>
      <c r="C254" s="18"/>
      <c r="E254" s="50"/>
    </row>
    <row r="255" spans="2:5" s="4" customFormat="1">
      <c r="B255" s="28"/>
      <c r="C255" s="18"/>
      <c r="E255" s="50"/>
    </row>
    <row r="256" spans="2:5" s="4" customFormat="1">
      <c r="B256" s="28"/>
      <c r="C256" s="18"/>
      <c r="E256" s="50"/>
    </row>
    <row r="257" spans="2:5" s="4" customFormat="1">
      <c r="B257" s="28"/>
      <c r="C257" s="18"/>
      <c r="E257" s="50"/>
    </row>
    <row r="258" spans="2:5" s="4" customFormat="1">
      <c r="B258" s="28"/>
      <c r="C258" s="18"/>
      <c r="E258" s="50"/>
    </row>
    <row r="259" spans="2:5" s="4" customFormat="1">
      <c r="B259" s="28"/>
      <c r="C259" s="18"/>
      <c r="E259" s="50"/>
    </row>
    <row r="260" spans="2:5" s="4" customFormat="1">
      <c r="B260" s="28"/>
      <c r="C260" s="18"/>
      <c r="E260" s="50"/>
    </row>
    <row r="261" spans="2:5" s="4" customFormat="1">
      <c r="B261" s="28"/>
      <c r="C261" s="18"/>
      <c r="E261" s="50"/>
    </row>
    <row r="262" spans="2:5" s="4" customFormat="1">
      <c r="B262" s="28"/>
      <c r="C262" s="18"/>
      <c r="E262" s="50"/>
    </row>
    <row r="263" spans="2:5" s="4" customFormat="1">
      <c r="B263" s="28"/>
      <c r="C263" s="18"/>
      <c r="E263" s="50"/>
    </row>
    <row r="264" spans="2:5" s="4" customFormat="1">
      <c r="B264" s="28"/>
      <c r="C264" s="18"/>
      <c r="E264" s="50"/>
    </row>
    <row r="265" spans="2:5" s="4" customFormat="1">
      <c r="B265" s="28"/>
      <c r="C265" s="18"/>
      <c r="E265" s="50"/>
    </row>
    <row r="266" spans="2:5" s="4" customFormat="1">
      <c r="B266" s="28"/>
      <c r="C266" s="18"/>
      <c r="E266" s="50"/>
    </row>
    <row r="267" spans="2:5" s="4" customFormat="1">
      <c r="B267" s="28"/>
      <c r="C267" s="18"/>
      <c r="E267" s="50"/>
    </row>
    <row r="268" spans="2:5" s="4" customFormat="1">
      <c r="B268" s="28"/>
      <c r="C268" s="18"/>
      <c r="E268" s="50"/>
    </row>
    <row r="269" spans="2:5" s="4" customFormat="1">
      <c r="B269" s="28"/>
      <c r="C269" s="18"/>
      <c r="E269" s="50"/>
    </row>
    <row r="270" spans="2:5" s="4" customFormat="1">
      <c r="B270" s="28"/>
      <c r="C270" s="18"/>
      <c r="E270" s="50"/>
    </row>
    <row r="271" spans="2:5" s="4" customFormat="1">
      <c r="B271" s="28"/>
      <c r="C271" s="18"/>
      <c r="E271" s="50"/>
    </row>
    <row r="272" spans="2:5" s="4" customFormat="1">
      <c r="B272" s="28"/>
      <c r="C272" s="18"/>
      <c r="E272" s="50"/>
    </row>
    <row r="273" spans="2:5" s="4" customFormat="1">
      <c r="B273" s="28"/>
      <c r="C273" s="18"/>
      <c r="E273" s="50"/>
    </row>
    <row r="274" spans="2:5" s="4" customFormat="1">
      <c r="B274" s="28"/>
      <c r="C274" s="18"/>
      <c r="E274" s="50"/>
    </row>
    <row r="275" spans="2:5" s="4" customFormat="1">
      <c r="B275" s="28"/>
      <c r="C275" s="18"/>
      <c r="E275" s="50"/>
    </row>
    <row r="276" spans="2:5" s="4" customFormat="1">
      <c r="B276" s="28"/>
      <c r="C276" s="18"/>
      <c r="E276" s="50"/>
    </row>
    <row r="277" spans="2:5" s="4" customFormat="1">
      <c r="B277" s="28"/>
      <c r="C277" s="18"/>
      <c r="E277" s="50"/>
    </row>
    <row r="278" spans="2:5" s="4" customFormat="1">
      <c r="B278" s="28"/>
      <c r="C278" s="18"/>
      <c r="E278" s="50"/>
    </row>
    <row r="279" spans="2:5" s="4" customFormat="1">
      <c r="B279" s="28"/>
      <c r="C279" s="18"/>
      <c r="E279" s="50"/>
    </row>
    <row r="280" spans="2:5" s="4" customFormat="1">
      <c r="B280" s="28"/>
      <c r="C280" s="18"/>
      <c r="E280" s="50"/>
    </row>
    <row r="281" spans="2:5" s="4" customFormat="1">
      <c r="B281" s="28"/>
      <c r="C281" s="18"/>
      <c r="E281" s="50"/>
    </row>
    <row r="282" spans="2:5" s="4" customFormat="1">
      <c r="B282" s="28"/>
      <c r="C282" s="18"/>
      <c r="E282" s="50"/>
    </row>
    <row r="283" spans="2:5" s="4" customFormat="1">
      <c r="B283" s="28"/>
      <c r="C283" s="18"/>
      <c r="E283" s="50"/>
    </row>
    <row r="284" spans="2:5" s="4" customFormat="1">
      <c r="B284" s="28"/>
      <c r="C284" s="18"/>
      <c r="E284" s="50"/>
    </row>
    <row r="285" spans="2:5" s="4" customFormat="1">
      <c r="B285" s="28"/>
      <c r="C285" s="18"/>
      <c r="E285" s="50"/>
    </row>
    <row r="286" spans="2:5" s="4" customFormat="1">
      <c r="B286" s="28"/>
      <c r="C286" s="18"/>
      <c r="E286" s="50"/>
    </row>
    <row r="287" spans="2:5" s="4" customFormat="1">
      <c r="B287" s="28"/>
      <c r="C287" s="18"/>
      <c r="E287" s="50"/>
    </row>
    <row r="288" spans="2:5" s="4" customFormat="1">
      <c r="B288" s="28"/>
      <c r="C288" s="18"/>
      <c r="E288" s="50"/>
    </row>
    <row r="289" spans="2:5" s="4" customFormat="1">
      <c r="B289" s="28"/>
      <c r="C289" s="18"/>
      <c r="E289" s="50"/>
    </row>
    <row r="290" spans="2:5" s="4" customFormat="1">
      <c r="B290" s="28"/>
      <c r="C290" s="18"/>
      <c r="E290" s="50"/>
    </row>
    <row r="291" spans="2:5" s="4" customFormat="1">
      <c r="B291" s="28"/>
      <c r="C291" s="18"/>
      <c r="E291" s="50"/>
    </row>
    <row r="292" spans="2:5" s="4" customFormat="1">
      <c r="B292" s="28"/>
      <c r="C292" s="18"/>
      <c r="E292" s="50"/>
    </row>
    <row r="293" spans="2:5" s="4" customFormat="1">
      <c r="B293" s="28"/>
      <c r="C293" s="18"/>
      <c r="E293" s="50"/>
    </row>
    <row r="294" spans="2:5" s="4" customFormat="1">
      <c r="B294" s="28"/>
      <c r="C294" s="18"/>
      <c r="E294" s="50"/>
    </row>
    <row r="295" spans="2:5" s="4" customFormat="1">
      <c r="B295" s="28"/>
      <c r="C295" s="18"/>
      <c r="E295" s="50"/>
    </row>
    <row r="296" spans="2:5" s="4" customFormat="1">
      <c r="B296" s="28"/>
      <c r="C296" s="18"/>
      <c r="E296" s="50"/>
    </row>
    <row r="297" spans="2:5" s="4" customFormat="1">
      <c r="B297" s="28"/>
      <c r="C297" s="18"/>
      <c r="E297" s="50"/>
    </row>
    <row r="298" spans="2:5" s="4" customFormat="1">
      <c r="B298" s="28"/>
      <c r="C298" s="18"/>
      <c r="E298" s="50"/>
    </row>
    <row r="299" spans="2:5" s="4" customFormat="1">
      <c r="B299" s="28"/>
      <c r="C299" s="18"/>
      <c r="E299" s="50"/>
    </row>
    <row r="300" spans="2:5" s="4" customFormat="1">
      <c r="B300" s="28"/>
      <c r="C300" s="18"/>
      <c r="E300" s="50"/>
    </row>
    <row r="301" spans="2:5" s="4" customFormat="1">
      <c r="B301" s="28"/>
      <c r="C301" s="18"/>
      <c r="E301" s="50"/>
    </row>
    <row r="302" spans="2:5" s="4" customFormat="1">
      <c r="B302" s="28"/>
      <c r="C302" s="18"/>
      <c r="E302" s="50"/>
    </row>
    <row r="303" spans="2:5" s="4" customFormat="1">
      <c r="B303" s="28"/>
      <c r="C303" s="18"/>
      <c r="E303" s="50"/>
    </row>
    <row r="304" spans="2:5" s="4" customFormat="1">
      <c r="B304" s="28"/>
      <c r="C304" s="18"/>
      <c r="E304" s="50"/>
    </row>
    <row r="305" spans="2:5" s="4" customFormat="1">
      <c r="B305" s="28"/>
      <c r="C305" s="18"/>
      <c r="E305" s="50"/>
    </row>
    <row r="306" spans="2:5" s="4" customFormat="1">
      <c r="B306" s="28"/>
      <c r="C306" s="18"/>
      <c r="E306" s="50"/>
    </row>
    <row r="307" spans="2:5" s="4" customFormat="1">
      <c r="B307" s="28"/>
      <c r="C307" s="18"/>
      <c r="E307" s="50"/>
    </row>
    <row r="308" spans="2:5" s="4" customFormat="1">
      <c r="B308" s="28"/>
      <c r="C308" s="18"/>
      <c r="E308" s="50"/>
    </row>
    <row r="309" spans="2:5" s="4" customFormat="1">
      <c r="B309" s="28"/>
      <c r="C309" s="18"/>
      <c r="E309" s="50"/>
    </row>
    <row r="310" spans="2:5" s="4" customFormat="1">
      <c r="B310" s="28"/>
      <c r="C310" s="18"/>
      <c r="E310" s="50"/>
    </row>
    <row r="311" spans="2:5" s="4" customFormat="1">
      <c r="B311" s="28"/>
      <c r="C311" s="18"/>
      <c r="E311" s="50"/>
    </row>
    <row r="312" spans="2:5" s="4" customFormat="1">
      <c r="B312" s="28"/>
      <c r="C312" s="18"/>
      <c r="E312" s="50"/>
    </row>
    <row r="313" spans="2:5" s="4" customFormat="1">
      <c r="B313" s="28"/>
      <c r="C313" s="18"/>
      <c r="E313" s="50"/>
    </row>
    <row r="314" spans="2:5" s="4" customFormat="1">
      <c r="B314" s="28"/>
      <c r="C314" s="18"/>
      <c r="E314" s="50"/>
    </row>
    <row r="315" spans="2:5" s="4" customFormat="1">
      <c r="B315" s="28"/>
      <c r="C315" s="18"/>
      <c r="E315" s="50"/>
    </row>
    <row r="316" spans="2:5" s="4" customFormat="1">
      <c r="B316" s="28"/>
      <c r="C316" s="18"/>
      <c r="E316" s="50"/>
    </row>
    <row r="317" spans="2:5" s="4" customFormat="1">
      <c r="B317" s="28"/>
      <c r="C317" s="18"/>
      <c r="E317" s="50"/>
    </row>
    <row r="318" spans="2:5" s="4" customFormat="1">
      <c r="B318" s="28"/>
      <c r="C318" s="18"/>
      <c r="E318" s="50"/>
    </row>
    <row r="319" spans="2:5" s="4" customFormat="1">
      <c r="B319" s="28"/>
      <c r="C319" s="18"/>
      <c r="E319" s="50"/>
    </row>
    <row r="320" spans="2:5" s="4" customFormat="1">
      <c r="B320" s="28"/>
      <c r="C320" s="18"/>
      <c r="E320" s="50"/>
    </row>
    <row r="321" spans="2:5" s="4" customFormat="1">
      <c r="B321" s="28"/>
      <c r="C321" s="18"/>
      <c r="E321" s="50"/>
    </row>
    <row r="322" spans="2:5" s="4" customFormat="1">
      <c r="B322" s="28"/>
      <c r="C322" s="18"/>
      <c r="E322" s="50"/>
    </row>
    <row r="323" spans="2:5" s="4" customFormat="1">
      <c r="B323" s="28"/>
      <c r="C323" s="18"/>
      <c r="E323" s="50"/>
    </row>
    <row r="324" spans="2:5" s="4" customFormat="1">
      <c r="B324" s="28"/>
      <c r="C324" s="18"/>
      <c r="E324" s="50"/>
    </row>
    <row r="325" spans="2:5" s="4" customFormat="1">
      <c r="B325" s="28"/>
      <c r="C325" s="18"/>
      <c r="E325" s="50"/>
    </row>
    <row r="326" spans="2:5" s="4" customFormat="1">
      <c r="B326" s="28"/>
      <c r="C326" s="18"/>
      <c r="E326" s="50"/>
    </row>
    <row r="327" spans="2:5" s="4" customFormat="1">
      <c r="B327" s="28"/>
      <c r="C327" s="18"/>
      <c r="E327" s="50"/>
    </row>
    <row r="328" spans="2:5" s="4" customFormat="1">
      <c r="B328" s="28"/>
      <c r="C328" s="18"/>
      <c r="E328" s="50"/>
    </row>
    <row r="329" spans="2:5" s="4" customFormat="1">
      <c r="B329" s="28"/>
      <c r="C329" s="18"/>
      <c r="E329" s="50"/>
    </row>
    <row r="330" spans="2:5" s="4" customFormat="1">
      <c r="B330" s="28"/>
      <c r="C330" s="18"/>
      <c r="E330" s="50"/>
    </row>
    <row r="331" spans="2:5" s="4" customFormat="1">
      <c r="B331" s="28"/>
      <c r="C331" s="18"/>
      <c r="E331" s="50"/>
    </row>
    <row r="332" spans="2:5" s="4" customFormat="1">
      <c r="B332" s="28"/>
      <c r="C332" s="18"/>
      <c r="E332" s="50"/>
    </row>
    <row r="333" spans="2:5" s="4" customFormat="1">
      <c r="B333" s="28"/>
      <c r="C333" s="18"/>
      <c r="E333" s="50"/>
    </row>
    <row r="334" spans="2:5" s="4" customFormat="1">
      <c r="B334" s="28"/>
      <c r="C334" s="18"/>
      <c r="E334" s="50"/>
    </row>
    <row r="335" spans="2:5" s="4" customFormat="1">
      <c r="B335" s="28"/>
      <c r="C335" s="18"/>
      <c r="E335" s="50"/>
    </row>
    <row r="336" spans="2:5" s="4" customFormat="1">
      <c r="B336" s="28"/>
      <c r="C336" s="18"/>
      <c r="E336" s="50"/>
    </row>
    <row r="337" spans="2:5" s="4" customFormat="1">
      <c r="B337" s="28"/>
      <c r="C337" s="18"/>
      <c r="E337" s="50"/>
    </row>
    <row r="338" spans="2:5" s="4" customFormat="1">
      <c r="B338" s="28"/>
      <c r="C338" s="18"/>
      <c r="E338" s="50"/>
    </row>
    <row r="339" spans="2:5" s="4" customFormat="1">
      <c r="B339" s="28"/>
      <c r="C339" s="18"/>
      <c r="E339" s="50"/>
    </row>
    <row r="340" spans="2:5" s="4" customFormat="1">
      <c r="B340" s="28"/>
      <c r="C340" s="18"/>
      <c r="E340" s="50"/>
    </row>
    <row r="341" spans="2:5" s="4" customFormat="1">
      <c r="B341" s="28"/>
      <c r="C341" s="18"/>
      <c r="E341" s="50"/>
    </row>
    <row r="342" spans="2:5" s="4" customFormat="1">
      <c r="B342" s="28"/>
      <c r="C342" s="18"/>
      <c r="E342" s="50"/>
    </row>
    <row r="343" spans="2:5" s="4" customFormat="1">
      <c r="B343" s="28"/>
      <c r="C343" s="18"/>
      <c r="E343" s="50"/>
    </row>
    <row r="344" spans="2:5" s="4" customFormat="1">
      <c r="B344" s="28"/>
      <c r="C344" s="18"/>
      <c r="E344" s="50"/>
    </row>
    <row r="345" spans="2:5" s="4" customFormat="1">
      <c r="B345" s="28"/>
      <c r="C345" s="18"/>
      <c r="E345" s="50"/>
    </row>
    <row r="346" spans="2:5" s="4" customFormat="1">
      <c r="B346" s="28"/>
      <c r="C346" s="18"/>
      <c r="E346" s="50"/>
    </row>
    <row r="347" spans="2:5" s="4" customFormat="1">
      <c r="B347" s="28"/>
      <c r="C347" s="18"/>
      <c r="E347" s="50"/>
    </row>
    <row r="348" spans="2:5" s="4" customFormat="1">
      <c r="B348" s="28"/>
      <c r="C348" s="18"/>
      <c r="E348" s="50"/>
    </row>
    <row r="349" spans="2:5" s="4" customFormat="1">
      <c r="B349" s="28"/>
      <c r="C349" s="18"/>
      <c r="E349" s="50"/>
    </row>
    <row r="350" spans="2:5" s="4" customFormat="1">
      <c r="B350" s="28"/>
      <c r="C350" s="18"/>
      <c r="E350" s="50"/>
    </row>
    <row r="351" spans="2:5" s="4" customFormat="1">
      <c r="B351" s="28"/>
      <c r="C351" s="18"/>
      <c r="E351" s="50"/>
    </row>
    <row r="352" spans="2:5" s="4" customFormat="1">
      <c r="B352" s="28"/>
      <c r="C352" s="18"/>
      <c r="E352" s="50"/>
    </row>
    <row r="353" spans="2:5" s="4" customFormat="1">
      <c r="B353" s="28"/>
      <c r="C353" s="18"/>
      <c r="E353" s="50"/>
    </row>
    <row r="354" spans="2:5" s="4" customFormat="1">
      <c r="B354" s="28"/>
      <c r="C354" s="18"/>
      <c r="E354" s="50"/>
    </row>
    <row r="355" spans="2:5" s="4" customFormat="1">
      <c r="B355" s="28"/>
      <c r="C355" s="18"/>
      <c r="E355" s="50"/>
    </row>
    <row r="356" spans="2:5" s="4" customFormat="1">
      <c r="B356" s="28"/>
      <c r="C356" s="18"/>
      <c r="E356" s="50"/>
    </row>
    <row r="357" spans="2:5" s="4" customFormat="1">
      <c r="B357" s="28"/>
      <c r="C357" s="18"/>
      <c r="E357" s="50"/>
    </row>
    <row r="358" spans="2:5" s="4" customFormat="1">
      <c r="B358" s="28"/>
      <c r="C358" s="18"/>
      <c r="E358" s="50"/>
    </row>
    <row r="359" spans="2:5" s="4" customFormat="1">
      <c r="B359" s="28"/>
      <c r="C359" s="18"/>
      <c r="E359" s="50"/>
    </row>
    <row r="360" spans="2:5" s="4" customFormat="1">
      <c r="B360" s="28"/>
      <c r="C360" s="18"/>
      <c r="E360" s="50"/>
    </row>
    <row r="361" spans="2:5" s="4" customFormat="1">
      <c r="B361" s="28"/>
      <c r="C361" s="18"/>
      <c r="E361" s="50"/>
    </row>
    <row r="362" spans="2:5" s="4" customFormat="1">
      <c r="B362" s="28"/>
      <c r="C362" s="18"/>
      <c r="E362" s="50"/>
    </row>
    <row r="363" spans="2:5" s="4" customFormat="1">
      <c r="B363" s="28"/>
      <c r="C363" s="18"/>
      <c r="E363" s="50"/>
    </row>
    <row r="364" spans="2:5" s="4" customFormat="1">
      <c r="B364" s="28"/>
      <c r="C364" s="18"/>
      <c r="E364" s="50"/>
    </row>
    <row r="365" spans="2:5" s="4" customFormat="1">
      <c r="B365" s="28"/>
      <c r="C365" s="18"/>
      <c r="E365" s="50"/>
    </row>
    <row r="366" spans="2:5" s="4" customFormat="1">
      <c r="B366" s="28"/>
      <c r="C366" s="18"/>
      <c r="E366" s="50"/>
    </row>
    <row r="367" spans="2:5" s="4" customFormat="1">
      <c r="B367" s="28"/>
      <c r="C367" s="18"/>
      <c r="E367" s="50"/>
    </row>
    <row r="368" spans="2:5" s="4" customFormat="1">
      <c r="B368" s="28"/>
      <c r="C368" s="18"/>
      <c r="E368" s="50"/>
    </row>
    <row r="369" spans="2:5" s="4" customFormat="1">
      <c r="B369" s="28"/>
      <c r="C369" s="18"/>
      <c r="E369" s="50"/>
    </row>
    <row r="370" spans="2:5" s="4" customFormat="1">
      <c r="B370" s="28"/>
      <c r="C370" s="18"/>
      <c r="E370" s="50"/>
    </row>
    <row r="371" spans="2:5" s="4" customFormat="1">
      <c r="B371" s="28"/>
      <c r="C371" s="18"/>
      <c r="E371" s="50"/>
    </row>
    <row r="372" spans="2:5" s="4" customFormat="1">
      <c r="B372" s="28"/>
      <c r="C372" s="18"/>
      <c r="E372" s="50"/>
    </row>
    <row r="373" spans="2:5" s="4" customFormat="1">
      <c r="B373" s="28"/>
      <c r="C373" s="18"/>
      <c r="E373" s="50"/>
    </row>
    <row r="374" spans="2:5" s="4" customFormat="1">
      <c r="B374" s="28"/>
      <c r="C374" s="18"/>
      <c r="E374" s="50"/>
    </row>
    <row r="375" spans="2:5" s="4" customFormat="1">
      <c r="B375" s="28"/>
      <c r="C375" s="18"/>
      <c r="E375" s="50"/>
    </row>
    <row r="376" spans="2:5" s="4" customFormat="1">
      <c r="B376" s="28"/>
      <c r="C376" s="18"/>
      <c r="E376" s="50"/>
    </row>
    <row r="377" spans="2:5" s="4" customFormat="1">
      <c r="B377" s="28"/>
      <c r="C377" s="18"/>
      <c r="E377" s="50"/>
    </row>
    <row r="378" spans="2:5" s="4" customFormat="1">
      <c r="B378" s="28"/>
      <c r="C378" s="18"/>
      <c r="E378" s="50"/>
    </row>
    <row r="379" spans="2:5" s="4" customFormat="1">
      <c r="B379" s="28"/>
      <c r="C379" s="18"/>
      <c r="E379" s="50"/>
    </row>
    <row r="380" spans="2:5" s="4" customFormat="1">
      <c r="B380" s="28"/>
      <c r="C380" s="18"/>
      <c r="E380" s="50"/>
    </row>
    <row r="381" spans="2:5" s="4" customFormat="1">
      <c r="B381" s="28"/>
      <c r="C381" s="18"/>
      <c r="E381" s="50"/>
    </row>
    <row r="382" spans="2:5" s="4" customFormat="1">
      <c r="B382" s="28"/>
      <c r="C382" s="18"/>
      <c r="E382" s="50"/>
    </row>
    <row r="383" spans="2:5" s="4" customFormat="1">
      <c r="B383" s="28"/>
      <c r="C383" s="18"/>
      <c r="E383" s="50"/>
    </row>
    <row r="384" spans="2:5" s="4" customFormat="1">
      <c r="B384" s="28"/>
      <c r="C384" s="18"/>
      <c r="E384" s="50"/>
    </row>
    <row r="385" spans="2:5" s="4" customFormat="1">
      <c r="B385" s="28"/>
      <c r="C385" s="18"/>
      <c r="E385" s="50"/>
    </row>
    <row r="386" spans="2:5" s="4" customFormat="1">
      <c r="B386" s="28"/>
      <c r="C386" s="18"/>
      <c r="E386" s="50"/>
    </row>
    <row r="387" spans="2:5" s="4" customFormat="1">
      <c r="B387" s="28"/>
      <c r="C387" s="18"/>
      <c r="E387" s="50"/>
    </row>
    <row r="388" spans="2:5" s="4" customFormat="1">
      <c r="B388" s="28"/>
      <c r="C388" s="18"/>
      <c r="E388" s="50"/>
    </row>
    <row r="389" spans="2:5" s="4" customFormat="1">
      <c r="B389" s="28"/>
      <c r="C389" s="18"/>
      <c r="E389" s="50"/>
    </row>
    <row r="390" spans="2:5" s="4" customFormat="1">
      <c r="B390" s="28"/>
      <c r="C390" s="18"/>
      <c r="E390" s="50"/>
    </row>
    <row r="391" spans="2:5" s="4" customFormat="1">
      <c r="B391" s="28"/>
      <c r="C391" s="18"/>
      <c r="E391" s="50"/>
    </row>
    <row r="392" spans="2:5" s="4" customFormat="1">
      <c r="B392" s="28"/>
      <c r="C392" s="18"/>
      <c r="E392" s="50"/>
    </row>
    <row r="393" spans="2:5" s="4" customFormat="1">
      <c r="B393" s="28"/>
      <c r="C393" s="18"/>
      <c r="E393" s="50"/>
    </row>
    <row r="394" spans="2:5" s="4" customFormat="1">
      <c r="B394" s="28"/>
      <c r="C394" s="18"/>
      <c r="E394" s="50"/>
    </row>
    <row r="395" spans="2:5" s="4" customFormat="1">
      <c r="B395" s="28"/>
      <c r="C395" s="18"/>
      <c r="E395" s="50"/>
    </row>
    <row r="396" spans="2:5" s="4" customFormat="1">
      <c r="B396" s="28"/>
      <c r="C396" s="18"/>
      <c r="E396" s="50"/>
    </row>
    <row r="397" spans="2:5" s="4" customFormat="1">
      <c r="B397" s="28"/>
      <c r="C397" s="18"/>
      <c r="E397" s="50"/>
    </row>
    <row r="398" spans="2:5" s="4" customFormat="1">
      <c r="B398" s="28"/>
      <c r="C398" s="18"/>
      <c r="E398" s="50"/>
    </row>
    <row r="399" spans="2:5" s="4" customFormat="1">
      <c r="B399" s="28"/>
      <c r="C399" s="18"/>
      <c r="E399" s="50"/>
    </row>
    <row r="400" spans="2:5" s="4" customFormat="1">
      <c r="B400" s="28"/>
      <c r="C400" s="18"/>
      <c r="E400" s="50"/>
    </row>
    <row r="401" spans="2:5" s="4" customFormat="1">
      <c r="B401" s="28"/>
      <c r="C401" s="18"/>
      <c r="E401" s="50"/>
    </row>
    <row r="402" spans="2:5" s="4" customFormat="1">
      <c r="B402" s="28"/>
      <c r="C402" s="18"/>
      <c r="E402" s="50"/>
    </row>
    <row r="403" spans="2:5" s="4" customFormat="1">
      <c r="B403" s="28"/>
      <c r="C403" s="18"/>
      <c r="E403" s="50"/>
    </row>
    <row r="404" spans="2:5" s="4" customFormat="1">
      <c r="B404" s="28"/>
      <c r="C404" s="18"/>
      <c r="E404" s="50"/>
    </row>
    <row r="405" spans="2:5" s="4" customFormat="1">
      <c r="B405" s="28"/>
      <c r="C405" s="18"/>
      <c r="E405" s="50"/>
    </row>
    <row r="406" spans="2:5" s="4" customFormat="1">
      <c r="B406" s="28"/>
      <c r="C406" s="18"/>
      <c r="E406" s="50"/>
    </row>
    <row r="407" spans="2:5" s="4" customFormat="1">
      <c r="B407" s="28"/>
      <c r="C407" s="18"/>
      <c r="E407" s="50"/>
    </row>
    <row r="408" spans="2:5" s="4" customFormat="1">
      <c r="B408" s="28"/>
      <c r="C408" s="18"/>
      <c r="E408" s="50"/>
    </row>
    <row r="409" spans="2:5" s="4" customFormat="1">
      <c r="B409" s="28"/>
      <c r="C409" s="18"/>
      <c r="E409" s="50"/>
    </row>
    <row r="410" spans="2:5" s="4" customFormat="1">
      <c r="B410" s="28"/>
      <c r="C410" s="18"/>
      <c r="E410" s="50"/>
    </row>
    <row r="411" spans="2:5" s="4" customFormat="1">
      <c r="B411" s="28"/>
      <c r="C411" s="18"/>
      <c r="E411" s="50"/>
    </row>
    <row r="412" spans="2:5" s="4" customFormat="1">
      <c r="B412" s="28"/>
      <c r="C412" s="18"/>
      <c r="E412" s="50"/>
    </row>
    <row r="413" spans="2:5" s="4" customFormat="1">
      <c r="B413" s="28"/>
      <c r="C413" s="18"/>
      <c r="E413" s="50"/>
    </row>
    <row r="414" spans="2:5" s="4" customFormat="1">
      <c r="B414" s="28"/>
      <c r="C414" s="18"/>
      <c r="E414" s="50"/>
    </row>
    <row r="415" spans="2:5" s="4" customFormat="1">
      <c r="B415" s="28"/>
      <c r="C415" s="18"/>
      <c r="E415" s="50"/>
    </row>
    <row r="416" spans="2:5" s="4" customFormat="1">
      <c r="B416" s="28"/>
      <c r="C416" s="18"/>
      <c r="E416" s="50"/>
    </row>
    <row r="417" spans="2:5" s="4" customFormat="1">
      <c r="B417" s="28"/>
      <c r="C417" s="18"/>
      <c r="E417" s="50"/>
    </row>
    <row r="418" spans="2:5" s="4" customFormat="1">
      <c r="B418" s="28"/>
      <c r="C418" s="18"/>
      <c r="E418" s="50"/>
    </row>
    <row r="419" spans="2:5" s="4" customFormat="1">
      <c r="B419" s="28"/>
      <c r="C419" s="18"/>
      <c r="E419" s="50"/>
    </row>
    <row r="420" spans="2:5" s="4" customFormat="1">
      <c r="B420" s="28"/>
      <c r="C420" s="18"/>
      <c r="E420" s="50"/>
    </row>
    <row r="421" spans="2:5" s="4" customFormat="1">
      <c r="B421" s="28"/>
      <c r="C421" s="18"/>
      <c r="E421" s="50"/>
    </row>
    <row r="422" spans="2:5" s="4" customFormat="1">
      <c r="B422" s="28"/>
      <c r="C422" s="18"/>
      <c r="E422" s="50"/>
    </row>
    <row r="423" spans="2:5" s="4" customFormat="1">
      <c r="B423" s="28"/>
      <c r="C423" s="18"/>
      <c r="E423" s="50"/>
    </row>
    <row r="424" spans="2:5" s="4" customFormat="1">
      <c r="B424" s="28"/>
      <c r="C424" s="18"/>
      <c r="E424" s="50"/>
    </row>
    <row r="425" spans="2:5" s="4" customFormat="1">
      <c r="B425" s="28"/>
      <c r="C425" s="18"/>
      <c r="E425" s="50"/>
    </row>
    <row r="426" spans="2:5" s="4" customFormat="1">
      <c r="B426" s="28"/>
      <c r="C426" s="18"/>
      <c r="E426" s="50"/>
    </row>
    <row r="427" spans="2:5" s="4" customFormat="1">
      <c r="B427" s="28"/>
      <c r="C427" s="18"/>
      <c r="E427" s="50"/>
    </row>
    <row r="428" spans="2:5" s="4" customFormat="1">
      <c r="B428" s="28"/>
      <c r="C428" s="18"/>
      <c r="E428" s="50"/>
    </row>
    <row r="429" spans="2:5" s="4" customFormat="1">
      <c r="B429" s="28"/>
      <c r="C429" s="18"/>
      <c r="E429" s="50"/>
    </row>
    <row r="430" spans="2:5" s="4" customFormat="1">
      <c r="B430" s="28"/>
      <c r="C430" s="18"/>
      <c r="E430" s="50"/>
    </row>
    <row r="431" spans="2:5" s="4" customFormat="1">
      <c r="B431" s="28"/>
      <c r="C431" s="18"/>
      <c r="E431" s="50"/>
    </row>
    <row r="432" spans="2:5" s="4" customFormat="1">
      <c r="B432" s="28"/>
      <c r="C432" s="18"/>
      <c r="E432" s="50"/>
    </row>
    <row r="433" spans="2:5" s="4" customFormat="1">
      <c r="B433" s="28"/>
      <c r="C433" s="18"/>
      <c r="E433" s="50"/>
    </row>
    <row r="434" spans="2:5" s="4" customFormat="1">
      <c r="B434" s="28"/>
      <c r="C434" s="18"/>
      <c r="E434" s="50"/>
    </row>
    <row r="435" spans="2:5" s="4" customFormat="1">
      <c r="B435" s="28"/>
      <c r="C435" s="18"/>
      <c r="E435" s="50"/>
    </row>
    <row r="436" spans="2:5" s="4" customFormat="1">
      <c r="B436" s="28"/>
      <c r="C436" s="18"/>
      <c r="E436" s="50"/>
    </row>
    <row r="437" spans="2:5" s="4" customFormat="1">
      <c r="B437" s="28"/>
      <c r="C437" s="18"/>
      <c r="E437" s="50"/>
    </row>
    <row r="438" spans="2:5" s="4" customFormat="1">
      <c r="B438" s="28"/>
      <c r="C438" s="18"/>
      <c r="E438" s="50"/>
    </row>
    <row r="439" spans="2:5" s="4" customFormat="1">
      <c r="B439" s="28"/>
      <c r="C439" s="18"/>
      <c r="E439" s="50"/>
    </row>
    <row r="440" spans="2:5" s="4" customFormat="1">
      <c r="B440" s="28"/>
      <c r="C440" s="18"/>
      <c r="E440" s="50"/>
    </row>
    <row r="441" spans="2:5" s="4" customFormat="1">
      <c r="B441" s="28"/>
      <c r="C441" s="18"/>
      <c r="E441" s="50"/>
    </row>
    <row r="442" spans="2:5" s="4" customFormat="1">
      <c r="B442" s="28"/>
      <c r="C442" s="18"/>
      <c r="E442" s="50"/>
    </row>
    <row r="443" spans="2:5" s="4" customFormat="1">
      <c r="B443" s="28"/>
      <c r="C443" s="18"/>
      <c r="E443" s="50"/>
    </row>
    <row r="444" spans="2:5" s="4" customFormat="1">
      <c r="B444" s="28"/>
      <c r="C444" s="18"/>
      <c r="E444" s="50"/>
    </row>
    <row r="445" spans="2:5" s="4" customFormat="1">
      <c r="B445" s="28"/>
      <c r="C445" s="18"/>
      <c r="E445" s="50"/>
    </row>
    <row r="446" spans="2:5" s="4" customFormat="1">
      <c r="B446" s="28"/>
      <c r="C446" s="18"/>
      <c r="E446" s="50"/>
    </row>
    <row r="447" spans="2:5" s="4" customFormat="1">
      <c r="B447" s="28"/>
      <c r="C447" s="18"/>
      <c r="E447" s="50"/>
    </row>
    <row r="448" spans="2:5" s="4" customFormat="1">
      <c r="B448" s="28"/>
      <c r="C448" s="18"/>
      <c r="E448" s="50"/>
    </row>
    <row r="449" spans="2:5" s="4" customFormat="1">
      <c r="B449" s="28"/>
      <c r="C449" s="18"/>
      <c r="E449" s="50"/>
    </row>
    <row r="450" spans="2:5" s="4" customFormat="1">
      <c r="B450" s="28"/>
      <c r="C450" s="18"/>
      <c r="E450" s="50"/>
    </row>
    <row r="451" spans="2:5" s="4" customFormat="1">
      <c r="B451" s="28"/>
      <c r="C451" s="18"/>
      <c r="E451" s="50"/>
    </row>
    <row r="452" spans="2:5" s="4" customFormat="1">
      <c r="B452" s="28"/>
      <c r="C452" s="18"/>
      <c r="E452" s="50"/>
    </row>
    <row r="453" spans="2:5" s="4" customFormat="1">
      <c r="B453" s="28"/>
      <c r="C453" s="18"/>
      <c r="E453" s="50"/>
    </row>
    <row r="454" spans="2:5" s="4" customFormat="1">
      <c r="B454" s="28"/>
      <c r="C454" s="18"/>
      <c r="E454" s="50"/>
    </row>
    <row r="455" spans="2:5" s="4" customFormat="1">
      <c r="B455" s="28"/>
      <c r="C455" s="18"/>
      <c r="E455" s="50"/>
    </row>
    <row r="456" spans="2:5" s="4" customFormat="1">
      <c r="B456" s="28"/>
      <c r="C456" s="18"/>
      <c r="E456" s="50"/>
    </row>
    <row r="457" spans="2:5" s="4" customFormat="1">
      <c r="B457" s="28"/>
      <c r="C457" s="18"/>
      <c r="E457" s="50"/>
    </row>
    <row r="458" spans="2:5" s="4" customFormat="1">
      <c r="B458" s="28"/>
      <c r="C458" s="18"/>
      <c r="E458" s="50"/>
    </row>
    <row r="459" spans="2:5" s="4" customFormat="1">
      <c r="B459" s="28"/>
      <c r="C459" s="18"/>
      <c r="E459" s="50"/>
    </row>
    <row r="460" spans="2:5" s="4" customFormat="1">
      <c r="B460" s="28"/>
      <c r="C460" s="18"/>
      <c r="E460" s="50"/>
    </row>
    <row r="461" spans="2:5" s="4" customFormat="1">
      <c r="B461" s="28"/>
      <c r="C461" s="18"/>
      <c r="E461" s="50"/>
    </row>
    <row r="462" spans="2:5" s="4" customFormat="1">
      <c r="B462" s="28"/>
      <c r="C462" s="18"/>
      <c r="E462" s="50"/>
    </row>
    <row r="463" spans="2:5" s="4" customFormat="1">
      <c r="B463" s="28"/>
      <c r="C463" s="18"/>
      <c r="E463" s="50"/>
    </row>
    <row r="464" spans="2:5" s="4" customFormat="1">
      <c r="B464" s="28"/>
      <c r="C464" s="18"/>
      <c r="E464" s="50"/>
    </row>
    <row r="465" spans="2:5" s="4" customFormat="1">
      <c r="B465" s="28"/>
      <c r="C465" s="18"/>
      <c r="E465" s="50"/>
    </row>
    <row r="466" spans="2:5" s="4" customFormat="1">
      <c r="B466" s="28"/>
      <c r="C466" s="18"/>
      <c r="E466" s="50"/>
    </row>
    <row r="467" spans="2:5" s="4" customFormat="1">
      <c r="B467" s="28"/>
      <c r="C467" s="18"/>
      <c r="E467" s="50"/>
    </row>
    <row r="468" spans="2:5" s="4" customFormat="1">
      <c r="B468" s="28"/>
      <c r="C468" s="18"/>
      <c r="E468" s="50"/>
    </row>
    <row r="469" spans="2:5" s="4" customFormat="1">
      <c r="B469" s="28"/>
      <c r="C469" s="18"/>
      <c r="E469" s="50"/>
    </row>
    <row r="470" spans="2:5" s="4" customFormat="1">
      <c r="B470" s="28"/>
      <c r="C470" s="18"/>
      <c r="E470" s="50"/>
    </row>
    <row r="471" spans="2:5" s="4" customFormat="1">
      <c r="B471" s="28"/>
      <c r="C471" s="18"/>
      <c r="E471" s="50"/>
    </row>
    <row r="472" spans="2:5" s="4" customFormat="1">
      <c r="B472" s="28"/>
      <c r="C472" s="18"/>
      <c r="E472" s="50"/>
    </row>
    <row r="473" spans="2:5" s="4" customFormat="1">
      <c r="B473" s="28"/>
      <c r="C473" s="18"/>
      <c r="E473" s="50"/>
    </row>
    <row r="474" spans="2:5" s="4" customFormat="1">
      <c r="B474" s="28"/>
      <c r="C474" s="18"/>
      <c r="E474" s="50"/>
    </row>
    <row r="475" spans="2:5" s="4" customFormat="1">
      <c r="B475" s="28"/>
      <c r="C475" s="18"/>
      <c r="E475" s="50"/>
    </row>
    <row r="476" spans="2:5" s="4" customFormat="1">
      <c r="B476" s="28"/>
      <c r="C476" s="18"/>
      <c r="E476" s="50"/>
    </row>
    <row r="477" spans="2:5" s="4" customFormat="1">
      <c r="B477" s="28"/>
      <c r="C477" s="18"/>
      <c r="E477" s="50"/>
    </row>
    <row r="478" spans="2:5" s="4" customFormat="1">
      <c r="B478" s="28"/>
      <c r="C478" s="18"/>
      <c r="E478" s="50"/>
    </row>
    <row r="479" spans="2:5" s="4" customFormat="1">
      <c r="B479" s="28"/>
      <c r="C479" s="18"/>
      <c r="E479" s="50"/>
    </row>
    <row r="480" spans="2:5" s="4" customFormat="1">
      <c r="B480" s="28"/>
      <c r="C480" s="18"/>
      <c r="E480" s="50"/>
    </row>
    <row r="481" spans="2:5" s="4" customFormat="1">
      <c r="B481" s="28"/>
      <c r="C481" s="18"/>
      <c r="E481" s="50"/>
    </row>
    <row r="482" spans="2:5" s="4" customFormat="1">
      <c r="B482" s="28"/>
      <c r="C482" s="18"/>
      <c r="E482" s="50"/>
    </row>
    <row r="483" spans="2:5" s="4" customFormat="1">
      <c r="B483" s="28"/>
      <c r="C483" s="18"/>
      <c r="E483" s="50"/>
    </row>
    <row r="484" spans="2:5" s="4" customFormat="1">
      <c r="B484" s="28"/>
      <c r="C484" s="18"/>
      <c r="E484" s="50"/>
    </row>
    <row r="485" spans="2:5" s="4" customFormat="1">
      <c r="B485" s="28"/>
      <c r="C485" s="18"/>
      <c r="E485" s="50"/>
    </row>
    <row r="486" spans="2:5" s="4" customFormat="1">
      <c r="B486" s="28"/>
      <c r="C486" s="18"/>
      <c r="E486" s="50"/>
    </row>
    <row r="487" spans="2:5" s="4" customFormat="1">
      <c r="B487" s="28"/>
      <c r="C487" s="18"/>
      <c r="E487" s="50"/>
    </row>
    <row r="488" spans="2:5" s="4" customFormat="1">
      <c r="B488" s="28"/>
      <c r="C488" s="18"/>
      <c r="E488" s="50"/>
    </row>
    <row r="489" spans="2:5" s="4" customFormat="1">
      <c r="B489" s="28"/>
      <c r="C489" s="18"/>
      <c r="E489" s="50"/>
    </row>
    <row r="490" spans="2:5" s="4" customFormat="1">
      <c r="B490" s="28"/>
      <c r="C490" s="18"/>
      <c r="E490" s="50"/>
    </row>
    <row r="491" spans="2:5" s="4" customFormat="1">
      <c r="B491" s="28"/>
      <c r="C491" s="18"/>
      <c r="E491" s="50"/>
    </row>
    <row r="492" spans="2:5" s="4" customFormat="1">
      <c r="B492" s="28"/>
      <c r="C492" s="18"/>
      <c r="E492" s="50"/>
    </row>
    <row r="493" spans="2:5" s="4" customFormat="1">
      <c r="B493" s="28"/>
      <c r="C493" s="18"/>
      <c r="E493" s="50"/>
    </row>
    <row r="494" spans="2:5" s="4" customFormat="1">
      <c r="B494" s="28"/>
      <c r="C494" s="18"/>
      <c r="E494" s="50"/>
    </row>
    <row r="495" spans="2:5" s="4" customFormat="1">
      <c r="B495" s="28"/>
      <c r="C495" s="18"/>
      <c r="E495" s="50"/>
    </row>
    <row r="496" spans="2:5" s="4" customFormat="1">
      <c r="B496" s="28"/>
      <c r="C496" s="18"/>
      <c r="E496" s="50"/>
    </row>
    <row r="497" spans="2:5" s="4" customFormat="1">
      <c r="B497" s="28"/>
      <c r="C497" s="18"/>
      <c r="E497" s="50"/>
    </row>
    <row r="498" spans="2:5" s="4" customFormat="1">
      <c r="B498" s="28"/>
      <c r="C498" s="18"/>
      <c r="E498" s="50"/>
    </row>
    <row r="499" spans="2:5" s="4" customFormat="1">
      <c r="B499" s="28"/>
      <c r="C499" s="18"/>
      <c r="E499" s="50"/>
    </row>
    <row r="500" spans="2:5" s="4" customFormat="1">
      <c r="B500" s="28"/>
      <c r="C500" s="18"/>
      <c r="E500" s="50"/>
    </row>
    <row r="501" spans="2:5" s="4" customFormat="1">
      <c r="B501" s="28"/>
      <c r="C501" s="18"/>
      <c r="E501" s="50"/>
    </row>
    <row r="502" spans="2:5" s="4" customFormat="1">
      <c r="B502" s="28"/>
      <c r="C502" s="18"/>
      <c r="E502" s="50"/>
    </row>
    <row r="503" spans="2:5" s="4" customFormat="1">
      <c r="B503" s="28"/>
      <c r="C503" s="18"/>
      <c r="E503" s="50"/>
    </row>
    <row r="504" spans="2:5" s="4" customFormat="1">
      <c r="B504" s="28"/>
      <c r="C504" s="18"/>
      <c r="E504" s="50"/>
    </row>
    <row r="505" spans="2:5" s="4" customFormat="1">
      <c r="B505" s="28"/>
      <c r="C505" s="18"/>
      <c r="E505" s="50"/>
    </row>
    <row r="506" spans="2:5" s="4" customFormat="1">
      <c r="B506" s="28"/>
      <c r="C506" s="18"/>
      <c r="E506" s="50"/>
    </row>
    <row r="507" spans="2:5" s="4" customFormat="1">
      <c r="B507" s="28"/>
      <c r="C507" s="18"/>
      <c r="E507" s="50"/>
    </row>
    <row r="508" spans="2:5" s="4" customFormat="1">
      <c r="B508" s="28"/>
      <c r="C508" s="18"/>
      <c r="E508" s="50"/>
    </row>
    <row r="509" spans="2:5" s="4" customFormat="1">
      <c r="B509" s="28"/>
      <c r="C509" s="18"/>
      <c r="E509" s="50"/>
    </row>
    <row r="510" spans="2:5" s="4" customFormat="1">
      <c r="B510" s="28"/>
      <c r="C510" s="18"/>
      <c r="E510" s="50"/>
    </row>
    <row r="511" spans="2:5" s="4" customFormat="1">
      <c r="B511" s="28"/>
      <c r="C511" s="18"/>
      <c r="E511" s="50"/>
    </row>
    <row r="512" spans="2:5" s="4" customFormat="1">
      <c r="B512" s="28"/>
      <c r="C512" s="18"/>
      <c r="E512" s="50"/>
    </row>
    <row r="513" spans="2:5" s="4" customFormat="1">
      <c r="B513" s="28"/>
      <c r="C513" s="18"/>
      <c r="E513" s="50"/>
    </row>
    <row r="514" spans="2:5" s="4" customFormat="1">
      <c r="B514" s="28"/>
      <c r="C514" s="18"/>
      <c r="E514" s="50"/>
    </row>
    <row r="515" spans="2:5" s="4" customFormat="1">
      <c r="B515" s="28"/>
      <c r="C515" s="18"/>
      <c r="E515" s="50"/>
    </row>
    <row r="516" spans="2:5" s="4" customFormat="1">
      <c r="B516" s="28"/>
      <c r="C516" s="18"/>
      <c r="E516" s="50"/>
    </row>
    <row r="517" spans="2:5" s="4" customFormat="1">
      <c r="B517" s="28"/>
      <c r="C517" s="18"/>
      <c r="E517" s="50"/>
    </row>
    <row r="518" spans="2:5" s="4" customFormat="1">
      <c r="B518" s="28"/>
      <c r="C518" s="18"/>
      <c r="E518" s="50"/>
    </row>
    <row r="519" spans="2:5" s="4" customFormat="1">
      <c r="B519" s="28"/>
      <c r="C519" s="18"/>
      <c r="E519" s="50"/>
    </row>
    <row r="520" spans="2:5" s="4" customFormat="1">
      <c r="B520" s="28"/>
      <c r="C520" s="18"/>
      <c r="E520" s="50"/>
    </row>
    <row r="521" spans="2:5" s="4" customFormat="1">
      <c r="B521" s="28"/>
      <c r="C521" s="18"/>
      <c r="E521" s="50"/>
    </row>
    <row r="522" spans="2:5" s="4" customFormat="1">
      <c r="B522" s="28"/>
      <c r="C522" s="18"/>
      <c r="E522" s="50"/>
    </row>
    <row r="523" spans="2:5" s="4" customFormat="1">
      <c r="B523" s="28"/>
      <c r="C523" s="18"/>
      <c r="E523" s="50"/>
    </row>
    <row r="524" spans="2:5" s="4" customFormat="1">
      <c r="B524" s="28"/>
      <c r="C524" s="18"/>
      <c r="E524" s="50"/>
    </row>
    <row r="525" spans="2:5" s="4" customFormat="1">
      <c r="B525" s="28"/>
      <c r="C525" s="18"/>
      <c r="E525" s="50"/>
    </row>
    <row r="526" spans="2:5" s="4" customFormat="1">
      <c r="B526" s="28"/>
      <c r="C526" s="18"/>
      <c r="E526" s="50"/>
    </row>
    <row r="527" spans="2:5" s="4" customFormat="1">
      <c r="B527" s="28"/>
      <c r="C527" s="18"/>
      <c r="E527" s="50"/>
    </row>
    <row r="528" spans="2:5" s="4" customFormat="1">
      <c r="B528" s="28"/>
      <c r="C528" s="18"/>
      <c r="E528" s="50"/>
    </row>
    <row r="529" spans="2:5" s="4" customFormat="1">
      <c r="B529" s="28"/>
      <c r="C529" s="18"/>
      <c r="E529" s="50"/>
    </row>
    <row r="530" spans="2:5" s="4" customFormat="1">
      <c r="B530" s="28"/>
      <c r="C530" s="18"/>
      <c r="E530" s="50"/>
    </row>
    <row r="531" spans="2:5" s="4" customFormat="1">
      <c r="B531" s="28"/>
      <c r="C531" s="18"/>
      <c r="E531" s="50"/>
    </row>
    <row r="532" spans="2:5" s="4" customFormat="1">
      <c r="B532" s="28"/>
      <c r="C532" s="18"/>
      <c r="E532" s="50"/>
    </row>
    <row r="533" spans="2:5" s="4" customFormat="1">
      <c r="B533" s="28"/>
      <c r="C533" s="18"/>
      <c r="E533" s="50"/>
    </row>
    <row r="534" spans="2:5" s="4" customFormat="1">
      <c r="B534" s="28"/>
      <c r="C534" s="18"/>
      <c r="E534" s="50"/>
    </row>
    <row r="535" spans="2:5" s="4" customFormat="1">
      <c r="B535" s="28"/>
      <c r="C535" s="18"/>
      <c r="E535" s="50"/>
    </row>
    <row r="536" spans="2:5" s="4" customFormat="1">
      <c r="B536" s="28"/>
      <c r="C536" s="18"/>
      <c r="E536" s="50"/>
    </row>
    <row r="537" spans="2:5" s="4" customFormat="1">
      <c r="B537" s="28"/>
      <c r="C537" s="18"/>
      <c r="E537" s="50"/>
    </row>
    <row r="538" spans="2:5" s="4" customFormat="1">
      <c r="B538" s="28"/>
      <c r="C538" s="18"/>
      <c r="E538" s="50"/>
    </row>
    <row r="539" spans="2:5" s="4" customFormat="1">
      <c r="B539" s="28"/>
      <c r="C539" s="18"/>
      <c r="E539" s="50"/>
    </row>
    <row r="540" spans="2:5" s="4" customFormat="1">
      <c r="B540" s="28"/>
      <c r="C540" s="18"/>
      <c r="E540" s="50"/>
    </row>
    <row r="541" spans="2:5" s="4" customFormat="1">
      <c r="B541" s="28"/>
      <c r="C541" s="18"/>
      <c r="E541" s="50"/>
    </row>
    <row r="542" spans="2:5" s="4" customFormat="1">
      <c r="B542" s="28"/>
      <c r="C542" s="18"/>
      <c r="E542" s="50"/>
    </row>
    <row r="543" spans="2:5" s="4" customFormat="1">
      <c r="B543" s="28"/>
      <c r="C543" s="18"/>
      <c r="E543" s="50"/>
    </row>
    <row r="544" spans="2:5" s="4" customFormat="1">
      <c r="B544" s="28"/>
      <c r="C544" s="18"/>
      <c r="E544" s="50"/>
    </row>
    <row r="545" spans="2:5" s="4" customFormat="1">
      <c r="B545" s="28"/>
      <c r="C545" s="18"/>
      <c r="E545" s="50"/>
    </row>
    <row r="546" spans="2:5" s="4" customFormat="1">
      <c r="B546" s="28"/>
      <c r="C546" s="18"/>
      <c r="E546" s="50"/>
    </row>
    <row r="547" spans="2:5" s="4" customFormat="1">
      <c r="B547" s="28"/>
      <c r="C547" s="18"/>
      <c r="E547" s="50"/>
    </row>
    <row r="548" spans="2:5" s="4" customFormat="1">
      <c r="B548" s="28"/>
      <c r="C548" s="18"/>
      <c r="E548" s="50"/>
    </row>
    <row r="549" spans="2:5" s="4" customFormat="1">
      <c r="B549" s="28"/>
      <c r="C549" s="18"/>
      <c r="E549" s="50"/>
    </row>
    <row r="550" spans="2:5" s="4" customFormat="1">
      <c r="B550" s="28"/>
      <c r="C550" s="18"/>
      <c r="E550" s="50"/>
    </row>
    <row r="551" spans="2:5" s="4" customFormat="1">
      <c r="B551" s="28"/>
      <c r="C551" s="18"/>
      <c r="E551" s="50"/>
    </row>
    <row r="552" spans="2:5" s="4" customFormat="1">
      <c r="B552" s="28"/>
      <c r="C552" s="18"/>
      <c r="E552" s="50"/>
    </row>
    <row r="553" spans="2:5" s="4" customFormat="1">
      <c r="B553" s="28"/>
      <c r="C553" s="18"/>
      <c r="E553" s="50"/>
    </row>
    <row r="554" spans="2:5" s="4" customFormat="1">
      <c r="B554" s="28"/>
      <c r="C554" s="18"/>
      <c r="E554" s="50"/>
    </row>
    <row r="555" spans="2:5" s="4" customFormat="1">
      <c r="B555" s="28"/>
      <c r="C555" s="18"/>
      <c r="E555" s="50"/>
    </row>
    <row r="556" spans="2:5" s="4" customFormat="1">
      <c r="B556" s="28"/>
      <c r="C556" s="18"/>
      <c r="E556" s="50"/>
    </row>
    <row r="557" spans="2:5" s="4" customFormat="1">
      <c r="B557" s="28"/>
      <c r="C557" s="18"/>
      <c r="E557" s="50"/>
    </row>
    <row r="558" spans="2:5" s="4" customFormat="1">
      <c r="B558" s="28"/>
      <c r="C558" s="18"/>
      <c r="E558" s="50"/>
    </row>
    <row r="559" spans="2:5" s="4" customFormat="1">
      <c r="B559" s="28"/>
      <c r="C559" s="18"/>
      <c r="E559" s="50"/>
    </row>
    <row r="560" spans="2:5" s="4" customFormat="1">
      <c r="B560" s="28"/>
      <c r="C560" s="18"/>
      <c r="E560" s="50"/>
    </row>
    <row r="561" spans="2:5" s="4" customFormat="1">
      <c r="B561" s="28"/>
      <c r="C561" s="18"/>
      <c r="E561" s="50"/>
    </row>
    <row r="562" spans="2:5" s="4" customFormat="1">
      <c r="B562" s="28"/>
      <c r="C562" s="18"/>
      <c r="E562" s="50"/>
    </row>
    <row r="563" spans="2:5" s="4" customFormat="1">
      <c r="B563" s="28"/>
      <c r="C563" s="18"/>
      <c r="E563" s="50"/>
    </row>
    <row r="564" spans="2:5" s="4" customFormat="1">
      <c r="B564" s="28"/>
      <c r="C564" s="18"/>
      <c r="E564" s="50"/>
    </row>
    <row r="565" spans="2:5" s="4" customFormat="1">
      <c r="B565" s="28"/>
      <c r="C565" s="18"/>
      <c r="E565" s="50"/>
    </row>
    <row r="566" spans="2:5" s="4" customFormat="1">
      <c r="B566" s="28"/>
      <c r="C566" s="18"/>
      <c r="E566" s="50"/>
    </row>
    <row r="567" spans="2:5" s="4" customFormat="1">
      <c r="B567" s="28"/>
      <c r="C567" s="18"/>
      <c r="E567" s="50"/>
    </row>
    <row r="568" spans="2:5" s="4" customFormat="1">
      <c r="B568" s="28"/>
      <c r="C568" s="18"/>
      <c r="E568" s="50"/>
    </row>
    <row r="569" spans="2:5" s="4" customFormat="1">
      <c r="B569" s="28"/>
      <c r="C569" s="18"/>
      <c r="E569" s="50"/>
    </row>
    <row r="570" spans="2:5" s="4" customFormat="1">
      <c r="B570" s="28"/>
      <c r="C570" s="18"/>
      <c r="E570" s="50"/>
    </row>
    <row r="571" spans="2:5" s="4" customFormat="1">
      <c r="B571" s="28"/>
      <c r="C571" s="18"/>
      <c r="E571" s="50"/>
    </row>
    <row r="572" spans="2:5" s="4" customFormat="1">
      <c r="B572" s="28"/>
      <c r="C572" s="18"/>
      <c r="E572" s="50"/>
    </row>
    <row r="573" spans="2:5" s="4" customFormat="1">
      <c r="B573" s="28"/>
      <c r="C573" s="18"/>
      <c r="E573" s="50"/>
    </row>
    <row r="574" spans="2:5" s="4" customFormat="1">
      <c r="B574" s="28"/>
      <c r="C574" s="18"/>
      <c r="E574" s="50"/>
    </row>
    <row r="575" spans="2:5" s="4" customFormat="1">
      <c r="B575" s="28"/>
      <c r="C575" s="18"/>
      <c r="E575" s="50"/>
    </row>
    <row r="576" spans="2:5" s="4" customFormat="1">
      <c r="B576" s="28"/>
      <c r="C576" s="18"/>
      <c r="E576" s="50"/>
    </row>
    <row r="577" spans="2:5" s="4" customFormat="1">
      <c r="B577" s="28"/>
      <c r="C577" s="18"/>
      <c r="E577" s="50"/>
    </row>
    <row r="578" spans="2:5" s="4" customFormat="1">
      <c r="B578" s="28"/>
      <c r="C578" s="18"/>
      <c r="E578" s="50"/>
    </row>
    <row r="579" spans="2:5" s="4" customFormat="1">
      <c r="B579" s="28"/>
      <c r="C579" s="18"/>
      <c r="E579" s="50"/>
    </row>
    <row r="580" spans="2:5" s="4" customFormat="1">
      <c r="B580" s="28"/>
      <c r="C580" s="18"/>
      <c r="E580" s="50"/>
    </row>
    <row r="581" spans="2:5" s="4" customFormat="1">
      <c r="B581" s="28"/>
      <c r="C581" s="18"/>
      <c r="E581" s="50"/>
    </row>
    <row r="582" spans="2:5" s="4" customFormat="1">
      <c r="B582" s="28"/>
      <c r="C582" s="18"/>
      <c r="E582" s="50"/>
    </row>
    <row r="583" spans="2:5" s="4" customFormat="1">
      <c r="B583" s="28"/>
      <c r="C583" s="18"/>
      <c r="E583" s="50"/>
    </row>
    <row r="584" spans="2:5" s="4" customFormat="1">
      <c r="B584" s="28"/>
      <c r="C584" s="18"/>
      <c r="E584" s="50"/>
    </row>
    <row r="585" spans="2:5" s="4" customFormat="1">
      <c r="B585" s="28"/>
      <c r="C585" s="18"/>
      <c r="E585" s="50"/>
    </row>
    <row r="586" spans="2:5" s="4" customFormat="1">
      <c r="B586" s="28"/>
      <c r="C586" s="18"/>
      <c r="E586" s="50"/>
    </row>
    <row r="587" spans="2:5" s="4" customFormat="1">
      <c r="B587" s="28"/>
      <c r="C587" s="18"/>
      <c r="E587" s="50"/>
    </row>
    <row r="588" spans="2:5" s="4" customFormat="1">
      <c r="B588" s="28"/>
      <c r="C588" s="18"/>
      <c r="E588" s="50"/>
    </row>
    <row r="589" spans="2:5" s="4" customFormat="1">
      <c r="B589" s="28"/>
      <c r="C589" s="18"/>
      <c r="E589" s="50"/>
    </row>
    <row r="590" spans="2:5" s="4" customFormat="1">
      <c r="B590" s="28"/>
      <c r="C590" s="18"/>
      <c r="E590" s="50"/>
    </row>
    <row r="591" spans="2:5" s="4" customFormat="1">
      <c r="B591" s="28"/>
      <c r="C591" s="18"/>
      <c r="E591" s="50"/>
    </row>
    <row r="592" spans="2:5" s="4" customFormat="1">
      <c r="B592" s="28"/>
      <c r="C592" s="18"/>
      <c r="E592" s="50"/>
    </row>
    <row r="593" spans="2:5" s="4" customFormat="1">
      <c r="B593" s="28"/>
      <c r="C593" s="18"/>
      <c r="E593" s="50"/>
    </row>
    <row r="594" spans="2:5" s="4" customFormat="1">
      <c r="B594" s="28"/>
      <c r="C594" s="18"/>
      <c r="E594" s="50"/>
    </row>
    <row r="595" spans="2:5" s="4" customFormat="1">
      <c r="B595" s="28"/>
      <c r="C595" s="18"/>
      <c r="E595" s="50"/>
    </row>
    <row r="596" spans="2:5" s="4" customFormat="1">
      <c r="B596" s="28"/>
      <c r="C596" s="18"/>
      <c r="E596" s="50"/>
    </row>
    <row r="597" spans="2:5" s="4" customFormat="1">
      <c r="B597" s="28"/>
      <c r="C597" s="18"/>
      <c r="E597" s="50"/>
    </row>
    <row r="598" spans="2:5" s="4" customFormat="1">
      <c r="B598" s="28"/>
      <c r="C598" s="18"/>
      <c r="E598" s="50"/>
    </row>
    <row r="599" spans="2:5" s="4" customFormat="1">
      <c r="B599" s="28"/>
      <c r="C599" s="18"/>
      <c r="E599" s="50"/>
    </row>
    <row r="600" spans="2:5" s="4" customFormat="1">
      <c r="B600" s="28"/>
      <c r="C600" s="18"/>
      <c r="E600" s="50"/>
    </row>
    <row r="601" spans="2:5" s="4" customFormat="1">
      <c r="B601" s="28"/>
      <c r="C601" s="18"/>
      <c r="E601" s="50"/>
    </row>
    <row r="602" spans="2:5" s="4" customFormat="1">
      <c r="B602" s="28"/>
      <c r="C602" s="18"/>
      <c r="E602" s="50"/>
    </row>
    <row r="603" spans="2:5" s="4" customFormat="1">
      <c r="B603" s="28"/>
      <c r="C603" s="18"/>
      <c r="E603" s="50"/>
    </row>
    <row r="604" spans="2:5" s="4" customFormat="1">
      <c r="B604" s="28"/>
      <c r="C604" s="18"/>
      <c r="E604" s="50"/>
    </row>
    <row r="605" spans="2:5" s="4" customFormat="1">
      <c r="B605" s="28"/>
      <c r="C605" s="18"/>
      <c r="E605" s="50"/>
    </row>
    <row r="606" spans="2:5" s="4" customFormat="1">
      <c r="B606" s="28"/>
      <c r="C606" s="18"/>
      <c r="E606" s="50"/>
    </row>
    <row r="607" spans="2:5" s="4" customFormat="1">
      <c r="B607" s="28"/>
      <c r="C607" s="18"/>
      <c r="E607" s="50"/>
    </row>
    <row r="608" spans="2:5" s="4" customFormat="1">
      <c r="B608" s="28"/>
      <c r="C608" s="18"/>
      <c r="E608" s="50"/>
    </row>
    <row r="609" spans="2:5" s="4" customFormat="1">
      <c r="B609" s="28"/>
      <c r="C609" s="18"/>
      <c r="E609" s="50"/>
    </row>
    <row r="610" spans="2:5" s="4" customFormat="1">
      <c r="B610" s="28"/>
      <c r="C610" s="18"/>
      <c r="E610" s="50"/>
    </row>
    <row r="611" spans="2:5" s="4" customFormat="1">
      <c r="B611" s="28"/>
      <c r="C611" s="18"/>
      <c r="E611" s="50"/>
    </row>
    <row r="612" spans="2:5" s="4" customFormat="1">
      <c r="B612" s="28"/>
      <c r="C612" s="18"/>
      <c r="E612" s="50"/>
    </row>
    <row r="613" spans="2:5" s="4" customFormat="1">
      <c r="B613" s="28"/>
      <c r="C613" s="18"/>
      <c r="E613" s="50"/>
    </row>
    <row r="614" spans="2:5" s="4" customFormat="1">
      <c r="B614" s="28"/>
      <c r="C614" s="18"/>
      <c r="E614" s="50"/>
    </row>
    <row r="615" spans="2:5" s="4" customFormat="1">
      <c r="B615" s="28"/>
      <c r="C615" s="18"/>
      <c r="E615" s="50"/>
    </row>
    <row r="616" spans="2:5" s="4" customFormat="1">
      <c r="B616" s="28"/>
      <c r="C616" s="18"/>
      <c r="E616" s="50"/>
    </row>
    <row r="617" spans="2:5" s="4" customFormat="1">
      <c r="B617" s="28"/>
      <c r="C617" s="18"/>
      <c r="E617" s="50"/>
    </row>
    <row r="618" spans="2:5" s="4" customFormat="1">
      <c r="B618" s="28"/>
      <c r="C618" s="18"/>
      <c r="E618" s="50"/>
    </row>
    <row r="619" spans="2:5" s="4" customFormat="1">
      <c r="B619" s="28"/>
      <c r="C619" s="18"/>
      <c r="E619" s="50"/>
    </row>
    <row r="620" spans="2:5" s="4" customFormat="1">
      <c r="B620" s="28"/>
      <c r="C620" s="18"/>
      <c r="E620" s="50"/>
    </row>
    <row r="621" spans="2:5" s="4" customFormat="1">
      <c r="B621" s="28"/>
      <c r="C621" s="18"/>
      <c r="E621" s="50"/>
    </row>
    <row r="622" spans="2:5" s="4" customFormat="1">
      <c r="B622" s="28"/>
      <c r="C622" s="18"/>
      <c r="E622" s="50"/>
    </row>
    <row r="623" spans="2:5" s="4" customFormat="1">
      <c r="B623" s="28"/>
      <c r="C623" s="18"/>
      <c r="E623" s="50"/>
    </row>
    <row r="624" spans="2:5" s="4" customFormat="1">
      <c r="B624" s="28"/>
      <c r="C624" s="18"/>
      <c r="E624" s="50"/>
    </row>
    <row r="625" spans="2:5" s="4" customFormat="1">
      <c r="B625" s="28"/>
      <c r="C625" s="18"/>
      <c r="E625" s="50"/>
    </row>
    <row r="626" spans="2:5" s="4" customFormat="1">
      <c r="B626" s="28"/>
      <c r="C626" s="18"/>
      <c r="E626" s="50"/>
    </row>
    <row r="627" spans="2:5" s="4" customFormat="1">
      <c r="B627" s="28"/>
      <c r="C627" s="18"/>
      <c r="E627" s="50"/>
    </row>
    <row r="628" spans="2:5" s="4" customFormat="1">
      <c r="B628" s="28"/>
      <c r="C628" s="18"/>
      <c r="E628" s="50"/>
    </row>
    <row r="629" spans="2:5" s="4" customFormat="1">
      <c r="B629" s="28"/>
      <c r="C629" s="18"/>
      <c r="E629" s="50"/>
    </row>
    <row r="630" spans="2:5" s="4" customFormat="1">
      <c r="B630" s="28"/>
      <c r="C630" s="18"/>
      <c r="E630" s="50"/>
    </row>
    <row r="631" spans="2:5" s="4" customFormat="1">
      <c r="B631" s="28"/>
      <c r="C631" s="18"/>
      <c r="E631" s="50"/>
    </row>
    <row r="632" spans="2:5" s="4" customFormat="1">
      <c r="B632" s="28"/>
      <c r="C632" s="18"/>
      <c r="E632" s="50"/>
    </row>
    <row r="633" spans="2:5" s="4" customFormat="1">
      <c r="B633" s="28"/>
      <c r="C633" s="18"/>
      <c r="E633" s="50"/>
    </row>
    <row r="634" spans="2:5" s="4" customFormat="1">
      <c r="B634" s="28"/>
      <c r="C634" s="18"/>
      <c r="E634" s="50"/>
    </row>
    <row r="635" spans="2:5" s="4" customFormat="1">
      <c r="B635" s="28"/>
      <c r="C635" s="18"/>
      <c r="E635" s="50"/>
    </row>
    <row r="636" spans="2:5" s="4" customFormat="1">
      <c r="B636" s="28"/>
      <c r="C636" s="18"/>
      <c r="E636" s="50"/>
    </row>
    <row r="637" spans="2:5" s="4" customFormat="1">
      <c r="B637" s="28"/>
      <c r="C637" s="18"/>
      <c r="E637" s="50"/>
    </row>
    <row r="638" spans="2:5" s="4" customFormat="1">
      <c r="B638" s="28"/>
      <c r="C638" s="18"/>
      <c r="E638" s="50"/>
    </row>
    <row r="639" spans="2:5" s="4" customFormat="1">
      <c r="B639" s="28"/>
      <c r="C639" s="18"/>
      <c r="E639" s="50"/>
    </row>
    <row r="640" spans="2:5" s="4" customFormat="1">
      <c r="B640" s="28"/>
      <c r="C640" s="18"/>
      <c r="E640" s="50"/>
    </row>
    <row r="641" spans="2:5" s="4" customFormat="1">
      <c r="B641" s="28"/>
      <c r="C641" s="18"/>
      <c r="E641" s="50"/>
    </row>
    <row r="642" spans="2:5" s="4" customFormat="1">
      <c r="B642" s="28"/>
      <c r="C642" s="18"/>
      <c r="E642" s="50"/>
    </row>
    <row r="643" spans="2:5" s="4" customFormat="1">
      <c r="B643" s="28"/>
      <c r="C643" s="18"/>
      <c r="E643" s="50"/>
    </row>
    <row r="644" spans="2:5" s="4" customFormat="1">
      <c r="B644" s="28"/>
      <c r="C644" s="18"/>
      <c r="E644" s="50"/>
    </row>
    <row r="645" spans="2:5" s="4" customFormat="1">
      <c r="B645" s="28"/>
      <c r="C645" s="18"/>
      <c r="E645" s="50"/>
    </row>
    <row r="646" spans="2:5" s="4" customFormat="1">
      <c r="B646" s="28"/>
      <c r="C646" s="18"/>
      <c r="E646" s="50"/>
    </row>
    <row r="647" spans="2:5" s="4" customFormat="1">
      <c r="B647" s="28"/>
      <c r="C647" s="18"/>
      <c r="E647" s="50"/>
    </row>
    <row r="648" spans="2:5" s="4" customFormat="1">
      <c r="B648" s="28"/>
      <c r="C648" s="18"/>
      <c r="E648" s="50"/>
    </row>
    <row r="649" spans="2:5" s="4" customFormat="1">
      <c r="B649" s="28"/>
      <c r="C649" s="18"/>
      <c r="E649" s="50"/>
    </row>
    <row r="650" spans="2:5" s="4" customFormat="1">
      <c r="B650" s="28"/>
      <c r="C650" s="18"/>
      <c r="E650" s="50"/>
    </row>
    <row r="651" spans="2:5" s="4" customFormat="1">
      <c r="B651" s="28"/>
      <c r="C651" s="18"/>
      <c r="E651" s="50"/>
    </row>
    <row r="652" spans="2:5" s="4" customFormat="1">
      <c r="B652" s="28"/>
      <c r="C652" s="18"/>
      <c r="E652" s="50"/>
    </row>
    <row r="653" spans="2:5" s="4" customFormat="1">
      <c r="B653" s="28"/>
      <c r="C653" s="18"/>
      <c r="E653" s="50"/>
    </row>
    <row r="654" spans="2:5" s="4" customFormat="1">
      <c r="B654" s="28"/>
      <c r="C654" s="18"/>
      <c r="E654" s="50"/>
    </row>
    <row r="655" spans="2:5" s="4" customFormat="1">
      <c r="B655" s="28"/>
      <c r="C655" s="18"/>
      <c r="E655" s="50"/>
    </row>
    <row r="656" spans="2:5" s="4" customFormat="1">
      <c r="B656" s="28"/>
      <c r="C656" s="18"/>
      <c r="E656" s="50"/>
    </row>
    <row r="657" spans="2:5" s="4" customFormat="1">
      <c r="B657" s="28"/>
      <c r="C657" s="18"/>
      <c r="E657" s="50"/>
    </row>
    <row r="658" spans="2:5" s="4" customFormat="1">
      <c r="B658" s="28"/>
      <c r="C658" s="18"/>
      <c r="E658" s="50"/>
    </row>
    <row r="659" spans="2:5" s="4" customFormat="1">
      <c r="B659" s="28"/>
      <c r="C659" s="18"/>
      <c r="E659" s="50"/>
    </row>
    <row r="660" spans="2:5" s="4" customFormat="1">
      <c r="B660" s="28"/>
      <c r="C660" s="18"/>
      <c r="E660" s="50"/>
    </row>
    <row r="661" spans="2:5" s="4" customFormat="1">
      <c r="B661" s="28"/>
      <c r="C661" s="18"/>
      <c r="E661" s="50"/>
    </row>
    <row r="662" spans="2:5" s="4" customFormat="1">
      <c r="B662" s="28"/>
      <c r="C662" s="18"/>
      <c r="E662" s="50"/>
    </row>
    <row r="663" spans="2:5" s="4" customFormat="1">
      <c r="B663" s="28"/>
      <c r="C663" s="18"/>
      <c r="E663" s="50"/>
    </row>
    <row r="664" spans="2:5" s="4" customFormat="1">
      <c r="B664" s="28"/>
      <c r="C664" s="18"/>
      <c r="E664" s="50"/>
    </row>
    <row r="665" spans="2:5" s="4" customFormat="1">
      <c r="B665" s="28"/>
      <c r="C665" s="18"/>
      <c r="E665" s="50"/>
    </row>
    <row r="666" spans="2:5" s="4" customFormat="1">
      <c r="B666" s="28"/>
      <c r="C666" s="18"/>
      <c r="E666" s="50"/>
    </row>
    <row r="667" spans="2:5" s="4" customFormat="1">
      <c r="B667" s="28"/>
      <c r="C667" s="18"/>
      <c r="E667" s="50"/>
    </row>
    <row r="668" spans="2:5" s="4" customFormat="1">
      <c r="B668" s="28"/>
      <c r="C668" s="18"/>
      <c r="E668" s="50"/>
    </row>
    <row r="669" spans="2:5" s="4" customFormat="1">
      <c r="B669" s="28"/>
      <c r="C669" s="18"/>
      <c r="E669" s="50"/>
    </row>
    <row r="670" spans="2:5" s="4" customFormat="1">
      <c r="B670" s="28"/>
      <c r="C670" s="18"/>
      <c r="E670" s="50"/>
    </row>
    <row r="671" spans="2:5" s="4" customFormat="1">
      <c r="B671" s="28"/>
      <c r="C671" s="18"/>
      <c r="E671" s="50"/>
    </row>
    <row r="672" spans="2:5" s="4" customFormat="1">
      <c r="B672" s="28"/>
      <c r="C672" s="18"/>
      <c r="E672" s="50"/>
    </row>
    <row r="673" spans="2:5" s="4" customFormat="1">
      <c r="B673" s="28"/>
      <c r="C673" s="18"/>
      <c r="E673" s="50"/>
    </row>
    <row r="674" spans="2:5" s="4" customFormat="1">
      <c r="B674" s="28"/>
      <c r="C674" s="18"/>
      <c r="E674" s="50"/>
    </row>
    <row r="675" spans="2:5" s="4" customFormat="1">
      <c r="B675" s="28"/>
      <c r="C675" s="18"/>
      <c r="E675" s="50"/>
    </row>
    <row r="676" spans="2:5" s="4" customFormat="1">
      <c r="B676" s="28"/>
      <c r="C676" s="18"/>
      <c r="E676" s="50"/>
    </row>
    <row r="677" spans="2:5" s="4" customFormat="1">
      <c r="B677" s="28"/>
      <c r="C677" s="18"/>
      <c r="E677" s="50"/>
    </row>
    <row r="678" spans="2:5" s="4" customFormat="1">
      <c r="B678" s="28"/>
      <c r="C678" s="18"/>
      <c r="E678" s="50"/>
    </row>
    <row r="679" spans="2:5" s="4" customFormat="1">
      <c r="B679" s="28"/>
      <c r="C679" s="18"/>
      <c r="E679" s="50"/>
    </row>
    <row r="680" spans="2:5" s="4" customFormat="1">
      <c r="B680" s="28"/>
      <c r="C680" s="18"/>
      <c r="E680" s="50"/>
    </row>
    <row r="681" spans="2:5" s="4" customFormat="1">
      <c r="B681" s="28"/>
      <c r="C681" s="18"/>
      <c r="E681" s="50"/>
    </row>
    <row r="682" spans="2:5" s="4" customFormat="1">
      <c r="B682" s="28"/>
      <c r="C682" s="18"/>
      <c r="E682" s="50"/>
    </row>
    <row r="683" spans="2:5" s="4" customFormat="1">
      <c r="B683" s="28"/>
      <c r="C683" s="18"/>
      <c r="E683" s="50"/>
    </row>
    <row r="684" spans="2:5" s="4" customFormat="1">
      <c r="B684" s="28"/>
      <c r="C684" s="18"/>
      <c r="E684" s="50"/>
    </row>
    <row r="685" spans="2:5" s="4" customFormat="1">
      <c r="B685" s="28"/>
      <c r="C685" s="18"/>
      <c r="E685" s="50"/>
    </row>
    <row r="686" spans="2:5" s="4" customFormat="1">
      <c r="B686" s="28"/>
      <c r="C686" s="18"/>
      <c r="E686" s="50"/>
    </row>
    <row r="687" spans="2:5" s="4" customFormat="1">
      <c r="B687" s="28"/>
      <c r="C687" s="18"/>
      <c r="E687" s="50"/>
    </row>
    <row r="688" spans="2:5" s="4" customFormat="1">
      <c r="B688" s="28"/>
      <c r="C688" s="18"/>
      <c r="E688" s="50"/>
    </row>
    <row r="689" spans="2:5" s="4" customFormat="1">
      <c r="B689" s="28"/>
      <c r="C689" s="18"/>
      <c r="E689" s="50"/>
    </row>
    <row r="690" spans="2:5" s="4" customFormat="1">
      <c r="B690" s="28"/>
      <c r="C690" s="18"/>
      <c r="E690" s="50"/>
    </row>
    <row r="691" spans="2:5" s="4" customFormat="1">
      <c r="B691" s="28"/>
      <c r="C691" s="18"/>
      <c r="E691" s="50"/>
    </row>
    <row r="692" spans="2:5" s="4" customFormat="1">
      <c r="B692" s="28"/>
      <c r="C692" s="18"/>
      <c r="E692" s="50"/>
    </row>
    <row r="693" spans="2:5" s="4" customFormat="1">
      <c r="B693" s="28"/>
      <c r="C693" s="18"/>
      <c r="E693" s="50"/>
    </row>
    <row r="694" spans="2:5" s="4" customFormat="1">
      <c r="B694" s="28"/>
      <c r="C694" s="18"/>
      <c r="E694" s="50"/>
    </row>
    <row r="695" spans="2:5" s="4" customFormat="1">
      <c r="B695" s="28"/>
      <c r="C695" s="18"/>
      <c r="E695" s="50"/>
    </row>
    <row r="696" spans="2:5" s="4" customFormat="1">
      <c r="B696" s="28"/>
      <c r="C696" s="18"/>
      <c r="E696" s="50"/>
    </row>
    <row r="697" spans="2:5" s="4" customFormat="1">
      <c r="B697" s="28"/>
      <c r="C697" s="18"/>
      <c r="E697" s="50"/>
    </row>
    <row r="698" spans="2:5" s="4" customFormat="1">
      <c r="B698" s="28"/>
      <c r="C698" s="18"/>
      <c r="E698" s="50"/>
    </row>
    <row r="699" spans="2:5" s="4" customFormat="1">
      <c r="B699" s="28"/>
      <c r="C699" s="18"/>
      <c r="E699" s="50"/>
    </row>
    <row r="700" spans="2:5" s="4" customFormat="1">
      <c r="B700" s="28"/>
      <c r="C700" s="18"/>
      <c r="E700" s="50"/>
    </row>
    <row r="701" spans="2:5" s="4" customFormat="1">
      <c r="B701" s="28"/>
      <c r="C701" s="18"/>
      <c r="E701" s="50"/>
    </row>
    <row r="702" spans="2:5" s="4" customFormat="1">
      <c r="B702" s="28"/>
      <c r="C702" s="18"/>
      <c r="E702" s="50"/>
    </row>
    <row r="703" spans="2:5" s="4" customFormat="1">
      <c r="B703" s="28"/>
      <c r="C703" s="18"/>
      <c r="E703" s="50"/>
    </row>
    <row r="704" spans="2:5" s="4" customFormat="1">
      <c r="B704" s="28"/>
      <c r="C704" s="18"/>
      <c r="E704" s="50"/>
    </row>
    <row r="705" spans="2:5" s="4" customFormat="1">
      <c r="B705" s="28"/>
      <c r="C705" s="18"/>
      <c r="E705" s="50"/>
    </row>
    <row r="706" spans="2:5" s="4" customFormat="1">
      <c r="B706" s="28"/>
      <c r="C706" s="18"/>
      <c r="E706" s="50"/>
    </row>
    <row r="707" spans="2:5" s="4" customFormat="1">
      <c r="B707" s="28"/>
      <c r="C707" s="18"/>
      <c r="E707" s="50"/>
    </row>
    <row r="708" spans="2:5" s="4" customFormat="1">
      <c r="B708" s="28"/>
      <c r="C708" s="18"/>
      <c r="E708" s="50"/>
    </row>
    <row r="709" spans="2:5" s="4" customFormat="1">
      <c r="B709" s="28"/>
      <c r="C709" s="18"/>
      <c r="E709" s="50"/>
    </row>
    <row r="710" spans="2:5" s="4" customFormat="1">
      <c r="B710" s="28"/>
      <c r="C710" s="18"/>
      <c r="E710" s="50"/>
    </row>
    <row r="711" spans="2:5" s="4" customFormat="1">
      <c r="B711" s="28"/>
      <c r="C711" s="18"/>
      <c r="E711" s="50"/>
    </row>
    <row r="712" spans="2:5" s="4" customFormat="1">
      <c r="B712" s="28"/>
      <c r="C712" s="18"/>
      <c r="E712" s="50"/>
    </row>
    <row r="713" spans="2:5" s="4" customFormat="1">
      <c r="B713" s="28"/>
      <c r="C713" s="18"/>
      <c r="E713" s="50"/>
    </row>
    <row r="714" spans="2:5" s="4" customFormat="1">
      <c r="B714" s="28"/>
      <c r="C714" s="18"/>
      <c r="E714" s="50"/>
    </row>
    <row r="715" spans="2:5" s="4" customFormat="1">
      <c r="B715" s="28"/>
      <c r="C715" s="18"/>
      <c r="E715" s="50"/>
    </row>
    <row r="716" spans="2:5" s="4" customFormat="1">
      <c r="B716" s="28"/>
      <c r="C716" s="18"/>
      <c r="E716" s="50"/>
    </row>
    <row r="717" spans="2:5" s="4" customFormat="1">
      <c r="B717" s="28"/>
      <c r="C717" s="18"/>
      <c r="E717" s="50"/>
    </row>
    <row r="718" spans="2:5" s="4" customFormat="1">
      <c r="B718" s="28"/>
      <c r="C718" s="18"/>
      <c r="E718" s="50"/>
    </row>
    <row r="719" spans="2:5" s="4" customFormat="1">
      <c r="B719" s="28"/>
      <c r="C719" s="18"/>
      <c r="E719" s="50"/>
    </row>
    <row r="720" spans="2:5" s="4" customFormat="1">
      <c r="B720" s="28"/>
      <c r="C720" s="18"/>
      <c r="E720" s="50"/>
    </row>
    <row r="721" spans="2:5" s="4" customFormat="1">
      <c r="B721" s="28"/>
      <c r="C721" s="18"/>
      <c r="E721" s="50"/>
    </row>
    <row r="722" spans="2:5" s="4" customFormat="1">
      <c r="B722" s="28"/>
      <c r="C722" s="18"/>
      <c r="E722" s="50"/>
    </row>
    <row r="723" spans="2:5" s="4" customFormat="1">
      <c r="B723" s="28"/>
      <c r="C723" s="18"/>
      <c r="E723" s="50"/>
    </row>
    <row r="724" spans="2:5" s="4" customFormat="1">
      <c r="B724" s="28"/>
      <c r="C724" s="18"/>
      <c r="E724" s="50"/>
    </row>
    <row r="725" spans="2:5" s="4" customFormat="1">
      <c r="B725" s="28"/>
      <c r="C725" s="18"/>
      <c r="E725" s="50"/>
    </row>
    <row r="726" spans="2:5" s="4" customFormat="1">
      <c r="B726" s="28"/>
      <c r="C726" s="18"/>
      <c r="E726" s="50"/>
    </row>
    <row r="727" spans="2:5" s="4" customFormat="1">
      <c r="B727" s="28"/>
      <c r="C727" s="18"/>
      <c r="E727" s="50"/>
    </row>
    <row r="728" spans="2:5" s="4" customFormat="1">
      <c r="B728" s="28"/>
      <c r="C728" s="18"/>
      <c r="E728" s="50"/>
    </row>
    <row r="729" spans="2:5" s="4" customFormat="1">
      <c r="B729" s="28"/>
      <c r="C729" s="18"/>
      <c r="E729" s="50"/>
    </row>
    <row r="730" spans="2:5" s="4" customFormat="1">
      <c r="B730" s="28"/>
      <c r="C730" s="18"/>
      <c r="E730" s="50"/>
    </row>
    <row r="731" spans="2:5" s="4" customFormat="1">
      <c r="B731" s="28"/>
      <c r="C731" s="18"/>
      <c r="E731" s="50"/>
    </row>
    <row r="732" spans="2:5" s="4" customFormat="1">
      <c r="B732" s="28"/>
      <c r="C732" s="18"/>
      <c r="E732" s="50"/>
    </row>
    <row r="733" spans="2:5" s="4" customFormat="1">
      <c r="B733" s="28"/>
      <c r="C733" s="18"/>
      <c r="E733" s="50"/>
    </row>
    <row r="734" spans="2:5" s="4" customFormat="1">
      <c r="B734" s="28"/>
      <c r="C734" s="18"/>
      <c r="E734" s="50"/>
    </row>
    <row r="735" spans="2:5" s="4" customFormat="1">
      <c r="B735" s="28"/>
      <c r="C735" s="18"/>
      <c r="E735" s="50"/>
    </row>
    <row r="736" spans="2:5" s="4" customFormat="1">
      <c r="B736" s="28"/>
      <c r="C736" s="18"/>
      <c r="E736" s="50"/>
    </row>
    <row r="737" spans="2:5" s="4" customFormat="1">
      <c r="B737" s="28"/>
      <c r="C737" s="18"/>
      <c r="E737" s="50"/>
    </row>
    <row r="738" spans="2:5" s="4" customFormat="1">
      <c r="B738" s="28"/>
      <c r="C738" s="18"/>
      <c r="E738" s="50"/>
    </row>
    <row r="739" spans="2:5" s="4" customFormat="1">
      <c r="B739" s="28"/>
      <c r="C739" s="18"/>
      <c r="E739" s="50"/>
    </row>
    <row r="740" spans="2:5" s="4" customFormat="1">
      <c r="B740" s="28"/>
      <c r="C740" s="18"/>
      <c r="E740" s="50"/>
    </row>
    <row r="741" spans="2:5" s="4" customFormat="1">
      <c r="B741" s="28"/>
      <c r="C741" s="18"/>
      <c r="E741" s="50"/>
    </row>
    <row r="742" spans="2:5" s="4" customFormat="1">
      <c r="B742" s="28"/>
      <c r="C742" s="18"/>
      <c r="E742" s="50"/>
    </row>
    <row r="743" spans="2:5" s="4" customFormat="1">
      <c r="B743" s="28"/>
      <c r="C743" s="18"/>
      <c r="E743" s="50"/>
    </row>
    <row r="744" spans="2:5" s="4" customFormat="1">
      <c r="B744" s="28"/>
      <c r="C744" s="18"/>
      <c r="E744" s="50"/>
    </row>
    <row r="745" spans="2:5" s="4" customFormat="1">
      <c r="B745" s="28"/>
      <c r="C745" s="18"/>
      <c r="E745" s="50"/>
    </row>
    <row r="746" spans="2:5" s="4" customFormat="1">
      <c r="B746" s="28"/>
      <c r="C746" s="18"/>
      <c r="E746" s="50"/>
    </row>
    <row r="747" spans="2:5" s="4" customFormat="1">
      <c r="B747" s="28"/>
      <c r="C747" s="18"/>
      <c r="E747" s="50"/>
    </row>
    <row r="748" spans="2:5" s="4" customFormat="1">
      <c r="B748" s="28"/>
      <c r="C748" s="18"/>
      <c r="E748" s="50"/>
    </row>
    <row r="749" spans="2:5" s="4" customFormat="1">
      <c r="B749" s="28"/>
      <c r="C749" s="18"/>
      <c r="E749" s="50"/>
    </row>
    <row r="750" spans="2:5" s="4" customFormat="1">
      <c r="B750" s="28"/>
      <c r="C750" s="18"/>
      <c r="E750" s="50"/>
    </row>
    <row r="751" spans="2:5" s="4" customFormat="1">
      <c r="B751" s="28"/>
      <c r="C751" s="18"/>
      <c r="E751" s="50"/>
    </row>
    <row r="752" spans="2:5" s="4" customFormat="1">
      <c r="B752" s="28"/>
      <c r="C752" s="18"/>
      <c r="E752" s="50"/>
    </row>
    <row r="753" spans="2:5" s="4" customFormat="1">
      <c r="B753" s="28"/>
      <c r="C753" s="18"/>
      <c r="E753" s="50"/>
    </row>
    <row r="754" spans="2:5" s="4" customFormat="1">
      <c r="B754" s="28"/>
      <c r="C754" s="18"/>
      <c r="E754" s="50"/>
    </row>
    <row r="755" spans="2:5" s="4" customFormat="1">
      <c r="B755" s="28"/>
      <c r="C755" s="18"/>
      <c r="E755" s="50"/>
    </row>
    <row r="756" spans="2:5" s="4" customFormat="1">
      <c r="B756" s="28"/>
      <c r="C756" s="18"/>
      <c r="E756" s="50"/>
    </row>
    <row r="757" spans="2:5" s="4" customFormat="1">
      <c r="B757" s="28"/>
      <c r="C757" s="18"/>
      <c r="E757" s="50"/>
    </row>
    <row r="758" spans="2:5" s="4" customFormat="1">
      <c r="B758" s="28"/>
      <c r="C758" s="18"/>
      <c r="E758" s="50"/>
    </row>
    <row r="759" spans="2:5" s="4" customFormat="1">
      <c r="B759" s="28"/>
      <c r="C759" s="18"/>
      <c r="E759" s="50"/>
    </row>
    <row r="760" spans="2:5" s="4" customFormat="1">
      <c r="B760" s="28"/>
      <c r="C760" s="18"/>
      <c r="E760" s="50"/>
    </row>
    <row r="761" spans="2:5" s="4" customFormat="1">
      <c r="B761" s="28"/>
      <c r="C761" s="18"/>
      <c r="E761" s="50"/>
    </row>
    <row r="762" spans="2:5" s="4" customFormat="1">
      <c r="B762" s="28"/>
      <c r="C762" s="18"/>
      <c r="E762" s="50"/>
    </row>
    <row r="763" spans="2:5" s="4" customFormat="1">
      <c r="B763" s="28"/>
      <c r="C763" s="18"/>
      <c r="E763" s="50"/>
    </row>
    <row r="764" spans="2:5" s="4" customFormat="1">
      <c r="B764" s="28"/>
      <c r="C764" s="18"/>
      <c r="E764" s="50"/>
    </row>
    <row r="765" spans="2:5" s="4" customFormat="1">
      <c r="B765" s="28"/>
      <c r="C765" s="18"/>
      <c r="E765" s="50"/>
    </row>
    <row r="766" spans="2:5" s="4" customFormat="1">
      <c r="B766" s="28"/>
      <c r="C766" s="18"/>
      <c r="E766" s="50"/>
    </row>
    <row r="767" spans="2:5" s="4" customFormat="1">
      <c r="B767" s="28"/>
      <c r="C767" s="18"/>
      <c r="E767" s="50"/>
    </row>
    <row r="768" spans="2:5" s="4" customFormat="1">
      <c r="B768" s="28"/>
      <c r="C768" s="18"/>
      <c r="E768" s="50"/>
    </row>
    <row r="769" spans="2:5" s="4" customFormat="1">
      <c r="B769" s="28"/>
      <c r="C769" s="18"/>
      <c r="E769" s="50"/>
    </row>
    <row r="770" spans="2:5" s="4" customFormat="1">
      <c r="B770" s="28"/>
      <c r="C770" s="18"/>
      <c r="E770" s="50"/>
    </row>
    <row r="771" spans="2:5" s="4" customFormat="1">
      <c r="B771" s="28"/>
      <c r="C771" s="18"/>
      <c r="E771" s="50"/>
    </row>
    <row r="772" spans="2:5" s="4" customFormat="1">
      <c r="B772" s="28"/>
      <c r="C772" s="18"/>
      <c r="E772" s="50"/>
    </row>
    <row r="773" spans="2:5" s="4" customFormat="1">
      <c r="B773" s="28"/>
      <c r="C773" s="18"/>
      <c r="E773" s="50"/>
    </row>
    <row r="774" spans="2:5" s="4" customFormat="1">
      <c r="B774" s="28"/>
      <c r="C774" s="18"/>
      <c r="E774" s="50"/>
    </row>
    <row r="775" spans="2:5" s="4" customFormat="1">
      <c r="B775" s="28"/>
      <c r="C775" s="18"/>
      <c r="E775" s="50"/>
    </row>
    <row r="776" spans="2:5" s="4" customFormat="1">
      <c r="B776" s="28"/>
      <c r="C776" s="18"/>
      <c r="E776" s="50"/>
    </row>
    <row r="777" spans="2:5" s="4" customFormat="1">
      <c r="B777" s="28"/>
      <c r="C777" s="18"/>
      <c r="E777" s="50"/>
    </row>
    <row r="778" spans="2:5" s="4" customFormat="1">
      <c r="B778" s="28"/>
      <c r="C778" s="18"/>
      <c r="E778" s="50"/>
    </row>
    <row r="779" spans="2:5" s="4" customFormat="1">
      <c r="B779" s="28"/>
      <c r="C779" s="18"/>
      <c r="E779" s="50"/>
    </row>
    <row r="780" spans="2:5" s="4" customFormat="1">
      <c r="B780" s="28"/>
      <c r="C780" s="18"/>
      <c r="E780" s="50"/>
    </row>
    <row r="781" spans="2:5" s="4" customFormat="1">
      <c r="B781" s="28"/>
      <c r="C781" s="18"/>
      <c r="E781" s="50"/>
    </row>
    <row r="782" spans="2:5" s="4" customFormat="1">
      <c r="B782" s="28"/>
      <c r="C782" s="18"/>
      <c r="E782" s="50"/>
    </row>
    <row r="783" spans="2:5" s="4" customFormat="1">
      <c r="B783" s="28"/>
      <c r="C783" s="18"/>
      <c r="E783" s="50"/>
    </row>
    <row r="784" spans="2:5" s="4" customFormat="1">
      <c r="B784" s="28"/>
      <c r="C784" s="18"/>
      <c r="E784" s="50"/>
    </row>
    <row r="785" spans="2:5" s="4" customFormat="1">
      <c r="B785" s="28"/>
      <c r="C785" s="18"/>
      <c r="E785" s="50"/>
    </row>
    <row r="786" spans="2:5" s="4" customFormat="1">
      <c r="B786" s="28"/>
      <c r="C786" s="18"/>
      <c r="E786" s="50"/>
    </row>
    <row r="787" spans="2:5" s="4" customFormat="1">
      <c r="B787" s="28"/>
      <c r="C787" s="18"/>
      <c r="E787" s="50"/>
    </row>
    <row r="788" spans="2:5" s="4" customFormat="1">
      <c r="B788" s="28"/>
      <c r="C788" s="18"/>
      <c r="E788" s="50"/>
    </row>
    <row r="789" spans="2:5" s="4" customFormat="1">
      <c r="B789" s="28"/>
      <c r="C789" s="18"/>
      <c r="E789" s="50"/>
    </row>
    <row r="790" spans="2:5" s="4" customFormat="1">
      <c r="B790" s="28"/>
      <c r="C790" s="18"/>
      <c r="E790" s="50"/>
    </row>
    <row r="791" spans="2:5" s="4" customFormat="1">
      <c r="B791" s="28"/>
      <c r="C791" s="18"/>
      <c r="E791" s="50"/>
    </row>
    <row r="792" spans="2:5" s="4" customFormat="1">
      <c r="B792" s="28"/>
      <c r="C792" s="18"/>
      <c r="E792" s="50"/>
    </row>
    <row r="793" spans="2:5" s="4" customFormat="1">
      <c r="B793" s="28"/>
      <c r="C793" s="18"/>
      <c r="E793" s="50"/>
    </row>
    <row r="794" spans="2:5" s="4" customFormat="1">
      <c r="B794" s="28"/>
      <c r="C794" s="18"/>
      <c r="E794" s="50"/>
    </row>
    <row r="795" spans="2:5" s="4" customFormat="1">
      <c r="B795" s="28"/>
      <c r="C795" s="18"/>
      <c r="E795" s="50"/>
    </row>
    <row r="796" spans="2:5" s="4" customFormat="1">
      <c r="B796" s="28"/>
      <c r="C796" s="18"/>
      <c r="E796" s="50"/>
    </row>
    <row r="797" spans="2:5" s="4" customFormat="1">
      <c r="B797" s="28"/>
      <c r="C797" s="18"/>
      <c r="E797" s="50"/>
    </row>
    <row r="798" spans="2:5" s="4" customFormat="1">
      <c r="B798" s="28"/>
      <c r="C798" s="18"/>
      <c r="E798" s="50"/>
    </row>
    <row r="799" spans="2:5" s="4" customFormat="1">
      <c r="B799" s="28"/>
      <c r="C799" s="18"/>
      <c r="E799" s="50"/>
    </row>
    <row r="800" spans="2:5" s="4" customFormat="1">
      <c r="B800" s="28"/>
      <c r="C800" s="18"/>
      <c r="E800" s="50"/>
    </row>
    <row r="801" spans="2:5" s="4" customFormat="1">
      <c r="B801" s="28"/>
      <c r="C801" s="18"/>
      <c r="E801" s="50"/>
    </row>
    <row r="802" spans="2:5" s="4" customFormat="1">
      <c r="B802" s="28"/>
      <c r="C802" s="18"/>
      <c r="E802" s="50"/>
    </row>
    <row r="803" spans="2:5" s="4" customFormat="1">
      <c r="B803" s="28"/>
      <c r="C803" s="18"/>
      <c r="E803" s="50"/>
    </row>
    <row r="804" spans="2:5" s="4" customFormat="1">
      <c r="B804" s="28"/>
      <c r="C804" s="18"/>
      <c r="E804" s="50"/>
    </row>
    <row r="805" spans="2:5" s="4" customFormat="1">
      <c r="B805" s="28"/>
      <c r="C805" s="18"/>
      <c r="E805" s="50"/>
    </row>
    <row r="806" spans="2:5" s="4" customFormat="1">
      <c r="B806" s="28"/>
      <c r="C806" s="18"/>
      <c r="E806" s="50"/>
    </row>
    <row r="807" spans="2:5" s="4" customFormat="1">
      <c r="B807" s="28"/>
      <c r="C807" s="18"/>
      <c r="E807" s="50"/>
    </row>
    <row r="808" spans="2:5" s="4" customFormat="1">
      <c r="B808" s="28"/>
      <c r="C808" s="18"/>
      <c r="E808" s="50"/>
    </row>
    <row r="809" spans="2:5" s="4" customFormat="1">
      <c r="B809" s="28"/>
      <c r="C809" s="18"/>
      <c r="E809" s="50"/>
    </row>
    <row r="810" spans="2:5" s="4" customFormat="1">
      <c r="B810" s="28"/>
      <c r="C810" s="18"/>
      <c r="E810" s="50"/>
    </row>
    <row r="811" spans="2:5" s="4" customFormat="1">
      <c r="B811" s="28"/>
      <c r="C811" s="18"/>
      <c r="E811" s="50"/>
    </row>
    <row r="812" spans="2:5" s="4" customFormat="1">
      <c r="B812" s="28"/>
      <c r="C812" s="18"/>
      <c r="E812" s="50"/>
    </row>
    <row r="813" spans="2:5" s="4" customFormat="1">
      <c r="B813" s="28"/>
      <c r="C813" s="18"/>
      <c r="E813" s="50"/>
    </row>
    <row r="814" spans="2:5" s="4" customFormat="1">
      <c r="B814" s="28"/>
      <c r="C814" s="18"/>
      <c r="E814" s="50"/>
    </row>
    <row r="815" spans="2:5" s="4" customFormat="1">
      <c r="B815" s="28"/>
      <c r="C815" s="18"/>
      <c r="E815" s="50"/>
    </row>
    <row r="816" spans="2:5" s="4" customFormat="1">
      <c r="B816" s="28"/>
      <c r="C816" s="18"/>
      <c r="E816" s="50"/>
    </row>
    <row r="817" spans="2:5" s="4" customFormat="1">
      <c r="B817" s="28"/>
      <c r="C817" s="18"/>
      <c r="E817" s="50"/>
    </row>
    <row r="818" spans="2:5" s="4" customFormat="1">
      <c r="B818" s="28"/>
      <c r="C818" s="18"/>
      <c r="E818" s="50"/>
    </row>
    <row r="819" spans="2:5" s="4" customFormat="1">
      <c r="B819" s="28"/>
      <c r="C819" s="18"/>
      <c r="E819" s="50"/>
    </row>
    <row r="820" spans="2:5" s="4" customFormat="1">
      <c r="B820" s="28"/>
      <c r="C820" s="18"/>
      <c r="E820" s="50"/>
    </row>
    <row r="821" spans="2:5" s="4" customFormat="1">
      <c r="B821" s="28"/>
      <c r="C821" s="18"/>
      <c r="E821" s="50"/>
    </row>
    <row r="822" spans="2:5" s="4" customFormat="1">
      <c r="B822" s="28"/>
      <c r="C822" s="18"/>
      <c r="E822" s="50"/>
    </row>
    <row r="823" spans="2:5" s="4" customFormat="1">
      <c r="B823" s="28"/>
      <c r="C823" s="18"/>
      <c r="E823" s="50"/>
    </row>
    <row r="824" spans="2:5" s="4" customFormat="1">
      <c r="B824" s="28"/>
      <c r="C824" s="18"/>
      <c r="E824" s="50"/>
    </row>
    <row r="825" spans="2:5" s="4" customFormat="1">
      <c r="B825" s="28"/>
      <c r="C825" s="18"/>
      <c r="E825" s="50"/>
    </row>
    <row r="826" spans="2:5" s="4" customFormat="1">
      <c r="B826" s="28"/>
      <c r="C826" s="18"/>
      <c r="E826" s="50"/>
    </row>
    <row r="827" spans="2:5" s="4" customFormat="1">
      <c r="B827" s="28"/>
      <c r="C827" s="18"/>
      <c r="E827" s="50"/>
    </row>
    <row r="828" spans="2:5" s="4" customFormat="1">
      <c r="B828" s="28"/>
      <c r="C828" s="18"/>
      <c r="E828" s="50"/>
    </row>
    <row r="829" spans="2:5" s="4" customFormat="1">
      <c r="B829" s="28"/>
      <c r="C829" s="18"/>
      <c r="E829" s="50"/>
    </row>
    <row r="830" spans="2:5" s="4" customFormat="1">
      <c r="B830" s="28"/>
      <c r="C830" s="18"/>
      <c r="E830" s="50"/>
    </row>
    <row r="831" spans="2:5" s="4" customFormat="1">
      <c r="B831" s="28"/>
      <c r="C831" s="18"/>
      <c r="E831" s="50"/>
    </row>
    <row r="832" spans="2:5" s="4" customFormat="1">
      <c r="B832" s="28"/>
      <c r="C832" s="18"/>
      <c r="E832" s="50"/>
    </row>
    <row r="833" spans="2:5" s="4" customFormat="1">
      <c r="B833" s="28"/>
      <c r="C833" s="18"/>
      <c r="E833" s="50"/>
    </row>
    <row r="834" spans="2:5" s="4" customFormat="1">
      <c r="B834" s="28"/>
      <c r="C834" s="18"/>
      <c r="E834" s="50"/>
    </row>
    <row r="835" spans="2:5" s="4" customFormat="1">
      <c r="B835" s="28"/>
      <c r="C835" s="18"/>
      <c r="E835" s="50"/>
    </row>
    <row r="836" spans="2:5" s="4" customFormat="1">
      <c r="B836" s="28"/>
      <c r="C836" s="18"/>
      <c r="E836" s="50"/>
    </row>
    <row r="837" spans="2:5" s="4" customFormat="1">
      <c r="B837" s="28"/>
      <c r="C837" s="18"/>
      <c r="E837" s="50"/>
    </row>
    <row r="838" spans="2:5" s="4" customFormat="1">
      <c r="B838" s="28"/>
      <c r="C838" s="18"/>
      <c r="E838" s="50"/>
    </row>
    <row r="839" spans="2:5" s="4" customFormat="1">
      <c r="B839" s="28"/>
      <c r="C839" s="18"/>
      <c r="E839" s="50"/>
    </row>
    <row r="840" spans="2:5" s="4" customFormat="1">
      <c r="B840" s="28"/>
      <c r="C840" s="18"/>
      <c r="E840" s="50"/>
    </row>
    <row r="841" spans="2:5" s="4" customFormat="1">
      <c r="B841" s="28"/>
      <c r="C841" s="18"/>
      <c r="E841" s="50"/>
    </row>
    <row r="842" spans="2:5" s="4" customFormat="1">
      <c r="B842" s="28"/>
      <c r="C842" s="18"/>
      <c r="E842" s="50"/>
    </row>
    <row r="843" spans="2:5" s="4" customFormat="1">
      <c r="B843" s="28"/>
      <c r="C843" s="18"/>
      <c r="E843" s="50"/>
    </row>
    <row r="844" spans="2:5" s="4" customFormat="1">
      <c r="B844" s="28"/>
      <c r="C844" s="18"/>
      <c r="E844" s="50"/>
    </row>
    <row r="845" spans="2:5" s="4" customFormat="1">
      <c r="B845" s="28"/>
      <c r="C845" s="18"/>
      <c r="E845" s="50"/>
    </row>
    <row r="846" spans="2:5" s="4" customFormat="1">
      <c r="B846" s="28"/>
      <c r="C846" s="18"/>
      <c r="E846" s="50"/>
    </row>
    <row r="847" spans="2:5" s="4" customFormat="1">
      <c r="B847" s="28"/>
      <c r="C847" s="18"/>
      <c r="E847" s="50"/>
    </row>
    <row r="848" spans="2:5" s="4" customFormat="1">
      <c r="B848" s="28"/>
      <c r="C848" s="18"/>
      <c r="E848" s="50"/>
    </row>
    <row r="849" spans="2:5" s="4" customFormat="1">
      <c r="B849" s="28"/>
      <c r="C849" s="18"/>
      <c r="E849" s="50"/>
    </row>
    <row r="850" spans="2:5" s="4" customFormat="1">
      <c r="B850" s="28"/>
      <c r="C850" s="18"/>
      <c r="E850" s="50"/>
    </row>
    <row r="851" spans="2:5" s="4" customFormat="1">
      <c r="B851" s="28"/>
      <c r="C851" s="18"/>
      <c r="E851" s="50"/>
    </row>
    <row r="852" spans="2:5" s="4" customFormat="1">
      <c r="B852" s="28"/>
      <c r="C852" s="18"/>
      <c r="E852" s="50"/>
    </row>
    <row r="853" spans="2:5" s="4" customFormat="1">
      <c r="B853" s="28"/>
      <c r="C853" s="18"/>
      <c r="E853" s="50"/>
    </row>
    <row r="854" spans="2:5" s="4" customFormat="1">
      <c r="B854" s="28"/>
      <c r="C854" s="18"/>
      <c r="E854" s="50"/>
    </row>
    <row r="855" spans="2:5" s="4" customFormat="1">
      <c r="B855" s="28"/>
      <c r="C855" s="18"/>
      <c r="E855" s="50"/>
    </row>
    <row r="856" spans="2:5" s="4" customFormat="1">
      <c r="B856" s="28"/>
      <c r="C856" s="18"/>
      <c r="E856" s="50"/>
    </row>
    <row r="857" spans="2:5" s="4" customFormat="1">
      <c r="B857" s="28"/>
      <c r="C857" s="18"/>
      <c r="E857" s="50"/>
    </row>
    <row r="858" spans="2:5" s="4" customFormat="1">
      <c r="B858" s="28"/>
      <c r="C858" s="18"/>
      <c r="E858" s="50"/>
    </row>
    <row r="859" spans="2:5" s="4" customFormat="1">
      <c r="B859" s="28"/>
      <c r="C859" s="18"/>
      <c r="E859" s="50"/>
    </row>
    <row r="860" spans="2:5" s="4" customFormat="1">
      <c r="B860" s="28"/>
      <c r="C860" s="18"/>
      <c r="E860" s="50"/>
    </row>
    <row r="861" spans="2:5" s="4" customFormat="1">
      <c r="B861" s="28"/>
      <c r="C861" s="18"/>
      <c r="E861" s="50"/>
    </row>
    <row r="862" spans="2:5" s="4" customFormat="1">
      <c r="B862" s="28"/>
      <c r="C862" s="18"/>
      <c r="E862" s="50"/>
    </row>
    <row r="863" spans="2:5" s="4" customFormat="1">
      <c r="B863" s="28"/>
      <c r="C863" s="18"/>
      <c r="E863" s="50"/>
    </row>
    <row r="864" spans="2:5" s="4" customFormat="1">
      <c r="B864" s="28"/>
      <c r="C864" s="18"/>
      <c r="E864" s="50"/>
    </row>
    <row r="865" spans="2:5" s="4" customFormat="1">
      <c r="B865" s="28"/>
      <c r="C865" s="18"/>
      <c r="E865" s="50"/>
    </row>
    <row r="866" spans="2:5" s="4" customFormat="1">
      <c r="B866" s="28"/>
      <c r="C866" s="18"/>
      <c r="E866" s="50"/>
    </row>
    <row r="867" spans="2:5" s="4" customFormat="1">
      <c r="B867" s="28"/>
      <c r="C867" s="18"/>
      <c r="E867" s="50"/>
    </row>
    <row r="868" spans="2:5" s="4" customFormat="1">
      <c r="B868" s="28"/>
      <c r="C868" s="18"/>
      <c r="E868" s="50"/>
    </row>
    <row r="869" spans="2:5" s="4" customFormat="1">
      <c r="B869" s="28"/>
      <c r="C869" s="18"/>
      <c r="E869" s="50"/>
    </row>
    <row r="870" spans="2:5" s="4" customFormat="1">
      <c r="B870" s="28"/>
      <c r="C870" s="18"/>
      <c r="E870" s="50"/>
    </row>
    <row r="871" spans="2:5" s="4" customFormat="1">
      <c r="B871" s="28"/>
      <c r="C871" s="18"/>
      <c r="E871" s="50"/>
    </row>
    <row r="872" spans="2:5" s="4" customFormat="1">
      <c r="B872" s="28"/>
      <c r="C872" s="18"/>
      <c r="E872" s="50"/>
    </row>
    <row r="873" spans="2:5" s="4" customFormat="1">
      <c r="B873" s="28"/>
      <c r="C873" s="18"/>
      <c r="E873" s="50"/>
    </row>
    <row r="874" spans="2:5" s="4" customFormat="1">
      <c r="B874" s="28"/>
      <c r="C874" s="18"/>
      <c r="E874" s="50"/>
    </row>
    <row r="875" spans="2:5" s="4" customFormat="1">
      <c r="B875" s="28"/>
      <c r="C875" s="18"/>
      <c r="E875" s="50"/>
    </row>
    <row r="876" spans="2:5" s="4" customFormat="1">
      <c r="B876" s="28"/>
      <c r="C876" s="18"/>
      <c r="E876" s="50"/>
    </row>
    <row r="877" spans="2:5" s="4" customFormat="1">
      <c r="B877" s="28"/>
      <c r="C877" s="18"/>
      <c r="E877" s="50"/>
    </row>
    <row r="878" spans="2:5" s="4" customFormat="1">
      <c r="B878" s="28"/>
      <c r="C878" s="18"/>
      <c r="E878" s="50"/>
    </row>
    <row r="879" spans="2:5" s="4" customFormat="1">
      <c r="B879" s="28"/>
      <c r="C879" s="18"/>
      <c r="E879" s="50"/>
    </row>
    <row r="880" spans="2:5" s="4" customFormat="1">
      <c r="B880" s="28"/>
      <c r="C880" s="18"/>
      <c r="E880" s="50"/>
    </row>
    <row r="881" spans="2:5" s="4" customFormat="1">
      <c r="B881" s="28"/>
      <c r="C881" s="18"/>
      <c r="E881" s="50"/>
    </row>
    <row r="882" spans="2:5" s="4" customFormat="1">
      <c r="B882" s="28"/>
      <c r="C882" s="18"/>
      <c r="E882" s="50"/>
    </row>
    <row r="883" spans="2:5" s="4" customFormat="1">
      <c r="B883" s="28"/>
      <c r="C883" s="18"/>
      <c r="E883" s="50"/>
    </row>
    <row r="884" spans="2:5" s="4" customFormat="1">
      <c r="B884" s="28"/>
      <c r="C884" s="18"/>
      <c r="E884" s="50"/>
    </row>
    <row r="885" spans="2:5" s="4" customFormat="1">
      <c r="B885" s="28"/>
      <c r="C885" s="18"/>
      <c r="E885" s="50"/>
    </row>
    <row r="886" spans="2:5" s="4" customFormat="1">
      <c r="B886" s="28"/>
      <c r="C886" s="18"/>
      <c r="E886" s="50"/>
    </row>
    <row r="887" spans="2:5" s="4" customFormat="1">
      <c r="B887" s="28"/>
      <c r="C887" s="18"/>
      <c r="E887" s="50"/>
    </row>
    <row r="888" spans="2:5" s="4" customFormat="1">
      <c r="B888" s="28"/>
      <c r="C888" s="18"/>
      <c r="E888" s="50"/>
    </row>
    <row r="889" spans="2:5" s="4" customFormat="1">
      <c r="B889" s="28"/>
      <c r="C889" s="18"/>
      <c r="E889" s="50"/>
    </row>
    <row r="890" spans="2:5" s="4" customFormat="1">
      <c r="B890" s="28"/>
      <c r="C890" s="18"/>
      <c r="E890" s="50"/>
    </row>
    <row r="891" spans="2:5" s="4" customFormat="1">
      <c r="B891" s="28"/>
      <c r="C891" s="18"/>
      <c r="E891" s="50"/>
    </row>
    <row r="892" spans="2:5" s="4" customFormat="1">
      <c r="B892" s="28"/>
      <c r="C892" s="18"/>
      <c r="E892" s="50"/>
    </row>
    <row r="893" spans="2:5" s="4" customFormat="1">
      <c r="B893" s="28"/>
      <c r="C893" s="18"/>
      <c r="E893" s="50"/>
    </row>
    <row r="894" spans="2:5" s="4" customFormat="1">
      <c r="B894" s="28"/>
      <c r="C894" s="18"/>
      <c r="E894" s="50"/>
    </row>
    <row r="895" spans="2:5" s="4" customFormat="1">
      <c r="B895" s="28"/>
      <c r="C895" s="18"/>
      <c r="E895" s="50"/>
    </row>
    <row r="896" spans="2:5" s="4" customFormat="1">
      <c r="B896" s="28"/>
      <c r="C896" s="18"/>
      <c r="E896" s="50"/>
    </row>
    <row r="897" spans="2:5" s="4" customFormat="1">
      <c r="B897" s="28"/>
      <c r="C897" s="18"/>
      <c r="E897" s="50"/>
    </row>
    <row r="898" spans="2:5" s="4" customFormat="1">
      <c r="B898" s="28"/>
      <c r="C898" s="18"/>
      <c r="E898" s="50"/>
    </row>
    <row r="899" spans="2:5" s="4" customFormat="1">
      <c r="B899" s="28"/>
      <c r="C899" s="18"/>
      <c r="E899" s="50"/>
    </row>
    <row r="900" spans="2:5" s="4" customFormat="1">
      <c r="B900" s="28"/>
      <c r="C900" s="18"/>
      <c r="E900" s="50"/>
    </row>
    <row r="901" spans="2:5" s="4" customFormat="1">
      <c r="B901" s="28"/>
      <c r="C901" s="18"/>
      <c r="E901" s="50"/>
    </row>
    <row r="902" spans="2:5" s="4" customFormat="1">
      <c r="B902" s="28"/>
      <c r="C902" s="18"/>
      <c r="E902" s="50"/>
    </row>
    <row r="903" spans="2:5" s="4" customFormat="1">
      <c r="B903" s="28"/>
      <c r="C903" s="18"/>
      <c r="E903" s="50"/>
    </row>
    <row r="904" spans="2:5" s="4" customFormat="1">
      <c r="B904" s="28"/>
      <c r="C904" s="18"/>
      <c r="E904" s="50"/>
    </row>
    <row r="905" spans="2:5" s="4" customFormat="1">
      <c r="B905" s="28"/>
      <c r="C905" s="18"/>
      <c r="E905" s="50"/>
    </row>
    <row r="906" spans="2:5" s="4" customFormat="1">
      <c r="B906" s="28"/>
      <c r="C906" s="18"/>
      <c r="E906" s="50"/>
    </row>
    <row r="907" spans="2:5" s="4" customFormat="1">
      <c r="B907" s="28"/>
      <c r="C907" s="18"/>
      <c r="E907" s="50"/>
    </row>
    <row r="908" spans="2:5" s="4" customFormat="1">
      <c r="B908" s="28"/>
      <c r="C908" s="18"/>
      <c r="E908" s="50"/>
    </row>
    <row r="909" spans="2:5" s="4" customFormat="1">
      <c r="B909" s="28"/>
      <c r="C909" s="18"/>
      <c r="E909" s="50"/>
    </row>
    <row r="910" spans="2:5" s="4" customFormat="1">
      <c r="B910" s="28"/>
      <c r="C910" s="18"/>
      <c r="E910" s="50"/>
    </row>
    <row r="911" spans="2:5" s="4" customFormat="1">
      <c r="B911" s="28"/>
      <c r="C911" s="18"/>
      <c r="E911" s="50"/>
    </row>
    <row r="912" spans="2:5" s="4" customFormat="1">
      <c r="B912" s="28"/>
      <c r="C912" s="18"/>
      <c r="E912" s="50"/>
    </row>
    <row r="913" spans="2:5" s="4" customFormat="1">
      <c r="B913" s="28"/>
      <c r="C913" s="18"/>
      <c r="E913" s="50"/>
    </row>
    <row r="914" spans="2:5" s="4" customFormat="1">
      <c r="B914" s="28"/>
      <c r="C914" s="18"/>
      <c r="E914" s="50"/>
    </row>
    <row r="915" spans="2:5" s="4" customFormat="1">
      <c r="B915" s="28"/>
      <c r="C915" s="18"/>
      <c r="E915" s="50"/>
    </row>
    <row r="916" spans="2:5" s="4" customFormat="1">
      <c r="B916" s="28"/>
      <c r="C916" s="18"/>
      <c r="E916" s="50"/>
    </row>
    <row r="917" spans="2:5" s="4" customFormat="1">
      <c r="B917" s="28"/>
      <c r="C917" s="18"/>
      <c r="E917" s="50"/>
    </row>
    <row r="918" spans="2:5" s="4" customFormat="1">
      <c r="B918" s="28"/>
      <c r="C918" s="18"/>
      <c r="E918" s="50"/>
    </row>
    <row r="919" spans="2:5" s="4" customFormat="1">
      <c r="B919" s="28"/>
      <c r="C919" s="18"/>
      <c r="E919" s="50"/>
    </row>
    <row r="920" spans="2:5" s="4" customFormat="1">
      <c r="B920" s="28"/>
      <c r="C920" s="18"/>
      <c r="E920" s="50"/>
    </row>
    <row r="921" spans="2:5" s="4" customFormat="1">
      <c r="B921" s="28"/>
      <c r="C921" s="18"/>
      <c r="E921" s="50"/>
    </row>
    <row r="922" spans="2:5" s="4" customFormat="1">
      <c r="B922" s="28"/>
      <c r="C922" s="18"/>
      <c r="E922" s="50"/>
    </row>
    <row r="923" spans="2:5" s="4" customFormat="1">
      <c r="B923" s="28"/>
      <c r="C923" s="18"/>
      <c r="E923" s="50"/>
    </row>
    <row r="924" spans="2:5" s="4" customFormat="1">
      <c r="B924" s="28"/>
      <c r="C924" s="18"/>
      <c r="E924" s="50"/>
    </row>
    <row r="925" spans="2:5" s="4" customFormat="1">
      <c r="B925" s="28"/>
      <c r="C925" s="18"/>
      <c r="E925" s="50"/>
    </row>
    <row r="926" spans="2:5" s="4" customFormat="1">
      <c r="B926" s="28"/>
      <c r="C926" s="18"/>
      <c r="E926" s="50"/>
    </row>
    <row r="927" spans="2:5" s="4" customFormat="1">
      <c r="B927" s="28"/>
      <c r="C927" s="18"/>
      <c r="E927" s="50"/>
    </row>
    <row r="928" spans="2:5" s="4" customFormat="1">
      <c r="B928" s="28"/>
      <c r="C928" s="18"/>
      <c r="E928" s="50"/>
    </row>
    <row r="929" spans="2:5" s="4" customFormat="1">
      <c r="B929" s="28"/>
      <c r="C929" s="18"/>
      <c r="E929" s="50"/>
    </row>
    <row r="930" spans="2:5" s="4" customFormat="1">
      <c r="B930" s="28"/>
      <c r="C930" s="18"/>
      <c r="E930" s="50"/>
    </row>
    <row r="931" spans="2:5" s="4" customFormat="1">
      <c r="B931" s="28"/>
      <c r="C931" s="18"/>
      <c r="E931" s="50"/>
    </row>
    <row r="932" spans="2:5" s="4" customFormat="1">
      <c r="B932" s="28"/>
      <c r="C932" s="18"/>
      <c r="E932" s="50"/>
    </row>
    <row r="933" spans="2:5" s="4" customFormat="1">
      <c r="B933" s="28"/>
      <c r="C933" s="18"/>
      <c r="E933" s="50"/>
    </row>
    <row r="934" spans="2:5" s="4" customFormat="1">
      <c r="B934" s="28"/>
      <c r="C934" s="18"/>
      <c r="E934" s="50"/>
    </row>
    <row r="935" spans="2:5" s="4" customFormat="1">
      <c r="B935" s="28"/>
      <c r="C935" s="18"/>
      <c r="E935" s="50"/>
    </row>
    <row r="936" spans="2:5" s="4" customFormat="1">
      <c r="B936" s="28"/>
      <c r="C936" s="18"/>
      <c r="E936" s="50"/>
    </row>
    <row r="937" spans="2:5" s="4" customFormat="1">
      <c r="B937" s="28"/>
      <c r="C937" s="18"/>
      <c r="E937" s="50"/>
    </row>
    <row r="938" spans="2:5" s="4" customFormat="1">
      <c r="B938" s="28"/>
      <c r="C938" s="18"/>
      <c r="E938" s="50"/>
    </row>
    <row r="939" spans="2:5" s="4" customFormat="1">
      <c r="B939" s="28"/>
      <c r="C939" s="18"/>
      <c r="E939" s="50"/>
    </row>
    <row r="940" spans="2:5" s="4" customFormat="1">
      <c r="B940" s="28"/>
      <c r="C940" s="18"/>
      <c r="E940" s="50"/>
    </row>
    <row r="941" spans="2:5" s="4" customFormat="1">
      <c r="B941" s="28"/>
      <c r="C941" s="18"/>
      <c r="E941" s="50"/>
    </row>
    <row r="942" spans="2:5" s="4" customFormat="1">
      <c r="B942" s="28"/>
      <c r="C942" s="18"/>
      <c r="E942" s="50"/>
    </row>
    <row r="943" spans="2:5" s="4" customFormat="1">
      <c r="B943" s="28"/>
      <c r="C943" s="18"/>
      <c r="E943" s="50"/>
    </row>
    <row r="944" spans="2:5" s="4" customFormat="1">
      <c r="B944" s="28"/>
      <c r="C944" s="18"/>
      <c r="E944" s="50"/>
    </row>
    <row r="945" spans="2:5" s="4" customFormat="1">
      <c r="B945" s="28"/>
      <c r="C945" s="18"/>
      <c r="E945" s="50"/>
    </row>
    <row r="946" spans="2:5" s="4" customFormat="1">
      <c r="B946" s="28"/>
      <c r="C946" s="18"/>
      <c r="E946" s="50"/>
    </row>
    <row r="947" spans="2:5" s="4" customFormat="1">
      <c r="B947" s="28"/>
      <c r="C947" s="18"/>
      <c r="E947" s="50"/>
    </row>
    <row r="948" spans="2:5" s="4" customFormat="1">
      <c r="B948" s="28"/>
      <c r="C948" s="18"/>
      <c r="E948" s="50"/>
    </row>
    <row r="949" spans="2:5" s="4" customFormat="1">
      <c r="B949" s="28"/>
      <c r="C949" s="18"/>
      <c r="E949" s="50"/>
    </row>
    <row r="950" spans="2:5" s="4" customFormat="1">
      <c r="B950" s="28"/>
      <c r="C950" s="18"/>
      <c r="E950" s="50"/>
    </row>
    <row r="951" spans="2:5" s="4" customFormat="1">
      <c r="B951" s="28"/>
      <c r="C951" s="18"/>
      <c r="E951" s="50"/>
    </row>
    <row r="952" spans="2:5" s="4" customFormat="1">
      <c r="B952" s="28"/>
      <c r="C952" s="18"/>
      <c r="E952" s="50"/>
    </row>
    <row r="953" spans="2:5" s="4" customFormat="1">
      <c r="B953" s="28"/>
      <c r="C953" s="18"/>
      <c r="E953" s="50"/>
    </row>
    <row r="954" spans="2:5" s="4" customFormat="1">
      <c r="B954" s="28"/>
      <c r="C954" s="18"/>
      <c r="E954" s="50"/>
    </row>
    <row r="955" spans="2:5" s="4" customFormat="1">
      <c r="B955" s="28"/>
      <c r="C955" s="18"/>
      <c r="E955" s="50"/>
    </row>
    <row r="956" spans="2:5" s="4" customFormat="1">
      <c r="B956" s="28"/>
      <c r="C956" s="18"/>
      <c r="E956" s="50"/>
    </row>
    <row r="957" spans="2:5" s="4" customFormat="1">
      <c r="B957" s="28"/>
      <c r="C957" s="18"/>
      <c r="E957" s="50"/>
    </row>
    <row r="958" spans="2:5" s="4" customFormat="1">
      <c r="B958" s="28"/>
      <c r="C958" s="18"/>
      <c r="E958" s="50"/>
    </row>
    <row r="959" spans="2:5" s="4" customFormat="1">
      <c r="B959" s="28"/>
      <c r="C959" s="18"/>
      <c r="E959" s="50"/>
    </row>
    <row r="960" spans="2:5" s="4" customFormat="1">
      <c r="B960" s="28"/>
      <c r="C960" s="18"/>
      <c r="E960" s="50"/>
    </row>
    <row r="961" spans="2:5" s="4" customFormat="1">
      <c r="B961" s="28"/>
      <c r="C961" s="18"/>
      <c r="E961" s="50"/>
    </row>
    <row r="962" spans="2:5" s="4" customFormat="1">
      <c r="B962" s="28"/>
      <c r="C962" s="18"/>
      <c r="E962" s="50"/>
    </row>
    <row r="963" spans="2:5" s="4" customFormat="1">
      <c r="B963" s="28"/>
      <c r="C963" s="18"/>
      <c r="E963" s="50"/>
    </row>
    <row r="964" spans="2:5" s="4" customFormat="1">
      <c r="B964" s="28"/>
      <c r="C964" s="18"/>
      <c r="E964" s="50"/>
    </row>
    <row r="965" spans="2:5" s="4" customFormat="1">
      <c r="B965" s="28"/>
      <c r="C965" s="18"/>
      <c r="E965" s="50"/>
    </row>
    <row r="966" spans="2:5" s="4" customFormat="1">
      <c r="B966" s="28"/>
      <c r="C966" s="18"/>
      <c r="E966" s="50"/>
    </row>
    <row r="967" spans="2:5" s="4" customFormat="1">
      <c r="B967" s="28"/>
      <c r="C967" s="18"/>
      <c r="E967" s="50"/>
    </row>
    <row r="968" spans="2:5" s="4" customFormat="1">
      <c r="B968" s="28"/>
      <c r="C968" s="18"/>
      <c r="E968" s="50"/>
    </row>
    <row r="969" spans="2:5" s="4" customFormat="1">
      <c r="B969" s="28"/>
      <c r="C969" s="18"/>
      <c r="E969" s="50"/>
    </row>
    <row r="970" spans="2:5" s="4" customFormat="1">
      <c r="B970" s="28"/>
      <c r="C970" s="18"/>
      <c r="E970" s="50"/>
    </row>
    <row r="971" spans="2:5" s="4" customFormat="1">
      <c r="B971" s="28"/>
      <c r="C971" s="18"/>
      <c r="E971" s="50"/>
    </row>
    <row r="972" spans="2:5" s="4" customFormat="1">
      <c r="B972" s="28"/>
      <c r="C972" s="18"/>
      <c r="E972" s="50"/>
    </row>
    <row r="973" spans="2:5" s="4" customFormat="1">
      <c r="B973" s="28"/>
      <c r="C973" s="18"/>
      <c r="E973" s="50"/>
    </row>
    <row r="974" spans="2:5" s="4" customFormat="1">
      <c r="B974" s="28"/>
      <c r="C974" s="18"/>
      <c r="E974" s="50"/>
    </row>
    <row r="975" spans="2:5" s="4" customFormat="1">
      <c r="B975" s="28"/>
      <c r="C975" s="18"/>
      <c r="E975" s="50"/>
    </row>
    <row r="976" spans="2:5" s="4" customFormat="1">
      <c r="B976" s="28"/>
      <c r="C976" s="18"/>
      <c r="E976" s="50"/>
    </row>
    <row r="977" spans="2:5" s="4" customFormat="1">
      <c r="B977" s="28"/>
      <c r="C977" s="18"/>
      <c r="E977" s="50"/>
    </row>
    <row r="978" spans="2:5" s="4" customFormat="1">
      <c r="B978" s="28"/>
      <c r="C978" s="18"/>
      <c r="E978" s="50"/>
    </row>
    <row r="979" spans="2:5" s="4" customFormat="1">
      <c r="B979" s="28"/>
      <c r="C979" s="18"/>
      <c r="E979" s="50"/>
    </row>
    <row r="980" spans="2:5" s="4" customFormat="1">
      <c r="B980" s="28"/>
      <c r="C980" s="18"/>
      <c r="E980" s="50"/>
    </row>
    <row r="981" spans="2:5" s="4" customFormat="1">
      <c r="B981" s="28"/>
      <c r="C981" s="18"/>
      <c r="E981" s="50"/>
    </row>
    <row r="982" spans="2:5" s="4" customFormat="1">
      <c r="B982" s="28"/>
      <c r="C982" s="18"/>
      <c r="E982" s="50"/>
    </row>
    <row r="983" spans="2:5" s="4" customFormat="1">
      <c r="B983" s="28"/>
      <c r="C983" s="18"/>
      <c r="E983" s="50"/>
    </row>
    <row r="984" spans="2:5" s="4" customFormat="1">
      <c r="B984" s="28"/>
      <c r="C984" s="18"/>
      <c r="E984" s="50"/>
    </row>
    <row r="985" spans="2:5" s="4" customFormat="1">
      <c r="B985" s="28"/>
      <c r="C985" s="18"/>
      <c r="E985" s="50"/>
    </row>
    <row r="986" spans="2:5" s="4" customFormat="1">
      <c r="B986" s="28"/>
      <c r="C986" s="18"/>
      <c r="E986" s="50"/>
    </row>
    <row r="987" spans="2:5" s="4" customFormat="1">
      <c r="B987" s="28"/>
      <c r="C987" s="18"/>
      <c r="E987" s="50"/>
    </row>
    <row r="988" spans="2:5" s="4" customFormat="1">
      <c r="B988" s="28"/>
      <c r="C988" s="18"/>
      <c r="E988" s="50"/>
    </row>
    <row r="989" spans="2:5" s="4" customFormat="1">
      <c r="B989" s="28"/>
      <c r="C989" s="18"/>
      <c r="E989" s="50"/>
    </row>
    <row r="990" spans="2:5" s="4" customFormat="1">
      <c r="B990" s="28"/>
      <c r="C990" s="18"/>
      <c r="E990" s="50"/>
    </row>
    <row r="991" spans="2:5" s="4" customFormat="1">
      <c r="B991" s="28"/>
      <c r="C991" s="18"/>
      <c r="E991" s="50"/>
    </row>
    <row r="992" spans="2:5" s="4" customFormat="1">
      <c r="B992" s="28"/>
      <c r="C992" s="18"/>
      <c r="E992" s="50"/>
    </row>
    <row r="993" spans="2:5" s="4" customFormat="1">
      <c r="B993" s="28"/>
      <c r="C993" s="18"/>
      <c r="E993" s="50"/>
    </row>
    <row r="994" spans="2:5" s="4" customFormat="1">
      <c r="B994" s="28"/>
      <c r="C994" s="18"/>
      <c r="E994" s="50"/>
    </row>
    <row r="995" spans="2:5" s="4" customFormat="1">
      <c r="B995" s="28"/>
      <c r="C995" s="18"/>
      <c r="E995" s="50"/>
    </row>
    <row r="996" spans="2:5" s="4" customFormat="1">
      <c r="B996" s="28"/>
      <c r="C996" s="18"/>
      <c r="E996" s="50"/>
    </row>
    <row r="997" spans="2:5" s="4" customFormat="1">
      <c r="B997" s="28"/>
      <c r="C997" s="18"/>
      <c r="E997" s="50"/>
    </row>
    <row r="998" spans="2:5" s="4" customFormat="1">
      <c r="B998" s="28"/>
      <c r="C998" s="18"/>
      <c r="E998" s="50"/>
    </row>
    <row r="999" spans="2:5" s="4" customFormat="1">
      <c r="B999" s="28"/>
      <c r="C999" s="18"/>
      <c r="E999" s="50"/>
    </row>
    <row r="1000" spans="2:5" s="4" customFormat="1">
      <c r="B1000" s="28"/>
      <c r="C1000" s="18"/>
      <c r="E1000" s="50"/>
    </row>
    <row r="1001" spans="2:5" s="4" customFormat="1">
      <c r="B1001" s="28"/>
      <c r="C1001" s="18"/>
      <c r="E1001" s="50"/>
    </row>
    <row r="1002" spans="2:5" s="4" customFormat="1">
      <c r="B1002" s="28"/>
      <c r="C1002" s="18"/>
      <c r="E1002" s="50"/>
    </row>
    <row r="1003" spans="2:5" s="4" customFormat="1">
      <c r="B1003" s="28"/>
      <c r="C1003" s="18"/>
      <c r="E1003" s="50"/>
    </row>
    <row r="1004" spans="2:5" s="4" customFormat="1">
      <c r="B1004" s="28"/>
      <c r="C1004" s="18"/>
      <c r="E1004" s="50"/>
    </row>
    <row r="1005" spans="2:5" s="4" customFormat="1">
      <c r="B1005" s="28"/>
      <c r="C1005" s="18"/>
      <c r="E1005" s="50"/>
    </row>
    <row r="1006" spans="2:5" s="4" customFormat="1">
      <c r="B1006" s="28"/>
      <c r="C1006" s="18"/>
      <c r="E1006" s="50"/>
    </row>
    <row r="1007" spans="2:5" s="4" customFormat="1">
      <c r="B1007" s="28"/>
      <c r="C1007" s="18"/>
      <c r="E1007" s="50"/>
    </row>
    <row r="1008" spans="2:5" s="4" customFormat="1">
      <c r="B1008" s="28"/>
      <c r="C1008" s="18"/>
      <c r="E1008" s="50"/>
    </row>
    <row r="1009" spans="2:5" s="4" customFormat="1">
      <c r="B1009" s="28"/>
      <c r="C1009" s="18"/>
      <c r="E1009" s="50"/>
    </row>
    <row r="1010" spans="2:5" s="4" customFormat="1">
      <c r="B1010" s="28"/>
      <c r="C1010" s="18"/>
      <c r="E1010" s="50"/>
    </row>
    <row r="1011" spans="2:5" s="4" customFormat="1">
      <c r="B1011" s="28"/>
      <c r="C1011" s="18"/>
      <c r="E1011" s="50"/>
    </row>
    <row r="1012" spans="2:5" s="4" customFormat="1">
      <c r="B1012" s="28"/>
      <c r="C1012" s="18"/>
      <c r="E1012" s="50"/>
    </row>
    <row r="1013" spans="2:5" s="4" customFormat="1">
      <c r="B1013" s="28"/>
      <c r="C1013" s="18"/>
      <c r="E1013" s="50"/>
    </row>
    <row r="1014" spans="2:5" s="4" customFormat="1">
      <c r="B1014" s="28"/>
      <c r="C1014" s="18"/>
      <c r="E1014" s="50"/>
    </row>
    <row r="1015" spans="2:5" s="4" customFormat="1">
      <c r="B1015" s="28"/>
      <c r="C1015" s="18"/>
      <c r="E1015" s="50"/>
    </row>
    <row r="1016" spans="2:5" s="4" customFormat="1">
      <c r="B1016" s="28"/>
      <c r="C1016" s="18"/>
      <c r="E1016" s="50"/>
    </row>
    <row r="1017" spans="2:5" s="4" customFormat="1">
      <c r="B1017" s="28"/>
      <c r="C1017" s="18"/>
      <c r="E1017" s="50"/>
    </row>
    <row r="1018" spans="2:5" s="4" customFormat="1">
      <c r="B1018" s="28"/>
      <c r="C1018" s="18"/>
      <c r="E1018" s="50"/>
    </row>
    <row r="1019" spans="2:5" s="4" customFormat="1">
      <c r="B1019" s="28"/>
      <c r="C1019" s="18"/>
      <c r="E1019" s="50"/>
    </row>
    <row r="1020" spans="2:5" s="4" customFormat="1">
      <c r="B1020" s="28"/>
      <c r="C1020" s="18"/>
      <c r="E1020" s="50"/>
    </row>
    <row r="1021" spans="2:5" s="4" customFormat="1">
      <c r="B1021" s="28"/>
      <c r="C1021" s="18"/>
      <c r="E1021" s="50"/>
    </row>
    <row r="1022" spans="2:5" s="4" customFormat="1">
      <c r="B1022" s="28"/>
      <c r="C1022" s="18"/>
      <c r="E1022" s="50"/>
    </row>
    <row r="1023" spans="2:5" s="4" customFormat="1">
      <c r="B1023" s="28"/>
      <c r="C1023" s="18"/>
      <c r="E1023" s="50"/>
    </row>
    <row r="1024" spans="2:5" s="4" customFormat="1">
      <c r="B1024" s="28"/>
      <c r="C1024" s="18"/>
      <c r="E1024" s="50"/>
    </row>
    <row r="1025" spans="2:5" s="4" customFormat="1">
      <c r="B1025" s="28"/>
      <c r="C1025" s="18"/>
      <c r="E1025" s="50"/>
    </row>
    <row r="1026" spans="2:5" s="4" customFormat="1">
      <c r="B1026" s="28"/>
      <c r="C1026" s="18"/>
      <c r="E1026" s="50"/>
    </row>
    <row r="1027" spans="2:5" s="4" customFormat="1">
      <c r="B1027" s="28"/>
      <c r="C1027" s="18"/>
      <c r="E1027" s="50"/>
    </row>
    <row r="1028" spans="2:5" s="4" customFormat="1">
      <c r="B1028" s="28"/>
      <c r="C1028" s="18"/>
      <c r="E1028" s="50"/>
    </row>
    <row r="1029" spans="2:5" s="4" customFormat="1">
      <c r="B1029" s="28"/>
      <c r="C1029" s="18"/>
      <c r="E1029" s="50"/>
    </row>
    <row r="1030" spans="2:5" s="4" customFormat="1">
      <c r="B1030" s="28"/>
      <c r="C1030" s="18"/>
      <c r="E1030" s="50"/>
    </row>
    <row r="1031" spans="2:5" s="4" customFormat="1">
      <c r="B1031" s="28"/>
      <c r="C1031" s="18"/>
      <c r="E1031" s="50"/>
    </row>
    <row r="1032" spans="2:5" s="4" customFormat="1">
      <c r="B1032" s="28"/>
      <c r="C1032" s="18"/>
      <c r="E1032" s="50"/>
    </row>
    <row r="1033" spans="2:5" s="4" customFormat="1">
      <c r="B1033" s="28"/>
      <c r="C1033" s="18"/>
      <c r="E1033" s="50"/>
    </row>
    <row r="1034" spans="2:5" s="4" customFormat="1">
      <c r="B1034" s="28"/>
      <c r="C1034" s="18"/>
      <c r="E1034" s="50"/>
    </row>
    <row r="1035" spans="2:5" s="4" customFormat="1">
      <c r="B1035" s="28"/>
      <c r="C1035" s="18"/>
      <c r="E1035" s="50"/>
    </row>
    <row r="1036" spans="2:5" s="4" customFormat="1">
      <c r="B1036" s="28"/>
      <c r="C1036" s="18"/>
      <c r="E1036" s="50"/>
    </row>
    <row r="1037" spans="2:5" s="4" customFormat="1">
      <c r="B1037" s="28"/>
      <c r="C1037" s="18"/>
      <c r="E1037" s="50"/>
    </row>
    <row r="1038" spans="2:5" s="4" customFormat="1">
      <c r="B1038" s="28"/>
      <c r="C1038" s="18"/>
      <c r="E1038" s="50"/>
    </row>
    <row r="1039" spans="2:5" s="4" customFormat="1">
      <c r="B1039" s="28"/>
      <c r="C1039" s="18"/>
      <c r="E1039" s="50"/>
    </row>
    <row r="1040" spans="2:5" s="4" customFormat="1">
      <c r="B1040" s="28"/>
      <c r="C1040" s="18"/>
      <c r="E1040" s="50"/>
    </row>
    <row r="1041" spans="2:5" s="4" customFormat="1">
      <c r="B1041" s="28"/>
      <c r="C1041" s="18"/>
      <c r="E1041" s="50"/>
    </row>
    <row r="1042" spans="2:5" s="4" customFormat="1">
      <c r="B1042" s="28"/>
      <c r="C1042" s="18"/>
      <c r="E1042" s="50"/>
    </row>
    <row r="1043" spans="2:5" s="4" customFormat="1">
      <c r="B1043" s="28"/>
      <c r="C1043" s="18"/>
      <c r="E1043" s="50"/>
    </row>
    <row r="1044" spans="2:5" s="4" customFormat="1">
      <c r="B1044" s="28"/>
      <c r="C1044" s="18"/>
      <c r="E1044" s="50"/>
    </row>
    <row r="1045" spans="2:5" s="4" customFormat="1">
      <c r="B1045" s="28"/>
      <c r="C1045" s="18"/>
      <c r="E1045" s="50"/>
    </row>
    <row r="1046" spans="2:5" s="4" customFormat="1">
      <c r="B1046" s="28"/>
      <c r="C1046" s="18"/>
      <c r="E1046" s="50"/>
    </row>
    <row r="1047" spans="2:5" s="4" customFormat="1">
      <c r="B1047" s="28"/>
      <c r="C1047" s="18"/>
      <c r="E1047" s="50"/>
    </row>
    <row r="1048" spans="2:5" s="4" customFormat="1">
      <c r="B1048" s="28"/>
      <c r="C1048" s="18"/>
      <c r="E1048" s="50"/>
    </row>
    <row r="1049" spans="2:5" s="4" customFormat="1">
      <c r="B1049" s="28"/>
      <c r="C1049" s="18"/>
      <c r="E1049" s="50"/>
    </row>
    <row r="1050" spans="2:5" s="4" customFormat="1">
      <c r="B1050" s="28"/>
      <c r="C1050" s="18"/>
      <c r="E1050" s="50"/>
    </row>
    <row r="1051" spans="2:5" s="4" customFormat="1">
      <c r="B1051" s="28"/>
      <c r="C1051" s="18"/>
      <c r="E1051" s="50"/>
    </row>
    <row r="1052" spans="2:5" s="4" customFormat="1">
      <c r="B1052" s="28"/>
      <c r="C1052" s="18"/>
      <c r="E1052" s="50"/>
    </row>
    <row r="1053" spans="2:5" s="4" customFormat="1">
      <c r="B1053" s="28"/>
      <c r="C1053" s="18"/>
      <c r="E1053" s="50"/>
    </row>
    <row r="1054" spans="2:5" s="4" customFormat="1">
      <c r="B1054" s="28"/>
      <c r="C1054" s="18"/>
      <c r="E1054" s="50"/>
    </row>
    <row r="1055" spans="2:5" s="4" customFormat="1">
      <c r="B1055" s="28"/>
      <c r="C1055" s="18"/>
      <c r="E1055" s="50"/>
    </row>
    <row r="1056" spans="2:5" s="4" customFormat="1">
      <c r="B1056" s="28"/>
      <c r="C1056" s="18"/>
      <c r="E1056" s="50"/>
    </row>
    <row r="1057" spans="2:5" s="4" customFormat="1">
      <c r="B1057" s="28"/>
      <c r="C1057" s="18"/>
      <c r="E1057" s="50"/>
    </row>
    <row r="1058" spans="2:5" s="4" customFormat="1">
      <c r="B1058" s="28"/>
      <c r="C1058" s="18"/>
      <c r="E1058" s="50"/>
    </row>
    <row r="1059" spans="2:5" s="4" customFormat="1">
      <c r="B1059" s="28"/>
      <c r="C1059" s="18"/>
      <c r="E1059" s="50"/>
    </row>
    <row r="1060" spans="2:5" s="4" customFormat="1">
      <c r="B1060" s="28"/>
      <c r="C1060" s="18"/>
      <c r="E1060" s="50"/>
    </row>
    <row r="1061" spans="2:5" s="4" customFormat="1">
      <c r="B1061" s="28"/>
      <c r="C1061" s="18"/>
      <c r="E1061" s="50"/>
    </row>
    <row r="1062" spans="2:5" s="4" customFormat="1">
      <c r="B1062" s="28"/>
      <c r="C1062" s="18"/>
      <c r="E1062" s="50"/>
    </row>
    <row r="1063" spans="2:5" s="4" customFormat="1">
      <c r="B1063" s="28"/>
      <c r="C1063" s="18"/>
      <c r="E1063" s="50"/>
    </row>
    <row r="1064" spans="2:5" s="4" customFormat="1">
      <c r="B1064" s="28"/>
      <c r="C1064" s="18"/>
      <c r="E1064" s="50"/>
    </row>
    <row r="1065" spans="2:5" s="4" customFormat="1">
      <c r="B1065" s="28"/>
      <c r="C1065" s="18"/>
      <c r="E1065" s="50"/>
    </row>
    <row r="1066" spans="2:5" s="4" customFormat="1">
      <c r="B1066" s="28"/>
      <c r="C1066" s="18"/>
      <c r="E1066" s="50"/>
    </row>
    <row r="1067" spans="2:5" s="4" customFormat="1">
      <c r="B1067" s="28"/>
      <c r="C1067" s="18"/>
      <c r="E1067" s="50"/>
    </row>
    <row r="1068" spans="2:5" s="4" customFormat="1">
      <c r="B1068" s="28"/>
      <c r="C1068" s="18"/>
      <c r="E1068" s="50"/>
    </row>
    <row r="1069" spans="2:5" s="4" customFormat="1">
      <c r="B1069" s="28"/>
      <c r="C1069" s="18"/>
      <c r="E1069" s="50"/>
    </row>
    <row r="1070" spans="2:5" s="4" customFormat="1">
      <c r="B1070" s="28"/>
      <c r="C1070" s="18"/>
      <c r="E1070" s="50"/>
    </row>
    <row r="1071" spans="2:5" s="4" customFormat="1">
      <c r="B1071" s="28"/>
      <c r="C1071" s="18"/>
      <c r="E1071" s="50"/>
    </row>
    <row r="1072" spans="2:5" s="4" customFormat="1">
      <c r="B1072" s="28"/>
      <c r="C1072" s="18"/>
      <c r="E1072" s="50"/>
    </row>
    <row r="1073" spans="2:5" s="4" customFormat="1">
      <c r="B1073" s="28"/>
      <c r="C1073" s="18"/>
      <c r="E1073" s="50"/>
    </row>
    <row r="1074" spans="2:5" s="4" customFormat="1">
      <c r="B1074" s="28"/>
      <c r="C1074" s="18"/>
      <c r="E1074" s="50"/>
    </row>
    <row r="1075" spans="2:5" s="4" customFormat="1">
      <c r="B1075" s="28"/>
      <c r="C1075" s="18"/>
      <c r="E1075" s="50"/>
    </row>
    <row r="1076" spans="2:5" s="4" customFormat="1">
      <c r="B1076" s="28"/>
      <c r="C1076" s="18"/>
      <c r="E1076" s="50"/>
    </row>
    <row r="1077" spans="2:5" s="4" customFormat="1">
      <c r="B1077" s="28"/>
      <c r="C1077" s="18"/>
      <c r="E1077" s="50"/>
    </row>
    <row r="1078" spans="2:5" s="4" customFormat="1">
      <c r="B1078" s="28"/>
      <c r="C1078" s="18"/>
      <c r="E1078" s="50"/>
    </row>
    <row r="1079" spans="2:5" s="4" customFormat="1">
      <c r="B1079" s="28"/>
      <c r="C1079" s="18"/>
      <c r="E1079" s="50"/>
    </row>
    <row r="1080" spans="2:5" s="4" customFormat="1">
      <c r="B1080" s="28"/>
      <c r="C1080" s="18"/>
      <c r="E1080" s="50"/>
    </row>
    <row r="1081" spans="2:5" s="4" customFormat="1">
      <c r="B1081" s="28"/>
      <c r="C1081" s="18"/>
      <c r="E1081" s="50"/>
    </row>
    <row r="1082" spans="2:5" s="4" customFormat="1">
      <c r="B1082" s="28"/>
      <c r="C1082" s="18"/>
      <c r="E1082" s="50"/>
    </row>
    <row r="1083" spans="2:5" s="4" customFormat="1">
      <c r="B1083" s="28"/>
      <c r="C1083" s="18"/>
      <c r="E1083" s="50"/>
    </row>
    <row r="1084" spans="2:5" s="4" customFormat="1">
      <c r="B1084" s="28"/>
      <c r="C1084" s="18"/>
      <c r="E1084" s="50"/>
    </row>
    <row r="1085" spans="2:5" s="4" customFormat="1">
      <c r="B1085" s="28"/>
      <c r="C1085" s="18"/>
      <c r="E1085" s="50"/>
    </row>
    <row r="1086" spans="2:5" s="4" customFormat="1">
      <c r="B1086" s="28"/>
      <c r="C1086" s="18"/>
      <c r="E1086" s="50"/>
    </row>
    <row r="1087" spans="2:5" s="4" customFormat="1">
      <c r="B1087" s="28"/>
      <c r="C1087" s="18"/>
      <c r="E1087" s="50"/>
    </row>
    <row r="1088" spans="2:5" s="4" customFormat="1">
      <c r="B1088" s="28"/>
      <c r="C1088" s="18"/>
      <c r="E1088" s="50"/>
    </row>
    <row r="1089" spans="2:5" s="4" customFormat="1">
      <c r="B1089" s="28"/>
      <c r="C1089" s="18"/>
      <c r="E1089" s="50"/>
    </row>
    <row r="1090" spans="2:5" s="4" customFormat="1">
      <c r="B1090" s="28"/>
      <c r="C1090" s="18"/>
      <c r="E1090" s="50"/>
    </row>
    <row r="1091" spans="2:5" s="4" customFormat="1">
      <c r="B1091" s="28"/>
      <c r="C1091" s="18"/>
      <c r="E1091" s="50"/>
    </row>
    <row r="1092" spans="2:5" s="4" customFormat="1">
      <c r="B1092" s="28"/>
      <c r="C1092" s="18"/>
      <c r="E1092" s="50"/>
    </row>
    <row r="1093" spans="2:5" s="4" customFormat="1">
      <c r="B1093" s="28"/>
      <c r="C1093" s="18"/>
      <c r="E1093" s="50"/>
    </row>
    <row r="1094" spans="2:5" s="4" customFormat="1">
      <c r="B1094" s="28"/>
      <c r="C1094" s="18"/>
      <c r="E1094" s="50"/>
    </row>
    <row r="1095" spans="2:5" s="4" customFormat="1">
      <c r="B1095" s="28"/>
      <c r="C1095" s="18"/>
      <c r="E1095" s="50"/>
    </row>
    <row r="1096" spans="2:5" s="4" customFormat="1">
      <c r="B1096" s="28"/>
      <c r="C1096" s="18"/>
      <c r="E1096" s="50"/>
    </row>
    <row r="1097" spans="2:5" s="4" customFormat="1">
      <c r="B1097" s="28"/>
      <c r="C1097" s="18"/>
      <c r="E1097" s="50"/>
    </row>
    <row r="1098" spans="2:5" s="4" customFormat="1">
      <c r="B1098" s="28"/>
      <c r="C1098" s="18"/>
      <c r="E1098" s="50"/>
    </row>
    <row r="1099" spans="2:5" s="4" customFormat="1">
      <c r="B1099" s="28"/>
      <c r="C1099" s="18"/>
      <c r="E1099" s="50"/>
    </row>
    <row r="1100" spans="2:5" s="4" customFormat="1">
      <c r="B1100" s="28"/>
      <c r="C1100" s="18"/>
      <c r="E1100" s="50"/>
    </row>
    <row r="1101" spans="2:5" s="4" customFormat="1">
      <c r="B1101" s="28"/>
      <c r="C1101" s="18"/>
      <c r="E1101" s="50"/>
    </row>
    <row r="1102" spans="2:5" s="4" customFormat="1">
      <c r="B1102" s="28"/>
      <c r="C1102" s="18"/>
      <c r="E1102" s="50"/>
    </row>
    <row r="1103" spans="2:5" s="4" customFormat="1">
      <c r="B1103" s="28"/>
      <c r="C1103" s="18"/>
      <c r="E1103" s="50"/>
    </row>
    <row r="1104" spans="2:5" s="4" customFormat="1">
      <c r="B1104" s="28"/>
      <c r="C1104" s="18"/>
      <c r="E1104" s="50"/>
    </row>
    <row r="1105" spans="2:5" s="4" customFormat="1">
      <c r="B1105" s="28"/>
      <c r="C1105" s="18"/>
      <c r="E1105" s="50"/>
    </row>
    <row r="1106" spans="2:5" s="4" customFormat="1">
      <c r="B1106" s="28"/>
      <c r="C1106" s="18"/>
      <c r="E1106" s="50"/>
    </row>
    <row r="1107" spans="2:5" s="4" customFormat="1">
      <c r="B1107" s="28"/>
      <c r="C1107" s="18"/>
      <c r="E1107" s="50"/>
    </row>
    <row r="1108" spans="2:5" s="4" customFormat="1">
      <c r="B1108" s="28"/>
      <c r="C1108" s="18"/>
      <c r="E1108" s="50"/>
    </row>
    <row r="1109" spans="2:5" s="4" customFormat="1">
      <c r="B1109" s="28"/>
      <c r="C1109" s="18"/>
      <c r="E1109" s="50"/>
    </row>
    <row r="1110" spans="2:5" s="4" customFormat="1">
      <c r="B1110" s="28"/>
      <c r="C1110" s="18"/>
      <c r="E1110" s="50"/>
    </row>
    <row r="1111" spans="2:5" s="4" customFormat="1">
      <c r="B1111" s="28"/>
      <c r="C1111" s="18"/>
      <c r="E1111" s="50"/>
    </row>
    <row r="1112" spans="2:5" s="4" customFormat="1">
      <c r="B1112" s="28"/>
      <c r="C1112" s="18"/>
      <c r="E1112" s="50"/>
    </row>
    <row r="1113" spans="2:5" s="4" customFormat="1">
      <c r="B1113" s="28"/>
      <c r="C1113" s="18"/>
      <c r="E1113" s="50"/>
    </row>
    <row r="1114" spans="2:5" s="4" customFormat="1">
      <c r="B1114" s="28"/>
      <c r="C1114" s="18"/>
      <c r="E1114" s="50"/>
    </row>
    <row r="1115" spans="2:5" s="4" customFormat="1">
      <c r="B1115" s="28"/>
      <c r="C1115" s="18"/>
      <c r="E1115" s="50"/>
    </row>
    <row r="1116" spans="2:5" s="4" customFormat="1">
      <c r="B1116" s="28"/>
      <c r="C1116" s="18"/>
      <c r="E1116" s="50"/>
    </row>
    <row r="1117" spans="2:5" s="4" customFormat="1">
      <c r="B1117" s="28"/>
      <c r="C1117" s="18"/>
      <c r="E1117" s="50"/>
    </row>
    <row r="1118" spans="2:5" s="4" customFormat="1">
      <c r="B1118" s="28"/>
      <c r="C1118" s="18"/>
      <c r="E1118" s="50"/>
    </row>
    <row r="1119" spans="2:5" s="4" customFormat="1">
      <c r="B1119" s="28"/>
      <c r="C1119" s="18"/>
      <c r="E1119" s="50"/>
    </row>
    <row r="1120" spans="2:5" s="4" customFormat="1">
      <c r="B1120" s="28"/>
      <c r="C1120" s="18"/>
      <c r="E1120" s="50"/>
    </row>
    <row r="1121" spans="2:5" s="4" customFormat="1">
      <c r="B1121" s="28"/>
      <c r="C1121" s="18"/>
      <c r="E1121" s="50"/>
    </row>
    <row r="1122" spans="2:5" s="4" customFormat="1">
      <c r="B1122" s="28"/>
      <c r="C1122" s="18"/>
      <c r="E1122" s="50"/>
    </row>
    <row r="1123" spans="2:5" s="4" customFormat="1">
      <c r="B1123" s="28"/>
      <c r="C1123" s="18"/>
      <c r="E1123" s="50"/>
    </row>
    <row r="1124" spans="2:5" s="4" customFormat="1">
      <c r="B1124" s="28"/>
      <c r="C1124" s="18"/>
      <c r="E1124" s="50"/>
    </row>
    <row r="1125" spans="2:5" s="4" customFormat="1">
      <c r="B1125" s="28"/>
      <c r="C1125" s="18"/>
      <c r="E1125" s="50"/>
    </row>
    <row r="1126" spans="2:5" s="4" customFormat="1">
      <c r="B1126" s="28"/>
      <c r="C1126" s="18"/>
      <c r="E1126" s="50"/>
    </row>
    <row r="1127" spans="2:5" s="4" customFormat="1">
      <c r="B1127" s="28"/>
      <c r="C1127" s="18"/>
      <c r="E1127" s="50"/>
    </row>
    <row r="1128" spans="2:5" s="4" customFormat="1">
      <c r="B1128" s="28"/>
      <c r="C1128" s="18"/>
      <c r="E1128" s="50"/>
    </row>
    <row r="1129" spans="2:5" s="4" customFormat="1">
      <c r="B1129" s="28"/>
      <c r="C1129" s="18"/>
      <c r="E1129" s="50"/>
    </row>
    <row r="1130" spans="2:5" s="4" customFormat="1">
      <c r="B1130" s="28"/>
      <c r="C1130" s="18"/>
      <c r="E1130" s="50"/>
    </row>
    <row r="1131" spans="2:5" s="4" customFormat="1">
      <c r="B1131" s="28"/>
      <c r="C1131" s="18"/>
      <c r="E1131" s="50"/>
    </row>
    <row r="1132" spans="2:5" s="4" customFormat="1">
      <c r="B1132" s="28"/>
      <c r="C1132" s="18"/>
      <c r="E1132" s="50"/>
    </row>
    <row r="1133" spans="2:5" s="4" customFormat="1">
      <c r="B1133" s="28"/>
      <c r="C1133" s="18"/>
      <c r="E1133" s="50"/>
    </row>
    <row r="1134" spans="2:5" s="4" customFormat="1">
      <c r="B1134" s="28"/>
      <c r="C1134" s="18"/>
      <c r="E1134" s="50"/>
    </row>
    <row r="1135" spans="2:5" s="4" customFormat="1">
      <c r="B1135" s="28"/>
      <c r="C1135" s="18"/>
      <c r="E1135" s="50"/>
    </row>
    <row r="1136" spans="2:5" s="4" customFormat="1">
      <c r="B1136" s="28"/>
      <c r="C1136" s="18"/>
      <c r="E1136" s="50"/>
    </row>
    <row r="1137" spans="2:5" s="4" customFormat="1">
      <c r="B1137" s="28"/>
      <c r="C1137" s="18"/>
      <c r="E1137" s="50"/>
    </row>
    <row r="1138" spans="2:5" s="4" customFormat="1">
      <c r="B1138" s="28"/>
      <c r="C1138" s="18"/>
      <c r="E1138" s="50"/>
    </row>
    <row r="1139" spans="2:5" s="4" customFormat="1">
      <c r="B1139" s="28"/>
      <c r="C1139" s="18"/>
      <c r="E1139" s="50"/>
    </row>
    <row r="1140" spans="2:5" s="4" customFormat="1">
      <c r="B1140" s="28"/>
      <c r="C1140" s="18"/>
      <c r="E1140" s="50"/>
    </row>
    <row r="1141" spans="2:5" s="4" customFormat="1">
      <c r="B1141" s="28"/>
      <c r="C1141" s="18"/>
      <c r="E1141" s="50"/>
    </row>
    <row r="1142" spans="2:5" s="4" customFormat="1">
      <c r="B1142" s="28"/>
      <c r="C1142" s="18"/>
      <c r="E1142" s="50"/>
    </row>
    <row r="1143" spans="2:5" s="4" customFormat="1">
      <c r="B1143" s="28"/>
      <c r="C1143" s="18"/>
      <c r="E1143" s="50"/>
    </row>
    <row r="1144" spans="2:5" s="4" customFormat="1">
      <c r="B1144" s="28"/>
      <c r="C1144" s="18"/>
      <c r="E1144" s="50"/>
    </row>
    <row r="1145" spans="2:5" s="4" customFormat="1">
      <c r="B1145" s="28"/>
      <c r="C1145" s="18"/>
      <c r="E1145" s="50"/>
    </row>
    <row r="1146" spans="2:5" s="4" customFormat="1">
      <c r="B1146" s="28"/>
      <c r="C1146" s="18"/>
      <c r="E1146" s="50"/>
    </row>
    <row r="1147" spans="2:5" s="4" customFormat="1">
      <c r="B1147" s="28"/>
      <c r="C1147" s="18"/>
      <c r="E1147" s="50"/>
    </row>
    <row r="1148" spans="2:5" s="4" customFormat="1">
      <c r="B1148" s="28"/>
      <c r="C1148" s="18"/>
      <c r="E1148" s="50"/>
    </row>
    <row r="1149" spans="2:5" s="4" customFormat="1">
      <c r="B1149" s="28"/>
      <c r="C1149" s="18"/>
      <c r="E1149" s="50"/>
    </row>
    <row r="1150" spans="2:5" s="4" customFormat="1">
      <c r="B1150" s="28"/>
      <c r="C1150" s="18"/>
      <c r="E1150" s="50"/>
    </row>
    <row r="1151" spans="2:5" s="4" customFormat="1">
      <c r="B1151" s="28"/>
      <c r="C1151" s="18"/>
      <c r="E1151" s="50"/>
    </row>
    <row r="1152" spans="2:5" s="4" customFormat="1">
      <c r="B1152" s="28"/>
      <c r="C1152" s="18"/>
      <c r="E1152" s="50"/>
    </row>
    <row r="1153" spans="2:5" s="4" customFormat="1">
      <c r="B1153" s="28"/>
      <c r="C1153" s="18"/>
      <c r="E1153" s="50"/>
    </row>
    <row r="1154" spans="2:5" s="4" customFormat="1">
      <c r="B1154" s="28"/>
      <c r="C1154" s="18"/>
      <c r="E1154" s="50"/>
    </row>
    <row r="1155" spans="2:5" s="4" customFormat="1">
      <c r="B1155" s="28"/>
      <c r="C1155" s="18"/>
      <c r="E1155" s="50"/>
    </row>
    <row r="1156" spans="2:5" s="4" customFormat="1">
      <c r="B1156" s="28"/>
      <c r="C1156" s="18"/>
      <c r="E1156" s="50"/>
    </row>
    <row r="1157" spans="2:5" s="4" customFormat="1">
      <c r="B1157" s="28"/>
      <c r="C1157" s="18"/>
      <c r="E1157" s="50"/>
    </row>
    <row r="1158" spans="2:5" s="4" customFormat="1">
      <c r="B1158" s="28"/>
      <c r="C1158" s="18"/>
      <c r="E1158" s="50"/>
    </row>
    <row r="1159" spans="2:5" s="4" customFormat="1">
      <c r="B1159" s="28"/>
      <c r="C1159" s="18"/>
      <c r="E1159" s="50"/>
    </row>
    <row r="1160" spans="2:5" s="4" customFormat="1">
      <c r="B1160" s="28"/>
      <c r="C1160" s="18"/>
      <c r="E1160" s="50"/>
    </row>
    <row r="1161" spans="2:5" s="4" customFormat="1">
      <c r="B1161" s="28"/>
      <c r="C1161" s="18"/>
      <c r="E1161" s="50"/>
    </row>
    <row r="1162" spans="2:5" s="4" customFormat="1">
      <c r="B1162" s="28"/>
      <c r="C1162" s="18"/>
      <c r="E1162" s="50"/>
    </row>
    <row r="1163" spans="2:5" s="4" customFormat="1">
      <c r="B1163" s="28"/>
      <c r="C1163" s="18"/>
      <c r="E1163" s="50"/>
    </row>
    <row r="1164" spans="2:5" s="4" customFormat="1">
      <c r="B1164" s="28"/>
      <c r="C1164" s="18"/>
      <c r="E1164" s="50"/>
    </row>
    <row r="1165" spans="2:5" s="4" customFormat="1">
      <c r="B1165" s="28"/>
      <c r="C1165" s="18"/>
      <c r="E1165" s="50"/>
    </row>
    <row r="1166" spans="2:5" s="4" customFormat="1">
      <c r="B1166" s="28"/>
      <c r="C1166" s="18"/>
      <c r="E1166" s="50"/>
    </row>
    <row r="1167" spans="2:5" s="4" customFormat="1">
      <c r="B1167" s="28"/>
      <c r="C1167" s="18"/>
      <c r="E1167" s="50"/>
    </row>
    <row r="1168" spans="2:5" s="4" customFormat="1">
      <c r="B1168" s="28"/>
      <c r="C1168" s="18"/>
      <c r="E1168" s="50"/>
    </row>
    <row r="1169" spans="2:5" s="4" customFormat="1">
      <c r="B1169" s="28"/>
      <c r="C1169" s="18"/>
      <c r="E1169" s="50"/>
    </row>
    <row r="1170" spans="2:5" s="4" customFormat="1">
      <c r="B1170" s="28"/>
      <c r="C1170" s="18"/>
      <c r="E1170" s="50"/>
    </row>
    <row r="1171" spans="2:5" s="4" customFormat="1">
      <c r="B1171" s="28"/>
      <c r="C1171" s="18"/>
      <c r="E1171" s="50"/>
    </row>
    <row r="1172" spans="2:5" s="4" customFormat="1">
      <c r="B1172" s="28"/>
      <c r="C1172" s="18"/>
      <c r="E1172" s="50"/>
    </row>
    <row r="1173" spans="2:5" s="4" customFormat="1">
      <c r="B1173" s="28"/>
      <c r="C1173" s="18"/>
      <c r="E1173" s="50"/>
    </row>
    <row r="1174" spans="2:5" s="4" customFormat="1">
      <c r="B1174" s="28"/>
      <c r="C1174" s="18"/>
      <c r="E1174" s="50"/>
    </row>
    <row r="1175" spans="2:5" s="4" customFormat="1">
      <c r="B1175" s="28"/>
      <c r="C1175" s="18"/>
      <c r="E1175" s="50"/>
    </row>
    <row r="1176" spans="2:5" s="4" customFormat="1">
      <c r="B1176" s="28"/>
      <c r="C1176" s="18"/>
      <c r="E1176" s="50"/>
    </row>
    <row r="1177" spans="2:5" s="4" customFormat="1">
      <c r="B1177" s="28"/>
      <c r="C1177" s="18"/>
      <c r="E1177" s="50"/>
    </row>
    <row r="1178" spans="2:5" s="4" customFormat="1">
      <c r="B1178" s="28"/>
      <c r="C1178" s="18"/>
      <c r="E1178" s="50"/>
    </row>
    <row r="1179" spans="2:5" s="4" customFormat="1">
      <c r="B1179" s="28"/>
      <c r="C1179" s="18"/>
      <c r="E1179" s="50"/>
    </row>
    <row r="1180" spans="2:5" s="4" customFormat="1">
      <c r="B1180" s="28"/>
      <c r="C1180" s="18"/>
      <c r="E1180" s="50"/>
    </row>
    <row r="1181" spans="2:5" s="4" customFormat="1">
      <c r="B1181" s="28"/>
      <c r="C1181" s="18"/>
      <c r="E1181" s="50"/>
    </row>
    <row r="1182" spans="2:5" s="4" customFormat="1">
      <c r="B1182" s="28"/>
      <c r="C1182" s="18"/>
      <c r="E1182" s="50"/>
    </row>
    <row r="1183" spans="2:5" s="4" customFormat="1">
      <c r="B1183" s="28"/>
      <c r="C1183" s="18"/>
      <c r="E1183" s="50"/>
    </row>
    <row r="1184" spans="2:5" s="4" customFormat="1">
      <c r="B1184" s="28"/>
      <c r="C1184" s="18"/>
      <c r="E1184" s="50"/>
    </row>
    <row r="1185" spans="2:5" s="4" customFormat="1">
      <c r="B1185" s="28"/>
      <c r="C1185" s="18"/>
      <c r="E1185" s="50"/>
    </row>
    <row r="1186" spans="2:5" s="4" customFormat="1">
      <c r="B1186" s="28"/>
      <c r="C1186" s="18"/>
      <c r="E1186" s="50"/>
    </row>
    <row r="1187" spans="2:5" s="4" customFormat="1">
      <c r="B1187" s="28"/>
      <c r="C1187" s="18"/>
      <c r="E1187" s="50"/>
    </row>
    <row r="1188" spans="2:5" s="4" customFormat="1">
      <c r="B1188" s="28"/>
      <c r="C1188" s="18"/>
      <c r="E1188" s="50"/>
    </row>
    <row r="1189" spans="2:5" s="4" customFormat="1">
      <c r="B1189" s="28"/>
      <c r="C1189" s="18"/>
      <c r="E1189" s="50"/>
    </row>
    <row r="1190" spans="2:5" s="4" customFormat="1">
      <c r="B1190" s="28"/>
      <c r="C1190" s="18"/>
      <c r="E1190" s="50"/>
    </row>
    <row r="1191" spans="2:5" s="4" customFormat="1">
      <c r="B1191" s="28"/>
      <c r="C1191" s="18"/>
      <c r="E1191" s="50"/>
    </row>
    <row r="1192" spans="2:5" s="4" customFormat="1">
      <c r="B1192" s="28"/>
      <c r="C1192" s="18"/>
      <c r="E1192" s="50"/>
    </row>
    <row r="1193" spans="2:5" s="4" customFormat="1">
      <c r="B1193" s="28"/>
      <c r="C1193" s="18"/>
      <c r="E1193" s="50"/>
    </row>
    <row r="1194" spans="2:5" s="4" customFormat="1">
      <c r="B1194" s="28"/>
      <c r="C1194" s="18"/>
      <c r="E1194" s="50"/>
    </row>
    <row r="1195" spans="2:5" s="4" customFormat="1">
      <c r="B1195" s="28"/>
      <c r="C1195" s="18"/>
      <c r="E1195" s="50"/>
    </row>
    <row r="1196" spans="2:5" s="4" customFormat="1">
      <c r="B1196" s="28"/>
      <c r="C1196" s="18"/>
      <c r="E1196" s="50"/>
    </row>
    <row r="1197" spans="2:5" s="4" customFormat="1">
      <c r="B1197" s="28"/>
      <c r="C1197" s="18"/>
      <c r="E1197" s="50"/>
    </row>
    <row r="1198" spans="2:5" s="4" customFormat="1">
      <c r="B1198" s="28"/>
      <c r="C1198" s="18"/>
      <c r="E1198" s="50"/>
    </row>
    <row r="1199" spans="2:5" s="4" customFormat="1">
      <c r="B1199" s="28"/>
      <c r="C1199" s="18"/>
      <c r="E1199" s="50"/>
    </row>
    <row r="1200" spans="2:5" s="4" customFormat="1">
      <c r="B1200" s="28"/>
      <c r="C1200" s="18"/>
      <c r="E1200" s="50"/>
    </row>
    <row r="1201" spans="2:5" s="4" customFormat="1">
      <c r="B1201" s="28"/>
      <c r="C1201" s="18"/>
      <c r="E1201" s="50"/>
    </row>
    <row r="1202" spans="2:5" s="4" customFormat="1">
      <c r="B1202" s="28"/>
      <c r="C1202" s="18"/>
      <c r="E1202" s="50"/>
    </row>
    <row r="1203" spans="2:5" s="4" customFormat="1">
      <c r="B1203" s="28"/>
      <c r="C1203" s="18"/>
      <c r="E1203" s="50"/>
    </row>
    <row r="1204" spans="2:5" s="4" customFormat="1">
      <c r="B1204" s="28"/>
      <c r="C1204" s="18"/>
      <c r="E1204" s="50"/>
    </row>
    <row r="1205" spans="2:5" s="4" customFormat="1">
      <c r="B1205" s="28"/>
      <c r="C1205" s="18"/>
      <c r="E1205" s="50"/>
    </row>
    <row r="1206" spans="2:5" s="4" customFormat="1">
      <c r="B1206" s="28"/>
      <c r="C1206" s="18"/>
      <c r="E1206" s="50"/>
    </row>
    <row r="1207" spans="2:5" s="4" customFormat="1">
      <c r="B1207" s="28"/>
      <c r="C1207" s="18"/>
      <c r="E1207" s="50"/>
    </row>
    <row r="1208" spans="2:5" s="4" customFormat="1">
      <c r="B1208" s="28"/>
      <c r="C1208" s="18"/>
      <c r="E1208" s="50"/>
    </row>
    <row r="1209" spans="2:5" s="4" customFormat="1">
      <c r="B1209" s="28"/>
      <c r="C1209" s="18"/>
      <c r="E1209" s="50"/>
    </row>
    <row r="1210" spans="2:5" s="4" customFormat="1">
      <c r="B1210" s="28"/>
      <c r="C1210" s="18"/>
      <c r="E1210" s="50"/>
    </row>
    <row r="1211" spans="2:5" s="4" customFormat="1">
      <c r="B1211" s="28"/>
      <c r="C1211" s="18"/>
      <c r="E1211" s="50"/>
    </row>
    <row r="1212" spans="2:5" s="4" customFormat="1">
      <c r="B1212" s="28"/>
      <c r="C1212" s="18"/>
      <c r="E1212" s="50"/>
    </row>
    <row r="1213" spans="2:5" s="4" customFormat="1">
      <c r="B1213" s="28"/>
      <c r="C1213" s="18"/>
      <c r="E1213" s="50"/>
    </row>
    <row r="1214" spans="2:5" s="4" customFormat="1">
      <c r="B1214" s="28"/>
      <c r="C1214" s="18"/>
      <c r="E1214" s="50"/>
    </row>
    <row r="1215" spans="2:5" s="4" customFormat="1">
      <c r="B1215" s="28"/>
      <c r="C1215" s="18"/>
      <c r="E1215" s="50"/>
    </row>
    <row r="1216" spans="2:5" s="4" customFormat="1">
      <c r="B1216" s="28"/>
      <c r="C1216" s="18"/>
      <c r="E1216" s="50"/>
    </row>
    <row r="1217" spans="2:5" s="4" customFormat="1">
      <c r="B1217" s="28"/>
      <c r="C1217" s="18"/>
      <c r="E1217" s="50"/>
    </row>
    <row r="1218" spans="2:5" s="4" customFormat="1">
      <c r="B1218" s="28"/>
      <c r="C1218" s="18"/>
      <c r="E1218" s="50"/>
    </row>
    <row r="1219" spans="2:5" s="4" customFormat="1">
      <c r="B1219" s="28"/>
      <c r="C1219" s="18"/>
      <c r="E1219" s="50"/>
    </row>
    <row r="1220" spans="2:5" s="4" customFormat="1">
      <c r="B1220" s="28"/>
      <c r="C1220" s="18"/>
      <c r="E1220" s="50"/>
    </row>
    <row r="1221" spans="2:5" s="4" customFormat="1">
      <c r="B1221" s="28"/>
      <c r="C1221" s="18"/>
      <c r="E1221" s="50"/>
    </row>
    <row r="1222" spans="2:5" s="4" customFormat="1">
      <c r="B1222" s="28"/>
      <c r="C1222" s="18"/>
      <c r="E1222" s="50"/>
    </row>
    <row r="1223" spans="2:5" s="4" customFormat="1">
      <c r="B1223" s="28"/>
      <c r="C1223" s="18"/>
      <c r="E1223" s="50"/>
    </row>
    <row r="1224" spans="2:5" s="4" customFormat="1">
      <c r="B1224" s="28"/>
      <c r="C1224" s="18"/>
      <c r="E1224" s="50"/>
    </row>
    <row r="1225" spans="2:5" s="4" customFormat="1">
      <c r="B1225" s="28"/>
      <c r="C1225" s="18"/>
      <c r="E1225" s="50"/>
    </row>
    <row r="1226" spans="2:5" s="4" customFormat="1">
      <c r="B1226" s="28"/>
      <c r="C1226" s="18"/>
      <c r="E1226" s="50"/>
    </row>
    <row r="1227" spans="2:5" s="4" customFormat="1">
      <c r="B1227" s="28"/>
      <c r="C1227" s="18"/>
      <c r="E1227" s="50"/>
    </row>
    <row r="1228" spans="2:5" s="4" customFormat="1">
      <c r="B1228" s="28"/>
      <c r="C1228" s="18"/>
      <c r="E1228" s="50"/>
    </row>
    <row r="1229" spans="2:5" s="4" customFormat="1">
      <c r="B1229" s="28"/>
      <c r="C1229" s="18"/>
      <c r="E1229" s="50"/>
    </row>
    <row r="1230" spans="2:5" s="4" customFormat="1">
      <c r="B1230" s="28"/>
      <c r="C1230" s="18"/>
      <c r="E1230" s="50"/>
    </row>
    <row r="1231" spans="2:5" s="4" customFormat="1">
      <c r="B1231" s="28"/>
      <c r="C1231" s="18"/>
      <c r="E1231" s="50"/>
    </row>
    <row r="1232" spans="2:5" s="4" customFormat="1">
      <c r="B1232" s="28"/>
      <c r="C1232" s="18"/>
      <c r="E1232" s="50"/>
    </row>
    <row r="1233" spans="2:5" s="4" customFormat="1">
      <c r="B1233" s="28"/>
      <c r="C1233" s="18"/>
      <c r="E1233" s="50"/>
    </row>
    <row r="1234" spans="2:5" s="4" customFormat="1">
      <c r="B1234" s="28"/>
      <c r="C1234" s="18"/>
      <c r="E1234" s="50"/>
    </row>
    <row r="1235" spans="2:5" s="4" customFormat="1">
      <c r="B1235" s="28"/>
      <c r="C1235" s="18"/>
      <c r="E1235" s="50"/>
    </row>
    <row r="1236" spans="2:5" s="4" customFormat="1">
      <c r="B1236" s="28"/>
      <c r="C1236" s="18"/>
      <c r="E1236" s="50"/>
    </row>
    <row r="1237" spans="2:5" s="4" customFormat="1">
      <c r="B1237" s="28"/>
      <c r="C1237" s="18"/>
      <c r="E1237" s="50"/>
    </row>
    <row r="1238" spans="2:5" s="4" customFormat="1">
      <c r="B1238" s="28"/>
      <c r="C1238" s="18"/>
      <c r="E1238" s="50"/>
    </row>
    <row r="1239" spans="2:5" s="4" customFormat="1">
      <c r="B1239" s="28"/>
      <c r="C1239" s="18"/>
      <c r="E1239" s="50"/>
    </row>
    <row r="1240" spans="2:5" s="4" customFormat="1">
      <c r="B1240" s="28"/>
      <c r="C1240" s="18"/>
      <c r="E1240" s="50"/>
    </row>
    <row r="1241" spans="2:5" s="4" customFormat="1">
      <c r="B1241" s="28"/>
      <c r="C1241" s="18"/>
      <c r="E1241" s="50"/>
    </row>
    <row r="1242" spans="2:5" s="4" customFormat="1">
      <c r="B1242" s="28"/>
      <c r="C1242" s="18"/>
      <c r="E1242" s="50"/>
    </row>
    <row r="1243" spans="2:5" s="4" customFormat="1">
      <c r="B1243" s="28"/>
      <c r="C1243" s="18"/>
      <c r="E1243" s="50"/>
    </row>
    <row r="1244" spans="2:5" s="4" customFormat="1">
      <c r="B1244" s="28"/>
      <c r="C1244" s="18"/>
      <c r="E1244" s="50"/>
    </row>
    <row r="1245" spans="2:5" s="4" customFormat="1">
      <c r="B1245" s="28"/>
      <c r="C1245" s="18"/>
      <c r="E1245" s="50"/>
    </row>
    <row r="1246" spans="2:5" s="4" customFormat="1">
      <c r="B1246" s="28"/>
      <c r="C1246" s="18"/>
      <c r="E1246" s="50"/>
    </row>
    <row r="1247" spans="2:5" s="4" customFormat="1">
      <c r="B1247" s="28"/>
      <c r="C1247" s="18"/>
      <c r="E1247" s="50"/>
    </row>
    <row r="1248" spans="2:5" s="4" customFormat="1">
      <c r="B1248" s="28"/>
      <c r="C1248" s="18"/>
      <c r="E1248" s="50"/>
    </row>
    <row r="1249" spans="2:5" s="4" customFormat="1">
      <c r="B1249" s="28"/>
      <c r="C1249" s="18"/>
      <c r="E1249" s="50"/>
    </row>
    <row r="1250" spans="2:5" s="4" customFormat="1">
      <c r="B1250" s="28"/>
      <c r="C1250" s="18"/>
      <c r="E1250" s="50"/>
    </row>
    <row r="1251" spans="2:5" s="4" customFormat="1">
      <c r="B1251" s="28"/>
      <c r="C1251" s="18"/>
      <c r="E1251" s="50"/>
    </row>
    <row r="1252" spans="2:5" s="4" customFormat="1">
      <c r="B1252" s="28"/>
      <c r="C1252" s="18"/>
      <c r="E1252" s="50"/>
    </row>
    <row r="1253" spans="2:5" s="4" customFormat="1">
      <c r="B1253" s="28"/>
      <c r="C1253" s="18"/>
      <c r="E1253" s="50"/>
    </row>
    <row r="1254" spans="2:5" s="4" customFormat="1">
      <c r="B1254" s="28"/>
      <c r="C1254" s="18"/>
      <c r="E1254" s="50"/>
    </row>
    <row r="1255" spans="2:5" s="4" customFormat="1">
      <c r="B1255" s="28"/>
      <c r="C1255" s="18"/>
      <c r="E1255" s="50"/>
    </row>
    <row r="1256" spans="2:5" s="4" customFormat="1">
      <c r="B1256" s="28"/>
      <c r="C1256" s="18"/>
      <c r="E1256" s="50"/>
    </row>
    <row r="1257" spans="2:5" s="4" customFormat="1">
      <c r="B1257" s="28"/>
      <c r="C1257" s="18"/>
      <c r="E1257" s="50"/>
    </row>
    <row r="1258" spans="2:5" s="4" customFormat="1">
      <c r="B1258" s="28"/>
      <c r="C1258" s="18"/>
      <c r="E1258" s="50"/>
    </row>
    <row r="1259" spans="2:5" s="4" customFormat="1">
      <c r="B1259" s="28"/>
      <c r="C1259" s="18"/>
      <c r="E1259" s="50"/>
    </row>
    <row r="1260" spans="2:5" s="4" customFormat="1">
      <c r="B1260" s="28"/>
      <c r="C1260" s="18"/>
      <c r="E1260" s="50"/>
    </row>
    <row r="1261" spans="2:5" s="4" customFormat="1">
      <c r="B1261" s="28"/>
      <c r="C1261" s="18"/>
      <c r="E1261" s="50"/>
    </row>
    <row r="1262" spans="2:5" s="4" customFormat="1">
      <c r="B1262" s="28"/>
      <c r="C1262" s="18"/>
      <c r="E1262" s="50"/>
    </row>
    <row r="1263" spans="2:5" s="4" customFormat="1">
      <c r="B1263" s="28"/>
      <c r="C1263" s="18"/>
      <c r="E1263" s="50"/>
    </row>
    <row r="1264" spans="2:5" s="4" customFormat="1">
      <c r="B1264" s="28"/>
      <c r="C1264" s="18"/>
      <c r="E1264" s="50"/>
    </row>
    <row r="1265" spans="2:5" s="4" customFormat="1">
      <c r="B1265" s="28"/>
      <c r="C1265" s="18"/>
      <c r="E1265" s="50"/>
    </row>
    <row r="1266" spans="2:5" s="4" customFormat="1">
      <c r="B1266" s="28"/>
      <c r="C1266" s="18"/>
      <c r="E1266" s="50"/>
    </row>
    <row r="1267" spans="2:5" s="4" customFormat="1">
      <c r="B1267" s="28"/>
      <c r="C1267" s="18"/>
      <c r="E1267" s="50"/>
    </row>
    <row r="1268" spans="2:5" s="4" customFormat="1">
      <c r="B1268" s="28"/>
      <c r="C1268" s="18"/>
      <c r="E1268" s="50"/>
    </row>
    <row r="1269" spans="2:5" s="4" customFormat="1">
      <c r="B1269" s="28"/>
      <c r="C1269" s="18"/>
      <c r="E1269" s="50"/>
    </row>
    <row r="1270" spans="2:5" s="4" customFormat="1">
      <c r="B1270" s="28"/>
      <c r="C1270" s="18"/>
      <c r="E1270" s="50"/>
    </row>
    <row r="1271" spans="2:5" s="4" customFormat="1">
      <c r="B1271" s="28"/>
      <c r="C1271" s="18"/>
      <c r="E1271" s="50"/>
    </row>
    <row r="1272" spans="2:5" s="4" customFormat="1">
      <c r="B1272" s="28"/>
      <c r="C1272" s="18"/>
      <c r="E1272" s="50"/>
    </row>
    <row r="1273" spans="2:5" s="4" customFormat="1">
      <c r="B1273" s="28"/>
      <c r="C1273" s="18"/>
      <c r="E1273" s="50"/>
    </row>
    <row r="1274" spans="2:5" s="4" customFormat="1">
      <c r="B1274" s="28"/>
      <c r="C1274" s="18"/>
      <c r="E1274" s="50"/>
    </row>
    <row r="1275" spans="2:5" s="4" customFormat="1">
      <c r="B1275" s="28"/>
      <c r="C1275" s="18"/>
      <c r="E1275" s="50"/>
    </row>
    <row r="1276" spans="2:5" s="4" customFormat="1">
      <c r="B1276" s="28"/>
      <c r="C1276" s="18"/>
      <c r="E1276" s="50"/>
    </row>
    <row r="1277" spans="2:5" s="4" customFormat="1">
      <c r="B1277" s="28"/>
      <c r="C1277" s="18"/>
      <c r="E1277" s="50"/>
    </row>
    <row r="1278" spans="2:5" s="4" customFormat="1">
      <c r="B1278" s="28"/>
      <c r="C1278" s="18"/>
      <c r="E1278" s="50"/>
    </row>
    <row r="1279" spans="2:5" s="4" customFormat="1">
      <c r="B1279" s="28"/>
      <c r="C1279" s="18"/>
      <c r="E1279" s="50"/>
    </row>
    <row r="1280" spans="2:5" s="4" customFormat="1">
      <c r="B1280" s="28"/>
      <c r="C1280" s="18"/>
      <c r="E1280" s="50"/>
    </row>
    <row r="1281" spans="2:5" s="4" customFormat="1">
      <c r="B1281" s="28"/>
      <c r="C1281" s="18"/>
      <c r="E1281" s="50"/>
    </row>
    <row r="1282" spans="2:5" s="4" customFormat="1">
      <c r="B1282" s="28"/>
      <c r="C1282" s="18"/>
      <c r="E1282" s="50"/>
    </row>
    <row r="1283" spans="2:5" s="4" customFormat="1">
      <c r="B1283" s="28"/>
      <c r="C1283" s="18"/>
      <c r="E1283" s="50"/>
    </row>
    <row r="1284" spans="2:5" s="4" customFormat="1">
      <c r="B1284" s="28"/>
      <c r="C1284" s="18"/>
      <c r="E1284" s="50"/>
    </row>
    <row r="1285" spans="2:5" s="4" customFormat="1">
      <c r="B1285" s="28"/>
      <c r="C1285" s="18"/>
      <c r="E1285" s="50"/>
    </row>
    <row r="1286" spans="2:5" s="4" customFormat="1">
      <c r="B1286" s="28"/>
      <c r="C1286" s="18"/>
      <c r="E1286" s="50"/>
    </row>
    <row r="1287" spans="2:5" s="4" customFormat="1">
      <c r="B1287" s="28"/>
      <c r="C1287" s="18"/>
      <c r="E1287" s="50"/>
    </row>
    <row r="1288" spans="2:5" s="4" customFormat="1">
      <c r="B1288" s="28"/>
      <c r="C1288" s="18"/>
      <c r="E1288" s="50"/>
    </row>
    <row r="1289" spans="2:5" s="4" customFormat="1">
      <c r="B1289" s="28"/>
      <c r="C1289" s="18"/>
      <c r="E1289" s="50"/>
    </row>
    <row r="1290" spans="2:5" s="4" customFormat="1">
      <c r="B1290" s="28"/>
      <c r="C1290" s="18"/>
      <c r="E1290" s="50"/>
    </row>
    <row r="1291" spans="2:5" s="4" customFormat="1">
      <c r="B1291" s="28"/>
      <c r="C1291" s="18"/>
      <c r="E1291" s="50"/>
    </row>
    <row r="1292" spans="2:5" s="4" customFormat="1">
      <c r="B1292" s="28"/>
      <c r="C1292" s="18"/>
      <c r="E1292" s="50"/>
    </row>
    <row r="1293" spans="2:5" s="4" customFormat="1">
      <c r="B1293" s="28"/>
      <c r="C1293" s="18"/>
      <c r="E1293" s="50"/>
    </row>
    <row r="1294" spans="2:5" s="4" customFormat="1">
      <c r="B1294" s="28"/>
      <c r="C1294" s="18"/>
      <c r="E1294" s="50"/>
    </row>
    <row r="1295" spans="2:5" s="4" customFormat="1">
      <c r="B1295" s="28"/>
      <c r="C1295" s="18"/>
      <c r="E1295" s="50"/>
    </row>
    <row r="1296" spans="2:5" s="4" customFormat="1">
      <c r="B1296" s="28"/>
      <c r="C1296" s="18"/>
      <c r="E1296" s="50"/>
    </row>
    <row r="1297" spans="2:5" s="4" customFormat="1">
      <c r="B1297" s="28"/>
      <c r="C1297" s="18"/>
      <c r="E1297" s="50"/>
    </row>
    <row r="1298" spans="2:5" s="4" customFormat="1">
      <c r="B1298" s="28"/>
      <c r="C1298" s="18"/>
      <c r="E1298" s="50"/>
    </row>
    <row r="1299" spans="2:5" s="4" customFormat="1">
      <c r="B1299" s="28"/>
      <c r="C1299" s="18"/>
      <c r="E1299" s="50"/>
    </row>
    <row r="1300" spans="2:5" s="4" customFormat="1">
      <c r="B1300" s="28"/>
      <c r="C1300" s="18"/>
      <c r="E1300" s="50"/>
    </row>
    <row r="1301" spans="2:5" s="4" customFormat="1">
      <c r="B1301" s="28"/>
      <c r="C1301" s="18"/>
      <c r="E1301" s="50"/>
    </row>
    <row r="1302" spans="2:5" s="4" customFormat="1">
      <c r="B1302" s="28"/>
      <c r="C1302" s="18"/>
      <c r="E1302" s="50"/>
    </row>
    <row r="1303" spans="2:5" s="4" customFormat="1">
      <c r="B1303" s="28"/>
      <c r="C1303" s="18"/>
      <c r="E1303" s="50"/>
    </row>
    <row r="1304" spans="2:5" s="4" customFormat="1">
      <c r="B1304" s="28"/>
      <c r="C1304" s="18"/>
      <c r="E1304" s="50"/>
    </row>
    <row r="1305" spans="2:5" s="4" customFormat="1">
      <c r="B1305" s="28"/>
      <c r="C1305" s="18"/>
      <c r="E1305" s="50"/>
    </row>
    <row r="1306" spans="2:5" s="4" customFormat="1">
      <c r="B1306" s="28"/>
      <c r="C1306" s="18"/>
      <c r="E1306" s="50"/>
    </row>
    <row r="1307" spans="2:5" s="4" customFormat="1">
      <c r="B1307" s="28"/>
      <c r="C1307" s="18"/>
      <c r="E1307" s="50"/>
    </row>
    <row r="1308" spans="2:5" s="4" customFormat="1">
      <c r="B1308" s="28"/>
      <c r="C1308" s="18"/>
      <c r="E1308" s="50"/>
    </row>
    <row r="1309" spans="2:5" s="4" customFormat="1">
      <c r="B1309" s="28"/>
      <c r="C1309" s="18"/>
      <c r="E1309" s="50"/>
    </row>
    <row r="1310" spans="2:5" s="4" customFormat="1">
      <c r="B1310" s="28"/>
      <c r="C1310" s="18"/>
      <c r="E1310" s="50"/>
    </row>
    <row r="1311" spans="2:5" s="4" customFormat="1">
      <c r="B1311" s="28"/>
      <c r="C1311" s="18"/>
      <c r="E1311" s="50"/>
    </row>
    <row r="1312" spans="2:5" s="4" customFormat="1">
      <c r="B1312" s="28"/>
      <c r="C1312" s="18"/>
      <c r="E1312" s="50"/>
    </row>
    <row r="1313" spans="2:5" s="4" customFormat="1">
      <c r="B1313" s="28"/>
      <c r="C1313" s="18"/>
      <c r="E1313" s="50"/>
    </row>
    <row r="1314" spans="2:5" s="4" customFormat="1">
      <c r="B1314" s="28"/>
      <c r="C1314" s="18"/>
      <c r="E1314" s="50"/>
    </row>
    <row r="1315" spans="2:5" s="4" customFormat="1">
      <c r="B1315" s="28"/>
      <c r="C1315" s="18"/>
      <c r="E1315" s="50"/>
    </row>
    <row r="1316" spans="2:5" s="4" customFormat="1">
      <c r="B1316" s="28"/>
      <c r="C1316" s="18"/>
      <c r="E1316" s="50"/>
    </row>
    <row r="1317" spans="2:5" s="4" customFormat="1">
      <c r="B1317" s="28"/>
      <c r="C1317" s="18"/>
      <c r="E1317" s="50"/>
    </row>
    <row r="1318" spans="2:5" s="4" customFormat="1">
      <c r="B1318" s="28"/>
      <c r="C1318" s="18"/>
      <c r="E1318" s="50"/>
    </row>
    <row r="1319" spans="2:5" s="4" customFormat="1">
      <c r="B1319" s="28"/>
      <c r="C1319" s="18"/>
      <c r="E1319" s="50"/>
    </row>
    <row r="1320" spans="2:5" s="4" customFormat="1">
      <c r="B1320" s="28"/>
      <c r="C1320" s="18"/>
      <c r="E1320" s="50"/>
    </row>
    <row r="1321" spans="2:5" s="4" customFormat="1">
      <c r="B1321" s="28"/>
      <c r="C1321" s="18"/>
      <c r="E1321" s="50"/>
    </row>
    <row r="1322" spans="2:5" s="4" customFormat="1">
      <c r="B1322" s="28"/>
      <c r="C1322" s="18"/>
      <c r="E1322" s="50"/>
    </row>
    <row r="1323" spans="2:5" s="4" customFormat="1">
      <c r="B1323" s="28"/>
      <c r="C1323" s="18"/>
      <c r="E1323" s="50"/>
    </row>
    <row r="1324" spans="2:5" s="4" customFormat="1">
      <c r="B1324" s="28"/>
      <c r="C1324" s="18"/>
      <c r="E1324" s="50"/>
    </row>
    <row r="1325" spans="2:5" s="4" customFormat="1">
      <c r="B1325" s="28"/>
      <c r="C1325" s="18"/>
      <c r="E1325" s="50"/>
    </row>
    <row r="1326" spans="2:5" s="4" customFormat="1">
      <c r="B1326" s="28"/>
      <c r="C1326" s="18"/>
      <c r="E1326" s="50"/>
    </row>
    <row r="1327" spans="2:5" s="4" customFormat="1">
      <c r="B1327" s="28"/>
      <c r="C1327" s="18"/>
      <c r="E1327" s="50"/>
    </row>
    <row r="1328" spans="2:5" s="4" customFormat="1">
      <c r="B1328" s="28"/>
      <c r="C1328" s="18"/>
      <c r="E1328" s="50"/>
    </row>
    <row r="1329" spans="2:5" s="4" customFormat="1">
      <c r="B1329" s="28"/>
      <c r="C1329" s="18"/>
      <c r="E1329" s="50"/>
    </row>
    <row r="1330" spans="2:5" s="4" customFormat="1">
      <c r="B1330" s="28"/>
      <c r="C1330" s="18"/>
      <c r="E1330" s="50"/>
    </row>
    <row r="1331" spans="2:5" s="4" customFormat="1">
      <c r="B1331" s="28"/>
      <c r="C1331" s="18"/>
      <c r="E1331" s="50"/>
    </row>
    <row r="1332" spans="2:5" s="4" customFormat="1">
      <c r="B1332" s="28"/>
      <c r="C1332" s="18"/>
      <c r="E1332" s="50"/>
    </row>
    <row r="1333" spans="2:5" s="4" customFormat="1">
      <c r="B1333" s="28"/>
      <c r="C1333" s="18"/>
      <c r="E1333" s="50"/>
    </row>
    <row r="1334" spans="2:5" s="4" customFormat="1">
      <c r="B1334" s="28"/>
      <c r="C1334" s="18"/>
      <c r="E1334" s="50"/>
    </row>
    <row r="1335" spans="2:5" s="4" customFormat="1">
      <c r="B1335" s="28"/>
      <c r="C1335" s="18"/>
      <c r="E1335" s="50"/>
    </row>
    <row r="1336" spans="2:5" s="4" customFormat="1">
      <c r="B1336" s="28"/>
      <c r="C1336" s="18"/>
      <c r="E1336" s="50"/>
    </row>
    <row r="1337" spans="2:5" s="4" customFormat="1">
      <c r="B1337" s="28"/>
      <c r="C1337" s="18"/>
      <c r="E1337" s="50"/>
    </row>
    <row r="1338" spans="2:5" s="4" customFormat="1">
      <c r="B1338" s="28"/>
      <c r="C1338" s="18"/>
      <c r="E1338" s="50"/>
    </row>
    <row r="1339" spans="2:5" s="4" customFormat="1">
      <c r="B1339" s="28"/>
      <c r="C1339" s="18"/>
      <c r="E1339" s="50"/>
    </row>
    <row r="1340" spans="2:5" s="4" customFormat="1">
      <c r="B1340" s="28"/>
      <c r="C1340" s="18"/>
      <c r="E1340" s="50"/>
    </row>
    <row r="1341" spans="2:5" s="4" customFormat="1">
      <c r="B1341" s="28"/>
      <c r="C1341" s="18"/>
      <c r="E1341" s="50"/>
    </row>
    <row r="1342" spans="2:5" s="4" customFormat="1">
      <c r="B1342" s="28"/>
      <c r="C1342" s="18"/>
      <c r="E1342" s="50"/>
    </row>
    <row r="1343" spans="2:5" s="4" customFormat="1">
      <c r="B1343" s="28"/>
      <c r="C1343" s="18"/>
      <c r="E1343" s="50"/>
    </row>
    <row r="1344" spans="2:5" s="4" customFormat="1">
      <c r="B1344" s="28"/>
      <c r="C1344" s="18"/>
      <c r="E1344" s="50"/>
    </row>
    <row r="1345" spans="2:5" s="4" customFormat="1">
      <c r="B1345" s="28"/>
      <c r="C1345" s="18"/>
      <c r="E1345" s="50"/>
    </row>
    <row r="1346" spans="2:5" s="4" customFormat="1">
      <c r="B1346" s="28"/>
      <c r="C1346" s="18"/>
      <c r="E1346" s="50"/>
    </row>
    <row r="1347" spans="2:5" s="4" customFormat="1">
      <c r="B1347" s="28"/>
      <c r="C1347" s="18"/>
      <c r="E1347" s="50"/>
    </row>
    <row r="1348" spans="2:5" s="4" customFormat="1">
      <c r="B1348" s="28"/>
      <c r="C1348" s="18"/>
      <c r="E1348" s="50"/>
    </row>
    <row r="1349" spans="2:5" s="4" customFormat="1">
      <c r="B1349" s="28"/>
      <c r="C1349" s="18"/>
      <c r="E1349" s="50"/>
    </row>
    <row r="1350" spans="2:5" s="4" customFormat="1">
      <c r="B1350" s="28"/>
      <c r="C1350" s="18"/>
      <c r="E1350" s="50"/>
    </row>
    <row r="1351" spans="2:5" s="4" customFormat="1">
      <c r="B1351" s="28"/>
      <c r="C1351" s="18"/>
      <c r="E1351" s="50"/>
    </row>
    <row r="1352" spans="2:5" s="4" customFormat="1">
      <c r="B1352" s="28"/>
      <c r="C1352" s="18"/>
      <c r="E1352" s="50"/>
    </row>
    <row r="1353" spans="2:5" s="4" customFormat="1">
      <c r="B1353" s="28"/>
      <c r="C1353" s="18"/>
      <c r="E1353" s="50"/>
    </row>
    <row r="1354" spans="2:5" s="4" customFormat="1">
      <c r="B1354" s="28"/>
      <c r="C1354" s="18"/>
      <c r="E1354" s="50"/>
    </row>
    <row r="1355" spans="2:5" s="4" customFormat="1">
      <c r="B1355" s="28"/>
      <c r="C1355" s="18"/>
      <c r="E1355" s="50"/>
    </row>
    <row r="1356" spans="2:5" s="4" customFormat="1">
      <c r="B1356" s="28"/>
      <c r="C1356" s="18"/>
      <c r="E1356" s="50"/>
    </row>
    <row r="1357" spans="2:5" s="4" customFormat="1">
      <c r="B1357" s="28"/>
      <c r="C1357" s="18"/>
      <c r="E1357" s="50"/>
    </row>
    <row r="1358" spans="2:5" s="4" customFormat="1">
      <c r="B1358" s="28"/>
      <c r="C1358" s="18"/>
      <c r="E1358" s="50"/>
    </row>
    <row r="1359" spans="2:5" s="4" customFormat="1">
      <c r="B1359" s="28"/>
      <c r="C1359" s="18"/>
      <c r="E1359" s="50"/>
    </row>
    <row r="1360" spans="2:5" s="4" customFormat="1">
      <c r="B1360" s="28"/>
      <c r="C1360" s="18"/>
      <c r="E1360" s="50"/>
    </row>
    <row r="1361" spans="2:5" s="4" customFormat="1">
      <c r="B1361" s="28"/>
      <c r="C1361" s="18"/>
      <c r="E1361" s="50"/>
    </row>
    <row r="1362" spans="2:5" s="4" customFormat="1">
      <c r="B1362" s="28"/>
      <c r="C1362" s="18"/>
      <c r="E1362" s="50"/>
    </row>
    <row r="1363" spans="2:5" s="4" customFormat="1">
      <c r="B1363" s="28"/>
      <c r="C1363" s="18"/>
      <c r="E1363" s="50"/>
    </row>
    <row r="1364" spans="2:5" s="4" customFormat="1">
      <c r="B1364" s="28"/>
      <c r="C1364" s="18"/>
      <c r="E1364" s="50"/>
    </row>
    <row r="1365" spans="2:5" s="4" customFormat="1">
      <c r="B1365" s="28"/>
      <c r="C1365" s="18"/>
      <c r="E1365" s="50"/>
    </row>
    <row r="1366" spans="2:5" s="4" customFormat="1">
      <c r="B1366" s="28"/>
      <c r="C1366" s="18"/>
      <c r="E1366" s="50"/>
    </row>
    <row r="1367" spans="2:5" s="4" customFormat="1">
      <c r="B1367" s="28"/>
      <c r="C1367" s="18"/>
      <c r="E1367" s="50"/>
    </row>
    <row r="1368" spans="2:5" s="4" customFormat="1">
      <c r="B1368" s="28"/>
      <c r="C1368" s="18"/>
      <c r="E1368" s="50"/>
    </row>
    <row r="1369" spans="2:5" s="4" customFormat="1">
      <c r="B1369" s="28"/>
      <c r="C1369" s="18"/>
      <c r="E1369" s="50"/>
    </row>
    <row r="1370" spans="2:5" s="4" customFormat="1">
      <c r="B1370" s="28"/>
      <c r="C1370" s="18"/>
      <c r="E1370" s="50"/>
    </row>
    <row r="1371" spans="2:5" s="4" customFormat="1">
      <c r="B1371" s="28"/>
      <c r="C1371" s="18"/>
      <c r="E1371" s="50"/>
    </row>
    <row r="1372" spans="2:5" s="4" customFormat="1">
      <c r="B1372" s="28"/>
      <c r="C1372" s="18"/>
      <c r="E1372" s="50"/>
    </row>
    <row r="1373" spans="2:5" s="4" customFormat="1">
      <c r="B1373" s="28"/>
      <c r="C1373" s="18"/>
      <c r="E1373" s="50"/>
    </row>
    <row r="1374" spans="2:5" s="4" customFormat="1">
      <c r="B1374" s="28"/>
      <c r="C1374" s="18"/>
      <c r="E1374" s="50"/>
    </row>
    <row r="1375" spans="2:5" s="4" customFormat="1">
      <c r="B1375" s="28"/>
      <c r="C1375" s="18"/>
      <c r="E1375" s="50"/>
    </row>
    <row r="1376" spans="2:5" s="4" customFormat="1">
      <c r="B1376" s="28"/>
      <c r="C1376" s="18"/>
      <c r="E1376" s="50"/>
    </row>
    <row r="1377" spans="2:5" s="4" customFormat="1">
      <c r="B1377" s="28"/>
      <c r="C1377" s="18"/>
      <c r="E1377" s="50"/>
    </row>
    <row r="1378" spans="2:5" s="4" customFormat="1">
      <c r="B1378" s="28"/>
      <c r="C1378" s="18"/>
      <c r="E1378" s="50"/>
    </row>
    <row r="1379" spans="2:5" s="4" customFormat="1">
      <c r="B1379" s="28"/>
      <c r="C1379" s="18"/>
      <c r="E1379" s="50"/>
    </row>
    <row r="1380" spans="2:5" s="4" customFormat="1">
      <c r="B1380" s="28"/>
      <c r="C1380" s="18"/>
      <c r="E1380" s="50"/>
    </row>
    <row r="1381" spans="2:5" s="4" customFormat="1">
      <c r="B1381" s="28"/>
      <c r="C1381" s="18"/>
      <c r="E1381" s="50"/>
    </row>
    <row r="1382" spans="2:5" s="4" customFormat="1">
      <c r="B1382" s="28"/>
      <c r="C1382" s="18"/>
      <c r="E1382" s="50"/>
    </row>
    <row r="1383" spans="2:5" s="4" customFormat="1">
      <c r="B1383" s="28"/>
      <c r="C1383" s="18"/>
      <c r="E1383" s="50"/>
    </row>
    <row r="1384" spans="2:5" s="4" customFormat="1">
      <c r="B1384" s="28"/>
      <c r="C1384" s="18"/>
      <c r="E1384" s="50"/>
    </row>
    <row r="1385" spans="2:5" s="4" customFormat="1">
      <c r="B1385" s="28"/>
      <c r="C1385" s="18"/>
      <c r="E1385" s="50"/>
    </row>
    <row r="1386" spans="2:5" s="4" customFormat="1">
      <c r="B1386" s="28"/>
      <c r="C1386" s="18"/>
      <c r="E1386" s="50"/>
    </row>
    <row r="1387" spans="2:5" s="4" customFormat="1">
      <c r="B1387" s="28"/>
      <c r="C1387" s="18"/>
      <c r="E1387" s="50"/>
    </row>
    <row r="1388" spans="2:5" s="4" customFormat="1">
      <c r="B1388" s="28"/>
      <c r="C1388" s="18"/>
      <c r="E1388" s="50"/>
    </row>
    <row r="1389" spans="2:5" s="4" customFormat="1">
      <c r="B1389" s="28"/>
      <c r="C1389" s="18"/>
      <c r="E1389" s="50"/>
    </row>
    <row r="1390" spans="2:5" s="4" customFormat="1">
      <c r="B1390" s="28"/>
      <c r="C1390" s="18"/>
      <c r="E1390" s="50"/>
    </row>
    <row r="1391" spans="2:5" s="4" customFormat="1">
      <c r="B1391" s="28"/>
      <c r="C1391" s="18"/>
      <c r="E1391" s="50"/>
    </row>
    <row r="1392" spans="2:5" s="4" customFormat="1">
      <c r="B1392" s="28"/>
      <c r="C1392" s="18"/>
      <c r="E1392" s="50"/>
    </row>
    <row r="1393" spans="2:5" s="4" customFormat="1">
      <c r="B1393" s="28"/>
      <c r="C1393" s="18"/>
      <c r="E1393" s="50"/>
    </row>
    <row r="1394" spans="2:5" s="4" customFormat="1">
      <c r="B1394" s="28"/>
      <c r="C1394" s="18"/>
      <c r="E1394" s="50"/>
    </row>
    <row r="1395" spans="2:5" s="4" customFormat="1">
      <c r="B1395" s="28"/>
      <c r="C1395" s="18"/>
      <c r="E1395" s="50"/>
    </row>
    <row r="1396" spans="2:5" s="4" customFormat="1">
      <c r="B1396" s="28"/>
      <c r="C1396" s="18"/>
      <c r="E1396" s="50"/>
    </row>
    <row r="1397" spans="2:5" s="4" customFormat="1">
      <c r="B1397" s="28"/>
      <c r="C1397" s="18"/>
      <c r="E1397" s="50"/>
    </row>
    <row r="1398" spans="2:5" s="4" customFormat="1">
      <c r="B1398" s="28"/>
      <c r="C1398" s="18"/>
      <c r="E1398" s="50"/>
    </row>
    <row r="1399" spans="2:5" s="4" customFormat="1">
      <c r="B1399" s="28"/>
      <c r="C1399" s="18"/>
      <c r="E1399" s="50"/>
    </row>
    <row r="1400" spans="2:5" s="4" customFormat="1">
      <c r="B1400" s="28"/>
      <c r="C1400" s="18"/>
      <c r="E1400" s="50"/>
    </row>
    <row r="1401" spans="2:5" s="4" customFormat="1">
      <c r="B1401" s="28"/>
      <c r="C1401" s="18"/>
      <c r="E1401" s="50"/>
    </row>
    <row r="1402" spans="2:5" s="4" customFormat="1">
      <c r="B1402" s="28"/>
      <c r="C1402" s="18"/>
      <c r="E1402" s="50"/>
    </row>
    <row r="1403" spans="2:5" s="4" customFormat="1">
      <c r="B1403" s="28"/>
      <c r="C1403" s="18"/>
      <c r="E1403" s="50"/>
    </row>
    <row r="1404" spans="2:5" s="4" customFormat="1">
      <c r="B1404" s="28"/>
      <c r="C1404" s="18"/>
      <c r="E1404" s="50"/>
    </row>
    <row r="1405" spans="2:5" s="4" customFormat="1">
      <c r="B1405" s="28"/>
      <c r="C1405" s="18"/>
      <c r="E1405" s="50"/>
    </row>
    <row r="1406" spans="2:5" s="4" customFormat="1">
      <c r="B1406" s="28"/>
      <c r="C1406" s="18"/>
      <c r="E1406" s="50"/>
    </row>
    <row r="1407" spans="2:5" s="4" customFormat="1">
      <c r="B1407" s="28"/>
      <c r="C1407" s="18"/>
      <c r="E1407" s="50"/>
    </row>
    <row r="1408" spans="2:5" s="4" customFormat="1">
      <c r="B1408" s="28"/>
      <c r="C1408" s="18"/>
      <c r="E1408" s="50"/>
    </row>
    <row r="1409" spans="2:5" s="4" customFormat="1">
      <c r="B1409" s="28"/>
      <c r="C1409" s="18"/>
      <c r="E1409" s="50"/>
    </row>
    <row r="1410" spans="2:5" s="4" customFormat="1">
      <c r="B1410" s="28"/>
      <c r="C1410" s="18"/>
      <c r="E1410" s="50"/>
    </row>
    <row r="1411" spans="2:5" s="4" customFormat="1">
      <c r="B1411" s="28"/>
      <c r="C1411" s="18"/>
      <c r="E1411" s="50"/>
    </row>
    <row r="1412" spans="2:5" s="4" customFormat="1">
      <c r="B1412" s="28"/>
      <c r="C1412" s="18"/>
      <c r="E1412" s="50"/>
    </row>
    <row r="1413" spans="2:5" s="4" customFormat="1">
      <c r="B1413" s="28"/>
      <c r="C1413" s="18"/>
      <c r="E1413" s="50"/>
    </row>
    <row r="1414" spans="2:5" s="4" customFormat="1">
      <c r="B1414" s="28"/>
      <c r="C1414" s="18"/>
      <c r="E1414" s="50"/>
    </row>
    <row r="1415" spans="2:5" s="4" customFormat="1">
      <c r="B1415" s="28"/>
      <c r="C1415" s="18"/>
      <c r="E1415" s="50"/>
    </row>
    <row r="1416" spans="2:5" s="4" customFormat="1">
      <c r="B1416" s="28"/>
      <c r="C1416" s="18"/>
      <c r="E1416" s="50"/>
    </row>
    <row r="1417" spans="2:5" s="4" customFormat="1">
      <c r="B1417" s="28"/>
      <c r="C1417" s="18"/>
      <c r="E1417" s="50"/>
    </row>
    <row r="1418" spans="2:5" s="4" customFormat="1">
      <c r="B1418" s="28"/>
      <c r="C1418" s="18"/>
      <c r="E1418" s="50"/>
    </row>
    <row r="1419" spans="2:5" s="4" customFormat="1">
      <c r="B1419" s="28"/>
      <c r="C1419" s="18"/>
      <c r="E1419" s="50"/>
    </row>
    <row r="1420" spans="2:5" s="4" customFormat="1">
      <c r="B1420" s="28"/>
      <c r="C1420" s="18"/>
      <c r="E1420" s="50"/>
    </row>
    <row r="1421" spans="2:5" s="4" customFormat="1">
      <c r="B1421" s="28"/>
      <c r="C1421" s="18"/>
      <c r="E1421" s="50"/>
    </row>
    <row r="1422" spans="2:5" s="4" customFormat="1">
      <c r="B1422" s="28"/>
      <c r="C1422" s="18"/>
      <c r="E1422" s="50"/>
    </row>
    <row r="1423" spans="2:5" s="4" customFormat="1">
      <c r="B1423" s="28"/>
      <c r="C1423" s="18"/>
      <c r="E1423" s="50"/>
    </row>
    <row r="1424" spans="2:5" s="4" customFormat="1">
      <c r="B1424" s="28"/>
      <c r="C1424" s="18"/>
      <c r="E1424" s="50"/>
    </row>
    <row r="1425" spans="2:5" s="4" customFormat="1">
      <c r="B1425" s="28"/>
      <c r="C1425" s="18"/>
      <c r="E1425" s="50"/>
    </row>
    <row r="1426" spans="2:5" s="4" customFormat="1">
      <c r="B1426" s="28"/>
      <c r="C1426" s="18"/>
      <c r="E1426" s="50"/>
    </row>
    <row r="1427" spans="2:5" s="4" customFormat="1">
      <c r="B1427" s="28"/>
      <c r="C1427" s="18"/>
      <c r="E1427" s="50"/>
    </row>
    <row r="1428" spans="2:5" s="4" customFormat="1">
      <c r="B1428" s="28"/>
      <c r="C1428" s="18"/>
      <c r="E1428" s="50"/>
    </row>
    <row r="1429" spans="2:5" s="4" customFormat="1">
      <c r="B1429" s="28"/>
      <c r="C1429" s="18"/>
      <c r="E1429" s="50"/>
    </row>
    <row r="1430" spans="2:5" s="4" customFormat="1">
      <c r="B1430" s="28"/>
      <c r="C1430" s="18"/>
      <c r="E1430" s="50"/>
    </row>
    <row r="1431" spans="2:5" s="4" customFormat="1">
      <c r="B1431" s="28"/>
      <c r="C1431" s="18"/>
      <c r="E1431" s="50"/>
    </row>
    <row r="1432" spans="2:5" s="4" customFormat="1">
      <c r="B1432" s="28"/>
      <c r="C1432" s="18"/>
      <c r="E1432" s="50"/>
    </row>
    <row r="1433" spans="2:5" s="4" customFormat="1">
      <c r="B1433" s="28"/>
      <c r="C1433" s="18"/>
      <c r="E1433" s="50"/>
    </row>
    <row r="1434" spans="2:5" s="4" customFormat="1">
      <c r="B1434" s="28"/>
      <c r="C1434" s="18"/>
      <c r="E1434" s="50"/>
    </row>
    <row r="1435" spans="2:5" s="4" customFormat="1">
      <c r="B1435" s="28"/>
      <c r="C1435" s="18"/>
      <c r="E1435" s="50"/>
    </row>
    <row r="1436" spans="2:5" s="4" customFormat="1">
      <c r="B1436" s="28"/>
      <c r="C1436" s="18"/>
      <c r="E1436" s="50"/>
    </row>
    <row r="1437" spans="2:5" s="4" customFormat="1">
      <c r="B1437" s="28"/>
      <c r="C1437" s="18"/>
      <c r="E1437" s="50"/>
    </row>
    <row r="1438" spans="2:5" s="4" customFormat="1">
      <c r="B1438" s="28"/>
      <c r="C1438" s="18"/>
      <c r="E1438" s="50"/>
    </row>
    <row r="1439" spans="2:5" s="4" customFormat="1">
      <c r="B1439" s="28"/>
      <c r="C1439" s="18"/>
      <c r="E1439" s="50"/>
    </row>
    <row r="1440" spans="2:5" s="4" customFormat="1">
      <c r="B1440" s="28"/>
      <c r="C1440" s="18"/>
      <c r="E1440" s="50"/>
    </row>
    <row r="1441" spans="2:5" s="4" customFormat="1">
      <c r="B1441" s="28"/>
      <c r="C1441" s="18"/>
      <c r="E1441" s="50"/>
    </row>
    <row r="1442" spans="2:5" s="4" customFormat="1">
      <c r="B1442" s="28"/>
      <c r="C1442" s="18"/>
      <c r="E1442" s="50"/>
    </row>
    <row r="1443" spans="2:5" s="4" customFormat="1">
      <c r="B1443" s="28"/>
      <c r="C1443" s="18"/>
      <c r="E1443" s="50"/>
    </row>
    <row r="1444" spans="2:5" s="4" customFormat="1">
      <c r="B1444" s="28"/>
      <c r="C1444" s="18"/>
      <c r="E1444" s="50"/>
    </row>
    <row r="1445" spans="2:5" s="4" customFormat="1">
      <c r="B1445" s="28"/>
      <c r="C1445" s="18"/>
      <c r="E1445" s="50"/>
    </row>
    <row r="1446" spans="2:5" s="4" customFormat="1">
      <c r="B1446" s="28"/>
      <c r="C1446" s="18"/>
      <c r="E1446" s="50"/>
    </row>
    <row r="1447" spans="2:5" s="4" customFormat="1">
      <c r="B1447" s="28"/>
      <c r="C1447" s="18"/>
      <c r="E1447" s="50"/>
    </row>
    <row r="1448" spans="2:5" s="4" customFormat="1">
      <c r="B1448" s="28"/>
      <c r="C1448" s="18"/>
      <c r="E1448" s="50"/>
    </row>
    <row r="1449" spans="2:5" s="4" customFormat="1">
      <c r="B1449" s="28"/>
      <c r="C1449" s="18"/>
      <c r="E1449" s="50"/>
    </row>
    <row r="1450" spans="2:5" s="4" customFormat="1">
      <c r="B1450" s="28"/>
      <c r="C1450" s="18"/>
      <c r="E1450" s="50"/>
    </row>
    <row r="1451" spans="2:5" s="4" customFormat="1">
      <c r="B1451" s="28"/>
      <c r="C1451" s="18"/>
      <c r="E1451" s="50"/>
    </row>
    <row r="1452" spans="2:5" s="4" customFormat="1">
      <c r="B1452" s="28"/>
      <c r="C1452" s="18"/>
      <c r="E1452" s="50"/>
    </row>
    <row r="1453" spans="2:5" s="4" customFormat="1">
      <c r="B1453" s="28"/>
      <c r="C1453" s="18"/>
      <c r="E1453" s="50"/>
    </row>
    <row r="1454" spans="2:5" s="4" customFormat="1">
      <c r="B1454" s="28"/>
      <c r="C1454" s="18"/>
      <c r="E1454" s="50"/>
    </row>
    <row r="1455" spans="2:5" s="4" customFormat="1">
      <c r="B1455" s="28"/>
      <c r="C1455" s="18"/>
      <c r="E1455" s="50"/>
    </row>
    <row r="1456" spans="2:5" s="4" customFormat="1">
      <c r="B1456" s="28"/>
      <c r="C1456" s="18"/>
      <c r="E1456" s="50"/>
    </row>
    <row r="1457" spans="2:5" s="4" customFormat="1">
      <c r="B1457" s="28"/>
      <c r="C1457" s="18"/>
      <c r="E1457" s="50"/>
    </row>
    <row r="1458" spans="2:5" s="4" customFormat="1">
      <c r="B1458" s="28"/>
      <c r="C1458" s="18"/>
      <c r="E1458" s="50"/>
    </row>
    <row r="1459" spans="2:5" s="4" customFormat="1">
      <c r="B1459" s="28"/>
      <c r="C1459" s="18"/>
      <c r="E1459" s="50"/>
    </row>
    <row r="1460" spans="2:5" s="4" customFormat="1">
      <c r="B1460" s="28"/>
      <c r="C1460" s="18"/>
      <c r="E1460" s="50"/>
    </row>
    <row r="1461" spans="2:5" s="4" customFormat="1">
      <c r="B1461" s="28"/>
      <c r="C1461" s="18"/>
      <c r="E1461" s="50"/>
    </row>
    <row r="1462" spans="2:5" s="4" customFormat="1">
      <c r="B1462" s="28"/>
      <c r="C1462" s="18"/>
      <c r="E1462" s="50"/>
    </row>
    <row r="1463" spans="2:5" s="4" customFormat="1">
      <c r="B1463" s="28"/>
      <c r="C1463" s="18"/>
      <c r="E1463" s="50"/>
    </row>
    <row r="1464" spans="2:5" s="4" customFormat="1">
      <c r="B1464" s="28"/>
      <c r="C1464" s="18"/>
      <c r="E1464" s="50"/>
    </row>
    <row r="1465" spans="2:5" s="4" customFormat="1">
      <c r="B1465" s="28"/>
      <c r="C1465" s="18"/>
      <c r="E1465" s="50"/>
    </row>
    <row r="1466" spans="2:5" s="4" customFormat="1">
      <c r="B1466" s="28"/>
      <c r="C1466" s="18"/>
      <c r="E1466" s="50"/>
    </row>
    <row r="1467" spans="2:5" s="4" customFormat="1">
      <c r="B1467" s="28"/>
      <c r="C1467" s="18"/>
      <c r="E1467" s="50"/>
    </row>
    <row r="1468" spans="2:5" s="4" customFormat="1">
      <c r="B1468" s="28"/>
      <c r="C1468" s="18"/>
      <c r="E1468" s="50"/>
    </row>
    <row r="1469" spans="2:5" s="4" customFormat="1">
      <c r="B1469" s="28"/>
      <c r="C1469" s="18"/>
      <c r="E1469" s="50"/>
    </row>
    <row r="1470" spans="2:5" s="4" customFormat="1">
      <c r="B1470" s="28"/>
      <c r="C1470" s="18"/>
      <c r="E1470" s="50"/>
    </row>
    <row r="1471" spans="2:5" s="4" customFormat="1">
      <c r="B1471" s="28"/>
      <c r="C1471" s="18"/>
      <c r="E1471" s="50"/>
    </row>
    <row r="1472" spans="2:5" s="4" customFormat="1">
      <c r="B1472" s="28"/>
      <c r="C1472" s="18"/>
      <c r="E1472" s="50"/>
    </row>
    <row r="1473" spans="2:5" s="4" customFormat="1">
      <c r="B1473" s="28"/>
      <c r="C1473" s="18"/>
      <c r="E1473" s="50"/>
    </row>
    <row r="1474" spans="2:5" s="4" customFormat="1">
      <c r="B1474" s="28"/>
      <c r="C1474" s="18"/>
      <c r="E1474" s="50"/>
    </row>
    <row r="1475" spans="2:5" s="4" customFormat="1">
      <c r="B1475" s="28"/>
      <c r="C1475" s="18"/>
      <c r="E1475" s="50"/>
    </row>
    <row r="1476" spans="2:5" s="4" customFormat="1">
      <c r="B1476" s="28"/>
      <c r="C1476" s="18"/>
      <c r="E1476" s="50"/>
    </row>
    <row r="1477" spans="2:5" s="4" customFormat="1">
      <c r="B1477" s="28"/>
      <c r="C1477" s="18"/>
      <c r="E1477" s="50"/>
    </row>
    <row r="1478" spans="2:5" s="4" customFormat="1">
      <c r="B1478" s="28"/>
      <c r="C1478" s="18"/>
      <c r="E1478" s="50"/>
    </row>
    <row r="1479" spans="2:5" s="4" customFormat="1">
      <c r="B1479" s="28"/>
      <c r="C1479" s="18"/>
      <c r="E1479" s="50"/>
    </row>
    <row r="1480" spans="2:5" s="4" customFormat="1">
      <c r="B1480" s="28"/>
      <c r="C1480" s="18"/>
      <c r="E1480" s="50"/>
    </row>
    <row r="1481" spans="2:5" s="4" customFormat="1">
      <c r="B1481" s="28"/>
      <c r="C1481" s="18"/>
      <c r="E1481" s="50"/>
    </row>
    <row r="1482" spans="2:5" s="4" customFormat="1">
      <c r="B1482" s="28"/>
      <c r="C1482" s="18"/>
      <c r="E1482" s="50"/>
    </row>
    <row r="1483" spans="2:5" s="4" customFormat="1">
      <c r="B1483" s="28"/>
      <c r="C1483" s="18"/>
      <c r="E1483" s="50"/>
    </row>
    <row r="1484" spans="2:5" s="4" customFormat="1">
      <c r="B1484" s="28"/>
      <c r="C1484" s="18"/>
      <c r="E1484" s="50"/>
    </row>
    <row r="1485" spans="2:5" s="4" customFormat="1">
      <c r="B1485" s="28"/>
      <c r="C1485" s="18"/>
      <c r="E1485" s="50"/>
    </row>
    <row r="1486" spans="2:5" s="4" customFormat="1">
      <c r="B1486" s="28"/>
      <c r="C1486" s="18"/>
      <c r="E1486" s="50"/>
    </row>
    <row r="1487" spans="2:5" s="4" customFormat="1">
      <c r="B1487" s="28"/>
      <c r="C1487" s="18"/>
      <c r="E1487" s="50"/>
    </row>
    <row r="1488" spans="2:5" s="4" customFormat="1">
      <c r="B1488" s="28"/>
      <c r="C1488" s="18"/>
      <c r="E1488" s="50"/>
    </row>
    <row r="1489" spans="2:5" s="4" customFormat="1">
      <c r="B1489" s="28"/>
      <c r="C1489" s="18"/>
      <c r="E1489" s="50"/>
    </row>
    <row r="1490" spans="2:5" s="4" customFormat="1">
      <c r="B1490" s="28"/>
      <c r="C1490" s="18"/>
      <c r="E1490" s="50"/>
    </row>
    <row r="1491" spans="2:5" s="4" customFormat="1">
      <c r="B1491" s="28"/>
      <c r="C1491" s="18"/>
      <c r="E1491" s="50"/>
    </row>
    <row r="1492" spans="2:5" s="4" customFormat="1">
      <c r="B1492" s="28"/>
      <c r="C1492" s="18"/>
      <c r="E1492" s="50"/>
    </row>
    <row r="1493" spans="2:5" s="4" customFormat="1">
      <c r="B1493" s="28"/>
      <c r="C1493" s="18"/>
      <c r="E1493" s="50"/>
    </row>
    <row r="1494" spans="2:5" s="4" customFormat="1">
      <c r="B1494" s="28"/>
      <c r="C1494" s="18"/>
      <c r="E1494" s="50"/>
    </row>
    <row r="1495" spans="2:5" s="4" customFormat="1">
      <c r="B1495" s="28"/>
      <c r="C1495" s="18"/>
      <c r="E1495" s="50"/>
    </row>
    <row r="1496" spans="2:5" s="4" customFormat="1">
      <c r="B1496" s="28"/>
      <c r="C1496" s="18"/>
      <c r="E1496" s="50"/>
    </row>
    <row r="1497" spans="2:5" s="4" customFormat="1">
      <c r="B1497" s="28"/>
      <c r="C1497" s="18"/>
      <c r="E1497" s="50"/>
    </row>
    <row r="1498" spans="2:5" s="4" customFormat="1">
      <c r="B1498" s="28"/>
      <c r="C1498" s="18"/>
      <c r="E1498" s="50"/>
    </row>
    <row r="1499" spans="2:5" s="4" customFormat="1">
      <c r="B1499" s="28"/>
      <c r="C1499" s="18"/>
      <c r="E1499" s="50"/>
    </row>
    <row r="1500" spans="2:5" s="4" customFormat="1">
      <c r="B1500" s="28"/>
      <c r="C1500" s="18"/>
      <c r="E1500" s="50"/>
    </row>
    <row r="1501" spans="2:5" s="4" customFormat="1">
      <c r="B1501" s="28"/>
      <c r="C1501" s="18"/>
      <c r="E1501" s="50"/>
    </row>
    <row r="1502" spans="2:5" s="4" customFormat="1">
      <c r="B1502" s="28"/>
      <c r="C1502" s="18"/>
      <c r="E1502" s="50"/>
    </row>
    <row r="1503" spans="2:5" s="4" customFormat="1">
      <c r="B1503" s="28"/>
      <c r="C1503" s="18"/>
      <c r="E1503" s="50"/>
    </row>
    <row r="1504" spans="2:5" s="4" customFormat="1">
      <c r="B1504" s="28"/>
      <c r="C1504" s="18"/>
      <c r="E1504" s="50"/>
    </row>
    <row r="1505" spans="2:5" s="4" customFormat="1">
      <c r="B1505" s="28"/>
      <c r="C1505" s="18"/>
      <c r="E1505" s="50"/>
    </row>
    <row r="1506" spans="2:5" s="4" customFormat="1">
      <c r="B1506" s="28"/>
      <c r="C1506" s="18"/>
      <c r="E1506" s="50"/>
    </row>
    <row r="1507" spans="2:5" s="4" customFormat="1">
      <c r="B1507" s="28"/>
      <c r="C1507" s="18"/>
      <c r="E1507" s="50"/>
    </row>
    <row r="1508" spans="2:5" s="4" customFormat="1">
      <c r="B1508" s="28"/>
      <c r="C1508" s="18"/>
      <c r="E1508" s="50"/>
    </row>
    <row r="1509" spans="2:5" s="4" customFormat="1">
      <c r="B1509" s="28"/>
      <c r="C1509" s="18"/>
      <c r="E1509" s="50"/>
    </row>
    <row r="1510" spans="2:5" s="4" customFormat="1">
      <c r="B1510" s="28"/>
      <c r="C1510" s="18"/>
      <c r="E1510" s="50"/>
    </row>
    <row r="1511" spans="2:5" s="4" customFormat="1">
      <c r="B1511" s="28"/>
      <c r="C1511" s="18"/>
      <c r="E1511" s="50"/>
    </row>
    <row r="1512" spans="2:5" s="4" customFormat="1">
      <c r="B1512" s="28"/>
      <c r="C1512" s="18"/>
      <c r="E1512" s="50"/>
    </row>
    <row r="1513" spans="2:5" s="4" customFormat="1">
      <c r="B1513" s="28"/>
      <c r="C1513" s="18"/>
      <c r="E1513" s="50"/>
    </row>
    <row r="1514" spans="2:5" s="4" customFormat="1">
      <c r="B1514" s="28"/>
      <c r="C1514" s="18"/>
      <c r="E1514" s="50"/>
    </row>
    <row r="1515" spans="2:5" s="4" customFormat="1">
      <c r="B1515" s="28"/>
      <c r="C1515" s="18"/>
      <c r="E1515" s="50"/>
    </row>
    <row r="1516" spans="2:5" s="4" customFormat="1">
      <c r="B1516" s="28"/>
      <c r="C1516" s="18"/>
      <c r="E1516" s="50"/>
    </row>
    <row r="1517" spans="2:5" s="4" customFormat="1">
      <c r="B1517" s="28"/>
      <c r="C1517" s="18"/>
      <c r="E1517" s="50"/>
    </row>
    <row r="1518" spans="2:5" s="4" customFormat="1">
      <c r="B1518" s="28"/>
      <c r="C1518" s="18"/>
      <c r="E1518" s="50"/>
    </row>
    <row r="1519" spans="2:5" s="4" customFormat="1">
      <c r="B1519" s="28"/>
      <c r="C1519" s="18"/>
      <c r="E1519" s="50"/>
    </row>
    <row r="1520" spans="2:5" s="4" customFormat="1">
      <c r="B1520" s="28"/>
      <c r="C1520" s="18"/>
      <c r="E1520" s="50"/>
    </row>
    <row r="1521" spans="2:5" s="4" customFormat="1">
      <c r="B1521" s="28"/>
      <c r="C1521" s="18"/>
      <c r="E1521" s="50"/>
    </row>
    <row r="1522" spans="2:5" s="4" customFormat="1">
      <c r="B1522" s="28"/>
      <c r="C1522" s="18"/>
      <c r="E1522" s="50"/>
    </row>
    <row r="1523" spans="2:5" s="4" customFormat="1">
      <c r="B1523" s="28"/>
      <c r="C1523" s="18"/>
      <c r="E1523" s="50"/>
    </row>
    <row r="1524" spans="2:5" s="4" customFormat="1">
      <c r="B1524" s="28"/>
      <c r="C1524" s="18"/>
      <c r="E1524" s="50"/>
    </row>
    <row r="1525" spans="2:5" s="4" customFormat="1">
      <c r="B1525" s="28"/>
      <c r="C1525" s="18"/>
      <c r="E1525" s="50"/>
    </row>
    <row r="1526" spans="2:5" s="4" customFormat="1">
      <c r="B1526" s="28"/>
      <c r="C1526" s="18"/>
      <c r="E1526" s="50"/>
    </row>
    <row r="1527" spans="2:5" s="4" customFormat="1">
      <c r="B1527" s="28"/>
      <c r="C1527" s="18"/>
      <c r="E1527" s="50"/>
    </row>
    <row r="1528" spans="2:5" s="4" customFormat="1">
      <c r="B1528" s="28"/>
      <c r="C1528" s="18"/>
      <c r="E1528" s="50"/>
    </row>
    <row r="1529" spans="2:5" s="4" customFormat="1">
      <c r="B1529" s="28"/>
      <c r="C1529" s="18"/>
      <c r="E1529" s="50"/>
    </row>
    <row r="1530" spans="2:5" s="4" customFormat="1">
      <c r="B1530" s="28"/>
      <c r="C1530" s="18"/>
      <c r="E1530" s="50"/>
    </row>
    <row r="1531" spans="2:5" s="4" customFormat="1">
      <c r="B1531" s="28"/>
      <c r="C1531" s="18"/>
      <c r="E1531" s="50"/>
    </row>
    <row r="1532" spans="2:5" s="4" customFormat="1">
      <c r="B1532" s="28"/>
      <c r="C1532" s="18"/>
      <c r="E1532" s="50"/>
    </row>
    <row r="1533" spans="2:5" s="4" customFormat="1">
      <c r="B1533" s="28"/>
      <c r="C1533" s="18"/>
      <c r="E1533" s="50"/>
    </row>
    <row r="1534" spans="2:5" s="4" customFormat="1">
      <c r="B1534" s="28"/>
      <c r="C1534" s="18"/>
      <c r="E1534" s="50"/>
    </row>
    <row r="1535" spans="2:5" s="4" customFormat="1">
      <c r="B1535" s="28"/>
      <c r="C1535" s="18"/>
      <c r="E1535" s="50"/>
    </row>
    <row r="1536" spans="2:5" s="4" customFormat="1">
      <c r="B1536" s="28"/>
      <c r="C1536" s="18"/>
      <c r="E1536" s="50"/>
    </row>
    <row r="1537" spans="2:5" s="4" customFormat="1">
      <c r="B1537" s="28"/>
      <c r="C1537" s="18"/>
      <c r="E1537" s="50"/>
    </row>
    <row r="1538" spans="2:5" s="4" customFormat="1">
      <c r="B1538" s="28"/>
      <c r="C1538" s="18"/>
      <c r="E1538" s="50"/>
    </row>
    <row r="1539" spans="2:5" s="4" customFormat="1">
      <c r="B1539" s="28"/>
      <c r="C1539" s="18"/>
      <c r="E1539" s="50"/>
    </row>
    <row r="1540" spans="2:5" s="4" customFormat="1">
      <c r="B1540" s="28"/>
      <c r="C1540" s="18"/>
      <c r="E1540" s="50"/>
    </row>
    <row r="1541" spans="2:5" s="4" customFormat="1">
      <c r="B1541" s="28"/>
      <c r="C1541" s="18"/>
      <c r="E1541" s="50"/>
    </row>
    <row r="1542" spans="2:5" s="4" customFormat="1">
      <c r="B1542" s="28"/>
      <c r="C1542" s="18"/>
      <c r="E1542" s="50"/>
    </row>
    <row r="1543" spans="2:5" s="4" customFormat="1">
      <c r="B1543" s="28"/>
      <c r="C1543" s="18"/>
      <c r="E1543" s="50"/>
    </row>
    <row r="1544" spans="2:5" s="4" customFormat="1">
      <c r="B1544" s="28"/>
      <c r="C1544" s="18"/>
      <c r="E1544" s="50"/>
    </row>
    <row r="1545" spans="2:5" s="4" customFormat="1">
      <c r="B1545" s="28"/>
      <c r="C1545" s="18"/>
      <c r="E1545" s="50"/>
    </row>
    <row r="1546" spans="2:5" s="4" customFormat="1">
      <c r="B1546" s="28"/>
      <c r="C1546" s="18"/>
      <c r="E1546" s="50"/>
    </row>
    <row r="1547" spans="2:5" s="4" customFormat="1">
      <c r="B1547" s="28"/>
      <c r="C1547" s="18"/>
      <c r="E1547" s="50"/>
    </row>
    <row r="1548" spans="2:5" s="4" customFormat="1">
      <c r="B1548" s="28"/>
      <c r="C1548" s="18"/>
      <c r="E1548" s="50"/>
    </row>
    <row r="1549" spans="2:5" s="4" customFormat="1">
      <c r="B1549" s="28"/>
      <c r="C1549" s="18"/>
      <c r="E1549" s="50"/>
    </row>
    <row r="1550" spans="2:5" s="4" customFormat="1">
      <c r="B1550" s="28"/>
      <c r="C1550" s="18"/>
      <c r="E1550" s="50"/>
    </row>
    <row r="1551" spans="2:5" s="4" customFormat="1">
      <c r="B1551" s="28"/>
      <c r="C1551" s="18"/>
      <c r="E1551" s="50"/>
    </row>
    <row r="1552" spans="2:5" s="4" customFormat="1">
      <c r="B1552" s="28"/>
      <c r="C1552" s="18"/>
      <c r="E1552" s="50"/>
    </row>
    <row r="1553" spans="2:5" s="4" customFormat="1">
      <c r="B1553" s="28"/>
      <c r="C1553" s="18"/>
      <c r="E1553" s="50"/>
    </row>
    <row r="1554" spans="2:5" s="4" customFormat="1">
      <c r="B1554" s="28"/>
      <c r="C1554" s="18"/>
      <c r="E1554" s="50"/>
    </row>
    <row r="1555" spans="2:5" s="4" customFormat="1">
      <c r="B1555" s="28"/>
      <c r="C1555" s="18"/>
      <c r="E1555" s="50"/>
    </row>
    <row r="1556" spans="2:5" s="4" customFormat="1">
      <c r="B1556" s="28"/>
      <c r="C1556" s="18"/>
      <c r="E1556" s="50"/>
    </row>
    <row r="1557" spans="2:5" s="4" customFormat="1">
      <c r="B1557" s="28"/>
      <c r="C1557" s="18"/>
      <c r="E1557" s="50"/>
    </row>
    <row r="1558" spans="2:5" s="4" customFormat="1">
      <c r="B1558" s="28"/>
      <c r="C1558" s="18"/>
      <c r="E1558" s="50"/>
    </row>
    <row r="1559" spans="2:5" s="4" customFormat="1">
      <c r="B1559" s="28"/>
      <c r="C1559" s="18"/>
      <c r="E1559" s="50"/>
    </row>
    <row r="1560" spans="2:5" s="4" customFormat="1">
      <c r="B1560" s="28"/>
      <c r="C1560" s="18"/>
      <c r="E1560" s="50"/>
    </row>
    <row r="1561" spans="2:5" s="4" customFormat="1">
      <c r="B1561" s="28"/>
      <c r="C1561" s="18"/>
      <c r="E1561" s="50"/>
    </row>
    <row r="1562" spans="2:5" s="4" customFormat="1">
      <c r="B1562" s="28"/>
      <c r="C1562" s="18"/>
      <c r="E1562" s="50"/>
    </row>
    <row r="1563" spans="2:5" s="4" customFormat="1">
      <c r="B1563" s="28"/>
      <c r="C1563" s="18"/>
      <c r="E1563" s="50"/>
    </row>
    <row r="1564" spans="2:5" s="4" customFormat="1">
      <c r="B1564" s="28"/>
      <c r="C1564" s="18"/>
      <c r="E1564" s="50"/>
    </row>
    <row r="1565" spans="2:5" s="4" customFormat="1">
      <c r="B1565" s="28"/>
      <c r="C1565" s="18"/>
      <c r="E1565" s="50"/>
    </row>
    <row r="1566" spans="2:5" s="4" customFormat="1">
      <c r="B1566" s="28"/>
      <c r="C1566" s="18"/>
      <c r="E1566" s="50"/>
    </row>
    <row r="1567" spans="2:5" s="4" customFormat="1">
      <c r="B1567" s="28"/>
      <c r="C1567" s="18"/>
      <c r="E1567" s="50"/>
    </row>
    <row r="1568" spans="2:5" s="4" customFormat="1">
      <c r="B1568" s="28"/>
      <c r="C1568" s="18"/>
      <c r="E1568" s="50"/>
    </row>
    <row r="1569" spans="2:5" s="4" customFormat="1">
      <c r="B1569" s="28"/>
      <c r="C1569" s="18"/>
      <c r="E1569" s="50"/>
    </row>
    <row r="1570" spans="2:5" s="4" customFormat="1">
      <c r="B1570" s="28"/>
      <c r="C1570" s="18"/>
      <c r="E1570" s="50"/>
    </row>
    <row r="1571" spans="2:5" s="4" customFormat="1">
      <c r="B1571" s="28"/>
      <c r="C1571" s="18"/>
      <c r="E1571" s="50"/>
    </row>
    <row r="1572" spans="2:5" s="4" customFormat="1">
      <c r="B1572" s="28"/>
      <c r="C1572" s="18"/>
      <c r="E1572" s="50"/>
    </row>
    <row r="1573" spans="2:5" s="4" customFormat="1">
      <c r="B1573" s="28"/>
      <c r="C1573" s="18"/>
      <c r="E1573" s="50"/>
    </row>
    <row r="1574" spans="2:5" s="4" customFormat="1">
      <c r="B1574" s="28"/>
      <c r="C1574" s="18"/>
      <c r="E1574" s="50"/>
    </row>
    <row r="1575" spans="2:5" s="4" customFormat="1">
      <c r="B1575" s="28"/>
      <c r="C1575" s="18"/>
      <c r="E1575" s="50"/>
    </row>
    <row r="1576" spans="2:5" s="4" customFormat="1">
      <c r="B1576" s="28"/>
      <c r="C1576" s="18"/>
      <c r="E1576" s="50"/>
    </row>
    <row r="1577" spans="2:5" s="4" customFormat="1">
      <c r="B1577" s="28"/>
      <c r="C1577" s="18"/>
      <c r="E1577" s="50"/>
    </row>
    <row r="1578" spans="2:5" s="4" customFormat="1">
      <c r="B1578" s="28"/>
      <c r="C1578" s="18"/>
      <c r="E1578" s="50"/>
    </row>
    <row r="1579" spans="2:5" s="4" customFormat="1">
      <c r="B1579" s="28"/>
      <c r="C1579" s="18"/>
      <c r="E1579" s="50"/>
    </row>
    <row r="1580" spans="2:5" s="4" customFormat="1">
      <c r="B1580" s="28"/>
      <c r="C1580" s="18"/>
      <c r="E1580" s="50"/>
    </row>
    <row r="1581" spans="2:5" s="4" customFormat="1">
      <c r="B1581" s="28"/>
      <c r="C1581" s="18"/>
      <c r="E1581" s="50"/>
    </row>
    <row r="1582" spans="2:5" s="4" customFormat="1">
      <c r="B1582" s="28"/>
      <c r="C1582" s="18"/>
      <c r="E1582" s="50"/>
    </row>
    <row r="1583" spans="2:5" s="4" customFormat="1">
      <c r="B1583" s="28"/>
      <c r="C1583" s="18"/>
      <c r="E1583" s="50"/>
    </row>
    <row r="1584" spans="2:5" s="4" customFormat="1">
      <c r="B1584" s="28"/>
      <c r="C1584" s="18"/>
      <c r="E1584" s="50"/>
    </row>
    <row r="1585" spans="2:5" s="4" customFormat="1">
      <c r="B1585" s="28"/>
      <c r="C1585" s="18"/>
      <c r="E1585" s="50"/>
    </row>
    <row r="1586" spans="2:5" s="4" customFormat="1">
      <c r="B1586" s="28"/>
      <c r="C1586" s="18"/>
      <c r="E1586" s="50"/>
    </row>
    <row r="1587" spans="2:5" s="4" customFormat="1">
      <c r="B1587" s="28"/>
      <c r="C1587" s="18"/>
      <c r="E1587" s="50"/>
    </row>
    <row r="1588" spans="2:5" s="4" customFormat="1">
      <c r="B1588" s="28"/>
      <c r="C1588" s="18"/>
      <c r="E1588" s="50"/>
    </row>
    <row r="1589" spans="2:5" s="4" customFormat="1">
      <c r="B1589" s="28"/>
      <c r="C1589" s="18"/>
      <c r="E1589" s="50"/>
    </row>
    <row r="1590" spans="2:5" s="4" customFormat="1">
      <c r="B1590" s="28"/>
      <c r="C1590" s="18"/>
      <c r="E1590" s="50"/>
    </row>
    <row r="1591" spans="2:5" s="4" customFormat="1">
      <c r="B1591" s="28"/>
      <c r="C1591" s="18"/>
      <c r="E1591" s="50"/>
    </row>
    <row r="1592" spans="2:5" s="4" customFormat="1">
      <c r="B1592" s="28"/>
      <c r="C1592" s="18"/>
      <c r="E1592" s="50"/>
    </row>
    <row r="1593" spans="2:5" s="4" customFormat="1">
      <c r="B1593" s="28"/>
      <c r="C1593" s="18"/>
      <c r="E1593" s="50"/>
    </row>
    <row r="1594" spans="2:5" s="4" customFormat="1">
      <c r="B1594" s="28"/>
      <c r="C1594" s="18"/>
      <c r="E1594" s="50"/>
    </row>
    <row r="1595" spans="2:5" s="4" customFormat="1">
      <c r="B1595" s="28"/>
      <c r="C1595" s="18"/>
      <c r="E1595" s="50"/>
    </row>
    <row r="1596" spans="2:5" s="4" customFormat="1">
      <c r="B1596" s="28"/>
      <c r="C1596" s="18"/>
      <c r="E1596" s="50"/>
    </row>
    <row r="1597" spans="2:5" s="4" customFormat="1">
      <c r="B1597" s="28"/>
      <c r="C1597" s="18"/>
      <c r="E1597" s="50"/>
    </row>
    <row r="1598" spans="2:5" s="4" customFormat="1">
      <c r="B1598" s="28"/>
      <c r="C1598" s="18"/>
      <c r="E1598" s="50"/>
    </row>
    <row r="1599" spans="2:5" s="4" customFormat="1">
      <c r="B1599" s="28"/>
      <c r="C1599" s="18"/>
      <c r="E1599" s="50"/>
    </row>
    <row r="1600" spans="2:5" s="4" customFormat="1">
      <c r="B1600" s="28"/>
      <c r="C1600" s="18"/>
      <c r="E1600" s="50"/>
    </row>
    <row r="1601" spans="2:5" s="4" customFormat="1">
      <c r="B1601" s="28"/>
      <c r="C1601" s="18"/>
      <c r="E1601" s="50"/>
    </row>
    <row r="1602" spans="2:5" s="4" customFormat="1">
      <c r="B1602" s="28"/>
      <c r="C1602" s="18"/>
      <c r="E1602" s="50"/>
    </row>
    <row r="1603" spans="2:5" s="4" customFormat="1">
      <c r="B1603" s="28"/>
      <c r="C1603" s="18"/>
      <c r="E1603" s="50"/>
    </row>
    <row r="1604" spans="2:5" s="4" customFormat="1">
      <c r="B1604" s="28"/>
      <c r="C1604" s="18"/>
      <c r="E1604" s="50"/>
    </row>
    <row r="1605" spans="2:5" s="4" customFormat="1">
      <c r="B1605" s="28"/>
      <c r="C1605" s="18"/>
      <c r="E1605" s="50"/>
    </row>
    <row r="1606" spans="2:5" s="4" customFormat="1">
      <c r="B1606" s="28"/>
      <c r="C1606" s="18"/>
      <c r="E1606" s="50"/>
    </row>
    <row r="1607" spans="2:5" s="4" customFormat="1">
      <c r="B1607" s="28"/>
      <c r="C1607" s="18"/>
      <c r="E1607" s="50"/>
    </row>
    <row r="1608" spans="2:5" s="4" customFormat="1">
      <c r="B1608" s="28"/>
      <c r="C1608" s="18"/>
      <c r="E1608" s="50"/>
    </row>
    <row r="1609" spans="2:5" s="4" customFormat="1">
      <c r="B1609" s="28"/>
      <c r="C1609" s="18"/>
      <c r="E1609" s="50"/>
    </row>
    <row r="1610" spans="2:5" s="4" customFormat="1">
      <c r="B1610" s="28"/>
      <c r="C1610" s="18"/>
      <c r="E1610" s="50"/>
    </row>
    <row r="1611" spans="2:5" s="4" customFormat="1">
      <c r="B1611" s="28"/>
      <c r="C1611" s="18"/>
      <c r="E1611" s="50"/>
    </row>
    <row r="1612" spans="2:5" s="4" customFormat="1">
      <c r="B1612" s="28"/>
      <c r="C1612" s="18"/>
      <c r="E1612" s="50"/>
    </row>
    <row r="1613" spans="2:5" s="4" customFormat="1">
      <c r="B1613" s="28"/>
      <c r="C1613" s="18"/>
      <c r="E1613" s="50"/>
    </row>
    <row r="1614" spans="2:5" s="4" customFormat="1">
      <c r="B1614" s="28"/>
      <c r="C1614" s="18"/>
      <c r="E1614" s="50"/>
    </row>
    <row r="1615" spans="2:5" s="4" customFormat="1">
      <c r="B1615" s="28"/>
      <c r="C1615" s="18"/>
      <c r="E1615" s="50"/>
    </row>
    <row r="1616" spans="2:5" s="4" customFormat="1">
      <c r="B1616" s="28"/>
      <c r="C1616" s="18"/>
      <c r="E1616" s="50"/>
    </row>
    <row r="1617" spans="2:5" s="4" customFormat="1">
      <c r="B1617" s="28"/>
      <c r="C1617" s="18"/>
      <c r="E1617" s="50"/>
    </row>
    <row r="1618" spans="2:5" s="4" customFormat="1">
      <c r="B1618" s="28"/>
      <c r="C1618" s="18"/>
      <c r="E1618" s="50"/>
    </row>
    <row r="1619" spans="2:5" s="4" customFormat="1">
      <c r="B1619" s="28"/>
      <c r="C1619" s="18"/>
      <c r="E1619" s="50"/>
    </row>
    <row r="1620" spans="2:5" s="4" customFormat="1">
      <c r="B1620" s="28"/>
      <c r="C1620" s="18"/>
      <c r="E1620" s="50"/>
    </row>
    <row r="1621" spans="2:5" s="4" customFormat="1">
      <c r="B1621" s="28"/>
      <c r="C1621" s="18"/>
      <c r="E1621" s="50"/>
    </row>
    <row r="1622" spans="2:5" s="4" customFormat="1">
      <c r="B1622" s="28"/>
      <c r="C1622" s="18"/>
      <c r="E1622" s="50"/>
    </row>
    <row r="1623" spans="2:5" s="4" customFormat="1">
      <c r="B1623" s="28"/>
      <c r="C1623" s="18"/>
      <c r="E1623" s="50"/>
    </row>
    <row r="1624" spans="2:5" s="4" customFormat="1">
      <c r="B1624" s="28"/>
      <c r="C1624" s="18"/>
      <c r="E1624" s="50"/>
    </row>
    <row r="1625" spans="2:5" s="4" customFormat="1">
      <c r="B1625" s="28"/>
      <c r="C1625" s="18"/>
      <c r="E1625" s="50"/>
    </row>
    <row r="1626" spans="2:5" s="4" customFormat="1">
      <c r="B1626" s="28"/>
      <c r="C1626" s="18"/>
      <c r="E1626" s="50"/>
    </row>
    <row r="1627" spans="2:5" s="4" customFormat="1">
      <c r="B1627" s="28"/>
      <c r="C1627" s="18"/>
      <c r="E1627" s="50"/>
    </row>
    <row r="1628" spans="2:5" s="4" customFormat="1">
      <c r="B1628" s="28"/>
      <c r="C1628" s="18"/>
      <c r="E1628" s="50"/>
    </row>
    <row r="1629" spans="2:5" s="4" customFormat="1">
      <c r="B1629" s="28"/>
      <c r="C1629" s="18"/>
      <c r="E1629" s="50"/>
    </row>
    <row r="1630" spans="2:5" s="4" customFormat="1">
      <c r="B1630" s="28"/>
      <c r="C1630" s="18"/>
      <c r="E1630" s="50"/>
    </row>
    <row r="1631" spans="2:5" s="4" customFormat="1">
      <c r="B1631" s="28"/>
      <c r="C1631" s="18"/>
      <c r="E1631" s="50"/>
    </row>
    <row r="1632" spans="2:5" s="4" customFormat="1">
      <c r="B1632" s="28"/>
      <c r="C1632" s="18"/>
      <c r="E1632" s="50"/>
    </row>
    <row r="1633" spans="2:5" s="4" customFormat="1">
      <c r="B1633" s="28"/>
      <c r="C1633" s="18"/>
      <c r="E1633" s="50"/>
    </row>
    <row r="1634" spans="2:5" s="4" customFormat="1">
      <c r="B1634" s="28"/>
      <c r="C1634" s="18"/>
      <c r="E1634" s="50"/>
    </row>
    <row r="1635" spans="2:5" s="4" customFormat="1">
      <c r="B1635" s="28"/>
      <c r="C1635" s="18"/>
      <c r="E1635" s="50"/>
    </row>
    <row r="1636" spans="2:5" s="4" customFormat="1">
      <c r="B1636" s="28"/>
      <c r="C1636" s="18"/>
      <c r="E1636" s="50"/>
    </row>
    <row r="1637" spans="2:5" s="4" customFormat="1">
      <c r="B1637" s="28"/>
      <c r="C1637" s="18"/>
      <c r="E1637" s="50"/>
    </row>
    <row r="1638" spans="2:5" s="4" customFormat="1">
      <c r="B1638" s="28"/>
      <c r="C1638" s="18"/>
      <c r="E1638" s="50"/>
    </row>
    <row r="1639" spans="2:5" s="4" customFormat="1">
      <c r="B1639" s="28"/>
      <c r="C1639" s="18"/>
      <c r="E1639" s="50"/>
    </row>
    <row r="1640" spans="2:5" s="4" customFormat="1">
      <c r="B1640" s="28"/>
      <c r="C1640" s="18"/>
      <c r="E1640" s="50"/>
    </row>
    <row r="1641" spans="2:5" s="4" customFormat="1">
      <c r="B1641" s="28"/>
      <c r="C1641" s="18"/>
      <c r="E1641" s="50"/>
    </row>
    <row r="1642" spans="2:5" s="4" customFormat="1">
      <c r="B1642" s="28"/>
      <c r="C1642" s="18"/>
      <c r="E1642" s="50"/>
    </row>
    <row r="1643" spans="2:5" s="4" customFormat="1">
      <c r="B1643" s="28"/>
      <c r="C1643" s="18"/>
      <c r="E1643" s="50"/>
    </row>
    <row r="1644" spans="2:5" s="4" customFormat="1">
      <c r="B1644" s="28"/>
      <c r="C1644" s="18"/>
      <c r="E1644" s="50"/>
    </row>
    <row r="1645" spans="2:5" s="4" customFormat="1">
      <c r="B1645" s="28"/>
      <c r="C1645" s="18"/>
      <c r="E1645" s="50"/>
    </row>
    <row r="1646" spans="2:5" s="4" customFormat="1">
      <c r="B1646" s="28"/>
      <c r="C1646" s="18"/>
      <c r="E1646" s="50"/>
    </row>
    <row r="1647" spans="2:5" s="4" customFormat="1">
      <c r="B1647" s="28"/>
      <c r="C1647" s="18"/>
      <c r="E1647" s="50"/>
    </row>
    <row r="1648" spans="2:5" s="4" customFormat="1">
      <c r="B1648" s="28"/>
      <c r="C1648" s="18"/>
      <c r="E1648" s="50"/>
    </row>
    <row r="1649" spans="2:5" s="4" customFormat="1">
      <c r="B1649" s="28"/>
      <c r="C1649" s="18"/>
      <c r="E1649" s="50"/>
    </row>
    <row r="1650" spans="2:5" s="4" customFormat="1">
      <c r="B1650" s="28"/>
      <c r="C1650" s="18"/>
      <c r="E1650" s="50"/>
    </row>
    <row r="1651" spans="2:5" s="4" customFormat="1">
      <c r="B1651" s="28"/>
      <c r="C1651" s="18"/>
      <c r="E1651" s="50"/>
    </row>
    <row r="1652" spans="2:5" s="4" customFormat="1">
      <c r="B1652" s="28"/>
      <c r="C1652" s="18"/>
      <c r="E1652" s="50"/>
    </row>
    <row r="1653" spans="2:5" s="4" customFormat="1">
      <c r="B1653" s="28"/>
      <c r="C1653" s="18"/>
      <c r="E1653" s="50"/>
    </row>
    <row r="1654" spans="2:5" s="4" customFormat="1">
      <c r="B1654" s="28"/>
      <c r="C1654" s="18"/>
      <c r="E1654" s="50"/>
    </row>
    <row r="1655" spans="2:5" s="4" customFormat="1">
      <c r="B1655" s="28"/>
      <c r="C1655" s="18"/>
      <c r="E1655" s="50"/>
    </row>
    <row r="1656" spans="2:5" s="4" customFormat="1">
      <c r="B1656" s="28"/>
      <c r="C1656" s="18"/>
      <c r="E1656" s="50"/>
    </row>
    <row r="1657" spans="2:5" s="4" customFormat="1">
      <c r="B1657" s="28"/>
      <c r="C1657" s="18"/>
      <c r="E1657" s="50"/>
    </row>
    <row r="1658" spans="2:5" s="4" customFormat="1">
      <c r="B1658" s="28"/>
      <c r="C1658" s="18"/>
      <c r="E1658" s="50"/>
    </row>
    <row r="1659" spans="2:5" s="4" customFormat="1">
      <c r="B1659" s="28"/>
      <c r="C1659" s="18"/>
      <c r="E1659" s="50"/>
    </row>
    <row r="1660" spans="2:5" s="4" customFormat="1">
      <c r="B1660" s="28"/>
      <c r="C1660" s="18"/>
      <c r="E1660" s="50"/>
    </row>
    <row r="1661" spans="2:5" s="4" customFormat="1">
      <c r="B1661" s="28"/>
      <c r="C1661" s="18"/>
      <c r="E1661" s="50"/>
    </row>
    <row r="1662" spans="2:5" s="4" customFormat="1">
      <c r="B1662" s="28"/>
      <c r="C1662" s="18"/>
      <c r="E1662" s="50"/>
    </row>
    <row r="1663" spans="2:5" s="4" customFormat="1">
      <c r="B1663" s="28"/>
      <c r="C1663" s="18"/>
      <c r="E1663" s="50"/>
    </row>
    <row r="1664" spans="2:5" s="4" customFormat="1">
      <c r="B1664" s="28"/>
      <c r="C1664" s="18"/>
      <c r="E1664" s="50"/>
    </row>
    <row r="1665" spans="2:5" s="4" customFormat="1">
      <c r="B1665" s="28"/>
      <c r="C1665" s="18"/>
      <c r="E1665" s="50"/>
    </row>
    <row r="1666" spans="2:5" s="4" customFormat="1">
      <c r="B1666" s="28"/>
      <c r="C1666" s="18"/>
      <c r="E1666" s="50"/>
    </row>
    <row r="1667" spans="2:5" s="4" customFormat="1">
      <c r="B1667" s="28"/>
      <c r="C1667" s="18"/>
      <c r="E1667" s="50"/>
    </row>
    <row r="1668" spans="2:5" s="4" customFormat="1">
      <c r="B1668" s="28"/>
      <c r="C1668" s="18"/>
      <c r="E1668" s="50"/>
    </row>
    <row r="1669" spans="2:5" s="4" customFormat="1">
      <c r="B1669" s="28"/>
      <c r="C1669" s="18"/>
      <c r="E1669" s="50"/>
    </row>
    <row r="1670" spans="2:5" s="4" customFormat="1">
      <c r="B1670" s="28"/>
      <c r="C1670" s="18"/>
      <c r="E1670" s="50"/>
    </row>
    <row r="1671" spans="2:5" s="4" customFormat="1">
      <c r="B1671" s="28"/>
      <c r="C1671" s="18"/>
      <c r="E1671" s="50"/>
    </row>
    <row r="1672" spans="2:5" s="4" customFormat="1">
      <c r="B1672" s="28"/>
      <c r="C1672" s="18"/>
      <c r="E1672" s="50"/>
    </row>
    <row r="1673" spans="2:5" s="4" customFormat="1">
      <c r="B1673" s="28"/>
      <c r="C1673" s="18"/>
      <c r="E1673" s="50"/>
    </row>
    <row r="1674" spans="2:5" s="4" customFormat="1">
      <c r="B1674" s="28"/>
      <c r="C1674" s="18"/>
      <c r="E1674" s="50"/>
    </row>
    <row r="1675" spans="2:5" s="4" customFormat="1">
      <c r="B1675" s="28"/>
      <c r="C1675" s="18"/>
      <c r="E1675" s="50"/>
    </row>
    <row r="1676" spans="2:5" s="4" customFormat="1">
      <c r="B1676" s="28"/>
      <c r="C1676" s="18"/>
      <c r="E1676" s="50"/>
    </row>
    <row r="1677" spans="2:5" s="4" customFormat="1">
      <c r="B1677" s="28"/>
      <c r="C1677" s="18"/>
      <c r="E1677" s="50"/>
    </row>
    <row r="1678" spans="2:5" s="4" customFormat="1">
      <c r="B1678" s="28"/>
      <c r="C1678" s="18"/>
      <c r="E1678" s="50"/>
    </row>
    <row r="1679" spans="2:5" s="4" customFormat="1">
      <c r="B1679" s="28"/>
      <c r="C1679" s="18"/>
      <c r="E1679" s="50"/>
    </row>
    <row r="1680" spans="2:5" s="4" customFormat="1">
      <c r="B1680" s="28"/>
      <c r="C1680" s="18"/>
      <c r="E1680" s="50"/>
    </row>
    <row r="1681" spans="2:5" s="4" customFormat="1">
      <c r="B1681" s="28"/>
      <c r="C1681" s="18"/>
      <c r="E1681" s="50"/>
    </row>
    <row r="1682" spans="2:5" s="4" customFormat="1">
      <c r="B1682" s="28"/>
      <c r="C1682" s="18"/>
      <c r="E1682" s="50"/>
    </row>
    <row r="1683" spans="2:5" s="4" customFormat="1">
      <c r="B1683" s="28"/>
      <c r="C1683" s="18"/>
      <c r="E1683" s="50"/>
    </row>
    <row r="1684" spans="2:5" s="4" customFormat="1">
      <c r="B1684" s="28"/>
      <c r="C1684" s="18"/>
      <c r="E1684" s="50"/>
    </row>
    <row r="1685" spans="2:5" s="4" customFormat="1">
      <c r="B1685" s="28"/>
      <c r="C1685" s="18"/>
      <c r="E1685" s="50"/>
    </row>
    <row r="1686" spans="2:5" s="4" customFormat="1">
      <c r="B1686" s="28"/>
      <c r="C1686" s="18"/>
      <c r="E1686" s="50"/>
    </row>
    <row r="1687" spans="2:5" s="4" customFormat="1">
      <c r="B1687" s="28"/>
      <c r="C1687" s="18"/>
      <c r="E1687" s="50"/>
    </row>
    <row r="1688" spans="2:5" s="4" customFormat="1">
      <c r="B1688" s="28"/>
      <c r="C1688" s="18"/>
      <c r="E1688" s="50"/>
    </row>
    <row r="1689" spans="2:5" s="4" customFormat="1">
      <c r="B1689" s="28"/>
      <c r="C1689" s="18"/>
      <c r="E1689" s="50"/>
    </row>
    <row r="1690" spans="2:5" s="4" customFormat="1">
      <c r="B1690" s="28"/>
      <c r="C1690" s="18"/>
      <c r="E1690" s="50"/>
    </row>
    <row r="1691" spans="2:5" s="4" customFormat="1">
      <c r="B1691" s="28"/>
      <c r="C1691" s="18"/>
      <c r="E1691" s="50"/>
    </row>
    <row r="1692" spans="2:5" s="4" customFormat="1">
      <c r="B1692" s="28"/>
      <c r="C1692" s="18"/>
      <c r="E1692" s="50"/>
    </row>
    <row r="1693" spans="2:5" s="4" customFormat="1">
      <c r="B1693" s="28"/>
      <c r="C1693" s="18"/>
      <c r="E1693" s="50"/>
    </row>
    <row r="1694" spans="2:5" s="4" customFormat="1">
      <c r="B1694" s="28"/>
      <c r="C1694" s="18"/>
      <c r="E1694" s="50"/>
    </row>
    <row r="1695" spans="2:5" s="4" customFormat="1">
      <c r="B1695" s="28"/>
      <c r="C1695" s="18"/>
      <c r="E1695" s="50"/>
    </row>
    <row r="1696" spans="2:5" s="4" customFormat="1">
      <c r="B1696" s="28"/>
      <c r="C1696" s="18"/>
      <c r="E1696" s="50"/>
    </row>
    <row r="1697" spans="2:5" s="4" customFormat="1">
      <c r="B1697" s="28"/>
      <c r="C1697" s="18"/>
      <c r="E1697" s="50"/>
    </row>
    <row r="1698" spans="2:5" s="4" customFormat="1">
      <c r="B1698" s="28"/>
      <c r="C1698" s="18"/>
      <c r="E1698" s="50"/>
    </row>
    <row r="1699" spans="2:5" s="4" customFormat="1">
      <c r="B1699" s="28"/>
      <c r="C1699" s="18"/>
      <c r="E1699" s="50"/>
    </row>
    <row r="1700" spans="2:5" s="4" customFormat="1">
      <c r="B1700" s="28"/>
      <c r="C1700" s="18"/>
      <c r="E1700" s="50"/>
    </row>
    <row r="1701" spans="2:5" s="4" customFormat="1">
      <c r="B1701" s="28"/>
      <c r="C1701" s="18"/>
      <c r="E1701" s="50"/>
    </row>
    <row r="1702" spans="2:5" s="4" customFormat="1">
      <c r="B1702" s="28"/>
      <c r="C1702" s="18"/>
      <c r="E1702" s="50"/>
    </row>
    <row r="1703" spans="2:5" s="4" customFormat="1">
      <c r="B1703" s="28"/>
      <c r="C1703" s="18"/>
      <c r="E1703" s="50"/>
    </row>
    <row r="1704" spans="2:5" s="4" customFormat="1">
      <c r="B1704" s="28"/>
      <c r="C1704" s="18"/>
      <c r="E1704" s="50"/>
    </row>
    <row r="1705" spans="2:5" s="4" customFormat="1">
      <c r="B1705" s="28"/>
      <c r="C1705" s="18"/>
      <c r="E1705" s="50"/>
    </row>
    <row r="1706" spans="2:5" s="4" customFormat="1">
      <c r="B1706" s="28"/>
      <c r="C1706" s="18"/>
      <c r="E1706" s="50"/>
    </row>
    <row r="1707" spans="2:5" s="4" customFormat="1">
      <c r="B1707" s="28"/>
      <c r="C1707" s="18"/>
      <c r="E1707" s="50"/>
    </row>
    <row r="1708" spans="2:5" s="4" customFormat="1">
      <c r="B1708" s="28"/>
      <c r="C1708" s="18"/>
      <c r="E1708" s="50"/>
    </row>
    <row r="1709" spans="2:5" s="4" customFormat="1">
      <c r="B1709" s="28"/>
      <c r="C1709" s="18"/>
      <c r="E1709" s="50"/>
    </row>
    <row r="1710" spans="2:5" s="4" customFormat="1">
      <c r="B1710" s="28"/>
      <c r="C1710" s="18"/>
      <c r="E1710" s="50"/>
    </row>
    <row r="1711" spans="2:5" s="4" customFormat="1">
      <c r="B1711" s="28"/>
      <c r="C1711" s="18"/>
      <c r="E1711" s="50"/>
    </row>
    <row r="1712" spans="2:5" s="4" customFormat="1">
      <c r="B1712" s="28"/>
      <c r="C1712" s="18"/>
      <c r="E1712" s="50"/>
    </row>
    <row r="1713" spans="2:5" s="4" customFormat="1">
      <c r="B1713" s="28"/>
      <c r="C1713" s="18"/>
      <c r="E1713" s="50"/>
    </row>
    <row r="1714" spans="2:5" s="4" customFormat="1">
      <c r="B1714" s="28"/>
      <c r="C1714" s="18"/>
      <c r="E1714" s="50"/>
    </row>
    <row r="1715" spans="2:5" s="4" customFormat="1">
      <c r="B1715" s="28"/>
      <c r="C1715" s="18"/>
      <c r="E1715" s="50"/>
    </row>
    <row r="1716" spans="2:5" s="4" customFormat="1">
      <c r="B1716" s="28"/>
      <c r="C1716" s="18"/>
      <c r="E1716" s="50"/>
    </row>
    <row r="1717" spans="2:5" s="4" customFormat="1">
      <c r="B1717" s="28"/>
      <c r="C1717" s="18"/>
      <c r="E1717" s="50"/>
    </row>
    <row r="1718" spans="2:5" s="4" customFormat="1">
      <c r="B1718" s="28"/>
      <c r="C1718" s="18"/>
      <c r="E1718" s="50"/>
    </row>
    <row r="1719" spans="2:5" s="4" customFormat="1">
      <c r="B1719" s="28"/>
      <c r="C1719" s="18"/>
      <c r="E1719" s="50"/>
    </row>
    <row r="1720" spans="2:5" s="4" customFormat="1">
      <c r="B1720" s="28"/>
      <c r="C1720" s="18"/>
      <c r="E1720" s="50"/>
    </row>
    <row r="1721" spans="2:5" s="4" customFormat="1">
      <c r="B1721" s="28"/>
      <c r="C1721" s="18"/>
      <c r="E1721" s="50"/>
    </row>
    <row r="1722" spans="2:5" s="4" customFormat="1">
      <c r="B1722" s="28"/>
      <c r="C1722" s="18"/>
      <c r="E1722" s="50"/>
    </row>
    <row r="1723" spans="2:5" s="4" customFormat="1">
      <c r="B1723" s="28"/>
      <c r="C1723" s="18"/>
      <c r="E1723" s="50"/>
    </row>
    <row r="1724" spans="2:5" s="4" customFormat="1">
      <c r="B1724" s="28"/>
      <c r="C1724" s="18"/>
      <c r="E1724" s="50"/>
    </row>
    <row r="1725" spans="2:5" s="4" customFormat="1">
      <c r="B1725" s="28"/>
      <c r="C1725" s="18"/>
      <c r="E1725" s="50"/>
    </row>
    <row r="1726" spans="2:5" s="4" customFormat="1">
      <c r="B1726" s="28"/>
      <c r="C1726" s="18"/>
      <c r="E1726" s="50"/>
    </row>
    <row r="1727" spans="2:5" s="4" customFormat="1">
      <c r="B1727" s="28"/>
      <c r="C1727" s="18"/>
      <c r="E1727" s="50"/>
    </row>
    <row r="1728" spans="2:5" s="4" customFormat="1">
      <c r="B1728" s="28"/>
      <c r="C1728" s="18"/>
      <c r="E1728" s="50"/>
    </row>
    <row r="1729" spans="2:5" s="4" customFormat="1">
      <c r="B1729" s="28"/>
      <c r="C1729" s="18"/>
      <c r="E1729" s="50"/>
    </row>
    <row r="1730" spans="2:5" s="4" customFormat="1">
      <c r="B1730" s="28"/>
      <c r="C1730" s="18"/>
      <c r="E1730" s="50"/>
    </row>
    <row r="1731" spans="2:5" s="4" customFormat="1">
      <c r="B1731" s="28"/>
      <c r="C1731" s="18"/>
      <c r="E1731" s="50"/>
    </row>
    <row r="1732" spans="2:5" s="4" customFormat="1">
      <c r="B1732" s="28"/>
      <c r="C1732" s="18"/>
      <c r="E1732" s="50"/>
    </row>
    <row r="1733" spans="2:5" s="4" customFormat="1">
      <c r="B1733" s="28"/>
      <c r="C1733" s="18"/>
      <c r="E1733" s="50"/>
    </row>
    <row r="1734" spans="2:5" s="4" customFormat="1">
      <c r="B1734" s="28"/>
      <c r="C1734" s="18"/>
      <c r="E1734" s="50"/>
    </row>
    <row r="1735" spans="2:5" s="4" customFormat="1">
      <c r="B1735" s="28"/>
      <c r="C1735" s="18"/>
      <c r="E1735" s="50"/>
    </row>
    <row r="1736" spans="2:5" s="4" customFormat="1">
      <c r="B1736" s="28"/>
      <c r="C1736" s="18"/>
      <c r="E1736" s="50"/>
    </row>
    <row r="1737" spans="2:5" s="4" customFormat="1">
      <c r="B1737" s="28"/>
      <c r="C1737" s="18"/>
      <c r="E1737" s="50"/>
    </row>
    <row r="1738" spans="2:5" s="4" customFormat="1">
      <c r="B1738" s="28"/>
      <c r="C1738" s="18"/>
      <c r="E1738" s="50"/>
    </row>
    <row r="1739" spans="2:5" s="4" customFormat="1">
      <c r="B1739" s="28"/>
      <c r="C1739" s="18"/>
      <c r="E1739" s="50"/>
    </row>
    <row r="1740" spans="2:5" s="4" customFormat="1">
      <c r="B1740" s="28"/>
      <c r="C1740" s="18"/>
      <c r="E1740" s="50"/>
    </row>
    <row r="1741" spans="2:5" s="4" customFormat="1">
      <c r="B1741" s="28"/>
      <c r="C1741" s="18"/>
      <c r="E1741" s="50"/>
    </row>
    <row r="1742" spans="2:5" s="4" customFormat="1">
      <c r="B1742" s="28"/>
      <c r="C1742" s="18"/>
      <c r="E1742" s="50"/>
    </row>
    <row r="1743" spans="2:5" s="4" customFormat="1">
      <c r="B1743" s="28"/>
      <c r="C1743" s="18"/>
      <c r="E1743" s="50"/>
    </row>
    <row r="1744" spans="2:5" s="4" customFormat="1">
      <c r="B1744" s="28"/>
      <c r="C1744" s="18"/>
      <c r="E1744" s="50"/>
    </row>
    <row r="1745" spans="2:5" s="4" customFormat="1">
      <c r="B1745" s="28"/>
      <c r="C1745" s="18"/>
      <c r="E1745" s="50"/>
    </row>
    <row r="1746" spans="2:5" s="4" customFormat="1">
      <c r="B1746" s="28"/>
      <c r="C1746" s="18"/>
      <c r="E1746" s="50"/>
    </row>
    <row r="1747" spans="2:5" s="4" customFormat="1">
      <c r="B1747" s="28"/>
      <c r="C1747" s="18"/>
      <c r="E1747" s="50"/>
    </row>
    <row r="1748" spans="2:5" s="4" customFormat="1">
      <c r="B1748" s="28"/>
      <c r="C1748" s="18"/>
      <c r="E1748" s="50"/>
    </row>
    <row r="1749" spans="2:5" s="4" customFormat="1">
      <c r="B1749" s="28"/>
      <c r="C1749" s="18"/>
      <c r="E1749" s="50"/>
    </row>
    <row r="1750" spans="2:5" s="4" customFormat="1">
      <c r="B1750" s="28"/>
      <c r="C1750" s="18"/>
      <c r="E1750" s="50"/>
    </row>
    <row r="1751" spans="2:5" s="4" customFormat="1">
      <c r="B1751" s="28"/>
      <c r="C1751" s="18"/>
      <c r="E1751" s="50"/>
    </row>
    <row r="1752" spans="2:5" s="4" customFormat="1">
      <c r="B1752" s="28"/>
      <c r="C1752" s="18"/>
      <c r="E1752" s="50"/>
    </row>
    <row r="1753" spans="2:5" s="4" customFormat="1">
      <c r="B1753" s="28"/>
      <c r="C1753" s="18"/>
      <c r="E1753" s="50"/>
    </row>
    <row r="1754" spans="2:5" s="4" customFormat="1">
      <c r="B1754" s="28"/>
      <c r="C1754" s="18"/>
      <c r="E1754" s="50"/>
    </row>
    <row r="1755" spans="2:5" s="4" customFormat="1">
      <c r="B1755" s="28"/>
      <c r="C1755" s="18"/>
      <c r="E1755" s="50"/>
    </row>
    <row r="1756" spans="2:5" s="4" customFormat="1">
      <c r="B1756" s="28"/>
      <c r="C1756" s="18"/>
      <c r="E1756" s="50"/>
    </row>
    <row r="1757" spans="2:5" s="4" customFormat="1">
      <c r="B1757" s="28"/>
      <c r="C1757" s="18"/>
      <c r="E1757" s="50"/>
    </row>
    <row r="1758" spans="2:5" s="4" customFormat="1">
      <c r="B1758" s="28"/>
      <c r="C1758" s="18"/>
      <c r="E1758" s="50"/>
    </row>
    <row r="1759" spans="2:5" s="4" customFormat="1">
      <c r="B1759" s="28"/>
      <c r="C1759" s="18"/>
      <c r="E1759" s="50"/>
    </row>
    <row r="1760" spans="2:5" s="4" customFormat="1">
      <c r="B1760" s="28"/>
      <c r="C1760" s="18"/>
      <c r="E1760" s="50"/>
    </row>
    <row r="1761" spans="2:5" s="4" customFormat="1">
      <c r="B1761" s="28"/>
      <c r="C1761" s="18"/>
      <c r="E1761" s="50"/>
    </row>
    <row r="1762" spans="2:5" s="4" customFormat="1">
      <c r="B1762" s="28"/>
      <c r="C1762" s="18"/>
      <c r="E1762" s="50"/>
    </row>
    <row r="1763" spans="2:5" s="4" customFormat="1">
      <c r="B1763" s="28"/>
      <c r="C1763" s="18"/>
      <c r="E1763" s="50"/>
    </row>
    <row r="1764" spans="2:5" s="4" customFormat="1">
      <c r="B1764" s="28"/>
      <c r="C1764" s="18"/>
      <c r="E1764" s="50"/>
    </row>
    <row r="1765" spans="2:5" s="4" customFormat="1">
      <c r="B1765" s="28"/>
      <c r="C1765" s="18"/>
      <c r="E1765" s="50"/>
    </row>
    <row r="1766" spans="2:5" s="4" customFormat="1">
      <c r="B1766" s="28"/>
      <c r="C1766" s="18"/>
      <c r="E1766" s="50"/>
    </row>
    <row r="1767" spans="2:5" s="4" customFormat="1">
      <c r="B1767" s="28"/>
      <c r="C1767" s="18"/>
      <c r="E1767" s="50"/>
    </row>
    <row r="1768" spans="2:5" s="4" customFormat="1">
      <c r="B1768" s="28"/>
      <c r="C1768" s="18"/>
      <c r="E1768" s="50"/>
    </row>
    <row r="1769" spans="2:5" s="4" customFormat="1">
      <c r="B1769" s="28"/>
      <c r="C1769" s="18"/>
      <c r="E1769" s="50"/>
    </row>
    <row r="1770" spans="2:5" s="4" customFormat="1">
      <c r="B1770" s="28"/>
      <c r="C1770" s="18"/>
      <c r="E1770" s="50"/>
    </row>
    <row r="1771" spans="2:5" s="4" customFormat="1">
      <c r="B1771" s="28"/>
      <c r="C1771" s="18"/>
      <c r="E1771" s="50"/>
    </row>
    <row r="1772" spans="2:5" s="4" customFormat="1">
      <c r="B1772" s="28"/>
      <c r="C1772" s="18"/>
      <c r="E1772" s="50"/>
    </row>
    <row r="1773" spans="2:5" s="4" customFormat="1">
      <c r="B1773" s="28"/>
      <c r="C1773" s="18"/>
      <c r="E1773" s="50"/>
    </row>
    <row r="1774" spans="2:5" s="4" customFormat="1">
      <c r="B1774" s="28"/>
      <c r="C1774" s="18"/>
      <c r="E1774" s="50"/>
    </row>
    <row r="1775" spans="2:5" s="4" customFormat="1">
      <c r="B1775" s="28"/>
      <c r="C1775" s="18"/>
      <c r="E1775" s="50"/>
    </row>
    <row r="1776" spans="2:5" s="4" customFormat="1">
      <c r="B1776" s="28"/>
      <c r="C1776" s="18"/>
      <c r="E1776" s="50"/>
    </row>
    <row r="1777" spans="2:5" s="4" customFormat="1">
      <c r="B1777" s="28"/>
      <c r="C1777" s="18"/>
      <c r="E1777" s="50"/>
    </row>
    <row r="1778" spans="2:5" s="4" customFormat="1">
      <c r="B1778" s="28"/>
      <c r="C1778" s="18"/>
      <c r="E1778" s="50"/>
    </row>
    <row r="1779" spans="2:5" s="4" customFormat="1">
      <c r="B1779" s="28"/>
      <c r="C1779" s="18"/>
      <c r="E1779" s="50"/>
    </row>
    <row r="1780" spans="2:5" s="4" customFormat="1">
      <c r="B1780" s="28"/>
      <c r="C1780" s="18"/>
      <c r="E1780" s="50"/>
    </row>
    <row r="1781" spans="2:5" s="4" customFormat="1">
      <c r="B1781" s="28"/>
      <c r="C1781" s="18"/>
      <c r="E1781" s="50"/>
    </row>
    <row r="1782" spans="2:5" s="4" customFormat="1">
      <c r="B1782" s="28"/>
      <c r="C1782" s="18"/>
      <c r="E1782" s="50"/>
    </row>
    <row r="1783" spans="2:5" s="4" customFormat="1">
      <c r="B1783" s="28"/>
      <c r="C1783" s="18"/>
      <c r="E1783" s="50"/>
    </row>
    <row r="1784" spans="2:5" s="4" customFormat="1">
      <c r="B1784" s="28"/>
      <c r="C1784" s="18"/>
      <c r="E1784" s="50"/>
    </row>
    <row r="1785" spans="2:5" s="4" customFormat="1">
      <c r="B1785" s="28"/>
      <c r="C1785" s="18"/>
      <c r="E1785" s="50"/>
    </row>
    <row r="1786" spans="2:5" s="4" customFormat="1">
      <c r="B1786" s="28"/>
      <c r="C1786" s="18"/>
      <c r="E1786" s="50"/>
    </row>
    <row r="1787" spans="2:5" s="4" customFormat="1">
      <c r="B1787" s="28"/>
      <c r="C1787" s="18"/>
      <c r="E1787" s="50"/>
    </row>
    <row r="1788" spans="2:5" s="4" customFormat="1">
      <c r="B1788" s="28"/>
      <c r="C1788" s="18"/>
      <c r="E1788" s="50"/>
    </row>
    <row r="1789" spans="2:5" s="4" customFormat="1">
      <c r="B1789" s="28"/>
      <c r="C1789" s="18"/>
      <c r="E1789" s="50"/>
    </row>
    <row r="1790" spans="2:5" s="4" customFormat="1">
      <c r="B1790" s="28"/>
      <c r="C1790" s="18"/>
      <c r="E1790" s="50"/>
    </row>
    <row r="1791" spans="2:5" s="4" customFormat="1">
      <c r="B1791" s="28"/>
      <c r="C1791" s="18"/>
      <c r="E1791" s="50"/>
    </row>
    <row r="1792" spans="2:5" s="4" customFormat="1">
      <c r="B1792" s="28"/>
      <c r="C1792" s="18"/>
      <c r="E1792" s="50"/>
    </row>
    <row r="1793" spans="2:5" s="4" customFormat="1">
      <c r="B1793" s="28"/>
      <c r="C1793" s="18"/>
      <c r="E1793" s="50"/>
    </row>
    <row r="1794" spans="2:5" s="4" customFormat="1">
      <c r="B1794" s="28"/>
      <c r="C1794" s="18"/>
      <c r="E1794" s="50"/>
    </row>
    <row r="1795" spans="2:5" s="4" customFormat="1">
      <c r="B1795" s="28"/>
      <c r="C1795" s="18"/>
      <c r="E1795" s="50"/>
    </row>
    <row r="1796" spans="2:5" s="4" customFormat="1">
      <c r="B1796" s="28"/>
      <c r="C1796" s="18"/>
      <c r="E1796" s="50"/>
    </row>
    <row r="1797" spans="2:5" s="4" customFormat="1">
      <c r="B1797" s="28"/>
      <c r="C1797" s="18"/>
      <c r="E1797" s="50"/>
    </row>
    <row r="1798" spans="2:5" s="4" customFormat="1">
      <c r="B1798" s="28"/>
      <c r="C1798" s="18"/>
      <c r="E1798" s="50"/>
    </row>
    <row r="1799" spans="2:5" s="4" customFormat="1">
      <c r="B1799" s="28"/>
      <c r="C1799" s="18"/>
      <c r="E1799" s="50"/>
    </row>
    <row r="1800" spans="2:5" s="4" customFormat="1">
      <c r="B1800" s="28"/>
      <c r="C1800" s="18"/>
      <c r="E1800" s="50"/>
    </row>
    <row r="1801" spans="2:5" s="4" customFormat="1">
      <c r="B1801" s="28"/>
      <c r="C1801" s="18"/>
      <c r="E1801" s="50"/>
    </row>
    <row r="1802" spans="2:5" s="4" customFormat="1">
      <c r="B1802" s="28"/>
      <c r="C1802" s="18"/>
      <c r="E1802" s="50"/>
    </row>
    <row r="1803" spans="2:5" s="4" customFormat="1">
      <c r="B1803" s="28"/>
      <c r="C1803" s="18"/>
      <c r="E1803" s="50"/>
    </row>
    <row r="1804" spans="2:5" s="4" customFormat="1">
      <c r="B1804" s="28"/>
      <c r="C1804" s="18"/>
      <c r="E1804" s="50"/>
    </row>
    <row r="1805" spans="2:5" s="4" customFormat="1">
      <c r="B1805" s="28"/>
      <c r="C1805" s="18"/>
      <c r="E1805" s="50"/>
    </row>
    <row r="1806" spans="2:5" s="4" customFormat="1">
      <c r="B1806" s="28"/>
      <c r="C1806" s="18"/>
      <c r="E1806" s="50"/>
    </row>
    <row r="1807" spans="2:5" s="4" customFormat="1">
      <c r="B1807" s="28"/>
      <c r="C1807" s="18"/>
      <c r="E1807" s="50"/>
    </row>
    <row r="1808" spans="2:5" s="4" customFormat="1">
      <c r="B1808" s="28"/>
      <c r="C1808" s="18"/>
      <c r="E1808" s="50"/>
    </row>
    <row r="1809" spans="2:5" s="4" customFormat="1">
      <c r="B1809" s="28"/>
      <c r="C1809" s="18"/>
      <c r="E1809" s="50"/>
    </row>
    <row r="1810" spans="2:5" s="4" customFormat="1">
      <c r="B1810" s="28"/>
      <c r="C1810" s="18"/>
      <c r="E1810" s="50"/>
    </row>
    <row r="1811" spans="2:5" s="4" customFormat="1">
      <c r="B1811" s="28"/>
      <c r="C1811" s="18"/>
      <c r="E1811" s="50"/>
    </row>
    <row r="1812" spans="2:5" s="4" customFormat="1">
      <c r="B1812" s="28"/>
      <c r="C1812" s="18"/>
      <c r="E1812" s="50"/>
    </row>
    <row r="1813" spans="2:5" s="4" customFormat="1">
      <c r="B1813" s="28"/>
      <c r="C1813" s="18"/>
      <c r="E1813" s="50"/>
    </row>
    <row r="1814" spans="2:5" s="4" customFormat="1">
      <c r="B1814" s="28"/>
      <c r="C1814" s="18"/>
      <c r="E1814" s="50"/>
    </row>
    <row r="1815" spans="2:5" s="4" customFormat="1">
      <c r="B1815" s="28"/>
      <c r="C1815" s="18"/>
      <c r="E1815" s="50"/>
    </row>
    <row r="1816" spans="2:5" s="4" customFormat="1">
      <c r="B1816" s="28"/>
      <c r="C1816" s="18"/>
      <c r="E1816" s="50"/>
    </row>
    <row r="1817" spans="2:5" s="4" customFormat="1">
      <c r="B1817" s="28"/>
      <c r="C1817" s="18"/>
      <c r="E1817" s="50"/>
    </row>
    <row r="1818" spans="2:5" s="4" customFormat="1">
      <c r="B1818" s="28"/>
      <c r="C1818" s="18"/>
      <c r="E1818" s="50"/>
    </row>
    <row r="1819" spans="2:5" s="4" customFormat="1">
      <c r="B1819" s="28"/>
      <c r="C1819" s="18"/>
      <c r="E1819" s="50"/>
    </row>
    <row r="1820" spans="2:5" s="4" customFormat="1">
      <c r="B1820" s="28"/>
      <c r="C1820" s="18"/>
      <c r="E1820" s="50"/>
    </row>
    <row r="1821" spans="2:5" s="4" customFormat="1">
      <c r="B1821" s="28"/>
      <c r="C1821" s="18"/>
      <c r="E1821" s="50"/>
    </row>
    <row r="1822" spans="2:5" s="4" customFormat="1">
      <c r="B1822" s="28"/>
      <c r="C1822" s="18"/>
      <c r="E1822" s="50"/>
    </row>
    <row r="1823" spans="2:5" s="4" customFormat="1">
      <c r="B1823" s="28"/>
      <c r="C1823" s="18"/>
      <c r="E1823" s="50"/>
    </row>
    <row r="1824" spans="2:5" s="4" customFormat="1">
      <c r="B1824" s="28"/>
      <c r="C1824" s="18"/>
      <c r="E1824" s="50"/>
    </row>
    <row r="1825" spans="2:5" s="4" customFormat="1">
      <c r="B1825" s="28"/>
      <c r="C1825" s="18"/>
      <c r="E1825" s="50"/>
    </row>
    <row r="1826" spans="2:5" s="4" customFormat="1">
      <c r="B1826" s="28"/>
      <c r="C1826" s="18"/>
      <c r="E1826" s="50"/>
    </row>
    <row r="1827" spans="2:5" s="4" customFormat="1">
      <c r="B1827" s="28"/>
      <c r="C1827" s="18"/>
      <c r="E1827" s="50"/>
    </row>
    <row r="1828" spans="2:5" s="4" customFormat="1">
      <c r="B1828" s="28"/>
      <c r="C1828" s="18"/>
      <c r="E1828" s="50"/>
    </row>
    <row r="1829" spans="2:5" s="4" customFormat="1">
      <c r="B1829" s="28"/>
      <c r="C1829" s="18"/>
      <c r="E1829" s="50"/>
    </row>
    <row r="1830" spans="2:5" s="4" customFormat="1">
      <c r="B1830" s="28"/>
      <c r="C1830" s="18"/>
      <c r="E1830" s="50"/>
    </row>
    <row r="1831" spans="2:5" s="4" customFormat="1">
      <c r="B1831" s="28"/>
      <c r="C1831" s="18"/>
      <c r="E1831" s="50"/>
    </row>
    <row r="1832" spans="2:5" s="4" customFormat="1">
      <c r="B1832" s="28"/>
      <c r="C1832" s="18"/>
      <c r="E1832" s="50"/>
    </row>
    <row r="1833" spans="2:5" s="4" customFormat="1">
      <c r="B1833" s="28"/>
      <c r="C1833" s="18"/>
      <c r="E1833" s="50"/>
    </row>
    <row r="1834" spans="2:5" s="4" customFormat="1">
      <c r="B1834" s="28"/>
      <c r="C1834" s="18"/>
      <c r="E1834" s="50"/>
    </row>
    <row r="1835" spans="2:5" s="4" customFormat="1">
      <c r="B1835" s="28"/>
      <c r="C1835" s="18"/>
      <c r="E1835" s="50"/>
    </row>
    <row r="1836" spans="2:5" s="4" customFormat="1">
      <c r="B1836" s="28"/>
      <c r="C1836" s="18"/>
      <c r="E1836" s="50"/>
    </row>
    <row r="1837" spans="2:5" s="4" customFormat="1">
      <c r="B1837" s="28"/>
      <c r="C1837" s="18"/>
      <c r="E1837" s="50"/>
    </row>
    <row r="1838" spans="2:5" s="4" customFormat="1">
      <c r="B1838" s="28"/>
      <c r="C1838" s="18"/>
      <c r="E1838" s="50"/>
    </row>
    <row r="1839" spans="2:5" s="4" customFormat="1">
      <c r="B1839" s="28"/>
      <c r="C1839" s="18"/>
      <c r="E1839" s="50"/>
    </row>
    <row r="1840" spans="2:5" s="4" customFormat="1">
      <c r="B1840" s="28"/>
      <c r="C1840" s="18"/>
      <c r="E1840" s="50"/>
    </row>
    <row r="1841" spans="2:5" s="4" customFormat="1">
      <c r="B1841" s="28"/>
      <c r="C1841" s="18"/>
      <c r="E1841" s="50"/>
    </row>
    <row r="1842" spans="2:5" s="4" customFormat="1">
      <c r="B1842" s="28"/>
      <c r="C1842" s="18"/>
      <c r="E1842" s="50"/>
    </row>
    <row r="1843" spans="2:5" s="4" customFormat="1">
      <c r="B1843" s="28"/>
      <c r="C1843" s="18"/>
      <c r="E1843" s="50"/>
    </row>
    <row r="1844" spans="2:5" s="4" customFormat="1">
      <c r="B1844" s="28"/>
      <c r="C1844" s="18"/>
      <c r="E1844" s="50"/>
    </row>
    <row r="1845" spans="2:5" s="4" customFormat="1">
      <c r="B1845" s="28"/>
      <c r="C1845" s="18"/>
      <c r="E1845" s="50"/>
    </row>
    <row r="1846" spans="2:5" s="4" customFormat="1">
      <c r="B1846" s="28"/>
      <c r="C1846" s="18"/>
      <c r="E1846" s="50"/>
    </row>
    <row r="1847" spans="2:5" s="4" customFormat="1">
      <c r="B1847" s="28"/>
      <c r="C1847" s="18"/>
      <c r="E1847" s="50"/>
    </row>
    <row r="1848" spans="2:5" s="4" customFormat="1">
      <c r="B1848" s="28"/>
      <c r="C1848" s="18"/>
      <c r="E1848" s="50"/>
    </row>
    <row r="1849" spans="2:5" s="4" customFormat="1">
      <c r="B1849" s="28"/>
      <c r="C1849" s="18"/>
      <c r="E1849" s="50"/>
    </row>
    <row r="1850" spans="2:5" s="4" customFormat="1">
      <c r="B1850" s="28"/>
      <c r="C1850" s="18"/>
      <c r="E1850" s="50"/>
    </row>
    <row r="1851" spans="2:5" s="4" customFormat="1">
      <c r="B1851" s="28"/>
      <c r="C1851" s="18"/>
      <c r="E1851" s="50"/>
    </row>
    <row r="1852" spans="2:5" s="4" customFormat="1">
      <c r="B1852" s="28"/>
      <c r="C1852" s="18"/>
      <c r="E1852" s="50"/>
    </row>
    <row r="1853" spans="2:5" s="4" customFormat="1">
      <c r="B1853" s="28"/>
      <c r="C1853" s="18"/>
      <c r="E1853" s="50"/>
    </row>
    <row r="1854" spans="2:5" s="4" customFormat="1">
      <c r="B1854" s="28"/>
      <c r="C1854" s="18"/>
      <c r="E1854" s="50"/>
    </row>
    <row r="1855" spans="2:5" s="4" customFormat="1">
      <c r="B1855" s="28"/>
      <c r="C1855" s="18"/>
      <c r="E1855" s="50"/>
    </row>
    <row r="1856" spans="2:5" s="4" customFormat="1">
      <c r="B1856" s="28"/>
      <c r="C1856" s="18"/>
      <c r="E1856" s="50"/>
    </row>
    <row r="1857" spans="2:5" s="4" customFormat="1">
      <c r="B1857" s="28"/>
      <c r="C1857" s="18"/>
      <c r="E1857" s="50"/>
    </row>
    <row r="1858" spans="2:5" s="4" customFormat="1">
      <c r="B1858" s="28"/>
      <c r="C1858" s="18"/>
      <c r="E1858" s="50"/>
    </row>
    <row r="1859" spans="2:5" s="4" customFormat="1">
      <c r="B1859" s="28"/>
      <c r="C1859" s="18"/>
      <c r="E1859" s="50"/>
    </row>
    <row r="1860" spans="2:5" s="4" customFormat="1">
      <c r="B1860" s="28"/>
      <c r="C1860" s="18"/>
      <c r="E1860" s="50"/>
    </row>
    <row r="1861" spans="2:5" s="4" customFormat="1">
      <c r="B1861" s="28"/>
      <c r="C1861" s="18"/>
      <c r="E1861" s="50"/>
    </row>
    <row r="1862" spans="2:5" s="4" customFormat="1">
      <c r="B1862" s="28"/>
      <c r="C1862" s="18"/>
      <c r="E1862" s="50"/>
    </row>
    <row r="1863" spans="2:5" s="4" customFormat="1">
      <c r="B1863" s="28"/>
      <c r="C1863" s="18"/>
      <c r="E1863" s="50"/>
    </row>
    <row r="1864" spans="2:5" s="4" customFormat="1">
      <c r="B1864" s="28"/>
      <c r="C1864" s="18"/>
      <c r="E1864" s="50"/>
    </row>
    <row r="1865" spans="2:5" s="4" customFormat="1">
      <c r="B1865" s="28"/>
      <c r="C1865" s="18"/>
      <c r="E1865" s="50"/>
    </row>
    <row r="1866" spans="2:5" s="4" customFormat="1">
      <c r="B1866" s="28"/>
      <c r="C1866" s="18"/>
      <c r="E1866" s="50"/>
    </row>
    <row r="1867" spans="2:5" s="4" customFormat="1">
      <c r="B1867" s="28"/>
      <c r="C1867" s="18"/>
      <c r="E1867" s="50"/>
    </row>
    <row r="1868" spans="2:5" s="4" customFormat="1">
      <c r="B1868" s="28"/>
      <c r="C1868" s="18"/>
      <c r="E1868" s="50"/>
    </row>
    <row r="1869" spans="2:5" s="4" customFormat="1">
      <c r="B1869" s="28"/>
      <c r="C1869" s="18"/>
      <c r="E1869" s="50"/>
    </row>
    <row r="1870" spans="2:5" s="4" customFormat="1">
      <c r="B1870" s="28"/>
      <c r="C1870" s="18"/>
      <c r="E1870" s="50"/>
    </row>
    <row r="1871" spans="2:5" s="4" customFormat="1">
      <c r="B1871" s="28"/>
      <c r="C1871" s="18"/>
      <c r="E1871" s="50"/>
    </row>
    <row r="1872" spans="2:5" s="4" customFormat="1">
      <c r="B1872" s="28"/>
      <c r="C1872" s="18"/>
      <c r="E1872" s="50"/>
    </row>
    <row r="1873" spans="2:5" s="4" customFormat="1">
      <c r="B1873" s="28"/>
      <c r="C1873" s="18"/>
      <c r="E1873" s="50"/>
    </row>
    <row r="1874" spans="2:5" s="4" customFormat="1">
      <c r="B1874" s="28"/>
      <c r="C1874" s="18"/>
      <c r="E1874" s="50"/>
    </row>
    <row r="1875" spans="2:5" s="4" customFormat="1">
      <c r="B1875" s="28"/>
      <c r="C1875" s="18"/>
      <c r="E1875" s="50"/>
    </row>
    <row r="1876" spans="2:5" s="4" customFormat="1">
      <c r="B1876" s="28"/>
      <c r="C1876" s="18"/>
      <c r="E1876" s="50"/>
    </row>
    <row r="1877" spans="2:5" s="4" customFormat="1">
      <c r="B1877" s="28"/>
      <c r="C1877" s="18"/>
      <c r="E1877" s="50"/>
    </row>
    <row r="1878" spans="2:5" s="4" customFormat="1">
      <c r="B1878" s="28"/>
      <c r="C1878" s="18"/>
      <c r="E1878" s="50"/>
    </row>
    <row r="1879" spans="2:5" s="4" customFormat="1">
      <c r="B1879" s="28"/>
      <c r="C1879" s="18"/>
      <c r="E1879" s="50"/>
    </row>
    <row r="1880" spans="2:5" s="4" customFormat="1">
      <c r="B1880" s="28"/>
      <c r="C1880" s="18"/>
      <c r="E1880" s="50"/>
    </row>
    <row r="1881" spans="2:5" s="4" customFormat="1">
      <c r="B1881" s="28"/>
      <c r="C1881" s="18"/>
      <c r="E1881" s="50"/>
    </row>
    <row r="1882" spans="2:5" s="4" customFormat="1">
      <c r="B1882" s="28"/>
      <c r="C1882" s="18"/>
      <c r="E1882" s="50"/>
    </row>
    <row r="1883" spans="2:5" s="4" customFormat="1">
      <c r="B1883" s="28"/>
      <c r="C1883" s="18"/>
      <c r="E1883" s="50"/>
    </row>
    <row r="1884" spans="2:5" s="4" customFormat="1">
      <c r="B1884" s="28"/>
      <c r="C1884" s="18"/>
      <c r="E1884" s="50"/>
    </row>
    <row r="1885" spans="2:5" s="4" customFormat="1">
      <c r="B1885" s="28"/>
      <c r="C1885" s="18"/>
      <c r="E1885" s="50"/>
    </row>
    <row r="1886" spans="2:5" s="4" customFormat="1">
      <c r="B1886" s="28"/>
      <c r="C1886" s="18"/>
      <c r="E1886" s="50"/>
    </row>
    <row r="1887" spans="2:5" s="4" customFormat="1">
      <c r="B1887" s="28"/>
      <c r="C1887" s="18"/>
      <c r="E1887" s="50"/>
    </row>
    <row r="1888" spans="2:5" s="4" customFormat="1">
      <c r="B1888" s="28"/>
      <c r="C1888" s="18"/>
      <c r="E1888" s="50"/>
    </row>
    <row r="1889" spans="2:5" s="4" customFormat="1">
      <c r="B1889" s="28"/>
      <c r="C1889" s="18"/>
      <c r="E1889" s="50"/>
    </row>
    <row r="1890" spans="2:5" s="4" customFormat="1">
      <c r="B1890" s="28"/>
      <c r="C1890" s="18"/>
      <c r="E1890" s="50"/>
    </row>
    <row r="1891" spans="2:5" s="4" customFormat="1">
      <c r="B1891" s="28"/>
      <c r="C1891" s="18"/>
      <c r="E1891" s="50"/>
    </row>
    <row r="1892" spans="2:5" s="4" customFormat="1">
      <c r="B1892" s="28"/>
      <c r="C1892" s="18"/>
      <c r="E1892" s="50"/>
    </row>
    <row r="1893" spans="2:5" s="4" customFormat="1">
      <c r="B1893" s="28"/>
      <c r="C1893" s="18"/>
      <c r="E1893" s="50"/>
    </row>
    <row r="1894" spans="2:5" s="4" customFormat="1">
      <c r="B1894" s="28"/>
      <c r="C1894" s="18"/>
      <c r="E1894" s="50"/>
    </row>
    <row r="1895" spans="2:5" s="4" customFormat="1">
      <c r="B1895" s="28"/>
      <c r="C1895" s="18"/>
      <c r="E1895" s="50"/>
    </row>
    <row r="1896" spans="2:5" s="4" customFormat="1">
      <c r="B1896" s="28"/>
      <c r="C1896" s="18"/>
      <c r="E1896" s="50"/>
    </row>
    <row r="1897" spans="2:5" s="4" customFormat="1">
      <c r="B1897" s="28"/>
      <c r="C1897" s="18"/>
      <c r="E1897" s="50"/>
    </row>
    <row r="1898" spans="2:5" s="4" customFormat="1">
      <c r="B1898" s="28"/>
      <c r="C1898" s="18"/>
      <c r="E1898" s="50"/>
    </row>
    <row r="1899" spans="2:5" s="4" customFormat="1">
      <c r="B1899" s="28"/>
      <c r="C1899" s="18"/>
      <c r="E1899" s="50"/>
    </row>
    <row r="1900" spans="2:5" s="4" customFormat="1">
      <c r="B1900" s="28"/>
      <c r="C1900" s="18"/>
      <c r="E1900" s="50"/>
    </row>
    <row r="1901" spans="2:5" s="4" customFormat="1">
      <c r="B1901" s="28"/>
      <c r="C1901" s="18"/>
      <c r="E1901" s="50"/>
    </row>
    <row r="1902" spans="2:5" s="4" customFormat="1">
      <c r="B1902" s="28"/>
      <c r="C1902" s="18"/>
      <c r="E1902" s="50"/>
    </row>
    <row r="1903" spans="2:5" s="4" customFormat="1">
      <c r="B1903" s="28"/>
      <c r="C1903" s="18"/>
      <c r="E1903" s="50"/>
    </row>
    <row r="1904" spans="2:5" s="4" customFormat="1">
      <c r="B1904" s="28"/>
      <c r="C1904" s="18"/>
      <c r="E1904" s="50"/>
    </row>
    <row r="1905" spans="2:5" s="4" customFormat="1">
      <c r="B1905" s="28"/>
      <c r="C1905" s="18"/>
      <c r="E1905" s="50"/>
    </row>
    <row r="1906" spans="2:5" s="4" customFormat="1">
      <c r="B1906" s="28"/>
      <c r="C1906" s="18"/>
      <c r="E1906" s="50"/>
    </row>
    <row r="1907" spans="2:5" s="4" customFormat="1">
      <c r="B1907" s="28"/>
      <c r="C1907" s="18"/>
      <c r="E1907" s="50"/>
    </row>
    <row r="1908" spans="2:5" s="4" customFormat="1">
      <c r="B1908" s="28"/>
      <c r="C1908" s="18"/>
      <c r="E1908" s="50"/>
    </row>
    <row r="1909" spans="2:5" s="4" customFormat="1">
      <c r="B1909" s="28"/>
      <c r="C1909" s="18"/>
      <c r="E1909" s="50"/>
    </row>
    <row r="1910" spans="2:5" s="4" customFormat="1">
      <c r="B1910" s="28"/>
      <c r="C1910" s="18"/>
      <c r="E1910" s="50"/>
    </row>
    <row r="1911" spans="2:5" s="4" customFormat="1">
      <c r="B1911" s="28"/>
      <c r="C1911" s="18"/>
      <c r="E1911" s="50"/>
    </row>
    <row r="1912" spans="2:5" s="4" customFormat="1">
      <c r="B1912" s="28"/>
      <c r="C1912" s="18"/>
      <c r="E1912" s="50"/>
    </row>
    <row r="1913" spans="2:5" s="4" customFormat="1">
      <c r="B1913" s="28"/>
      <c r="C1913" s="18"/>
      <c r="E1913" s="50"/>
    </row>
    <row r="1914" spans="2:5" s="4" customFormat="1">
      <c r="B1914" s="28"/>
      <c r="C1914" s="18"/>
      <c r="E1914" s="50"/>
    </row>
    <row r="1915" spans="2:5" s="4" customFormat="1">
      <c r="B1915" s="28"/>
      <c r="C1915" s="18"/>
      <c r="E1915" s="50"/>
    </row>
    <row r="1916" spans="2:5" s="4" customFormat="1">
      <c r="B1916" s="28"/>
      <c r="C1916" s="18"/>
      <c r="E1916" s="50"/>
    </row>
    <row r="1917" spans="2:5" s="4" customFormat="1">
      <c r="B1917" s="28"/>
      <c r="C1917" s="18"/>
      <c r="E1917" s="50"/>
    </row>
    <row r="1918" spans="2:5" s="4" customFormat="1">
      <c r="B1918" s="28"/>
      <c r="C1918" s="18"/>
      <c r="E1918" s="50"/>
    </row>
    <row r="1919" spans="2:5" s="4" customFormat="1">
      <c r="B1919" s="28"/>
      <c r="C1919" s="18"/>
      <c r="E1919" s="50"/>
    </row>
    <row r="1920" spans="2:5" s="4" customFormat="1">
      <c r="B1920" s="28"/>
      <c r="C1920" s="18"/>
      <c r="E1920" s="50"/>
    </row>
    <row r="1921" spans="2:5" s="4" customFormat="1">
      <c r="B1921" s="28"/>
      <c r="C1921" s="18"/>
      <c r="E1921" s="50"/>
    </row>
    <row r="1922" spans="2:5" s="4" customFormat="1">
      <c r="B1922" s="28"/>
      <c r="C1922" s="18"/>
      <c r="E1922" s="50"/>
    </row>
    <row r="1923" spans="2:5" s="4" customFormat="1">
      <c r="B1923" s="28"/>
      <c r="C1923" s="18"/>
      <c r="E1923" s="50"/>
    </row>
    <row r="1924" spans="2:5" s="4" customFormat="1">
      <c r="B1924" s="28"/>
      <c r="C1924" s="18"/>
      <c r="E1924" s="50"/>
    </row>
    <row r="1925" spans="2:5" s="4" customFormat="1">
      <c r="B1925" s="28"/>
      <c r="C1925" s="18"/>
      <c r="E1925" s="50"/>
    </row>
    <row r="1926" spans="2:5" s="4" customFormat="1">
      <c r="B1926" s="28"/>
      <c r="C1926" s="18"/>
      <c r="E1926" s="50"/>
    </row>
    <row r="1927" spans="2:5" s="4" customFormat="1">
      <c r="B1927" s="28"/>
      <c r="C1927" s="18"/>
      <c r="E1927" s="50"/>
    </row>
    <row r="1928" spans="2:5" s="4" customFormat="1">
      <c r="B1928" s="28"/>
      <c r="C1928" s="18"/>
      <c r="E1928" s="50"/>
    </row>
    <row r="1929" spans="2:5" s="4" customFormat="1">
      <c r="B1929" s="28"/>
      <c r="C1929" s="18"/>
      <c r="E1929" s="50"/>
    </row>
    <row r="1930" spans="2:5" s="4" customFormat="1">
      <c r="B1930" s="28"/>
      <c r="C1930" s="18"/>
      <c r="E1930" s="50"/>
    </row>
    <row r="1931" spans="2:5" s="4" customFormat="1">
      <c r="B1931" s="28"/>
      <c r="C1931" s="18"/>
      <c r="E1931" s="50"/>
    </row>
    <row r="1932" spans="2:5" s="4" customFormat="1">
      <c r="B1932" s="28"/>
      <c r="C1932" s="18"/>
      <c r="E1932" s="50"/>
    </row>
    <row r="1933" spans="2:5" s="4" customFormat="1">
      <c r="B1933" s="28"/>
      <c r="C1933" s="18"/>
      <c r="E1933" s="50"/>
    </row>
    <row r="1934" spans="2:5" s="4" customFormat="1">
      <c r="B1934" s="28"/>
      <c r="C1934" s="18"/>
      <c r="E1934" s="50"/>
    </row>
    <row r="1935" spans="2:5" s="4" customFormat="1">
      <c r="B1935" s="28"/>
      <c r="C1935" s="18"/>
      <c r="E1935" s="50"/>
    </row>
    <row r="1936" spans="2:5" s="4" customFormat="1">
      <c r="B1936" s="28"/>
      <c r="C1936" s="18"/>
      <c r="E1936" s="50"/>
    </row>
    <row r="1937" spans="2:5" s="4" customFormat="1">
      <c r="B1937" s="28"/>
      <c r="C1937" s="18"/>
      <c r="E1937" s="50"/>
    </row>
    <row r="1938" spans="2:5" s="4" customFormat="1">
      <c r="B1938" s="28"/>
      <c r="C1938" s="18"/>
      <c r="E1938" s="50"/>
    </row>
    <row r="1939" spans="2:5" s="4" customFormat="1">
      <c r="B1939" s="28"/>
      <c r="C1939" s="18"/>
      <c r="E1939" s="50"/>
    </row>
    <row r="1940" spans="2:5" s="4" customFormat="1">
      <c r="B1940" s="28"/>
      <c r="C1940" s="18"/>
      <c r="E1940" s="50"/>
    </row>
    <row r="1941" spans="2:5" s="4" customFormat="1">
      <c r="B1941" s="28"/>
      <c r="C1941" s="18"/>
      <c r="E1941" s="50"/>
    </row>
    <row r="1942" spans="2:5" s="4" customFormat="1">
      <c r="B1942" s="28"/>
      <c r="C1942" s="18"/>
      <c r="E1942" s="50"/>
    </row>
    <row r="1943" spans="2:5" s="4" customFormat="1">
      <c r="B1943" s="28"/>
      <c r="C1943" s="18"/>
      <c r="E1943" s="50"/>
    </row>
    <row r="1944" spans="2:5" s="4" customFormat="1">
      <c r="B1944" s="28"/>
      <c r="C1944" s="18"/>
      <c r="E1944" s="50"/>
    </row>
    <row r="1945" spans="2:5" s="4" customFormat="1">
      <c r="B1945" s="28"/>
      <c r="C1945" s="18"/>
      <c r="E1945" s="50"/>
    </row>
    <row r="1946" spans="2:5" s="4" customFormat="1">
      <c r="B1946" s="28"/>
      <c r="C1946" s="18"/>
      <c r="E1946" s="50"/>
    </row>
    <row r="1947" spans="2:5" s="4" customFormat="1">
      <c r="B1947" s="28"/>
      <c r="C1947" s="18"/>
      <c r="E1947" s="50"/>
    </row>
    <row r="1948" spans="2:5" s="4" customFormat="1">
      <c r="B1948" s="28"/>
      <c r="C1948" s="18"/>
      <c r="E1948" s="50"/>
    </row>
    <row r="1949" spans="2:5" s="4" customFormat="1">
      <c r="B1949" s="28"/>
      <c r="C1949" s="18"/>
      <c r="E1949" s="50"/>
    </row>
    <row r="1950" spans="2:5" s="4" customFormat="1">
      <c r="B1950" s="28"/>
      <c r="C1950" s="18"/>
      <c r="E1950" s="50"/>
    </row>
    <row r="1951" spans="2:5" s="4" customFormat="1">
      <c r="B1951" s="28"/>
      <c r="C1951" s="18"/>
      <c r="E1951" s="50"/>
    </row>
    <row r="1952" spans="2:5" s="4" customFormat="1">
      <c r="B1952" s="28"/>
      <c r="C1952" s="18"/>
      <c r="E1952" s="50"/>
    </row>
    <row r="1953" spans="2:5" s="4" customFormat="1">
      <c r="B1953" s="28"/>
      <c r="C1953" s="18"/>
      <c r="E1953" s="50"/>
    </row>
    <row r="1954" spans="2:5" s="4" customFormat="1">
      <c r="B1954" s="28"/>
      <c r="C1954" s="18"/>
      <c r="E1954" s="50"/>
    </row>
    <row r="1955" spans="2:5" s="4" customFormat="1">
      <c r="B1955" s="28"/>
      <c r="C1955" s="18"/>
      <c r="E1955" s="50"/>
    </row>
    <row r="1956" spans="2:5" s="4" customFormat="1">
      <c r="B1956" s="28"/>
      <c r="C1956" s="18"/>
      <c r="E1956" s="50"/>
    </row>
    <row r="1957" spans="2:5" s="4" customFormat="1">
      <c r="B1957" s="28"/>
      <c r="C1957" s="18"/>
      <c r="E1957" s="50"/>
    </row>
    <row r="1958" spans="2:5" s="4" customFormat="1">
      <c r="B1958" s="28"/>
      <c r="C1958" s="18"/>
      <c r="E1958" s="50"/>
    </row>
    <row r="1959" spans="2:5" s="4" customFormat="1">
      <c r="B1959" s="28"/>
      <c r="C1959" s="18"/>
      <c r="E1959" s="50"/>
    </row>
    <row r="1960" spans="2:5" s="4" customFormat="1">
      <c r="B1960" s="28"/>
      <c r="C1960" s="18"/>
      <c r="E1960" s="50"/>
    </row>
    <row r="1961" spans="2:5" s="4" customFormat="1">
      <c r="B1961" s="28"/>
      <c r="C1961" s="18"/>
      <c r="E1961" s="50"/>
    </row>
    <row r="1962" spans="2:5" s="4" customFormat="1">
      <c r="B1962" s="28"/>
      <c r="C1962" s="18"/>
      <c r="E1962" s="50"/>
    </row>
    <row r="1963" spans="2:5" s="4" customFormat="1">
      <c r="B1963" s="28"/>
      <c r="C1963" s="18"/>
      <c r="E1963" s="50"/>
    </row>
    <row r="1964" spans="2:5" s="4" customFormat="1">
      <c r="B1964" s="28"/>
      <c r="C1964" s="18"/>
      <c r="E1964" s="50"/>
    </row>
    <row r="1965" spans="2:5" s="4" customFormat="1">
      <c r="B1965" s="28"/>
      <c r="C1965" s="18"/>
      <c r="E1965" s="50"/>
    </row>
    <row r="1966" spans="2:5" s="4" customFormat="1">
      <c r="B1966" s="28"/>
      <c r="C1966" s="18"/>
      <c r="E1966" s="50"/>
    </row>
    <row r="1967" spans="2:5" s="4" customFormat="1">
      <c r="B1967" s="28"/>
      <c r="C1967" s="18"/>
      <c r="E1967" s="50"/>
    </row>
    <row r="1968" spans="2:5" s="4" customFormat="1">
      <c r="B1968" s="28"/>
      <c r="C1968" s="18"/>
      <c r="E1968" s="50"/>
    </row>
    <row r="1969" spans="2:5" s="4" customFormat="1">
      <c r="B1969" s="28"/>
      <c r="C1969" s="18"/>
      <c r="E1969" s="50"/>
    </row>
    <row r="1970" spans="2:5" s="4" customFormat="1">
      <c r="B1970" s="28"/>
      <c r="C1970" s="18"/>
      <c r="E1970" s="50"/>
    </row>
    <row r="1971" spans="2:5" s="4" customFormat="1">
      <c r="B1971" s="28"/>
      <c r="C1971" s="18"/>
      <c r="E1971" s="50"/>
    </row>
    <row r="1972" spans="2:5" s="4" customFormat="1">
      <c r="B1972" s="28"/>
      <c r="C1972" s="18"/>
      <c r="E1972" s="50"/>
    </row>
    <row r="1973" spans="2:5" s="4" customFormat="1">
      <c r="B1973" s="28"/>
      <c r="C1973" s="18"/>
      <c r="E1973" s="50"/>
    </row>
    <row r="1974" spans="2:5" s="4" customFormat="1">
      <c r="B1974" s="28"/>
      <c r="C1974" s="18"/>
      <c r="E1974" s="50"/>
    </row>
    <row r="1975" spans="2:5" s="4" customFormat="1">
      <c r="B1975" s="28"/>
      <c r="C1975" s="18"/>
      <c r="E1975" s="50"/>
    </row>
    <row r="1976" spans="2:5" s="4" customFormat="1">
      <c r="B1976" s="28"/>
      <c r="C1976" s="18"/>
      <c r="E1976" s="50"/>
    </row>
    <row r="1977" spans="2:5" s="4" customFormat="1">
      <c r="B1977" s="28"/>
      <c r="C1977" s="18"/>
      <c r="E1977" s="50"/>
    </row>
    <row r="1978" spans="2:5" s="4" customFormat="1">
      <c r="B1978" s="28"/>
      <c r="C1978" s="18"/>
      <c r="E1978" s="50"/>
    </row>
    <row r="1979" spans="2:5" s="4" customFormat="1">
      <c r="B1979" s="28"/>
      <c r="C1979" s="18"/>
      <c r="E1979" s="50"/>
    </row>
    <row r="1980" spans="2:5" s="4" customFormat="1">
      <c r="B1980" s="28"/>
      <c r="C1980" s="18"/>
      <c r="E1980" s="50"/>
    </row>
    <row r="1981" spans="2:5" s="4" customFormat="1">
      <c r="B1981" s="28"/>
      <c r="C1981" s="18"/>
      <c r="E1981" s="50"/>
    </row>
    <row r="1982" spans="2:5" s="4" customFormat="1">
      <c r="B1982" s="28"/>
      <c r="C1982" s="18"/>
      <c r="E1982" s="50"/>
    </row>
    <row r="1983" spans="2:5" s="4" customFormat="1">
      <c r="B1983" s="28"/>
      <c r="C1983" s="18"/>
      <c r="E1983" s="50"/>
    </row>
    <row r="1984" spans="2:5" s="4" customFormat="1">
      <c r="B1984" s="28"/>
      <c r="C1984" s="18"/>
      <c r="E1984" s="50"/>
    </row>
    <row r="1985" spans="2:5" s="4" customFormat="1">
      <c r="B1985" s="28"/>
      <c r="C1985" s="18"/>
      <c r="E1985" s="50"/>
    </row>
    <row r="1986" spans="2:5" s="4" customFormat="1">
      <c r="B1986" s="28"/>
      <c r="C1986" s="18"/>
      <c r="E1986" s="50"/>
    </row>
    <row r="1987" spans="2:5" s="4" customFormat="1">
      <c r="B1987" s="28"/>
      <c r="C1987" s="18"/>
      <c r="E1987" s="50"/>
    </row>
    <row r="1988" spans="2:5" s="4" customFormat="1">
      <c r="B1988" s="28"/>
      <c r="C1988" s="18"/>
      <c r="E1988" s="50"/>
    </row>
    <row r="1989" spans="2:5" s="4" customFormat="1">
      <c r="B1989" s="28"/>
      <c r="C1989" s="18"/>
      <c r="E1989" s="50"/>
    </row>
    <row r="1990" spans="2:5" s="4" customFormat="1">
      <c r="B1990" s="28"/>
      <c r="C1990" s="18"/>
      <c r="E1990" s="50"/>
    </row>
    <row r="1991" spans="2:5" s="4" customFormat="1">
      <c r="B1991" s="28"/>
      <c r="C1991" s="18"/>
      <c r="E1991" s="50"/>
    </row>
    <row r="1992" spans="2:5" s="4" customFormat="1">
      <c r="B1992" s="28"/>
      <c r="C1992" s="18"/>
      <c r="E1992" s="50"/>
    </row>
    <row r="1993" spans="2:5" s="4" customFormat="1">
      <c r="B1993" s="28"/>
      <c r="C1993" s="18"/>
      <c r="E1993" s="50"/>
    </row>
    <row r="1994" spans="2:5" s="4" customFormat="1">
      <c r="B1994" s="28"/>
      <c r="C1994" s="18"/>
      <c r="E1994" s="50"/>
    </row>
    <row r="1995" spans="2:5" s="4" customFormat="1">
      <c r="B1995" s="28"/>
      <c r="C1995" s="18"/>
      <c r="E1995" s="50"/>
    </row>
    <row r="1996" spans="2:5" s="4" customFormat="1">
      <c r="B1996" s="28"/>
      <c r="C1996" s="18"/>
      <c r="E1996" s="50"/>
    </row>
    <row r="1997" spans="2:5" s="4" customFormat="1">
      <c r="B1997" s="28"/>
      <c r="C1997" s="18"/>
      <c r="E1997" s="50"/>
    </row>
    <row r="1998" spans="2:5" s="4" customFormat="1">
      <c r="B1998" s="28"/>
      <c r="C1998" s="18"/>
      <c r="E1998" s="50"/>
    </row>
    <row r="1999" spans="2:5" s="4" customFormat="1">
      <c r="B1999" s="28"/>
      <c r="C1999" s="18"/>
      <c r="E1999" s="50"/>
    </row>
    <row r="2000" spans="2:5" s="4" customFormat="1">
      <c r="B2000" s="28"/>
      <c r="C2000" s="18"/>
      <c r="E2000" s="50"/>
    </row>
    <row r="2001" spans="2:5" s="4" customFormat="1">
      <c r="B2001" s="28"/>
      <c r="C2001" s="18"/>
      <c r="E2001" s="50"/>
    </row>
    <row r="2002" spans="2:5" s="4" customFormat="1">
      <c r="B2002" s="28"/>
      <c r="C2002" s="18"/>
      <c r="E2002" s="50"/>
    </row>
    <row r="2003" spans="2:5" s="4" customFormat="1">
      <c r="B2003" s="28"/>
      <c r="C2003" s="18"/>
      <c r="E2003" s="50"/>
    </row>
    <row r="2004" spans="2:5" s="4" customFormat="1">
      <c r="B2004" s="28"/>
      <c r="C2004" s="18"/>
      <c r="E2004" s="50"/>
    </row>
    <row r="2005" spans="2:5" s="4" customFormat="1">
      <c r="B2005" s="28"/>
      <c r="C2005" s="18"/>
      <c r="E2005" s="50"/>
    </row>
    <row r="2006" spans="2:5" s="4" customFormat="1">
      <c r="B2006" s="28"/>
      <c r="C2006" s="18"/>
      <c r="E2006" s="50"/>
    </row>
    <row r="2007" spans="2:5" s="4" customFormat="1">
      <c r="B2007" s="28"/>
      <c r="C2007" s="18"/>
      <c r="E2007" s="50"/>
    </row>
    <row r="2008" spans="2:5" s="4" customFormat="1">
      <c r="B2008" s="28"/>
      <c r="C2008" s="18"/>
      <c r="E2008" s="50"/>
    </row>
    <row r="2009" spans="2:5" s="4" customFormat="1">
      <c r="B2009" s="28"/>
      <c r="C2009" s="18"/>
      <c r="E2009" s="50"/>
    </row>
    <row r="2010" spans="2:5" s="4" customFormat="1">
      <c r="B2010" s="28"/>
      <c r="C2010" s="18"/>
      <c r="E2010" s="50"/>
    </row>
    <row r="2011" spans="2:5" s="4" customFormat="1">
      <c r="B2011" s="28"/>
      <c r="C2011" s="18"/>
      <c r="E2011" s="50"/>
    </row>
    <row r="2012" spans="2:5" s="4" customFormat="1">
      <c r="B2012" s="28"/>
      <c r="C2012" s="18"/>
      <c r="E2012" s="50"/>
    </row>
    <row r="2013" spans="2:5" s="4" customFormat="1">
      <c r="B2013" s="28"/>
      <c r="C2013" s="18"/>
      <c r="E2013" s="50"/>
    </row>
    <row r="2014" spans="2:5" s="4" customFormat="1">
      <c r="B2014" s="28"/>
      <c r="C2014" s="18"/>
      <c r="E2014" s="50"/>
    </row>
    <row r="2015" spans="2:5" s="4" customFormat="1">
      <c r="B2015" s="28"/>
      <c r="C2015" s="18"/>
      <c r="E2015" s="50"/>
    </row>
    <row r="2016" spans="2:5" s="4" customFormat="1">
      <c r="B2016" s="28"/>
      <c r="C2016" s="18"/>
      <c r="E2016" s="50"/>
    </row>
    <row r="2017" spans="2:5" s="4" customFormat="1">
      <c r="B2017" s="28"/>
      <c r="C2017" s="18"/>
      <c r="E2017" s="50"/>
    </row>
    <row r="2018" spans="2:5" s="4" customFormat="1">
      <c r="B2018" s="28"/>
      <c r="C2018" s="18"/>
      <c r="E2018" s="50"/>
    </row>
    <row r="2019" spans="2:5" s="4" customFormat="1">
      <c r="B2019" s="28"/>
      <c r="C2019" s="18"/>
      <c r="E2019" s="50"/>
    </row>
    <row r="2020" spans="2:5" s="4" customFormat="1">
      <c r="B2020" s="28"/>
      <c r="C2020" s="18"/>
      <c r="E2020" s="50"/>
    </row>
    <row r="2021" spans="2:5" s="4" customFormat="1">
      <c r="B2021" s="28"/>
      <c r="C2021" s="18"/>
      <c r="E2021" s="50"/>
    </row>
    <row r="2022" spans="2:5" s="4" customFormat="1">
      <c r="B2022" s="28"/>
      <c r="C2022" s="18"/>
      <c r="E2022" s="50"/>
    </row>
    <row r="2023" spans="2:5" s="4" customFormat="1">
      <c r="B2023" s="28"/>
      <c r="C2023" s="18"/>
      <c r="E2023" s="50"/>
    </row>
    <row r="2024" spans="2:5" s="4" customFormat="1">
      <c r="B2024" s="28"/>
      <c r="C2024" s="18"/>
      <c r="E2024" s="50"/>
    </row>
    <row r="2025" spans="2:5" s="4" customFormat="1">
      <c r="B2025" s="28"/>
      <c r="C2025" s="18"/>
      <c r="E2025" s="50"/>
    </row>
    <row r="2026" spans="2:5" s="4" customFormat="1">
      <c r="B2026" s="28"/>
      <c r="C2026" s="18"/>
      <c r="E2026" s="50"/>
    </row>
    <row r="2027" spans="2:5" s="4" customFormat="1">
      <c r="B2027" s="28"/>
      <c r="C2027" s="18"/>
      <c r="E2027" s="50"/>
    </row>
    <row r="2028" spans="2:5" s="4" customFormat="1">
      <c r="B2028" s="28"/>
      <c r="C2028" s="18"/>
      <c r="E2028" s="50"/>
    </row>
    <row r="2029" spans="2:5" s="4" customFormat="1">
      <c r="B2029" s="28"/>
      <c r="C2029" s="18"/>
      <c r="E2029" s="50"/>
    </row>
    <row r="2030" spans="2:5" s="4" customFormat="1">
      <c r="B2030" s="28"/>
      <c r="C2030" s="18"/>
      <c r="E2030" s="50"/>
    </row>
    <row r="2031" spans="2:5" s="4" customFormat="1">
      <c r="B2031" s="28"/>
      <c r="C2031" s="18"/>
      <c r="E2031" s="50"/>
    </row>
    <row r="2032" spans="2:5" s="4" customFormat="1">
      <c r="B2032" s="28"/>
      <c r="C2032" s="18"/>
      <c r="E2032" s="50"/>
    </row>
    <row r="2033" spans="2:5" s="4" customFormat="1">
      <c r="B2033" s="28"/>
      <c r="C2033" s="18"/>
      <c r="E2033" s="50"/>
    </row>
    <row r="2034" spans="2:5" s="4" customFormat="1">
      <c r="B2034" s="28"/>
      <c r="C2034" s="18"/>
      <c r="E2034" s="50"/>
    </row>
    <row r="2035" spans="2:5" s="4" customFormat="1">
      <c r="B2035" s="28"/>
      <c r="C2035" s="18"/>
      <c r="E2035" s="50"/>
    </row>
    <row r="2036" spans="2:5" s="4" customFormat="1">
      <c r="B2036" s="28"/>
      <c r="C2036" s="18"/>
      <c r="E2036" s="50"/>
    </row>
    <row r="2037" spans="2:5" s="4" customFormat="1">
      <c r="B2037" s="28"/>
      <c r="C2037" s="18"/>
      <c r="E2037" s="50"/>
    </row>
    <row r="2038" spans="2:5" s="4" customFormat="1">
      <c r="B2038" s="28"/>
      <c r="C2038" s="18"/>
      <c r="E2038" s="50"/>
    </row>
    <row r="2039" spans="2:5" s="4" customFormat="1">
      <c r="B2039" s="28"/>
      <c r="C2039" s="18"/>
      <c r="E2039" s="50"/>
    </row>
    <row r="2040" spans="2:5" s="4" customFormat="1">
      <c r="B2040" s="28"/>
      <c r="C2040" s="18"/>
      <c r="E2040" s="50"/>
    </row>
    <row r="2041" spans="2:5" s="4" customFormat="1">
      <c r="B2041" s="28"/>
      <c r="C2041" s="18"/>
      <c r="E2041" s="50"/>
    </row>
    <row r="2042" spans="2:5" s="4" customFormat="1">
      <c r="B2042" s="28"/>
      <c r="C2042" s="18"/>
      <c r="E2042" s="50"/>
    </row>
    <row r="2043" spans="2:5" s="4" customFormat="1">
      <c r="B2043" s="28"/>
      <c r="C2043" s="18"/>
      <c r="E2043" s="50"/>
    </row>
    <row r="2044" spans="2:5" s="4" customFormat="1">
      <c r="B2044" s="28"/>
      <c r="C2044" s="18"/>
      <c r="E2044" s="50"/>
    </row>
    <row r="2045" spans="2:5" s="4" customFormat="1">
      <c r="B2045" s="28"/>
      <c r="C2045" s="18"/>
      <c r="E2045" s="50"/>
    </row>
    <row r="2046" spans="2:5" s="4" customFormat="1">
      <c r="B2046" s="28"/>
      <c r="C2046" s="18"/>
      <c r="E2046" s="50"/>
    </row>
    <row r="2047" spans="2:5" s="4" customFormat="1">
      <c r="B2047" s="28"/>
      <c r="C2047" s="18"/>
      <c r="E2047" s="50"/>
    </row>
    <row r="2048" spans="2:5" s="4" customFormat="1">
      <c r="B2048" s="28"/>
      <c r="C2048" s="18"/>
      <c r="E2048" s="50"/>
    </row>
    <row r="2049" spans="2:5" s="4" customFormat="1">
      <c r="B2049" s="28"/>
      <c r="C2049" s="18"/>
      <c r="E2049" s="50"/>
    </row>
    <row r="2050" spans="2:5" s="4" customFormat="1">
      <c r="B2050" s="28"/>
      <c r="C2050" s="18"/>
      <c r="E2050" s="50"/>
    </row>
    <row r="2051" spans="2:5" s="4" customFormat="1">
      <c r="B2051" s="28"/>
      <c r="C2051" s="18"/>
      <c r="E2051" s="50"/>
    </row>
    <row r="2052" spans="2:5" s="4" customFormat="1">
      <c r="B2052" s="28"/>
      <c r="C2052" s="18"/>
      <c r="E2052" s="50"/>
    </row>
    <row r="2053" spans="2:5" s="4" customFormat="1">
      <c r="B2053" s="28"/>
      <c r="C2053" s="18"/>
      <c r="E2053" s="50"/>
    </row>
    <row r="2054" spans="2:5" s="4" customFormat="1">
      <c r="B2054" s="28"/>
      <c r="C2054" s="18"/>
      <c r="E2054" s="50"/>
    </row>
    <row r="2055" spans="2:5" s="4" customFormat="1">
      <c r="B2055" s="28"/>
      <c r="C2055" s="18"/>
      <c r="E2055" s="50"/>
    </row>
    <row r="2056" spans="2:5" s="4" customFormat="1">
      <c r="B2056" s="28"/>
      <c r="C2056" s="18"/>
      <c r="E2056" s="50"/>
    </row>
    <row r="2057" spans="2:5" s="4" customFormat="1">
      <c r="B2057" s="28"/>
      <c r="C2057" s="18"/>
      <c r="E2057" s="50"/>
    </row>
    <row r="2058" spans="2:5" s="4" customFormat="1">
      <c r="B2058" s="28"/>
      <c r="C2058" s="18"/>
      <c r="E2058" s="50"/>
    </row>
    <row r="2059" spans="2:5" s="4" customFormat="1">
      <c r="B2059" s="28"/>
      <c r="C2059" s="18"/>
      <c r="E2059" s="50"/>
    </row>
    <row r="2060" spans="2:5" s="4" customFormat="1">
      <c r="B2060" s="28"/>
      <c r="C2060" s="18"/>
      <c r="E2060" s="50"/>
    </row>
    <row r="2061" spans="2:5" s="4" customFormat="1">
      <c r="B2061" s="28"/>
      <c r="C2061" s="18"/>
      <c r="E2061" s="50"/>
    </row>
    <row r="2062" spans="2:5" s="4" customFormat="1">
      <c r="B2062" s="28"/>
      <c r="C2062" s="18"/>
      <c r="E2062" s="50"/>
    </row>
    <row r="2063" spans="2:5" s="4" customFormat="1">
      <c r="B2063" s="28"/>
      <c r="C2063" s="18"/>
      <c r="E2063" s="50"/>
    </row>
    <row r="2064" spans="2:5" s="4" customFormat="1">
      <c r="B2064" s="28"/>
      <c r="C2064" s="18"/>
      <c r="E2064" s="50"/>
    </row>
    <row r="2065" spans="2:5" s="4" customFormat="1">
      <c r="B2065" s="28"/>
      <c r="C2065" s="18"/>
      <c r="E2065" s="50"/>
    </row>
    <row r="2066" spans="2:5" s="4" customFormat="1">
      <c r="B2066" s="28"/>
      <c r="C2066" s="18"/>
      <c r="E2066" s="50"/>
    </row>
    <row r="2067" spans="2:5" s="4" customFormat="1">
      <c r="B2067" s="28"/>
      <c r="C2067" s="18"/>
      <c r="E2067" s="50"/>
    </row>
    <row r="2068" spans="2:5" s="4" customFormat="1">
      <c r="B2068" s="28"/>
      <c r="C2068" s="18"/>
      <c r="E2068" s="50"/>
    </row>
    <row r="2069" spans="2:5" s="4" customFormat="1">
      <c r="B2069" s="28"/>
      <c r="C2069" s="18"/>
      <c r="E2069" s="50"/>
    </row>
    <row r="2070" spans="2:5" s="4" customFormat="1">
      <c r="B2070" s="28"/>
      <c r="C2070" s="18"/>
      <c r="E2070" s="50"/>
    </row>
    <row r="2071" spans="2:5" s="4" customFormat="1">
      <c r="B2071" s="28"/>
      <c r="C2071" s="18"/>
      <c r="E2071" s="50"/>
    </row>
    <row r="2072" spans="2:5" s="4" customFormat="1">
      <c r="B2072" s="28"/>
      <c r="C2072" s="18"/>
      <c r="E2072" s="50"/>
    </row>
    <row r="2073" spans="2:5" s="4" customFormat="1">
      <c r="B2073" s="28"/>
      <c r="C2073" s="18"/>
      <c r="E2073" s="50"/>
    </row>
    <row r="2074" spans="2:5" s="4" customFormat="1">
      <c r="B2074" s="28"/>
      <c r="C2074" s="18"/>
      <c r="E2074" s="50"/>
    </row>
    <row r="2075" spans="2:5" s="4" customFormat="1">
      <c r="B2075" s="28"/>
      <c r="C2075" s="18"/>
      <c r="E2075" s="50"/>
    </row>
    <row r="2076" spans="2:5" s="4" customFormat="1">
      <c r="B2076" s="28"/>
      <c r="C2076" s="18"/>
      <c r="E2076" s="50"/>
    </row>
    <row r="2077" spans="2:5" s="4" customFormat="1">
      <c r="B2077" s="28"/>
      <c r="C2077" s="18"/>
      <c r="E2077" s="50"/>
    </row>
    <row r="2078" spans="2:5" s="4" customFormat="1">
      <c r="B2078" s="28"/>
      <c r="C2078" s="18"/>
      <c r="E2078" s="50"/>
    </row>
    <row r="2079" spans="2:5" s="4" customFormat="1">
      <c r="B2079" s="28"/>
      <c r="C2079" s="18"/>
      <c r="E2079" s="50"/>
    </row>
    <row r="2080" spans="2:5" s="4" customFormat="1">
      <c r="B2080" s="28"/>
      <c r="C2080" s="18"/>
      <c r="E2080" s="50"/>
    </row>
    <row r="2081" spans="2:5" s="4" customFormat="1">
      <c r="B2081" s="28"/>
      <c r="C2081" s="18"/>
      <c r="E2081" s="50"/>
    </row>
    <row r="2082" spans="2:5" s="4" customFormat="1">
      <c r="B2082" s="28"/>
      <c r="C2082" s="18"/>
      <c r="E2082" s="50"/>
    </row>
    <row r="2083" spans="2:5" s="4" customFormat="1">
      <c r="B2083" s="28"/>
      <c r="C2083" s="18"/>
      <c r="E2083" s="50"/>
    </row>
    <row r="2084" spans="2:5" s="4" customFormat="1">
      <c r="B2084" s="28"/>
      <c r="C2084" s="18"/>
      <c r="E2084" s="50"/>
    </row>
    <row r="2085" spans="2:5" s="4" customFormat="1">
      <c r="B2085" s="28"/>
      <c r="C2085" s="18"/>
      <c r="E2085" s="50"/>
    </row>
    <row r="2086" spans="2:5" s="4" customFormat="1">
      <c r="B2086" s="28"/>
      <c r="C2086" s="18"/>
      <c r="E2086" s="50"/>
    </row>
    <row r="2087" spans="2:5" s="4" customFormat="1">
      <c r="B2087" s="28"/>
      <c r="C2087" s="18"/>
      <c r="E2087" s="50"/>
    </row>
    <row r="2088" spans="2:5" s="4" customFormat="1">
      <c r="B2088" s="28"/>
      <c r="C2088" s="18"/>
      <c r="E2088" s="50"/>
    </row>
    <row r="2089" spans="2:5" s="4" customFormat="1">
      <c r="B2089" s="28"/>
      <c r="C2089" s="18"/>
      <c r="E2089" s="50"/>
    </row>
    <row r="2090" spans="2:5" s="4" customFormat="1">
      <c r="B2090" s="28"/>
      <c r="C2090" s="18"/>
      <c r="E2090" s="50"/>
    </row>
    <row r="2091" spans="2:5" s="4" customFormat="1">
      <c r="B2091" s="28"/>
      <c r="C2091" s="18"/>
      <c r="E2091" s="50"/>
    </row>
    <row r="2092" spans="2:5" s="4" customFormat="1">
      <c r="B2092" s="28"/>
      <c r="C2092" s="18"/>
      <c r="E2092" s="50"/>
    </row>
    <row r="2093" spans="2:5" s="4" customFormat="1">
      <c r="B2093" s="28"/>
      <c r="C2093" s="18"/>
      <c r="E2093" s="50"/>
    </row>
    <row r="2094" spans="2:5" s="4" customFormat="1">
      <c r="B2094" s="28"/>
      <c r="C2094" s="18"/>
      <c r="E2094" s="50"/>
    </row>
    <row r="2095" spans="2:5" s="4" customFormat="1">
      <c r="B2095" s="28"/>
      <c r="C2095" s="18"/>
      <c r="E2095" s="50"/>
    </row>
    <row r="2096" spans="2:5" s="4" customFormat="1">
      <c r="B2096" s="28"/>
      <c r="C2096" s="18"/>
      <c r="E2096" s="50"/>
    </row>
    <row r="2097" spans="2:5" s="4" customFormat="1">
      <c r="B2097" s="28"/>
      <c r="C2097" s="18"/>
      <c r="E2097" s="50"/>
    </row>
    <row r="2098" spans="2:5" s="4" customFormat="1">
      <c r="B2098" s="28"/>
      <c r="C2098" s="18"/>
      <c r="E2098" s="50"/>
    </row>
    <row r="2099" spans="2:5" s="4" customFormat="1">
      <c r="B2099" s="28"/>
      <c r="C2099" s="18"/>
      <c r="E2099" s="50"/>
    </row>
    <row r="2100" spans="2:5" s="4" customFormat="1">
      <c r="B2100" s="28"/>
      <c r="C2100" s="18"/>
      <c r="E2100" s="50"/>
    </row>
    <row r="2101" spans="2:5" s="4" customFormat="1">
      <c r="B2101" s="28"/>
      <c r="C2101" s="18"/>
      <c r="E2101" s="50"/>
    </row>
    <row r="2102" spans="2:5" s="4" customFormat="1">
      <c r="B2102" s="28"/>
      <c r="C2102" s="18"/>
      <c r="E2102" s="50"/>
    </row>
    <row r="2103" spans="2:5" s="4" customFormat="1">
      <c r="B2103" s="28"/>
      <c r="C2103" s="18"/>
      <c r="E2103" s="50"/>
    </row>
    <row r="2104" spans="2:5" s="4" customFormat="1">
      <c r="B2104" s="28"/>
      <c r="C2104" s="18"/>
      <c r="E2104" s="50"/>
    </row>
    <row r="2105" spans="2:5" s="4" customFormat="1">
      <c r="B2105" s="28"/>
      <c r="C2105" s="18"/>
      <c r="E2105" s="50"/>
    </row>
    <row r="2106" spans="2:5" s="4" customFormat="1">
      <c r="B2106" s="28"/>
      <c r="C2106" s="18"/>
      <c r="E2106" s="50"/>
    </row>
    <row r="2107" spans="2:5" s="4" customFormat="1">
      <c r="B2107" s="28"/>
      <c r="C2107" s="18"/>
      <c r="E2107" s="50"/>
    </row>
    <row r="2108" spans="2:5" s="4" customFormat="1">
      <c r="B2108" s="28"/>
      <c r="C2108" s="18"/>
      <c r="E2108" s="50"/>
    </row>
    <row r="2109" spans="2:5" s="4" customFormat="1">
      <c r="B2109" s="28"/>
      <c r="C2109" s="18"/>
      <c r="E2109" s="50"/>
    </row>
    <row r="2110" spans="2:5" s="4" customFormat="1">
      <c r="B2110" s="28"/>
      <c r="C2110" s="18"/>
      <c r="E2110" s="50"/>
    </row>
    <row r="2111" spans="2:5" s="4" customFormat="1">
      <c r="B2111" s="28"/>
      <c r="C2111" s="18"/>
      <c r="E2111" s="50"/>
    </row>
    <row r="2112" spans="2:5" s="4" customFormat="1">
      <c r="B2112" s="28"/>
      <c r="C2112" s="18"/>
      <c r="E2112" s="50"/>
    </row>
    <row r="2113" spans="2:5" s="4" customFormat="1">
      <c r="B2113" s="28"/>
      <c r="C2113" s="18"/>
      <c r="E2113" s="50"/>
    </row>
    <row r="2114" spans="2:5" s="4" customFormat="1">
      <c r="B2114" s="28"/>
      <c r="C2114" s="18"/>
      <c r="E2114" s="50"/>
    </row>
    <row r="2115" spans="2:5" s="4" customFormat="1">
      <c r="B2115" s="28"/>
      <c r="C2115" s="18"/>
      <c r="E2115" s="50"/>
    </row>
    <row r="2116" spans="2:5" s="4" customFormat="1">
      <c r="B2116" s="28"/>
      <c r="C2116" s="18"/>
      <c r="E2116" s="50"/>
    </row>
    <row r="2117" spans="2:5" s="4" customFormat="1">
      <c r="B2117" s="28"/>
      <c r="C2117" s="18"/>
      <c r="E2117" s="50"/>
    </row>
    <row r="2118" spans="2:5" s="4" customFormat="1">
      <c r="B2118" s="28"/>
      <c r="C2118" s="18"/>
      <c r="E2118" s="50"/>
    </row>
    <row r="2119" spans="2:5" s="4" customFormat="1">
      <c r="B2119" s="28"/>
      <c r="C2119" s="18"/>
      <c r="E2119" s="50"/>
    </row>
    <row r="2120" spans="2:5" s="4" customFormat="1">
      <c r="B2120" s="28"/>
      <c r="C2120" s="18"/>
      <c r="E2120" s="50"/>
    </row>
    <row r="2121" spans="2:5" s="4" customFormat="1">
      <c r="B2121" s="28"/>
      <c r="C2121" s="18"/>
      <c r="E2121" s="50"/>
    </row>
    <row r="2122" spans="2:5" s="4" customFormat="1">
      <c r="B2122" s="28"/>
      <c r="C2122" s="18"/>
      <c r="E2122" s="50"/>
    </row>
    <row r="2123" spans="2:5" s="4" customFormat="1">
      <c r="B2123" s="28"/>
      <c r="C2123" s="18"/>
      <c r="E2123" s="50"/>
    </row>
    <row r="2124" spans="2:5" s="4" customFormat="1">
      <c r="B2124" s="28"/>
      <c r="C2124" s="18"/>
      <c r="E2124" s="50"/>
    </row>
    <row r="2125" spans="2:5" s="4" customFormat="1">
      <c r="B2125" s="28"/>
      <c r="C2125" s="18"/>
      <c r="E2125" s="50"/>
    </row>
    <row r="2126" spans="2:5" s="4" customFormat="1">
      <c r="B2126" s="28"/>
      <c r="C2126" s="18"/>
      <c r="E2126" s="50"/>
    </row>
    <row r="2127" spans="2:5" s="4" customFormat="1">
      <c r="B2127" s="28"/>
      <c r="C2127" s="18"/>
      <c r="E2127" s="50"/>
    </row>
    <row r="2128" spans="2:5" s="4" customFormat="1">
      <c r="B2128" s="28"/>
      <c r="C2128" s="18"/>
      <c r="E2128" s="50"/>
    </row>
    <row r="2129" spans="2:5" s="4" customFormat="1">
      <c r="B2129" s="28"/>
      <c r="C2129" s="18"/>
      <c r="E2129" s="50"/>
    </row>
    <row r="2130" spans="2:5" s="4" customFormat="1">
      <c r="B2130" s="28"/>
      <c r="C2130" s="18"/>
      <c r="E2130" s="50"/>
    </row>
    <row r="2131" spans="2:5" s="4" customFormat="1">
      <c r="B2131" s="28"/>
      <c r="C2131" s="18"/>
      <c r="E2131" s="50"/>
    </row>
    <row r="2132" spans="2:5" s="4" customFormat="1">
      <c r="B2132" s="28"/>
      <c r="C2132" s="18"/>
      <c r="E2132" s="50"/>
    </row>
    <row r="2133" spans="2:5" s="4" customFormat="1">
      <c r="B2133" s="28"/>
      <c r="C2133" s="18"/>
      <c r="E2133" s="50"/>
    </row>
    <row r="2134" spans="2:5" s="4" customFormat="1">
      <c r="B2134" s="28"/>
      <c r="C2134" s="18"/>
      <c r="E2134" s="50"/>
    </row>
    <row r="2135" spans="2:5" s="4" customFormat="1">
      <c r="B2135" s="28"/>
      <c r="C2135" s="18"/>
      <c r="E2135" s="50"/>
    </row>
    <row r="2136" spans="2:5" s="4" customFormat="1">
      <c r="B2136" s="28"/>
      <c r="C2136" s="18"/>
      <c r="E2136" s="50"/>
    </row>
    <row r="2137" spans="2:5" s="4" customFormat="1">
      <c r="B2137" s="28"/>
      <c r="C2137" s="18"/>
      <c r="E2137" s="50"/>
    </row>
    <row r="2138" spans="2:5" s="4" customFormat="1">
      <c r="B2138" s="28"/>
      <c r="C2138" s="18"/>
      <c r="E2138" s="50"/>
    </row>
    <row r="2139" spans="2:5" s="4" customFormat="1">
      <c r="B2139" s="28"/>
      <c r="C2139" s="18"/>
      <c r="E2139" s="50"/>
    </row>
    <row r="2140" spans="2:5" s="4" customFormat="1">
      <c r="B2140" s="28"/>
      <c r="C2140" s="18"/>
      <c r="E2140" s="50"/>
    </row>
    <row r="2141" spans="2:5" s="4" customFormat="1">
      <c r="B2141" s="28"/>
      <c r="C2141" s="18"/>
      <c r="E2141" s="50"/>
    </row>
    <row r="2142" spans="2:5" s="4" customFormat="1">
      <c r="B2142" s="28"/>
      <c r="C2142" s="18"/>
      <c r="E2142" s="50"/>
    </row>
    <row r="2143" spans="2:5" s="4" customFormat="1">
      <c r="B2143" s="28"/>
      <c r="C2143" s="18"/>
      <c r="E2143" s="50"/>
    </row>
    <row r="2144" spans="2:5" s="4" customFormat="1">
      <c r="B2144" s="28"/>
      <c r="C2144" s="18"/>
      <c r="E2144" s="50"/>
    </row>
    <row r="2145" spans="2:5" s="4" customFormat="1">
      <c r="B2145" s="28"/>
      <c r="C2145" s="18"/>
      <c r="E2145" s="50"/>
    </row>
    <row r="2146" spans="2:5" s="4" customFormat="1">
      <c r="B2146" s="28"/>
      <c r="C2146" s="18"/>
      <c r="E2146" s="50"/>
    </row>
    <row r="2147" spans="2:5" s="4" customFormat="1">
      <c r="B2147" s="28"/>
      <c r="C2147" s="18"/>
      <c r="E2147" s="50"/>
    </row>
    <row r="2148" spans="2:5" s="4" customFormat="1">
      <c r="B2148" s="28"/>
      <c r="C2148" s="18"/>
      <c r="E2148" s="50"/>
    </row>
    <row r="2149" spans="2:5" s="4" customFormat="1">
      <c r="B2149" s="28"/>
      <c r="C2149" s="18"/>
      <c r="E2149" s="50"/>
    </row>
    <row r="2150" spans="2:5" s="4" customFormat="1">
      <c r="B2150" s="28"/>
      <c r="C2150" s="18"/>
      <c r="E2150" s="50"/>
    </row>
    <row r="2151" spans="2:5" s="4" customFormat="1">
      <c r="B2151" s="28"/>
      <c r="C2151" s="18"/>
      <c r="E2151" s="50"/>
    </row>
    <row r="2152" spans="2:5" s="4" customFormat="1">
      <c r="B2152" s="28"/>
      <c r="C2152" s="18"/>
      <c r="E2152" s="50"/>
    </row>
    <row r="2153" spans="2:5" s="4" customFormat="1">
      <c r="B2153" s="28"/>
      <c r="C2153" s="18"/>
      <c r="E2153" s="50"/>
    </row>
    <row r="2154" spans="2:5" s="4" customFormat="1">
      <c r="B2154" s="28"/>
      <c r="C2154" s="18"/>
      <c r="E2154" s="50"/>
    </row>
    <row r="2155" spans="2:5" s="4" customFormat="1">
      <c r="B2155" s="28"/>
      <c r="C2155" s="18"/>
      <c r="E2155" s="50"/>
    </row>
    <row r="2156" spans="2:5" s="4" customFormat="1">
      <c r="B2156" s="28"/>
      <c r="C2156" s="18"/>
      <c r="E2156" s="50"/>
    </row>
    <row r="2157" spans="2:5" s="4" customFormat="1">
      <c r="B2157" s="28"/>
      <c r="C2157" s="18"/>
      <c r="E2157" s="50"/>
    </row>
    <row r="2158" spans="2:5" s="4" customFormat="1">
      <c r="B2158" s="28"/>
      <c r="C2158" s="18"/>
      <c r="E2158" s="50"/>
    </row>
    <row r="2159" spans="2:5" s="4" customFormat="1">
      <c r="B2159" s="28"/>
      <c r="C2159" s="18"/>
      <c r="E2159" s="50"/>
    </row>
    <row r="2160" spans="2:5" s="4" customFormat="1">
      <c r="B2160" s="28"/>
      <c r="C2160" s="18"/>
      <c r="E2160" s="50"/>
    </row>
    <row r="2161" spans="2:5" s="4" customFormat="1">
      <c r="B2161" s="28"/>
      <c r="C2161" s="18"/>
      <c r="E2161" s="50"/>
    </row>
    <row r="2162" spans="2:5" s="4" customFormat="1">
      <c r="B2162" s="28"/>
      <c r="C2162" s="18"/>
      <c r="E2162" s="50"/>
    </row>
    <row r="2163" spans="2:5" s="4" customFormat="1">
      <c r="B2163" s="28"/>
      <c r="C2163" s="18"/>
      <c r="E2163" s="50"/>
    </row>
    <row r="2164" spans="2:5" s="4" customFormat="1">
      <c r="B2164" s="28"/>
      <c r="C2164" s="18"/>
      <c r="E2164" s="50"/>
    </row>
    <row r="2165" spans="2:5" s="4" customFormat="1">
      <c r="B2165" s="28"/>
      <c r="C2165" s="18"/>
      <c r="E2165" s="50"/>
    </row>
    <row r="2166" spans="2:5" s="4" customFormat="1">
      <c r="B2166" s="28"/>
      <c r="C2166" s="18"/>
      <c r="E2166" s="50"/>
    </row>
    <row r="2167" spans="2:5" s="4" customFormat="1">
      <c r="B2167" s="28"/>
      <c r="C2167" s="18"/>
      <c r="E2167" s="50"/>
    </row>
    <row r="2168" spans="2:5" s="4" customFormat="1">
      <c r="B2168" s="28"/>
      <c r="C2168" s="18"/>
      <c r="E2168" s="50"/>
    </row>
    <row r="2169" spans="2:5" s="4" customFormat="1">
      <c r="B2169" s="28"/>
      <c r="C2169" s="18"/>
      <c r="E2169" s="50"/>
    </row>
    <row r="2170" spans="2:5" s="4" customFormat="1">
      <c r="B2170" s="28"/>
      <c r="C2170" s="18"/>
      <c r="E2170" s="50"/>
    </row>
    <row r="2171" spans="2:5" s="4" customFormat="1">
      <c r="B2171" s="28"/>
      <c r="C2171" s="18"/>
      <c r="E2171" s="50"/>
    </row>
    <row r="2172" spans="2:5" s="4" customFormat="1">
      <c r="B2172" s="28"/>
      <c r="C2172" s="18"/>
      <c r="E2172" s="50"/>
    </row>
    <row r="2173" spans="2:5" s="4" customFormat="1">
      <c r="B2173" s="28"/>
      <c r="C2173" s="18"/>
      <c r="E2173" s="50"/>
    </row>
    <row r="2174" spans="2:5" s="4" customFormat="1">
      <c r="B2174" s="28"/>
      <c r="C2174" s="18"/>
      <c r="E2174" s="50"/>
    </row>
    <row r="2175" spans="2:5" s="4" customFormat="1">
      <c r="B2175" s="28"/>
      <c r="C2175" s="18"/>
      <c r="E2175" s="50"/>
    </row>
    <row r="2176" spans="2:5" s="4" customFormat="1">
      <c r="B2176" s="28"/>
      <c r="C2176" s="18"/>
      <c r="E2176" s="50"/>
    </row>
    <row r="2177" spans="2:5" s="4" customFormat="1">
      <c r="B2177" s="28"/>
      <c r="C2177" s="18"/>
      <c r="E2177" s="50"/>
    </row>
    <row r="2178" spans="2:5" s="4" customFormat="1">
      <c r="B2178" s="28"/>
      <c r="C2178" s="18"/>
      <c r="E2178" s="50"/>
    </row>
    <row r="2179" spans="2:5" s="4" customFormat="1">
      <c r="B2179" s="28"/>
      <c r="C2179" s="18"/>
      <c r="E2179" s="50"/>
    </row>
    <row r="2180" spans="2:5" s="4" customFormat="1">
      <c r="B2180" s="28"/>
      <c r="C2180" s="18"/>
      <c r="E2180" s="50"/>
    </row>
    <row r="2181" spans="2:5" s="4" customFormat="1">
      <c r="B2181" s="28"/>
      <c r="C2181" s="18"/>
      <c r="E2181" s="50"/>
    </row>
    <row r="2182" spans="2:5" s="4" customFormat="1">
      <c r="B2182" s="28"/>
      <c r="C2182" s="18"/>
      <c r="E2182" s="50"/>
    </row>
    <row r="2183" spans="2:5" s="4" customFormat="1">
      <c r="B2183" s="28"/>
      <c r="C2183" s="18"/>
      <c r="E2183" s="50"/>
    </row>
    <row r="2184" spans="2:5" s="4" customFormat="1">
      <c r="B2184" s="28"/>
      <c r="C2184" s="18"/>
      <c r="E2184" s="50"/>
    </row>
    <row r="2185" spans="2:5" s="4" customFormat="1">
      <c r="B2185" s="28"/>
      <c r="C2185" s="18"/>
      <c r="E2185" s="50"/>
    </row>
    <row r="2186" spans="2:5" s="4" customFormat="1">
      <c r="B2186" s="28"/>
      <c r="C2186" s="18"/>
      <c r="E2186" s="50"/>
    </row>
    <row r="2187" spans="2:5" s="4" customFormat="1">
      <c r="B2187" s="28"/>
      <c r="C2187" s="18"/>
      <c r="E2187" s="50"/>
    </row>
    <row r="2188" spans="2:5" s="4" customFormat="1">
      <c r="B2188" s="28"/>
      <c r="C2188" s="18"/>
      <c r="E2188" s="50"/>
    </row>
    <row r="2189" spans="2:5" s="4" customFormat="1">
      <c r="B2189" s="28"/>
      <c r="C2189" s="18"/>
      <c r="E2189" s="50"/>
    </row>
    <row r="2190" spans="2:5" s="4" customFormat="1">
      <c r="B2190" s="28"/>
      <c r="C2190" s="18"/>
      <c r="E2190" s="50"/>
    </row>
    <row r="2191" spans="2:5" s="4" customFormat="1">
      <c r="B2191" s="28"/>
      <c r="C2191" s="18"/>
      <c r="E2191" s="50"/>
    </row>
    <row r="2192" spans="2:5" s="4" customFormat="1">
      <c r="B2192" s="28"/>
      <c r="C2192" s="18"/>
      <c r="E2192" s="50"/>
    </row>
    <row r="2193" spans="2:5" s="4" customFormat="1">
      <c r="B2193" s="28"/>
      <c r="C2193" s="18"/>
      <c r="E2193" s="50"/>
    </row>
    <row r="2194" spans="2:5" s="4" customFormat="1">
      <c r="B2194" s="28"/>
      <c r="C2194" s="18"/>
      <c r="E2194" s="50"/>
    </row>
    <row r="2195" spans="2:5" s="4" customFormat="1">
      <c r="B2195" s="28"/>
      <c r="C2195" s="18"/>
      <c r="E2195" s="50"/>
    </row>
    <row r="2196" spans="2:5" s="4" customFormat="1">
      <c r="B2196" s="28"/>
      <c r="C2196" s="18"/>
      <c r="E2196" s="50"/>
    </row>
    <row r="2197" spans="2:5" s="4" customFormat="1">
      <c r="B2197" s="28"/>
      <c r="C2197" s="18"/>
      <c r="E2197" s="50"/>
    </row>
    <row r="2198" spans="2:5" s="4" customFormat="1">
      <c r="B2198" s="28"/>
      <c r="C2198" s="18"/>
      <c r="E2198" s="50"/>
    </row>
    <row r="2199" spans="2:5" s="4" customFormat="1">
      <c r="B2199" s="28"/>
      <c r="C2199" s="18"/>
      <c r="E2199" s="50"/>
    </row>
    <row r="2200" spans="2:5" s="4" customFormat="1">
      <c r="B2200" s="28"/>
      <c r="C2200" s="18"/>
      <c r="E2200" s="50"/>
    </row>
    <row r="2201" spans="2:5" s="4" customFormat="1">
      <c r="B2201" s="28"/>
      <c r="C2201" s="18"/>
      <c r="E2201" s="50"/>
    </row>
    <row r="2202" spans="2:5" s="4" customFormat="1">
      <c r="B2202" s="28"/>
      <c r="C2202" s="18"/>
      <c r="E2202" s="50"/>
    </row>
    <row r="2203" spans="2:5" s="4" customFormat="1">
      <c r="B2203" s="28"/>
      <c r="C2203" s="18"/>
      <c r="E2203" s="50"/>
    </row>
    <row r="2204" spans="2:5" s="4" customFormat="1">
      <c r="B2204" s="28"/>
      <c r="C2204" s="18"/>
      <c r="E2204" s="50"/>
    </row>
    <row r="2205" spans="2:5" s="4" customFormat="1">
      <c r="B2205" s="28"/>
      <c r="C2205" s="18"/>
      <c r="E2205" s="50"/>
    </row>
    <row r="2206" spans="2:5" s="4" customFormat="1">
      <c r="B2206" s="28"/>
      <c r="C2206" s="18"/>
      <c r="E2206" s="50"/>
    </row>
    <row r="2207" spans="2:5" s="4" customFormat="1">
      <c r="B2207" s="28"/>
      <c r="C2207" s="18"/>
      <c r="E2207" s="50"/>
    </row>
    <row r="2208" spans="2:5" s="4" customFormat="1">
      <c r="B2208" s="28"/>
      <c r="C2208" s="18"/>
      <c r="E2208" s="50"/>
    </row>
    <row r="2209" spans="2:5" s="4" customFormat="1">
      <c r="B2209" s="28"/>
      <c r="C2209" s="18"/>
      <c r="E2209" s="50"/>
    </row>
    <row r="2210" spans="2:5" s="4" customFormat="1">
      <c r="B2210" s="28"/>
      <c r="C2210" s="18"/>
      <c r="E2210" s="50"/>
    </row>
    <row r="2211" spans="2:5" s="4" customFormat="1">
      <c r="B2211" s="28"/>
      <c r="C2211" s="18"/>
      <c r="E2211" s="50"/>
    </row>
    <row r="2212" spans="2:5" s="4" customFormat="1">
      <c r="B2212" s="28"/>
      <c r="C2212" s="18"/>
      <c r="E2212" s="50"/>
    </row>
    <row r="2213" spans="2:5" s="4" customFormat="1">
      <c r="B2213" s="28"/>
      <c r="C2213" s="18"/>
      <c r="E2213" s="50"/>
    </row>
    <row r="2214" spans="2:5" s="4" customFormat="1">
      <c r="B2214" s="28"/>
      <c r="C2214" s="18"/>
      <c r="E2214" s="50"/>
    </row>
    <row r="2215" spans="2:5" s="4" customFormat="1">
      <c r="B2215" s="28"/>
      <c r="C2215" s="18"/>
      <c r="E2215" s="50"/>
    </row>
    <row r="2216" spans="2:5" s="4" customFormat="1">
      <c r="B2216" s="28"/>
      <c r="C2216" s="18"/>
      <c r="E2216" s="50"/>
    </row>
    <row r="2217" spans="2:5" s="4" customFormat="1">
      <c r="B2217" s="28"/>
      <c r="C2217" s="18"/>
      <c r="E2217" s="50"/>
    </row>
    <row r="2218" spans="2:5" s="4" customFormat="1">
      <c r="B2218" s="28"/>
      <c r="C2218" s="18"/>
      <c r="E2218" s="50"/>
    </row>
    <row r="2219" spans="2:5" s="4" customFormat="1">
      <c r="B2219" s="28"/>
      <c r="C2219" s="18"/>
      <c r="E2219" s="50"/>
    </row>
    <row r="2220" spans="2:5" s="4" customFormat="1">
      <c r="B2220" s="28"/>
      <c r="C2220" s="18"/>
      <c r="E2220" s="50"/>
    </row>
    <row r="2221" spans="2:5" s="4" customFormat="1">
      <c r="B2221" s="28"/>
      <c r="C2221" s="18"/>
      <c r="E2221" s="50"/>
    </row>
    <row r="2222" spans="2:5" s="4" customFormat="1">
      <c r="B2222" s="28"/>
      <c r="C2222" s="18"/>
      <c r="E2222" s="50"/>
    </row>
    <row r="2223" spans="2:5" s="4" customFormat="1">
      <c r="B2223" s="28"/>
      <c r="C2223" s="18"/>
      <c r="E2223" s="50"/>
    </row>
    <row r="2224" spans="2:5" s="4" customFormat="1">
      <c r="B2224" s="28"/>
      <c r="C2224" s="18"/>
      <c r="E2224" s="50"/>
    </row>
    <row r="2225" spans="2:5" s="4" customFormat="1">
      <c r="B2225" s="28"/>
      <c r="C2225" s="18"/>
      <c r="E2225" s="50"/>
    </row>
    <row r="2226" spans="2:5" s="4" customFormat="1">
      <c r="B2226" s="28"/>
      <c r="C2226" s="18"/>
      <c r="E2226" s="50"/>
    </row>
    <row r="2227" spans="2:5" s="4" customFormat="1">
      <c r="B2227" s="28"/>
      <c r="C2227" s="18"/>
      <c r="E2227" s="50"/>
    </row>
    <row r="2228" spans="2:5" s="4" customFormat="1">
      <c r="B2228" s="28"/>
      <c r="C2228" s="18"/>
      <c r="E2228" s="50"/>
    </row>
    <row r="2229" spans="2:5" s="4" customFormat="1">
      <c r="B2229" s="28"/>
      <c r="C2229" s="18"/>
      <c r="E2229" s="50"/>
    </row>
    <row r="2230" spans="2:5" s="4" customFormat="1">
      <c r="B2230" s="28"/>
      <c r="C2230" s="18"/>
      <c r="E2230" s="50"/>
    </row>
    <row r="2231" spans="2:5" s="4" customFormat="1">
      <c r="B2231" s="28"/>
      <c r="C2231" s="18"/>
      <c r="E2231" s="50"/>
    </row>
    <row r="2232" spans="2:5" s="4" customFormat="1">
      <c r="B2232" s="28"/>
      <c r="C2232" s="18"/>
      <c r="E2232" s="50"/>
    </row>
    <row r="2233" spans="2:5" s="4" customFormat="1">
      <c r="B2233" s="28"/>
      <c r="C2233" s="18"/>
      <c r="E2233" s="50"/>
    </row>
    <row r="2234" spans="2:5" s="4" customFormat="1">
      <c r="B2234" s="28"/>
      <c r="C2234" s="18"/>
      <c r="E2234" s="50"/>
    </row>
    <row r="2235" spans="2:5" s="4" customFormat="1">
      <c r="B2235" s="28"/>
      <c r="C2235" s="18"/>
      <c r="E2235" s="50"/>
    </row>
    <row r="2236" spans="2:5" s="4" customFormat="1">
      <c r="B2236" s="28"/>
      <c r="C2236" s="18"/>
      <c r="E2236" s="50"/>
    </row>
    <row r="2237" spans="2:5" s="4" customFormat="1">
      <c r="B2237" s="28"/>
      <c r="C2237" s="18"/>
      <c r="E2237" s="50"/>
    </row>
    <row r="2238" spans="2:5" s="4" customFormat="1">
      <c r="B2238" s="28"/>
      <c r="C2238" s="18"/>
      <c r="E2238" s="50"/>
    </row>
    <row r="2239" spans="2:5" s="4" customFormat="1">
      <c r="B2239" s="28"/>
      <c r="C2239" s="18"/>
      <c r="E2239" s="50"/>
    </row>
    <row r="2240" spans="2:5" s="4" customFormat="1">
      <c r="B2240" s="28"/>
      <c r="C2240" s="18"/>
      <c r="E2240" s="50"/>
    </row>
    <row r="2241" spans="2:5" s="4" customFormat="1">
      <c r="B2241" s="28"/>
      <c r="C2241" s="18"/>
      <c r="E2241" s="50"/>
    </row>
    <row r="2242" spans="2:5" s="4" customFormat="1">
      <c r="B2242" s="28"/>
      <c r="C2242" s="18"/>
      <c r="E2242" s="50"/>
    </row>
    <row r="2243" spans="2:5" s="4" customFormat="1">
      <c r="B2243" s="28"/>
      <c r="C2243" s="18"/>
      <c r="E2243" s="50"/>
    </row>
    <row r="2244" spans="2:5" s="4" customFormat="1">
      <c r="B2244" s="28"/>
      <c r="C2244" s="18"/>
      <c r="E2244" s="50"/>
    </row>
    <row r="2245" spans="2:5" s="4" customFormat="1">
      <c r="B2245" s="28"/>
      <c r="C2245" s="18"/>
      <c r="E2245" s="50"/>
    </row>
    <row r="2246" spans="2:5" s="4" customFormat="1">
      <c r="B2246" s="28"/>
      <c r="C2246" s="18"/>
      <c r="E2246" s="50"/>
    </row>
    <row r="2247" spans="2:5" s="4" customFormat="1">
      <c r="B2247" s="28"/>
      <c r="C2247" s="18"/>
      <c r="E2247" s="50"/>
    </row>
    <row r="2248" spans="2:5" s="4" customFormat="1">
      <c r="B2248" s="28"/>
      <c r="C2248" s="18"/>
      <c r="E2248" s="50"/>
    </row>
    <row r="2249" spans="2:5" s="4" customFormat="1">
      <c r="B2249" s="28"/>
      <c r="C2249" s="18"/>
      <c r="E2249" s="50"/>
    </row>
    <row r="2250" spans="2:5" s="4" customFormat="1">
      <c r="B2250" s="28"/>
      <c r="C2250" s="18"/>
      <c r="E2250" s="50"/>
    </row>
    <row r="2251" spans="2:5" s="4" customFormat="1">
      <c r="B2251" s="28"/>
      <c r="C2251" s="18"/>
      <c r="E2251" s="50"/>
    </row>
    <row r="2252" spans="2:5" s="4" customFormat="1">
      <c r="B2252" s="28"/>
      <c r="C2252" s="18"/>
      <c r="E2252" s="50"/>
    </row>
    <row r="2253" spans="2:5" s="4" customFormat="1">
      <c r="B2253" s="28"/>
      <c r="C2253" s="18"/>
      <c r="E2253" s="50"/>
    </row>
    <row r="2254" spans="2:5" s="4" customFormat="1">
      <c r="B2254" s="28"/>
      <c r="C2254" s="18"/>
      <c r="E2254" s="50"/>
    </row>
    <row r="2255" spans="2:5" s="4" customFormat="1">
      <c r="B2255" s="28"/>
      <c r="C2255" s="18"/>
      <c r="E2255" s="50"/>
    </row>
    <row r="2256" spans="2:5" s="4" customFormat="1">
      <c r="B2256" s="28"/>
      <c r="C2256" s="18"/>
      <c r="E2256" s="50"/>
    </row>
    <row r="2257" spans="2:5" s="4" customFormat="1">
      <c r="B2257" s="28"/>
      <c r="C2257" s="18"/>
      <c r="E2257" s="50"/>
    </row>
    <row r="2258" spans="2:5" s="4" customFormat="1">
      <c r="B2258" s="28"/>
      <c r="C2258" s="18"/>
      <c r="E2258" s="50"/>
    </row>
    <row r="2259" spans="2:5" s="4" customFormat="1">
      <c r="B2259" s="28"/>
      <c r="C2259" s="18"/>
      <c r="E2259" s="50"/>
    </row>
    <row r="2260" spans="2:5" s="4" customFormat="1">
      <c r="B2260" s="28"/>
      <c r="C2260" s="18"/>
      <c r="E2260" s="50"/>
    </row>
    <row r="2261" spans="2:5" s="4" customFormat="1">
      <c r="B2261" s="28"/>
      <c r="C2261" s="18"/>
      <c r="E2261" s="50"/>
    </row>
    <row r="2262" spans="2:5" s="4" customFormat="1">
      <c r="B2262" s="28"/>
      <c r="C2262" s="18"/>
      <c r="E2262" s="50"/>
    </row>
    <row r="2263" spans="2:5" s="4" customFormat="1">
      <c r="B2263" s="28"/>
      <c r="C2263" s="18"/>
      <c r="E2263" s="50"/>
    </row>
    <row r="2264" spans="2:5" s="4" customFormat="1">
      <c r="B2264" s="28"/>
      <c r="C2264" s="18"/>
      <c r="E2264" s="50"/>
    </row>
    <row r="2265" spans="2:5" s="4" customFormat="1">
      <c r="B2265" s="28"/>
      <c r="C2265" s="18"/>
      <c r="E2265" s="50"/>
    </row>
    <row r="2266" spans="2:5" s="4" customFormat="1">
      <c r="B2266" s="28"/>
      <c r="C2266" s="18"/>
      <c r="E2266" s="50"/>
    </row>
    <row r="2267" spans="2:5" s="4" customFormat="1">
      <c r="B2267" s="28"/>
      <c r="C2267" s="18"/>
      <c r="E2267" s="50"/>
    </row>
    <row r="2268" spans="2:5" s="4" customFormat="1">
      <c r="B2268" s="28"/>
      <c r="C2268" s="18"/>
      <c r="E2268" s="50"/>
    </row>
    <row r="2269" spans="2:5" s="4" customFormat="1">
      <c r="B2269" s="28"/>
      <c r="C2269" s="18"/>
      <c r="E2269" s="50"/>
    </row>
    <row r="2270" spans="2:5" s="4" customFormat="1">
      <c r="B2270" s="28"/>
      <c r="C2270" s="18"/>
      <c r="E2270" s="50"/>
    </row>
    <row r="2271" spans="2:5" s="4" customFormat="1">
      <c r="B2271" s="28"/>
      <c r="C2271" s="18"/>
      <c r="E2271" s="50"/>
    </row>
    <row r="2272" spans="2:5" s="4" customFormat="1">
      <c r="B2272" s="28"/>
      <c r="C2272" s="18"/>
      <c r="E2272" s="50"/>
    </row>
    <row r="2273" spans="2:5" s="4" customFormat="1">
      <c r="B2273" s="28"/>
      <c r="C2273" s="18"/>
      <c r="E2273" s="50"/>
    </row>
    <row r="2274" spans="2:5" s="4" customFormat="1">
      <c r="B2274" s="28"/>
      <c r="C2274" s="18"/>
      <c r="E2274" s="50"/>
    </row>
    <row r="2275" spans="2:5" s="4" customFormat="1">
      <c r="B2275" s="28"/>
      <c r="C2275" s="18"/>
      <c r="E2275" s="50"/>
    </row>
    <row r="2276" spans="2:5" s="4" customFormat="1">
      <c r="B2276" s="28"/>
      <c r="C2276" s="18"/>
      <c r="E2276" s="50"/>
    </row>
    <row r="2277" spans="2:5" s="4" customFormat="1">
      <c r="B2277" s="28"/>
      <c r="C2277" s="18"/>
      <c r="E2277" s="50"/>
    </row>
    <row r="2278" spans="2:5" s="4" customFormat="1">
      <c r="B2278" s="28"/>
      <c r="C2278" s="18"/>
      <c r="E2278" s="50"/>
    </row>
    <row r="2279" spans="2:5" s="4" customFormat="1">
      <c r="B2279" s="28"/>
      <c r="C2279" s="18"/>
      <c r="E2279" s="50"/>
    </row>
    <row r="2280" spans="2:5" s="4" customFormat="1">
      <c r="B2280" s="28"/>
      <c r="C2280" s="18"/>
      <c r="E2280" s="50"/>
    </row>
    <row r="2281" spans="2:5" s="4" customFormat="1">
      <c r="B2281" s="28"/>
      <c r="C2281" s="18"/>
      <c r="E2281" s="50"/>
    </row>
    <row r="2282" spans="2:5" s="4" customFormat="1">
      <c r="B2282" s="28"/>
      <c r="C2282" s="18"/>
      <c r="E2282" s="50"/>
    </row>
    <row r="2283" spans="2:5" s="4" customFormat="1">
      <c r="B2283" s="28"/>
      <c r="C2283" s="18"/>
      <c r="E2283" s="50"/>
    </row>
    <row r="2284" spans="2:5" s="4" customFormat="1">
      <c r="B2284" s="28"/>
      <c r="C2284" s="18"/>
      <c r="E2284" s="50"/>
    </row>
    <row r="2285" spans="2:5" s="4" customFormat="1">
      <c r="B2285" s="28"/>
      <c r="C2285" s="18"/>
      <c r="E2285" s="50"/>
    </row>
    <row r="2286" spans="2:5" s="4" customFormat="1">
      <c r="B2286" s="28"/>
      <c r="C2286" s="18"/>
      <c r="E2286" s="50"/>
    </row>
    <row r="2287" spans="2:5" s="4" customFormat="1">
      <c r="B2287" s="28"/>
      <c r="C2287" s="18"/>
      <c r="E2287" s="50"/>
    </row>
    <row r="2288" spans="2:5" s="4" customFormat="1">
      <c r="B2288" s="28"/>
      <c r="C2288" s="18"/>
      <c r="E2288" s="50"/>
    </row>
    <row r="2289" spans="2:5" s="4" customFormat="1">
      <c r="B2289" s="28"/>
      <c r="C2289" s="18"/>
      <c r="E2289" s="50"/>
    </row>
    <row r="2290" spans="2:5" s="4" customFormat="1">
      <c r="B2290" s="28"/>
      <c r="C2290" s="18"/>
      <c r="E2290" s="50"/>
    </row>
    <row r="2291" spans="2:5" s="4" customFormat="1">
      <c r="B2291" s="28"/>
      <c r="C2291" s="18"/>
      <c r="E2291" s="50"/>
    </row>
    <row r="2292" spans="2:5" s="4" customFormat="1">
      <c r="B2292" s="28"/>
      <c r="C2292" s="18"/>
      <c r="E2292" s="50"/>
    </row>
    <row r="2293" spans="2:5" s="4" customFormat="1">
      <c r="B2293" s="28"/>
      <c r="C2293" s="18"/>
      <c r="E2293" s="50"/>
    </row>
    <row r="2294" spans="2:5" s="4" customFormat="1">
      <c r="B2294" s="28"/>
      <c r="C2294" s="18"/>
      <c r="E2294" s="50"/>
    </row>
    <row r="2295" spans="2:5" s="4" customFormat="1">
      <c r="B2295" s="28"/>
      <c r="C2295" s="18"/>
      <c r="E2295" s="50"/>
    </row>
    <row r="2296" spans="2:5" s="4" customFormat="1">
      <c r="B2296" s="28"/>
      <c r="C2296" s="18"/>
      <c r="E2296" s="50"/>
    </row>
    <row r="2297" spans="2:5" s="4" customFormat="1">
      <c r="B2297" s="28"/>
      <c r="C2297" s="18"/>
      <c r="E2297" s="50"/>
    </row>
    <row r="2298" spans="2:5" s="4" customFormat="1">
      <c r="B2298" s="28"/>
      <c r="C2298" s="18"/>
      <c r="E2298" s="50"/>
    </row>
    <row r="2299" spans="2:5" s="4" customFormat="1">
      <c r="B2299" s="28"/>
      <c r="C2299" s="18"/>
      <c r="E2299" s="50"/>
    </row>
    <row r="2300" spans="2:5" s="4" customFormat="1">
      <c r="B2300" s="28"/>
      <c r="C2300" s="18"/>
      <c r="E2300" s="50"/>
    </row>
    <row r="2301" spans="2:5" s="4" customFormat="1">
      <c r="B2301" s="28"/>
      <c r="C2301" s="18"/>
      <c r="E2301" s="50"/>
    </row>
    <row r="2302" spans="2:5" s="4" customFormat="1">
      <c r="B2302" s="28"/>
      <c r="C2302" s="18"/>
      <c r="E2302" s="50"/>
    </row>
    <row r="2303" spans="2:5" s="4" customFormat="1">
      <c r="B2303" s="28"/>
      <c r="C2303" s="18"/>
      <c r="E2303" s="50"/>
    </row>
    <row r="2304" spans="2:5" s="4" customFormat="1">
      <c r="B2304" s="28"/>
      <c r="C2304" s="18"/>
      <c r="E2304" s="50"/>
    </row>
    <row r="2305" spans="2:5" s="4" customFormat="1">
      <c r="B2305" s="28"/>
      <c r="C2305" s="18"/>
      <c r="E2305" s="50"/>
    </row>
    <row r="2306" spans="2:5" s="4" customFormat="1">
      <c r="B2306" s="28"/>
      <c r="C2306" s="18"/>
      <c r="E2306" s="50"/>
    </row>
    <row r="2307" spans="2:5" s="4" customFormat="1">
      <c r="B2307" s="28"/>
      <c r="C2307" s="18"/>
      <c r="E2307" s="50"/>
    </row>
    <row r="2308" spans="2:5" s="4" customFormat="1">
      <c r="B2308" s="28"/>
      <c r="C2308" s="18"/>
      <c r="E2308" s="50"/>
    </row>
    <row r="2309" spans="2:5" s="4" customFormat="1">
      <c r="B2309" s="28"/>
      <c r="C2309" s="18"/>
      <c r="E2309" s="50"/>
    </row>
    <row r="2310" spans="2:5" s="4" customFormat="1">
      <c r="B2310" s="28"/>
      <c r="C2310" s="18"/>
      <c r="E2310" s="50"/>
    </row>
    <row r="2311" spans="2:5" s="4" customFormat="1">
      <c r="B2311" s="28"/>
      <c r="C2311" s="18"/>
      <c r="E2311" s="50"/>
    </row>
    <row r="2312" spans="2:5" s="4" customFormat="1">
      <c r="B2312" s="28"/>
      <c r="C2312" s="18"/>
      <c r="E2312" s="50"/>
    </row>
    <row r="2313" spans="2:5" s="4" customFormat="1">
      <c r="B2313" s="28"/>
      <c r="C2313" s="18"/>
      <c r="E2313" s="50"/>
    </row>
    <row r="2314" spans="2:5" s="4" customFormat="1">
      <c r="B2314" s="28"/>
      <c r="C2314" s="18"/>
      <c r="E2314" s="50"/>
    </row>
    <row r="2315" spans="2:5" s="4" customFormat="1">
      <c r="B2315" s="28"/>
      <c r="C2315" s="18"/>
      <c r="E2315" s="50"/>
    </row>
    <row r="2316" spans="2:5" s="4" customFormat="1">
      <c r="B2316" s="28"/>
      <c r="C2316" s="18"/>
      <c r="E2316" s="50"/>
    </row>
    <row r="2317" spans="2:5" s="4" customFormat="1">
      <c r="B2317" s="28"/>
      <c r="C2317" s="18"/>
      <c r="E2317" s="50"/>
    </row>
    <row r="2318" spans="2:5" s="4" customFormat="1">
      <c r="B2318" s="28"/>
      <c r="C2318" s="18"/>
      <c r="E2318" s="50"/>
    </row>
    <row r="2319" spans="2:5" s="4" customFormat="1">
      <c r="B2319" s="28"/>
      <c r="C2319" s="18"/>
      <c r="E2319" s="50"/>
    </row>
    <row r="2320" spans="2:5" s="4" customFormat="1">
      <c r="B2320" s="28"/>
      <c r="C2320" s="18"/>
      <c r="E2320" s="50"/>
    </row>
    <row r="2321" spans="2:5" s="4" customFormat="1">
      <c r="B2321" s="28"/>
      <c r="C2321" s="18"/>
      <c r="E2321" s="50"/>
    </row>
    <row r="2322" spans="2:5" s="4" customFormat="1">
      <c r="B2322" s="28"/>
      <c r="C2322" s="18"/>
      <c r="E2322" s="50"/>
    </row>
    <row r="2323" spans="2:5" s="4" customFormat="1">
      <c r="B2323" s="28"/>
      <c r="C2323" s="18"/>
      <c r="E2323" s="50"/>
    </row>
    <row r="2324" spans="2:5" s="4" customFormat="1">
      <c r="B2324" s="28"/>
      <c r="C2324" s="18"/>
      <c r="E2324" s="50"/>
    </row>
    <row r="2325" spans="2:5" s="4" customFormat="1">
      <c r="B2325" s="28"/>
      <c r="C2325" s="18"/>
      <c r="E2325" s="50"/>
    </row>
    <row r="2326" spans="2:5" s="4" customFormat="1">
      <c r="B2326" s="28"/>
      <c r="C2326" s="18"/>
      <c r="E2326" s="50"/>
    </row>
    <row r="2327" spans="2:5" s="4" customFormat="1">
      <c r="B2327" s="28"/>
      <c r="C2327" s="18"/>
      <c r="E2327" s="50"/>
    </row>
    <row r="2328" spans="2:5" s="4" customFormat="1">
      <c r="B2328" s="28"/>
      <c r="C2328" s="18"/>
      <c r="E2328" s="50"/>
    </row>
    <row r="2329" spans="2:5" s="4" customFormat="1">
      <c r="B2329" s="28"/>
      <c r="C2329" s="18"/>
      <c r="E2329" s="50"/>
    </row>
    <row r="2330" spans="2:5" s="4" customFormat="1">
      <c r="B2330" s="28"/>
      <c r="C2330" s="18"/>
      <c r="E2330" s="50"/>
    </row>
    <row r="2331" spans="2:5" s="4" customFormat="1">
      <c r="B2331" s="28"/>
      <c r="C2331" s="18"/>
      <c r="E2331" s="50"/>
    </row>
    <row r="2332" spans="2:5" s="4" customFormat="1">
      <c r="B2332" s="28"/>
      <c r="C2332" s="18"/>
      <c r="E2332" s="50"/>
    </row>
    <row r="2333" spans="2:5" s="4" customFormat="1">
      <c r="B2333" s="28"/>
      <c r="C2333" s="18"/>
      <c r="E2333" s="50"/>
    </row>
    <row r="2334" spans="2:5" s="4" customFormat="1">
      <c r="B2334" s="28"/>
      <c r="C2334" s="18"/>
      <c r="E2334" s="50"/>
    </row>
    <row r="2335" spans="2:5" s="4" customFormat="1">
      <c r="B2335" s="28"/>
      <c r="C2335" s="18"/>
      <c r="E2335" s="50"/>
    </row>
    <row r="2336" spans="2:5" s="4" customFormat="1">
      <c r="B2336" s="28"/>
      <c r="C2336" s="18"/>
      <c r="E2336" s="50"/>
    </row>
    <row r="2337" spans="2:5" s="4" customFormat="1">
      <c r="B2337" s="28"/>
      <c r="C2337" s="18"/>
      <c r="E2337" s="50"/>
    </row>
    <row r="2338" spans="2:5" s="4" customFormat="1">
      <c r="B2338" s="28"/>
      <c r="C2338" s="18"/>
      <c r="E2338" s="50"/>
    </row>
    <row r="2339" spans="2:5" s="4" customFormat="1">
      <c r="B2339" s="28"/>
      <c r="C2339" s="18"/>
      <c r="E2339" s="50"/>
    </row>
    <row r="2340" spans="2:5" s="4" customFormat="1">
      <c r="B2340" s="28"/>
      <c r="C2340" s="18"/>
      <c r="E2340" s="50"/>
    </row>
    <row r="2341" spans="2:5" s="4" customFormat="1">
      <c r="B2341" s="28"/>
      <c r="C2341" s="18"/>
      <c r="E2341" s="50"/>
    </row>
    <row r="2342" spans="2:5" s="4" customFormat="1">
      <c r="B2342" s="28"/>
      <c r="C2342" s="18"/>
      <c r="E2342" s="50"/>
    </row>
    <row r="2343" spans="2:5" s="4" customFormat="1">
      <c r="B2343" s="28"/>
      <c r="C2343" s="18"/>
      <c r="E2343" s="50"/>
    </row>
    <row r="2344" spans="2:5" s="4" customFormat="1">
      <c r="B2344" s="28"/>
      <c r="C2344" s="18"/>
      <c r="E2344" s="50"/>
    </row>
    <row r="2345" spans="2:5" s="4" customFormat="1">
      <c r="B2345" s="28"/>
      <c r="C2345" s="18"/>
      <c r="E2345" s="50"/>
    </row>
    <row r="2346" spans="2:5" s="4" customFormat="1">
      <c r="B2346" s="28"/>
      <c r="C2346" s="18"/>
      <c r="E2346" s="50"/>
    </row>
    <row r="2347" spans="2:5" s="4" customFormat="1">
      <c r="B2347" s="28"/>
      <c r="C2347" s="18"/>
      <c r="E2347" s="50"/>
    </row>
    <row r="2348" spans="2:5" s="4" customFormat="1">
      <c r="B2348" s="28"/>
      <c r="C2348" s="18"/>
      <c r="E2348" s="50"/>
    </row>
    <row r="2349" spans="2:5" s="4" customFormat="1">
      <c r="B2349" s="28"/>
      <c r="C2349" s="18"/>
      <c r="E2349" s="50"/>
    </row>
    <row r="2350" spans="2:5" s="4" customFormat="1">
      <c r="B2350" s="28"/>
      <c r="C2350" s="18"/>
      <c r="E2350" s="50"/>
    </row>
    <row r="2351" spans="2:5" s="4" customFormat="1">
      <c r="B2351" s="28"/>
      <c r="C2351" s="18"/>
      <c r="E2351" s="50"/>
    </row>
    <row r="2352" spans="2:5" s="4" customFormat="1">
      <c r="B2352" s="28"/>
      <c r="C2352" s="18"/>
      <c r="E2352" s="50"/>
    </row>
    <row r="2353" spans="2:5" s="4" customFormat="1">
      <c r="B2353" s="28"/>
      <c r="C2353" s="18"/>
      <c r="E2353" s="50"/>
    </row>
    <row r="2354" spans="2:5" s="4" customFormat="1">
      <c r="B2354" s="28"/>
      <c r="C2354" s="18"/>
      <c r="E2354" s="50"/>
    </row>
    <row r="2355" spans="2:5" s="4" customFormat="1">
      <c r="B2355" s="28"/>
      <c r="C2355" s="18"/>
      <c r="E2355" s="50"/>
    </row>
    <row r="2356" spans="2:5" s="4" customFormat="1">
      <c r="B2356" s="28"/>
      <c r="C2356" s="18"/>
      <c r="E2356" s="50"/>
    </row>
    <row r="2357" spans="2:5" s="4" customFormat="1">
      <c r="B2357" s="28"/>
      <c r="C2357" s="18"/>
      <c r="E2357" s="50"/>
    </row>
    <row r="2358" spans="2:5" s="4" customFormat="1">
      <c r="B2358" s="28"/>
      <c r="C2358" s="18"/>
      <c r="E2358" s="50"/>
    </row>
    <row r="2359" spans="2:5" s="4" customFormat="1">
      <c r="B2359" s="28"/>
      <c r="C2359" s="18"/>
      <c r="E2359" s="50"/>
    </row>
    <row r="2360" spans="2:5" s="4" customFormat="1">
      <c r="B2360" s="28"/>
      <c r="C2360" s="18"/>
      <c r="E2360" s="50"/>
    </row>
    <row r="2361" spans="2:5" s="4" customFormat="1">
      <c r="B2361" s="28"/>
      <c r="C2361" s="18"/>
      <c r="E2361" s="50"/>
    </row>
    <row r="2362" spans="2:5" s="4" customFormat="1">
      <c r="B2362" s="28"/>
      <c r="C2362" s="18"/>
      <c r="E2362" s="50"/>
    </row>
    <row r="2363" spans="2:5" s="4" customFormat="1">
      <c r="B2363" s="28"/>
      <c r="C2363" s="18"/>
      <c r="E2363" s="50"/>
    </row>
    <row r="2364" spans="2:5" s="4" customFormat="1">
      <c r="B2364" s="28"/>
      <c r="C2364" s="18"/>
      <c r="E2364" s="50"/>
    </row>
    <row r="2365" spans="2:5" s="4" customFormat="1">
      <c r="B2365" s="28"/>
      <c r="C2365" s="18"/>
      <c r="E2365" s="50"/>
    </row>
    <row r="2366" spans="2:5" s="4" customFormat="1">
      <c r="B2366" s="28"/>
      <c r="C2366" s="18"/>
      <c r="E2366" s="50"/>
    </row>
    <row r="2367" spans="2:5" s="4" customFormat="1">
      <c r="B2367" s="28"/>
      <c r="C2367" s="18"/>
      <c r="E2367" s="50"/>
    </row>
    <row r="2368" spans="2:5" s="4" customFormat="1">
      <c r="B2368" s="28"/>
      <c r="C2368" s="18"/>
      <c r="E2368" s="50"/>
    </row>
    <row r="2369" spans="2:5" s="4" customFormat="1">
      <c r="B2369" s="28"/>
      <c r="C2369" s="18"/>
      <c r="E2369" s="50"/>
    </row>
    <row r="2370" spans="2:5" s="4" customFormat="1">
      <c r="B2370" s="28"/>
      <c r="C2370" s="18"/>
      <c r="E2370" s="50"/>
    </row>
    <row r="2371" spans="2:5" s="4" customFormat="1">
      <c r="B2371" s="28"/>
      <c r="C2371" s="18"/>
      <c r="E2371" s="50"/>
    </row>
    <row r="2372" spans="2:5" s="4" customFormat="1">
      <c r="B2372" s="28"/>
      <c r="C2372" s="18"/>
      <c r="E2372" s="50"/>
    </row>
    <row r="2373" spans="2:5" s="4" customFormat="1">
      <c r="B2373" s="28"/>
      <c r="C2373" s="18"/>
      <c r="E2373" s="50"/>
    </row>
    <row r="2374" spans="2:5" s="4" customFormat="1">
      <c r="B2374" s="28"/>
      <c r="C2374" s="18"/>
      <c r="E2374" s="50"/>
    </row>
    <row r="2375" spans="2:5" s="4" customFormat="1">
      <c r="B2375" s="28"/>
      <c r="C2375" s="18"/>
      <c r="E2375" s="50"/>
    </row>
    <row r="2376" spans="2:5" s="4" customFormat="1">
      <c r="B2376" s="28"/>
      <c r="C2376" s="18"/>
      <c r="E2376" s="50"/>
    </row>
    <row r="2377" spans="2:5" s="4" customFormat="1">
      <c r="B2377" s="28"/>
      <c r="C2377" s="18"/>
      <c r="E2377" s="50"/>
    </row>
    <row r="2378" spans="2:5" s="4" customFormat="1">
      <c r="B2378" s="28"/>
      <c r="C2378" s="18"/>
      <c r="E2378" s="50"/>
    </row>
    <row r="2379" spans="2:5" s="4" customFormat="1">
      <c r="B2379" s="28"/>
      <c r="C2379" s="18"/>
      <c r="E2379" s="50"/>
    </row>
    <row r="2380" spans="2:5" s="4" customFormat="1">
      <c r="B2380" s="28"/>
      <c r="C2380" s="18"/>
      <c r="E2380" s="50"/>
    </row>
    <row r="2381" spans="2:5" s="4" customFormat="1">
      <c r="B2381" s="28"/>
      <c r="C2381" s="18"/>
      <c r="E2381" s="50"/>
    </row>
    <row r="2382" spans="2:5" s="4" customFormat="1">
      <c r="B2382" s="28"/>
      <c r="C2382" s="18"/>
      <c r="E2382" s="50"/>
    </row>
    <row r="2383" spans="2:5" s="4" customFormat="1">
      <c r="B2383" s="28"/>
      <c r="C2383" s="18"/>
      <c r="E2383" s="50"/>
    </row>
    <row r="2384" spans="2:5" s="4" customFormat="1">
      <c r="B2384" s="28"/>
      <c r="C2384" s="18"/>
      <c r="E2384" s="50"/>
    </row>
    <row r="2385" spans="2:5" s="4" customFormat="1">
      <c r="B2385" s="28"/>
      <c r="C2385" s="18"/>
      <c r="E2385" s="50"/>
    </row>
    <row r="2386" spans="2:5" s="4" customFormat="1">
      <c r="B2386" s="28"/>
      <c r="C2386" s="18"/>
      <c r="E2386" s="50"/>
    </row>
    <row r="2387" spans="2:5" s="4" customFormat="1">
      <c r="B2387" s="28"/>
      <c r="C2387" s="18"/>
      <c r="E2387" s="50"/>
    </row>
    <row r="2388" spans="2:5" s="4" customFormat="1">
      <c r="B2388" s="28"/>
      <c r="C2388" s="18"/>
      <c r="E2388" s="50"/>
    </row>
    <row r="2389" spans="2:5" s="4" customFormat="1">
      <c r="B2389" s="28"/>
      <c r="C2389" s="18"/>
      <c r="E2389" s="50"/>
    </row>
    <row r="2390" spans="2:5" s="4" customFormat="1">
      <c r="B2390" s="28"/>
      <c r="C2390" s="18"/>
      <c r="E2390" s="50"/>
    </row>
    <row r="2391" spans="2:5" s="4" customFormat="1">
      <c r="B2391" s="28"/>
      <c r="C2391" s="18"/>
      <c r="E2391" s="50"/>
    </row>
    <row r="2392" spans="2:5" s="4" customFormat="1">
      <c r="B2392" s="28"/>
      <c r="C2392" s="18"/>
      <c r="E2392" s="50"/>
    </row>
    <row r="2393" spans="2:5" s="4" customFormat="1">
      <c r="B2393" s="28"/>
      <c r="C2393" s="18"/>
      <c r="E2393" s="50"/>
    </row>
    <row r="2394" spans="2:5" s="4" customFormat="1">
      <c r="B2394" s="28"/>
      <c r="C2394" s="18"/>
      <c r="E2394" s="50"/>
    </row>
    <row r="2395" spans="2:5" s="4" customFormat="1">
      <c r="B2395" s="28"/>
      <c r="C2395" s="18"/>
      <c r="E2395" s="50"/>
    </row>
    <row r="2396" spans="2:5" s="4" customFormat="1">
      <c r="B2396" s="28"/>
      <c r="C2396" s="18"/>
      <c r="E2396" s="50"/>
    </row>
    <row r="2397" spans="2:5" s="4" customFormat="1">
      <c r="B2397" s="28"/>
      <c r="C2397" s="18"/>
      <c r="E2397" s="50"/>
    </row>
    <row r="2398" spans="2:5" s="4" customFormat="1">
      <c r="B2398" s="28"/>
      <c r="C2398" s="18"/>
      <c r="E2398" s="50"/>
    </row>
    <row r="2399" spans="2:5" s="4" customFormat="1">
      <c r="B2399" s="28"/>
      <c r="C2399" s="18"/>
      <c r="E2399" s="50"/>
    </row>
    <row r="2400" spans="2:5" s="4" customFormat="1">
      <c r="B2400" s="28"/>
      <c r="C2400" s="18"/>
      <c r="E2400" s="50"/>
    </row>
    <row r="2401" spans="2:5" s="4" customFormat="1">
      <c r="B2401" s="28"/>
      <c r="C2401" s="18"/>
      <c r="E2401" s="50"/>
    </row>
    <row r="2402" spans="2:5" s="4" customFormat="1">
      <c r="B2402" s="28"/>
      <c r="C2402" s="18"/>
      <c r="E2402" s="50"/>
    </row>
    <row r="2403" spans="2:5" s="4" customFormat="1">
      <c r="B2403" s="28"/>
      <c r="C2403" s="18"/>
      <c r="E2403" s="50"/>
    </row>
    <row r="2404" spans="2:5" s="4" customFormat="1">
      <c r="B2404" s="28"/>
      <c r="C2404" s="18"/>
      <c r="E2404" s="50"/>
    </row>
    <row r="2405" spans="2:5" s="4" customFormat="1">
      <c r="B2405" s="28"/>
      <c r="C2405" s="18"/>
      <c r="E2405" s="50"/>
    </row>
    <row r="2406" spans="2:5" s="4" customFormat="1">
      <c r="B2406" s="28"/>
      <c r="C2406" s="18"/>
      <c r="E2406" s="50"/>
    </row>
    <row r="2407" spans="2:5" s="4" customFormat="1">
      <c r="B2407" s="28"/>
      <c r="C2407" s="18"/>
      <c r="E2407" s="50"/>
    </row>
    <row r="2408" spans="2:5" s="4" customFormat="1">
      <c r="B2408" s="28"/>
      <c r="C2408" s="18"/>
      <c r="E2408" s="50"/>
    </row>
    <row r="2409" spans="2:5" s="4" customFormat="1">
      <c r="B2409" s="28"/>
      <c r="C2409" s="18"/>
      <c r="E2409" s="50"/>
    </row>
    <row r="2410" spans="2:5" s="4" customFormat="1">
      <c r="B2410" s="28"/>
      <c r="C2410" s="18"/>
      <c r="E2410" s="50"/>
    </row>
    <row r="2411" spans="2:5" s="4" customFormat="1">
      <c r="B2411" s="28"/>
      <c r="C2411" s="18"/>
      <c r="E2411" s="50"/>
    </row>
    <row r="2412" spans="2:5" s="4" customFormat="1">
      <c r="B2412" s="28"/>
      <c r="C2412" s="18"/>
      <c r="E2412" s="50"/>
    </row>
    <row r="2413" spans="2:5" s="4" customFormat="1">
      <c r="B2413" s="28"/>
      <c r="C2413" s="18"/>
      <c r="E2413" s="50"/>
    </row>
    <row r="2414" spans="2:5" s="4" customFormat="1">
      <c r="B2414" s="28"/>
      <c r="C2414" s="18"/>
      <c r="E2414" s="50"/>
    </row>
    <row r="2415" spans="2:5" s="4" customFormat="1">
      <c r="B2415" s="28"/>
      <c r="C2415" s="18"/>
      <c r="E2415" s="50"/>
    </row>
    <row r="2416" spans="2:5" s="4" customFormat="1">
      <c r="B2416" s="28"/>
      <c r="C2416" s="18"/>
      <c r="E2416" s="50"/>
    </row>
    <row r="2417" spans="2:5" s="4" customFormat="1">
      <c r="B2417" s="28"/>
      <c r="C2417" s="18"/>
      <c r="E2417" s="50"/>
    </row>
    <row r="2418" spans="2:5" s="4" customFormat="1">
      <c r="B2418" s="28"/>
      <c r="C2418" s="18"/>
      <c r="E2418" s="50"/>
    </row>
    <row r="2419" spans="2:5" s="4" customFormat="1">
      <c r="B2419" s="28"/>
      <c r="C2419" s="18"/>
      <c r="E2419" s="50"/>
    </row>
    <row r="2420" spans="2:5" s="4" customFormat="1">
      <c r="B2420" s="28"/>
      <c r="C2420" s="18"/>
      <c r="E2420" s="50"/>
    </row>
    <row r="2421" spans="2:5" s="4" customFormat="1">
      <c r="B2421" s="28"/>
      <c r="C2421" s="18"/>
      <c r="E2421" s="50"/>
    </row>
    <row r="2422" spans="2:5" s="4" customFormat="1">
      <c r="B2422" s="28"/>
      <c r="C2422" s="18"/>
      <c r="E2422" s="50"/>
    </row>
    <row r="2423" spans="2:5" s="4" customFormat="1">
      <c r="B2423" s="28"/>
      <c r="C2423" s="18"/>
      <c r="E2423" s="50"/>
    </row>
    <row r="2424" spans="2:5" s="4" customFormat="1">
      <c r="B2424" s="28"/>
      <c r="C2424" s="18"/>
      <c r="E2424" s="50"/>
    </row>
    <row r="2425" spans="2:5" s="4" customFormat="1">
      <c r="B2425" s="28"/>
      <c r="C2425" s="18"/>
      <c r="E2425" s="50"/>
    </row>
    <row r="2426" spans="2:5" s="4" customFormat="1">
      <c r="B2426" s="28"/>
      <c r="C2426" s="18"/>
      <c r="E2426" s="50"/>
    </row>
    <row r="2427" spans="2:5" s="4" customFormat="1">
      <c r="B2427" s="28"/>
      <c r="C2427" s="18"/>
      <c r="E2427" s="50"/>
    </row>
    <row r="2428" spans="2:5" s="4" customFormat="1">
      <c r="B2428" s="28"/>
      <c r="C2428" s="18"/>
      <c r="E2428" s="50"/>
    </row>
    <row r="2429" spans="2:5" s="4" customFormat="1">
      <c r="B2429" s="28"/>
      <c r="C2429" s="18"/>
      <c r="E2429" s="50"/>
    </row>
    <row r="2430" spans="2:5" s="4" customFormat="1">
      <c r="B2430" s="28"/>
      <c r="C2430" s="18"/>
      <c r="E2430" s="50"/>
    </row>
    <row r="2431" spans="2:5" s="4" customFormat="1">
      <c r="B2431" s="28"/>
      <c r="C2431" s="18"/>
      <c r="E2431" s="50"/>
    </row>
    <row r="2432" spans="2:5" s="4" customFormat="1">
      <c r="B2432" s="28"/>
      <c r="C2432" s="18"/>
      <c r="E2432" s="50"/>
    </row>
    <row r="2433" spans="2:5" s="4" customFormat="1">
      <c r="B2433" s="28"/>
      <c r="C2433" s="18"/>
      <c r="E2433" s="50"/>
    </row>
    <row r="2434" spans="2:5" s="4" customFormat="1">
      <c r="B2434" s="28"/>
      <c r="C2434" s="18"/>
      <c r="E2434" s="50"/>
    </row>
    <row r="2435" spans="2:5" s="4" customFormat="1">
      <c r="B2435" s="28"/>
      <c r="C2435" s="18"/>
      <c r="E2435" s="50"/>
    </row>
    <row r="2436" spans="2:5" s="4" customFormat="1">
      <c r="B2436" s="28"/>
      <c r="C2436" s="18"/>
      <c r="E2436" s="50"/>
    </row>
    <row r="2437" spans="2:5" s="4" customFormat="1">
      <c r="B2437" s="28"/>
      <c r="C2437" s="18"/>
      <c r="E2437" s="50"/>
    </row>
    <row r="2438" spans="2:5" s="4" customFormat="1">
      <c r="B2438" s="28"/>
      <c r="C2438" s="18"/>
      <c r="E2438" s="50"/>
    </row>
    <row r="2439" spans="2:5" s="4" customFormat="1">
      <c r="B2439" s="28"/>
      <c r="C2439" s="18"/>
      <c r="E2439" s="50"/>
    </row>
    <row r="2440" spans="2:5" s="4" customFormat="1">
      <c r="B2440" s="28"/>
      <c r="C2440" s="18"/>
      <c r="E2440" s="50"/>
    </row>
    <row r="2441" spans="2:5" s="4" customFormat="1">
      <c r="B2441" s="28"/>
      <c r="C2441" s="18"/>
      <c r="E2441" s="50"/>
    </row>
    <row r="2442" spans="2:5" s="4" customFormat="1">
      <c r="B2442" s="28"/>
      <c r="C2442" s="18"/>
      <c r="E2442" s="50"/>
    </row>
    <row r="2443" spans="2:5" s="4" customFormat="1">
      <c r="B2443" s="28"/>
      <c r="C2443" s="18"/>
      <c r="E2443" s="50"/>
    </row>
    <row r="2444" spans="2:5" s="4" customFormat="1">
      <c r="B2444" s="28"/>
      <c r="C2444" s="18"/>
      <c r="E2444" s="50"/>
    </row>
    <row r="2445" spans="2:5" s="4" customFormat="1">
      <c r="B2445" s="28"/>
      <c r="C2445" s="18"/>
      <c r="E2445" s="50"/>
    </row>
    <row r="2446" spans="2:5" s="4" customFormat="1">
      <c r="B2446" s="28"/>
      <c r="C2446" s="18"/>
      <c r="E2446" s="50"/>
    </row>
    <row r="2447" spans="2:5" s="4" customFormat="1">
      <c r="B2447" s="28"/>
      <c r="C2447" s="18"/>
      <c r="E2447" s="50"/>
    </row>
    <row r="2448" spans="2:5" s="4" customFormat="1">
      <c r="B2448" s="28"/>
      <c r="C2448" s="18"/>
      <c r="E2448" s="50"/>
    </row>
    <row r="2449" spans="2:5" s="4" customFormat="1">
      <c r="B2449" s="28"/>
      <c r="C2449" s="18"/>
      <c r="E2449" s="50"/>
    </row>
    <row r="2450" spans="2:5" s="4" customFormat="1">
      <c r="B2450" s="28"/>
      <c r="C2450" s="18"/>
      <c r="E2450" s="50"/>
    </row>
    <row r="2451" spans="2:5" s="4" customFormat="1">
      <c r="B2451" s="28"/>
      <c r="C2451" s="18"/>
      <c r="E2451" s="50"/>
    </row>
    <row r="2452" spans="2:5" s="4" customFormat="1">
      <c r="B2452" s="28"/>
      <c r="C2452" s="18"/>
      <c r="E2452" s="50"/>
    </row>
    <row r="2453" spans="2:5" s="4" customFormat="1">
      <c r="B2453" s="28"/>
      <c r="C2453" s="18"/>
      <c r="E2453" s="50"/>
    </row>
    <row r="2454" spans="2:5" s="4" customFormat="1">
      <c r="B2454" s="28"/>
      <c r="C2454" s="18"/>
      <c r="E2454" s="50"/>
    </row>
    <row r="2455" spans="2:5" s="4" customFormat="1">
      <c r="B2455" s="28"/>
      <c r="C2455" s="18"/>
      <c r="E2455" s="50"/>
    </row>
    <row r="2456" spans="2:5" s="4" customFormat="1">
      <c r="B2456" s="28"/>
      <c r="C2456" s="18"/>
      <c r="E2456" s="50"/>
    </row>
    <row r="2457" spans="2:5" s="4" customFormat="1">
      <c r="B2457" s="28"/>
      <c r="C2457" s="18"/>
      <c r="E2457" s="50"/>
    </row>
    <row r="2458" spans="2:5" s="4" customFormat="1">
      <c r="B2458" s="28"/>
      <c r="C2458" s="18"/>
      <c r="E2458" s="50"/>
    </row>
    <row r="2459" spans="2:5" s="4" customFormat="1">
      <c r="B2459" s="28"/>
      <c r="C2459" s="18"/>
      <c r="E2459" s="50"/>
    </row>
    <row r="2460" spans="2:5" s="4" customFormat="1">
      <c r="B2460" s="28"/>
      <c r="C2460" s="18"/>
      <c r="E2460" s="50"/>
    </row>
    <row r="2461" spans="2:5" s="4" customFormat="1">
      <c r="B2461" s="28"/>
      <c r="C2461" s="18"/>
      <c r="E2461" s="50"/>
    </row>
    <row r="2462" spans="2:5" s="4" customFormat="1">
      <c r="B2462" s="28"/>
      <c r="C2462" s="18"/>
      <c r="E2462" s="50"/>
    </row>
    <row r="2463" spans="2:5" s="4" customFormat="1">
      <c r="B2463" s="28"/>
      <c r="C2463" s="18"/>
      <c r="E2463" s="50"/>
    </row>
    <row r="2464" spans="2:5" s="4" customFormat="1">
      <c r="B2464" s="28"/>
      <c r="C2464" s="18"/>
      <c r="E2464" s="50"/>
    </row>
    <row r="2465" spans="2:5" s="4" customFormat="1">
      <c r="B2465" s="28"/>
      <c r="C2465" s="18"/>
      <c r="E2465" s="50"/>
    </row>
    <row r="2466" spans="2:5" s="4" customFormat="1">
      <c r="B2466" s="28"/>
      <c r="C2466" s="18"/>
      <c r="E2466" s="50"/>
    </row>
    <row r="2467" spans="2:5" s="4" customFormat="1">
      <c r="B2467" s="28"/>
      <c r="C2467" s="18"/>
      <c r="E2467" s="50"/>
    </row>
    <row r="2468" spans="2:5" s="4" customFormat="1">
      <c r="B2468" s="28"/>
      <c r="C2468" s="18"/>
      <c r="E2468" s="50"/>
    </row>
    <row r="2469" spans="2:5" s="4" customFormat="1">
      <c r="B2469" s="28"/>
      <c r="C2469" s="18"/>
      <c r="E2469" s="50"/>
    </row>
    <row r="2470" spans="2:5" s="4" customFormat="1">
      <c r="B2470" s="28"/>
      <c r="C2470" s="18"/>
      <c r="E2470" s="50"/>
    </row>
    <row r="2471" spans="2:5" s="4" customFormat="1">
      <c r="B2471" s="28"/>
      <c r="C2471" s="18"/>
      <c r="E2471" s="50"/>
    </row>
    <row r="2472" spans="2:5" s="4" customFormat="1">
      <c r="B2472" s="28"/>
      <c r="C2472" s="18"/>
      <c r="E2472" s="50"/>
    </row>
    <row r="2473" spans="2:5" s="4" customFormat="1">
      <c r="B2473" s="28"/>
      <c r="C2473" s="18"/>
      <c r="E2473" s="50"/>
    </row>
    <row r="2474" spans="2:5" s="4" customFormat="1">
      <c r="B2474" s="28"/>
      <c r="C2474" s="18"/>
      <c r="E2474" s="50"/>
    </row>
    <row r="2475" spans="2:5" s="4" customFormat="1">
      <c r="B2475" s="28"/>
      <c r="C2475" s="18"/>
      <c r="E2475" s="50"/>
    </row>
    <row r="2476" spans="2:5" s="4" customFormat="1">
      <c r="B2476" s="28"/>
      <c r="C2476" s="18"/>
      <c r="E2476" s="50"/>
    </row>
    <row r="2477" spans="2:5" s="4" customFormat="1">
      <c r="B2477" s="28"/>
      <c r="C2477" s="18"/>
      <c r="E2477" s="50"/>
    </row>
    <row r="2478" spans="2:5" s="4" customFormat="1">
      <c r="B2478" s="28"/>
      <c r="C2478" s="18"/>
      <c r="E2478" s="50"/>
    </row>
    <row r="2479" spans="2:5" s="4" customFormat="1">
      <c r="B2479" s="28"/>
      <c r="C2479" s="18"/>
      <c r="E2479" s="50"/>
    </row>
    <row r="2480" spans="2:5" s="4" customFormat="1">
      <c r="B2480" s="28"/>
      <c r="C2480" s="18"/>
      <c r="E2480" s="50"/>
    </row>
    <row r="2481" spans="2:5" s="4" customFormat="1">
      <c r="B2481" s="28"/>
      <c r="C2481" s="18"/>
      <c r="E2481" s="50"/>
    </row>
    <row r="2482" spans="2:5" s="4" customFormat="1">
      <c r="B2482" s="28"/>
      <c r="C2482" s="18"/>
      <c r="E2482" s="50"/>
    </row>
    <row r="2483" spans="2:5" s="4" customFormat="1">
      <c r="B2483" s="28"/>
      <c r="C2483" s="18"/>
      <c r="E2483" s="50"/>
    </row>
    <row r="2484" spans="2:5" s="4" customFormat="1">
      <c r="B2484" s="28"/>
      <c r="C2484" s="18"/>
      <c r="E2484" s="50"/>
    </row>
    <row r="2485" spans="2:5" s="4" customFormat="1">
      <c r="B2485" s="28"/>
      <c r="C2485" s="18"/>
      <c r="E2485" s="50"/>
    </row>
    <row r="2486" spans="2:5" s="4" customFormat="1">
      <c r="B2486" s="28"/>
      <c r="C2486" s="18"/>
      <c r="E2486" s="50"/>
    </row>
    <row r="2487" spans="2:5" s="4" customFormat="1">
      <c r="B2487" s="28"/>
      <c r="C2487" s="18"/>
      <c r="E2487" s="50"/>
    </row>
    <row r="2488" spans="2:5" s="4" customFormat="1">
      <c r="B2488" s="28"/>
      <c r="C2488" s="18"/>
      <c r="E2488" s="50"/>
    </row>
    <row r="2489" spans="2:5" s="4" customFormat="1">
      <c r="B2489" s="28"/>
      <c r="C2489" s="18"/>
      <c r="E2489" s="50"/>
    </row>
    <row r="2490" spans="2:5" s="4" customFormat="1">
      <c r="B2490" s="28"/>
      <c r="C2490" s="18"/>
      <c r="E2490" s="50"/>
    </row>
    <row r="2491" spans="2:5" s="4" customFormat="1">
      <c r="B2491" s="28"/>
      <c r="C2491" s="18"/>
      <c r="E2491" s="50"/>
    </row>
    <row r="2492" spans="2:5" s="4" customFormat="1">
      <c r="B2492" s="28"/>
      <c r="C2492" s="18"/>
      <c r="E2492" s="50"/>
    </row>
    <row r="2493" spans="2:5" s="4" customFormat="1">
      <c r="B2493" s="28"/>
      <c r="C2493" s="18"/>
      <c r="E2493" s="50"/>
    </row>
    <row r="2494" spans="2:5" s="4" customFormat="1">
      <c r="B2494" s="28"/>
      <c r="C2494" s="18"/>
      <c r="E2494" s="50"/>
    </row>
    <row r="2495" spans="2:5" s="4" customFormat="1">
      <c r="B2495" s="28"/>
      <c r="C2495" s="18"/>
      <c r="E2495" s="50"/>
    </row>
    <row r="2496" spans="2:5" s="4" customFormat="1">
      <c r="B2496" s="28"/>
      <c r="C2496" s="18"/>
      <c r="E2496" s="50"/>
    </row>
    <row r="2497" spans="2:5" s="4" customFormat="1">
      <c r="B2497" s="28"/>
      <c r="C2497" s="18"/>
      <c r="E2497" s="50"/>
    </row>
    <row r="2498" spans="2:5" s="4" customFormat="1">
      <c r="B2498" s="28"/>
      <c r="C2498" s="18"/>
      <c r="E2498" s="50"/>
    </row>
    <row r="2499" spans="2:5" s="4" customFormat="1">
      <c r="B2499" s="28"/>
      <c r="C2499" s="18"/>
      <c r="E2499" s="50"/>
    </row>
    <row r="2500" spans="2:5" s="4" customFormat="1">
      <c r="B2500" s="28"/>
      <c r="C2500" s="18"/>
      <c r="E2500" s="50"/>
    </row>
    <row r="2501" spans="2:5" s="4" customFormat="1">
      <c r="B2501" s="28"/>
      <c r="C2501" s="18"/>
      <c r="E2501" s="50"/>
    </row>
    <row r="2502" spans="2:5" s="4" customFormat="1">
      <c r="B2502" s="28"/>
      <c r="C2502" s="18"/>
      <c r="E2502" s="50"/>
    </row>
    <row r="2503" spans="2:5" s="4" customFormat="1">
      <c r="B2503" s="28"/>
      <c r="C2503" s="18"/>
      <c r="E2503" s="50"/>
    </row>
    <row r="2504" spans="2:5" s="4" customFormat="1">
      <c r="B2504" s="28"/>
      <c r="C2504" s="18"/>
      <c r="E2504" s="50"/>
    </row>
    <row r="2505" spans="2:5" s="4" customFormat="1">
      <c r="B2505" s="28"/>
      <c r="C2505" s="18"/>
      <c r="E2505" s="50"/>
    </row>
    <row r="2506" spans="2:5" s="4" customFormat="1">
      <c r="B2506" s="28"/>
      <c r="C2506" s="18"/>
      <c r="E2506" s="50"/>
    </row>
    <row r="2507" spans="2:5" s="4" customFormat="1">
      <c r="B2507" s="28"/>
      <c r="C2507" s="18"/>
      <c r="E2507" s="50"/>
    </row>
    <row r="2508" spans="2:5" s="4" customFormat="1">
      <c r="B2508" s="28"/>
      <c r="C2508" s="18"/>
      <c r="E2508" s="50"/>
    </row>
    <row r="2509" spans="2:5" s="4" customFormat="1">
      <c r="B2509" s="28"/>
      <c r="C2509" s="18"/>
      <c r="E2509" s="50"/>
    </row>
    <row r="2510" spans="2:5" s="4" customFormat="1">
      <c r="B2510" s="28"/>
      <c r="C2510" s="18"/>
      <c r="E2510" s="50"/>
    </row>
    <row r="2511" spans="2:5" s="4" customFormat="1">
      <c r="B2511" s="28"/>
      <c r="C2511" s="18"/>
      <c r="E2511" s="50"/>
    </row>
    <row r="2512" spans="2:5" s="4" customFormat="1">
      <c r="B2512" s="28"/>
      <c r="C2512" s="18"/>
      <c r="E2512" s="50"/>
    </row>
    <row r="2513" spans="2:5" s="4" customFormat="1">
      <c r="B2513" s="28"/>
      <c r="C2513" s="18"/>
      <c r="E2513" s="50"/>
    </row>
    <row r="2514" spans="2:5" s="4" customFormat="1">
      <c r="B2514" s="28"/>
      <c r="C2514" s="18"/>
      <c r="E2514" s="50"/>
    </row>
    <row r="2515" spans="2:5" s="4" customFormat="1">
      <c r="B2515" s="28"/>
      <c r="C2515" s="18"/>
      <c r="E2515" s="50"/>
    </row>
    <row r="2516" spans="2:5" s="4" customFormat="1">
      <c r="B2516" s="28"/>
      <c r="C2516" s="18"/>
      <c r="E2516" s="50"/>
    </row>
    <row r="2517" spans="2:5" s="4" customFormat="1">
      <c r="B2517" s="28"/>
      <c r="C2517" s="18"/>
      <c r="E2517" s="50"/>
    </row>
    <row r="2518" spans="2:5" s="4" customFormat="1">
      <c r="B2518" s="28"/>
      <c r="C2518" s="18"/>
      <c r="E2518" s="50"/>
    </row>
    <row r="2519" spans="2:5" s="4" customFormat="1">
      <c r="B2519" s="28"/>
      <c r="C2519" s="18"/>
      <c r="E2519" s="50"/>
    </row>
    <row r="2520" spans="2:5" s="4" customFormat="1">
      <c r="B2520" s="28"/>
      <c r="C2520" s="18"/>
      <c r="E2520" s="50"/>
    </row>
    <row r="2521" spans="2:5" s="4" customFormat="1">
      <c r="B2521" s="28"/>
      <c r="C2521" s="18"/>
      <c r="E2521" s="50"/>
    </row>
    <row r="2522" spans="2:5" s="4" customFormat="1">
      <c r="B2522" s="28"/>
      <c r="C2522" s="18"/>
      <c r="E2522" s="50"/>
    </row>
    <row r="2523" spans="2:5" s="4" customFormat="1">
      <c r="B2523" s="28"/>
      <c r="C2523" s="18"/>
      <c r="E2523" s="50"/>
    </row>
    <row r="2524" spans="2:5" s="4" customFormat="1">
      <c r="B2524" s="28"/>
      <c r="C2524" s="18"/>
      <c r="E2524" s="50"/>
    </row>
    <row r="2525" spans="2:5" s="4" customFormat="1">
      <c r="B2525" s="28"/>
      <c r="C2525" s="18"/>
      <c r="E2525" s="50"/>
    </row>
    <row r="2526" spans="2:5" s="4" customFormat="1">
      <c r="B2526" s="28"/>
      <c r="C2526" s="18"/>
      <c r="E2526" s="50"/>
    </row>
    <row r="2527" spans="2:5" s="4" customFormat="1">
      <c r="B2527" s="28"/>
      <c r="C2527" s="18"/>
      <c r="E2527" s="50"/>
    </row>
    <row r="2528" spans="2:5" s="4" customFormat="1">
      <c r="B2528" s="28"/>
      <c r="C2528" s="18"/>
      <c r="E2528" s="50"/>
    </row>
    <row r="2529" spans="2:5" s="4" customFormat="1">
      <c r="B2529" s="28"/>
      <c r="C2529" s="18"/>
      <c r="E2529" s="50"/>
    </row>
    <row r="2530" spans="2:5" s="4" customFormat="1">
      <c r="B2530" s="28"/>
      <c r="C2530" s="18"/>
      <c r="E2530" s="50"/>
    </row>
    <row r="2531" spans="2:5" s="4" customFormat="1">
      <c r="B2531" s="28"/>
      <c r="C2531" s="18"/>
      <c r="E2531" s="50"/>
    </row>
    <row r="2532" spans="2:5" s="4" customFormat="1">
      <c r="B2532" s="28"/>
      <c r="C2532" s="18"/>
      <c r="E2532" s="50"/>
    </row>
    <row r="2533" spans="2:5" s="4" customFormat="1">
      <c r="B2533" s="28"/>
      <c r="C2533" s="18"/>
      <c r="E2533" s="50"/>
    </row>
    <row r="2534" spans="2:5" s="4" customFormat="1">
      <c r="B2534" s="28"/>
      <c r="C2534" s="18"/>
      <c r="E2534" s="50"/>
    </row>
    <row r="2535" spans="2:5" s="4" customFormat="1">
      <c r="B2535" s="28"/>
      <c r="C2535" s="18"/>
      <c r="E2535" s="50"/>
    </row>
    <row r="2536" spans="2:5" s="4" customFormat="1">
      <c r="B2536" s="28"/>
      <c r="C2536" s="18"/>
      <c r="E2536" s="50"/>
    </row>
    <row r="2537" spans="2:5" s="4" customFormat="1">
      <c r="B2537" s="28"/>
      <c r="C2537" s="18"/>
      <c r="E2537" s="50"/>
    </row>
    <row r="2538" spans="2:5" s="4" customFormat="1">
      <c r="B2538" s="28"/>
      <c r="C2538" s="18"/>
      <c r="E2538" s="50"/>
    </row>
    <row r="2539" spans="2:5" s="4" customFormat="1">
      <c r="B2539" s="28"/>
      <c r="C2539" s="18"/>
      <c r="E2539" s="50"/>
    </row>
    <row r="2540" spans="2:5" s="4" customFormat="1">
      <c r="B2540" s="28"/>
      <c r="C2540" s="18"/>
      <c r="E2540" s="50"/>
    </row>
    <row r="2541" spans="2:5" s="4" customFormat="1">
      <c r="B2541" s="28"/>
      <c r="C2541" s="18"/>
      <c r="E2541" s="50"/>
    </row>
    <row r="2542" spans="2:5" s="4" customFormat="1">
      <c r="B2542" s="28"/>
      <c r="C2542" s="18"/>
      <c r="E2542" s="50"/>
    </row>
    <row r="2543" spans="2:5" s="4" customFormat="1">
      <c r="B2543" s="28"/>
      <c r="C2543" s="18"/>
      <c r="E2543" s="50"/>
    </row>
    <row r="2544" spans="2:5" s="4" customFormat="1">
      <c r="B2544" s="28"/>
      <c r="C2544" s="18"/>
      <c r="E2544" s="50"/>
    </row>
    <row r="2545" spans="2:5" s="4" customFormat="1">
      <c r="B2545" s="28"/>
      <c r="C2545" s="18"/>
      <c r="E2545" s="50"/>
    </row>
    <row r="2546" spans="2:5" s="4" customFormat="1">
      <c r="B2546" s="28"/>
      <c r="C2546" s="18"/>
      <c r="E2546" s="50"/>
    </row>
    <row r="2547" spans="2:5" s="4" customFormat="1">
      <c r="B2547" s="28"/>
      <c r="C2547" s="18"/>
      <c r="E2547" s="50"/>
    </row>
    <row r="2548" spans="2:5" s="4" customFormat="1">
      <c r="B2548" s="28"/>
      <c r="C2548" s="18"/>
      <c r="E2548" s="50"/>
    </row>
    <row r="2549" spans="2:5" s="4" customFormat="1">
      <c r="B2549" s="28"/>
      <c r="C2549" s="18"/>
      <c r="E2549" s="50"/>
    </row>
    <row r="2550" spans="2:5" s="4" customFormat="1">
      <c r="B2550" s="28"/>
      <c r="C2550" s="18"/>
      <c r="E2550" s="50"/>
    </row>
    <row r="2551" spans="2:5" s="4" customFormat="1">
      <c r="B2551" s="28"/>
      <c r="C2551" s="18"/>
      <c r="E2551" s="50"/>
    </row>
    <row r="2552" spans="2:5" s="4" customFormat="1">
      <c r="B2552" s="28"/>
      <c r="C2552" s="18"/>
      <c r="E2552" s="50"/>
    </row>
    <row r="2553" spans="2:5" s="4" customFormat="1">
      <c r="B2553" s="28"/>
      <c r="C2553" s="18"/>
      <c r="E2553" s="50"/>
    </row>
    <row r="2554" spans="2:5" s="4" customFormat="1">
      <c r="B2554" s="28"/>
      <c r="C2554" s="18"/>
      <c r="E2554" s="50"/>
    </row>
    <row r="2555" spans="2:5" s="4" customFormat="1">
      <c r="B2555" s="28"/>
      <c r="C2555" s="18"/>
      <c r="E2555" s="50"/>
    </row>
    <row r="2556" spans="2:5" s="4" customFormat="1">
      <c r="B2556" s="28"/>
      <c r="C2556" s="18"/>
      <c r="E2556" s="50"/>
    </row>
    <row r="2557" spans="2:5" s="4" customFormat="1">
      <c r="B2557" s="28"/>
      <c r="C2557" s="18"/>
      <c r="E2557" s="50"/>
    </row>
    <row r="2558" spans="2:5" s="4" customFormat="1">
      <c r="B2558" s="28"/>
      <c r="C2558" s="18"/>
      <c r="E2558" s="50"/>
    </row>
    <row r="2559" spans="2:5" s="4" customFormat="1">
      <c r="B2559" s="28"/>
      <c r="C2559" s="18"/>
      <c r="E2559" s="50"/>
    </row>
    <row r="2560" spans="2:5" s="4" customFormat="1">
      <c r="B2560" s="28"/>
      <c r="C2560" s="18"/>
      <c r="E2560" s="50"/>
    </row>
    <row r="2561" spans="2:5" s="4" customFormat="1">
      <c r="B2561" s="28"/>
      <c r="C2561" s="18"/>
      <c r="E2561" s="50"/>
    </row>
    <row r="2562" spans="2:5" s="4" customFormat="1">
      <c r="B2562" s="28"/>
      <c r="C2562" s="18"/>
      <c r="E2562" s="50"/>
    </row>
    <row r="2563" spans="2:5" s="4" customFormat="1">
      <c r="B2563" s="28"/>
      <c r="C2563" s="18"/>
      <c r="E2563" s="50"/>
    </row>
    <row r="2564" spans="2:5" s="4" customFormat="1">
      <c r="B2564" s="28"/>
      <c r="C2564" s="18"/>
      <c r="E2564" s="50"/>
    </row>
    <row r="2565" spans="2:5" s="4" customFormat="1">
      <c r="B2565" s="28"/>
      <c r="C2565" s="18"/>
      <c r="E2565" s="50"/>
    </row>
    <row r="2566" spans="2:5" s="4" customFormat="1">
      <c r="B2566" s="28"/>
      <c r="C2566" s="18"/>
      <c r="E2566" s="50"/>
    </row>
    <row r="2567" spans="2:5" s="4" customFormat="1">
      <c r="B2567" s="28"/>
      <c r="C2567" s="18"/>
      <c r="E2567" s="50"/>
    </row>
    <row r="2568" spans="2:5" s="4" customFormat="1">
      <c r="B2568" s="28"/>
      <c r="C2568" s="18"/>
      <c r="E2568" s="50"/>
    </row>
    <row r="2569" spans="2:5" s="4" customFormat="1">
      <c r="B2569" s="28"/>
      <c r="C2569" s="18"/>
      <c r="E2569" s="50"/>
    </row>
    <row r="2570" spans="2:5" s="4" customFormat="1">
      <c r="B2570" s="28"/>
      <c r="C2570" s="18"/>
      <c r="E2570" s="50"/>
    </row>
    <row r="2571" spans="2:5" s="4" customFormat="1">
      <c r="B2571" s="28"/>
      <c r="C2571" s="18"/>
      <c r="E2571" s="50"/>
    </row>
    <row r="2572" spans="2:5" s="4" customFormat="1">
      <c r="B2572" s="28"/>
      <c r="C2572" s="18"/>
      <c r="E2572" s="50"/>
    </row>
    <row r="2573" spans="2:5" s="4" customFormat="1">
      <c r="B2573" s="28"/>
      <c r="C2573" s="18"/>
      <c r="E2573" s="50"/>
    </row>
    <row r="2574" spans="2:5" s="4" customFormat="1">
      <c r="B2574" s="28"/>
      <c r="C2574" s="18"/>
      <c r="E2574" s="50"/>
    </row>
    <row r="2575" spans="2:5" s="4" customFormat="1">
      <c r="B2575" s="28"/>
      <c r="C2575" s="18"/>
      <c r="E2575" s="50"/>
    </row>
    <row r="2576" spans="2:5" s="4" customFormat="1">
      <c r="B2576" s="28"/>
      <c r="C2576" s="18"/>
      <c r="E2576" s="50"/>
    </row>
    <row r="2577" spans="2:5" s="4" customFormat="1">
      <c r="B2577" s="28"/>
      <c r="C2577" s="18"/>
      <c r="E2577" s="50"/>
    </row>
    <row r="2578" spans="2:5" s="4" customFormat="1">
      <c r="B2578" s="28"/>
      <c r="C2578" s="18"/>
      <c r="E2578" s="50"/>
    </row>
    <row r="2579" spans="2:5" s="4" customFormat="1">
      <c r="B2579" s="28"/>
      <c r="C2579" s="18"/>
      <c r="E2579" s="50"/>
    </row>
    <row r="2580" spans="2:5" s="4" customFormat="1">
      <c r="B2580" s="28"/>
      <c r="C2580" s="18"/>
      <c r="E2580" s="50"/>
    </row>
    <row r="2581" spans="2:5" s="4" customFormat="1">
      <c r="B2581" s="28"/>
      <c r="C2581" s="18"/>
      <c r="E2581" s="50"/>
    </row>
    <row r="2582" spans="2:5" s="4" customFormat="1">
      <c r="B2582" s="28"/>
      <c r="C2582" s="18"/>
      <c r="E2582" s="50"/>
    </row>
    <row r="2583" spans="2:5" s="4" customFormat="1">
      <c r="B2583" s="28"/>
      <c r="C2583" s="18"/>
      <c r="E2583" s="50"/>
    </row>
    <row r="2584" spans="2:5" s="4" customFormat="1">
      <c r="B2584" s="28"/>
      <c r="C2584" s="18"/>
      <c r="E2584" s="50"/>
    </row>
    <row r="2585" spans="2:5" s="4" customFormat="1">
      <c r="B2585" s="28"/>
      <c r="C2585" s="18"/>
      <c r="E2585" s="50"/>
    </row>
    <row r="2586" spans="2:5" s="4" customFormat="1">
      <c r="B2586" s="28"/>
      <c r="C2586" s="18"/>
      <c r="E2586" s="50"/>
    </row>
    <row r="2587" spans="2:5" s="4" customFormat="1">
      <c r="B2587" s="28"/>
      <c r="C2587" s="18"/>
      <c r="E2587" s="50"/>
    </row>
    <row r="2588" spans="2:5" s="4" customFormat="1">
      <c r="B2588" s="28"/>
      <c r="C2588" s="18"/>
      <c r="E2588" s="50"/>
    </row>
    <row r="2589" spans="2:5" s="4" customFormat="1">
      <c r="B2589" s="28"/>
      <c r="C2589" s="18"/>
      <c r="E2589" s="50"/>
    </row>
    <row r="2590" spans="2:5" s="4" customFormat="1">
      <c r="B2590" s="28"/>
      <c r="C2590" s="18"/>
      <c r="E2590" s="50"/>
    </row>
    <row r="2591" spans="2:5" s="4" customFormat="1">
      <c r="B2591" s="28"/>
      <c r="C2591" s="18"/>
      <c r="E2591" s="50"/>
    </row>
    <row r="2592" spans="2:5" s="4" customFormat="1">
      <c r="B2592" s="28"/>
      <c r="C2592" s="18"/>
      <c r="E2592" s="50"/>
    </row>
    <row r="2593" spans="2:5" s="4" customFormat="1">
      <c r="B2593" s="28"/>
      <c r="C2593" s="18"/>
      <c r="E2593" s="50"/>
    </row>
    <row r="2594" spans="2:5" s="4" customFormat="1">
      <c r="B2594" s="28"/>
      <c r="C2594" s="18"/>
      <c r="E2594" s="50"/>
    </row>
    <row r="2595" spans="2:5" s="4" customFormat="1">
      <c r="B2595" s="28"/>
      <c r="C2595" s="18"/>
      <c r="E2595" s="50"/>
    </row>
    <row r="2596" spans="2:5" s="4" customFormat="1">
      <c r="B2596" s="28"/>
      <c r="C2596" s="18"/>
      <c r="E2596" s="50"/>
    </row>
    <row r="2597" spans="2:5" s="4" customFormat="1">
      <c r="B2597" s="28"/>
      <c r="C2597" s="18"/>
      <c r="E2597" s="50"/>
    </row>
    <row r="2598" spans="2:5" s="4" customFormat="1">
      <c r="B2598" s="28"/>
      <c r="C2598" s="18"/>
      <c r="E2598" s="50"/>
    </row>
    <row r="2599" spans="2:5" s="4" customFormat="1">
      <c r="B2599" s="28"/>
      <c r="C2599" s="18"/>
      <c r="E2599" s="50"/>
    </row>
    <row r="2600" spans="2:5" s="4" customFormat="1">
      <c r="B2600" s="28"/>
      <c r="C2600" s="18"/>
      <c r="E2600" s="50"/>
    </row>
    <row r="2601" spans="2:5" s="4" customFormat="1">
      <c r="B2601" s="28"/>
      <c r="C2601" s="18"/>
      <c r="E2601" s="50"/>
    </row>
    <row r="2602" spans="2:5" s="4" customFormat="1">
      <c r="B2602" s="28"/>
      <c r="C2602" s="18"/>
      <c r="E2602" s="50"/>
    </row>
    <row r="2603" spans="2:5" s="4" customFormat="1">
      <c r="B2603" s="28"/>
      <c r="C2603" s="18"/>
      <c r="E2603" s="50"/>
    </row>
    <row r="2604" spans="2:5" s="4" customFormat="1">
      <c r="B2604" s="28"/>
      <c r="C2604" s="18"/>
      <c r="E2604" s="50"/>
    </row>
    <row r="2605" spans="2:5" s="4" customFormat="1">
      <c r="B2605" s="28"/>
      <c r="C2605" s="18"/>
      <c r="E2605" s="50"/>
    </row>
    <row r="2606" spans="2:5" s="4" customFormat="1">
      <c r="B2606" s="28"/>
      <c r="C2606" s="18"/>
      <c r="E2606" s="50"/>
    </row>
    <row r="2607" spans="2:5" s="4" customFormat="1">
      <c r="B2607" s="28"/>
      <c r="C2607" s="18"/>
      <c r="E2607" s="50"/>
    </row>
    <row r="2608" spans="2:5" s="4" customFormat="1">
      <c r="B2608" s="28"/>
      <c r="C2608" s="18"/>
      <c r="E2608" s="50"/>
    </row>
    <row r="2609" spans="2:5" s="4" customFormat="1">
      <c r="B2609" s="28"/>
      <c r="C2609" s="18"/>
      <c r="E2609" s="50"/>
    </row>
    <row r="2610" spans="2:5" s="4" customFormat="1">
      <c r="B2610" s="28"/>
      <c r="C2610" s="18"/>
      <c r="E2610" s="50"/>
    </row>
    <row r="2611" spans="2:5" s="4" customFormat="1">
      <c r="B2611" s="28"/>
      <c r="C2611" s="18"/>
      <c r="E2611" s="50"/>
    </row>
    <row r="2612" spans="2:5" s="4" customFormat="1">
      <c r="B2612" s="28"/>
      <c r="C2612" s="18"/>
      <c r="E2612" s="50"/>
    </row>
    <row r="2613" spans="2:5" s="4" customFormat="1">
      <c r="B2613" s="28"/>
      <c r="C2613" s="18"/>
      <c r="E2613" s="50"/>
    </row>
    <row r="2614" spans="2:5" s="4" customFormat="1">
      <c r="B2614" s="28"/>
      <c r="C2614" s="18"/>
      <c r="E2614" s="50"/>
    </row>
    <row r="2615" spans="2:5" s="4" customFormat="1">
      <c r="B2615" s="28"/>
      <c r="C2615" s="18"/>
      <c r="E2615" s="50"/>
    </row>
    <row r="2616" spans="2:5" s="4" customFormat="1">
      <c r="B2616" s="28"/>
      <c r="C2616" s="18"/>
      <c r="E2616" s="50"/>
    </row>
    <row r="2617" spans="2:5" s="4" customFormat="1">
      <c r="B2617" s="28"/>
      <c r="C2617" s="18"/>
      <c r="E2617" s="50"/>
    </row>
    <row r="2618" spans="2:5" s="4" customFormat="1">
      <c r="B2618" s="28"/>
      <c r="C2618" s="18"/>
      <c r="E2618" s="50"/>
    </row>
    <row r="2619" spans="2:5" s="4" customFormat="1">
      <c r="B2619" s="28"/>
      <c r="C2619" s="18"/>
      <c r="E2619" s="50"/>
    </row>
    <row r="2620" spans="2:5" s="4" customFormat="1">
      <c r="B2620" s="28"/>
      <c r="C2620" s="18"/>
      <c r="E2620" s="50"/>
    </row>
    <row r="2621" spans="2:5" s="4" customFormat="1">
      <c r="B2621" s="28"/>
      <c r="C2621" s="18"/>
      <c r="E2621" s="50"/>
    </row>
    <row r="2622" spans="2:5" s="4" customFormat="1">
      <c r="B2622" s="28"/>
      <c r="C2622" s="18"/>
      <c r="E2622" s="50"/>
    </row>
    <row r="2623" spans="2:5" s="4" customFormat="1">
      <c r="B2623" s="28"/>
      <c r="C2623" s="18"/>
      <c r="E2623" s="50"/>
    </row>
    <row r="2624" spans="2:5" s="4" customFormat="1">
      <c r="B2624" s="28"/>
      <c r="C2624" s="18"/>
      <c r="E2624" s="50"/>
    </row>
    <row r="2625" spans="2:5" s="4" customFormat="1">
      <c r="B2625" s="28"/>
      <c r="C2625" s="18"/>
      <c r="E2625" s="50"/>
    </row>
    <row r="2626" spans="2:5" s="4" customFormat="1">
      <c r="B2626" s="28"/>
      <c r="C2626" s="18"/>
      <c r="E2626" s="50"/>
    </row>
    <row r="2627" spans="2:5" s="4" customFormat="1">
      <c r="B2627" s="28"/>
      <c r="C2627" s="18"/>
      <c r="E2627" s="50"/>
    </row>
    <row r="2628" spans="2:5" s="4" customFormat="1">
      <c r="B2628" s="28"/>
      <c r="C2628" s="18"/>
      <c r="E2628" s="50"/>
    </row>
    <row r="2629" spans="2:5" s="4" customFormat="1">
      <c r="B2629" s="28"/>
      <c r="C2629" s="18"/>
      <c r="E2629" s="50"/>
    </row>
    <row r="2630" spans="2:5" s="4" customFormat="1">
      <c r="B2630" s="28"/>
      <c r="C2630" s="18"/>
      <c r="E2630" s="50"/>
    </row>
    <row r="2631" spans="2:5" s="4" customFormat="1">
      <c r="B2631" s="28"/>
      <c r="C2631" s="18"/>
      <c r="E2631" s="50"/>
    </row>
    <row r="2632" spans="2:5" s="4" customFormat="1">
      <c r="B2632" s="28"/>
      <c r="C2632" s="18"/>
      <c r="E2632" s="50"/>
    </row>
    <row r="2633" spans="2:5" s="4" customFormat="1">
      <c r="B2633" s="28"/>
      <c r="C2633" s="18"/>
      <c r="E2633" s="50"/>
    </row>
    <row r="2634" spans="2:5" s="4" customFormat="1">
      <c r="B2634" s="28"/>
      <c r="C2634" s="18"/>
      <c r="E2634" s="50"/>
    </row>
    <row r="2635" spans="2:5" s="4" customFormat="1">
      <c r="B2635" s="28"/>
      <c r="C2635" s="18"/>
      <c r="E2635" s="50"/>
    </row>
    <row r="2636" spans="2:5" s="4" customFormat="1">
      <c r="B2636" s="28"/>
      <c r="C2636" s="18"/>
      <c r="E2636" s="50"/>
    </row>
    <row r="2637" spans="2:5" s="4" customFormat="1">
      <c r="B2637" s="28"/>
      <c r="C2637" s="18"/>
      <c r="E2637" s="50"/>
    </row>
    <row r="2638" spans="2:5" s="4" customFormat="1">
      <c r="B2638" s="28"/>
      <c r="C2638" s="18"/>
      <c r="E2638" s="50"/>
    </row>
    <row r="2639" spans="2:5" s="4" customFormat="1">
      <c r="B2639" s="28"/>
      <c r="C2639" s="18"/>
      <c r="E2639" s="50"/>
    </row>
    <row r="2640" spans="2:5" s="4" customFormat="1">
      <c r="B2640" s="28"/>
      <c r="C2640" s="18"/>
      <c r="E2640" s="50"/>
    </row>
    <row r="2641" spans="2:5" s="4" customFormat="1">
      <c r="B2641" s="28"/>
      <c r="C2641" s="18"/>
      <c r="E2641" s="50"/>
    </row>
    <row r="2642" spans="2:5" s="4" customFormat="1">
      <c r="B2642" s="28"/>
      <c r="C2642" s="18"/>
      <c r="E2642" s="50"/>
    </row>
    <row r="2643" spans="2:5" s="4" customFormat="1">
      <c r="B2643" s="28"/>
      <c r="C2643" s="18"/>
      <c r="E2643" s="50"/>
    </row>
    <row r="2644" spans="2:5" s="4" customFormat="1">
      <c r="B2644" s="28"/>
      <c r="C2644" s="18"/>
      <c r="E2644" s="50"/>
    </row>
    <row r="2645" spans="2:5" s="4" customFormat="1">
      <c r="B2645" s="28"/>
      <c r="C2645" s="18"/>
      <c r="E2645" s="50"/>
    </row>
    <row r="2646" spans="2:5" s="4" customFormat="1">
      <c r="B2646" s="28"/>
      <c r="C2646" s="18"/>
      <c r="E2646" s="50"/>
    </row>
    <row r="2647" spans="2:5" s="4" customFormat="1">
      <c r="B2647" s="28"/>
      <c r="C2647" s="18"/>
      <c r="E2647" s="50"/>
    </row>
    <row r="2648" spans="2:5" s="4" customFormat="1">
      <c r="B2648" s="28"/>
      <c r="C2648" s="18"/>
      <c r="E2648" s="50"/>
    </row>
    <row r="2649" spans="2:5" s="4" customFormat="1">
      <c r="B2649" s="28"/>
      <c r="C2649" s="18"/>
      <c r="E2649" s="50"/>
    </row>
    <row r="2650" spans="2:5" s="4" customFormat="1">
      <c r="B2650" s="28"/>
      <c r="C2650" s="18"/>
      <c r="E2650" s="50"/>
    </row>
    <row r="2651" spans="2:5" s="4" customFormat="1">
      <c r="B2651" s="28"/>
      <c r="C2651" s="18"/>
      <c r="E2651" s="50"/>
    </row>
    <row r="2652" spans="2:5" s="4" customFormat="1">
      <c r="B2652" s="28"/>
      <c r="C2652" s="18"/>
      <c r="E2652" s="50"/>
    </row>
    <row r="2653" spans="2:5" s="4" customFormat="1">
      <c r="B2653" s="28"/>
      <c r="C2653" s="18"/>
      <c r="E2653" s="50"/>
    </row>
    <row r="2654" spans="2:5" s="4" customFormat="1">
      <c r="B2654" s="28"/>
      <c r="C2654" s="18"/>
      <c r="E2654" s="50"/>
    </row>
    <row r="2655" spans="2:5" s="4" customFormat="1">
      <c r="B2655" s="28"/>
      <c r="C2655" s="18"/>
      <c r="E2655" s="50"/>
    </row>
    <row r="2656" spans="2:5" s="4" customFormat="1">
      <c r="B2656" s="28"/>
      <c r="C2656" s="18"/>
      <c r="E2656" s="50"/>
    </row>
    <row r="2657" spans="2:5" s="4" customFormat="1">
      <c r="B2657" s="28"/>
      <c r="C2657" s="18"/>
      <c r="E2657" s="50"/>
    </row>
    <row r="2658" spans="2:5" s="4" customFormat="1">
      <c r="B2658" s="28"/>
      <c r="C2658" s="18"/>
      <c r="E2658" s="50"/>
    </row>
    <row r="2659" spans="2:5" s="4" customFormat="1">
      <c r="B2659" s="28"/>
      <c r="C2659" s="18"/>
      <c r="E2659" s="50"/>
    </row>
    <row r="2660" spans="2:5" s="4" customFormat="1">
      <c r="B2660" s="28"/>
      <c r="C2660" s="18"/>
      <c r="E2660" s="50"/>
    </row>
    <row r="2661" spans="2:5" s="4" customFormat="1">
      <c r="B2661" s="28"/>
      <c r="C2661" s="18"/>
      <c r="E2661" s="50"/>
    </row>
    <row r="2662" spans="2:5" s="4" customFormat="1">
      <c r="B2662" s="28"/>
      <c r="C2662" s="18"/>
      <c r="E2662" s="50"/>
    </row>
    <row r="2663" spans="2:5" s="4" customFormat="1">
      <c r="B2663" s="28"/>
      <c r="C2663" s="18"/>
      <c r="E2663" s="50"/>
    </row>
    <row r="2664" spans="2:5" s="4" customFormat="1">
      <c r="B2664" s="28"/>
      <c r="C2664" s="18"/>
      <c r="E2664" s="50"/>
    </row>
    <row r="2665" spans="2:5" s="4" customFormat="1">
      <c r="B2665" s="28"/>
      <c r="C2665" s="18"/>
      <c r="E2665" s="50"/>
    </row>
    <row r="2666" spans="2:5" s="4" customFormat="1">
      <c r="B2666" s="28"/>
      <c r="C2666" s="18"/>
      <c r="E2666" s="50"/>
    </row>
    <row r="2667" spans="2:5" s="4" customFormat="1">
      <c r="B2667" s="28"/>
      <c r="C2667" s="18"/>
      <c r="E2667" s="50"/>
    </row>
    <row r="2668" spans="2:5" s="4" customFormat="1">
      <c r="B2668" s="28"/>
      <c r="C2668" s="18"/>
      <c r="E2668" s="50"/>
    </row>
    <row r="2669" spans="2:5" s="4" customFormat="1">
      <c r="B2669" s="28"/>
      <c r="C2669" s="18"/>
      <c r="E2669" s="50"/>
    </row>
    <row r="2670" spans="2:5" s="4" customFormat="1">
      <c r="B2670" s="28"/>
      <c r="C2670" s="18"/>
      <c r="E2670" s="50"/>
    </row>
    <row r="2671" spans="2:5" s="4" customFormat="1">
      <c r="B2671" s="28"/>
      <c r="C2671" s="18"/>
      <c r="E2671" s="50"/>
    </row>
    <row r="2672" spans="2:5" s="4" customFormat="1">
      <c r="B2672" s="28"/>
      <c r="C2672" s="18"/>
      <c r="E2672" s="50"/>
    </row>
    <row r="2673" spans="2:5" s="4" customFormat="1">
      <c r="B2673" s="28"/>
      <c r="C2673" s="18"/>
      <c r="E2673" s="50"/>
    </row>
    <row r="2674" spans="2:5" s="4" customFormat="1">
      <c r="B2674" s="28"/>
      <c r="C2674" s="18"/>
      <c r="E2674" s="50"/>
    </row>
    <row r="2675" spans="2:5" s="4" customFormat="1">
      <c r="B2675" s="28"/>
      <c r="C2675" s="18"/>
      <c r="E2675" s="50"/>
    </row>
    <row r="2676" spans="2:5" s="4" customFormat="1">
      <c r="B2676" s="28"/>
      <c r="C2676" s="18"/>
      <c r="E2676" s="50"/>
    </row>
    <row r="2677" spans="2:5" s="4" customFormat="1">
      <c r="B2677" s="28"/>
      <c r="C2677" s="18"/>
      <c r="E2677" s="50"/>
    </row>
    <row r="2678" spans="2:5" s="4" customFormat="1">
      <c r="B2678" s="28"/>
      <c r="C2678" s="18"/>
      <c r="E2678" s="50"/>
    </row>
    <row r="2679" spans="2:5" s="4" customFormat="1">
      <c r="B2679" s="28"/>
      <c r="C2679" s="18"/>
      <c r="E2679" s="50"/>
    </row>
    <row r="2680" spans="2:5" s="4" customFormat="1">
      <c r="B2680" s="28"/>
      <c r="C2680" s="18"/>
      <c r="E2680" s="50"/>
    </row>
    <row r="2681" spans="2:5" s="4" customFormat="1">
      <c r="B2681" s="28"/>
      <c r="C2681" s="18"/>
      <c r="E2681" s="50"/>
    </row>
    <row r="2682" spans="2:5" s="4" customFormat="1">
      <c r="B2682" s="28"/>
      <c r="C2682" s="18"/>
      <c r="E2682" s="50"/>
    </row>
    <row r="2683" spans="2:5" s="4" customFormat="1">
      <c r="B2683" s="28"/>
      <c r="C2683" s="18"/>
      <c r="E2683" s="50"/>
    </row>
    <row r="2684" spans="2:5" s="4" customFormat="1">
      <c r="B2684" s="28"/>
      <c r="C2684" s="18"/>
      <c r="E2684" s="50"/>
    </row>
    <row r="2685" spans="2:5" s="4" customFormat="1">
      <c r="B2685" s="28"/>
      <c r="C2685" s="18"/>
      <c r="E2685" s="50"/>
    </row>
    <row r="2686" spans="2:5" s="4" customFormat="1">
      <c r="B2686" s="28"/>
      <c r="C2686" s="18"/>
      <c r="E2686" s="50"/>
    </row>
    <row r="2687" spans="2:5" s="4" customFormat="1">
      <c r="B2687" s="28"/>
      <c r="C2687" s="18"/>
      <c r="E2687" s="50"/>
    </row>
    <row r="2688" spans="2:5" s="4" customFormat="1">
      <c r="B2688" s="28"/>
      <c r="C2688" s="18"/>
      <c r="E2688" s="50"/>
    </row>
    <row r="2689" spans="2:5" s="4" customFormat="1">
      <c r="B2689" s="28"/>
      <c r="C2689" s="18"/>
      <c r="E2689" s="50"/>
    </row>
    <row r="2690" spans="2:5" s="4" customFormat="1">
      <c r="B2690" s="28"/>
      <c r="C2690" s="18"/>
      <c r="E2690" s="50"/>
    </row>
    <row r="2691" spans="2:5" s="4" customFormat="1">
      <c r="B2691" s="28"/>
      <c r="C2691" s="18"/>
      <c r="E2691" s="50"/>
    </row>
    <row r="2692" spans="2:5" s="4" customFormat="1">
      <c r="B2692" s="28"/>
      <c r="C2692" s="18"/>
      <c r="E2692" s="50"/>
    </row>
    <row r="2693" spans="2:5" s="4" customFormat="1">
      <c r="B2693" s="28"/>
      <c r="C2693" s="18"/>
      <c r="E2693" s="50"/>
    </row>
    <row r="2694" spans="2:5" s="4" customFormat="1">
      <c r="B2694" s="28"/>
      <c r="C2694" s="18"/>
      <c r="E2694" s="50"/>
    </row>
    <row r="2695" spans="2:5" s="4" customFormat="1">
      <c r="B2695" s="28"/>
      <c r="C2695" s="18"/>
      <c r="E2695" s="50"/>
    </row>
    <row r="2696" spans="2:5" s="4" customFormat="1">
      <c r="B2696" s="28"/>
      <c r="C2696" s="18"/>
      <c r="E2696" s="50"/>
    </row>
    <row r="2697" spans="2:5" s="4" customFormat="1">
      <c r="B2697" s="28"/>
      <c r="C2697" s="18"/>
      <c r="E2697" s="50"/>
    </row>
    <row r="2698" spans="2:5" s="4" customFormat="1">
      <c r="B2698" s="28"/>
      <c r="C2698" s="18"/>
      <c r="E2698" s="50"/>
    </row>
    <row r="2699" spans="2:5" s="4" customFormat="1">
      <c r="B2699" s="28"/>
      <c r="C2699" s="18"/>
      <c r="E2699" s="50"/>
    </row>
    <row r="2700" spans="2:5" s="4" customFormat="1">
      <c r="B2700" s="28"/>
      <c r="C2700" s="18"/>
      <c r="E2700" s="50"/>
    </row>
    <row r="2701" spans="2:5" s="4" customFormat="1">
      <c r="B2701" s="28"/>
      <c r="C2701" s="18"/>
      <c r="E2701" s="50"/>
    </row>
    <row r="2702" spans="2:5" s="4" customFormat="1">
      <c r="B2702" s="28"/>
      <c r="C2702" s="18"/>
      <c r="E2702" s="50"/>
    </row>
    <row r="2703" spans="2:5" s="4" customFormat="1">
      <c r="B2703" s="28"/>
      <c r="C2703" s="18"/>
      <c r="E2703" s="50"/>
    </row>
    <row r="2704" spans="2:5" s="4" customFormat="1">
      <c r="B2704" s="28"/>
      <c r="C2704" s="18"/>
      <c r="E2704" s="50"/>
    </row>
    <row r="2705" spans="2:5" s="4" customFormat="1">
      <c r="B2705" s="28"/>
      <c r="C2705" s="18"/>
      <c r="E2705" s="50"/>
    </row>
    <row r="2706" spans="2:5" s="4" customFormat="1">
      <c r="B2706" s="28"/>
      <c r="C2706" s="18"/>
      <c r="E2706" s="50"/>
    </row>
    <row r="2707" spans="2:5" s="4" customFormat="1">
      <c r="B2707" s="28"/>
      <c r="C2707" s="18"/>
      <c r="E2707" s="50"/>
    </row>
    <row r="2708" spans="2:5" s="4" customFormat="1">
      <c r="B2708" s="28"/>
      <c r="C2708" s="18"/>
      <c r="E2708" s="50"/>
    </row>
    <row r="2709" spans="2:5" s="4" customFormat="1">
      <c r="B2709" s="28"/>
      <c r="C2709" s="18"/>
      <c r="E2709" s="50"/>
    </row>
    <row r="2710" spans="2:5" s="4" customFormat="1">
      <c r="B2710" s="28"/>
      <c r="C2710" s="18"/>
      <c r="E2710" s="50"/>
    </row>
    <row r="2711" spans="2:5" s="4" customFormat="1">
      <c r="B2711" s="28"/>
      <c r="C2711" s="18"/>
      <c r="E2711" s="50"/>
    </row>
    <row r="2712" spans="2:5" s="4" customFormat="1">
      <c r="B2712" s="28"/>
      <c r="C2712" s="18"/>
      <c r="E2712" s="50"/>
    </row>
    <row r="2713" spans="2:5" s="4" customFormat="1">
      <c r="B2713" s="28"/>
      <c r="C2713" s="18"/>
      <c r="E2713" s="50"/>
    </row>
    <row r="2714" spans="2:5" s="4" customFormat="1">
      <c r="B2714" s="28"/>
      <c r="C2714" s="18"/>
      <c r="E2714" s="50"/>
    </row>
    <row r="2715" spans="2:5" s="4" customFormat="1">
      <c r="B2715" s="28"/>
      <c r="C2715" s="18"/>
      <c r="E2715" s="50"/>
    </row>
    <row r="2716" spans="2:5" s="4" customFormat="1">
      <c r="B2716" s="28"/>
      <c r="C2716" s="18"/>
      <c r="E2716" s="50"/>
    </row>
    <row r="2717" spans="2:5" s="4" customFormat="1">
      <c r="B2717" s="28"/>
      <c r="C2717" s="18"/>
      <c r="E2717" s="50"/>
    </row>
    <row r="2718" spans="2:5" s="4" customFormat="1">
      <c r="B2718" s="28"/>
      <c r="C2718" s="18"/>
      <c r="E2718" s="50"/>
    </row>
    <row r="2719" spans="2:5" s="4" customFormat="1">
      <c r="B2719" s="28"/>
      <c r="C2719" s="18"/>
      <c r="E2719" s="50"/>
    </row>
    <row r="2720" spans="2:5" s="4" customFormat="1">
      <c r="B2720" s="28"/>
      <c r="C2720" s="18"/>
      <c r="E2720" s="50"/>
    </row>
    <row r="2721" spans="2:5" s="4" customFormat="1">
      <c r="B2721" s="28"/>
      <c r="C2721" s="18"/>
      <c r="E2721" s="50"/>
    </row>
    <row r="2722" spans="2:5" s="4" customFormat="1">
      <c r="B2722" s="28"/>
      <c r="C2722" s="18"/>
      <c r="E2722" s="50"/>
    </row>
    <row r="2723" spans="2:5" s="4" customFormat="1">
      <c r="B2723" s="28"/>
      <c r="C2723" s="18"/>
      <c r="E2723" s="50"/>
    </row>
    <row r="2724" spans="2:5" s="4" customFormat="1">
      <c r="B2724" s="28"/>
      <c r="C2724" s="18"/>
      <c r="E2724" s="50"/>
    </row>
    <row r="2725" spans="2:5" s="4" customFormat="1">
      <c r="B2725" s="28"/>
      <c r="C2725" s="18"/>
      <c r="E2725" s="50"/>
    </row>
    <row r="2726" spans="2:5" s="4" customFormat="1">
      <c r="B2726" s="28"/>
      <c r="C2726" s="18"/>
      <c r="E2726" s="50"/>
    </row>
    <row r="2727" spans="2:5" s="4" customFormat="1">
      <c r="B2727" s="28"/>
      <c r="C2727" s="18"/>
      <c r="E2727" s="50"/>
    </row>
    <row r="2728" spans="2:5" s="4" customFormat="1">
      <c r="B2728" s="28"/>
      <c r="C2728" s="18"/>
      <c r="E2728" s="50"/>
    </row>
    <row r="2729" spans="2:5" s="4" customFormat="1">
      <c r="B2729" s="28"/>
      <c r="C2729" s="18"/>
      <c r="E2729" s="50"/>
    </row>
    <row r="2730" spans="2:5" s="4" customFormat="1">
      <c r="B2730" s="28"/>
      <c r="C2730" s="18"/>
      <c r="E2730" s="50"/>
    </row>
    <row r="2731" spans="2:5" s="4" customFormat="1">
      <c r="B2731" s="28"/>
      <c r="C2731" s="18"/>
      <c r="E2731" s="50"/>
    </row>
    <row r="2732" spans="2:5" s="4" customFormat="1">
      <c r="B2732" s="28"/>
      <c r="C2732" s="18"/>
      <c r="E2732" s="50"/>
    </row>
    <row r="2733" spans="2:5" s="4" customFormat="1">
      <c r="B2733" s="28"/>
      <c r="C2733" s="18"/>
      <c r="E2733" s="50"/>
    </row>
    <row r="2734" spans="2:5" s="4" customFormat="1">
      <c r="B2734" s="28"/>
      <c r="C2734" s="18"/>
      <c r="E2734" s="50"/>
    </row>
    <row r="2735" spans="2:5" s="4" customFormat="1">
      <c r="B2735" s="28"/>
      <c r="C2735" s="18"/>
      <c r="E2735" s="50"/>
    </row>
    <row r="2736" spans="2:5" s="4" customFormat="1">
      <c r="B2736" s="28"/>
      <c r="C2736" s="18"/>
      <c r="E2736" s="50"/>
    </row>
    <row r="2737" spans="2:5" s="4" customFormat="1">
      <c r="B2737" s="28"/>
      <c r="C2737" s="18"/>
      <c r="E2737" s="50"/>
    </row>
    <row r="2738" spans="2:5" s="4" customFormat="1">
      <c r="B2738" s="28"/>
      <c r="C2738" s="18"/>
      <c r="E2738" s="50"/>
    </row>
    <row r="2739" spans="2:5" s="4" customFormat="1">
      <c r="B2739" s="28"/>
      <c r="C2739" s="18"/>
      <c r="E2739" s="50"/>
    </row>
    <row r="2740" spans="2:5" s="4" customFormat="1">
      <c r="B2740" s="28"/>
      <c r="C2740" s="18"/>
      <c r="E2740" s="50"/>
    </row>
    <row r="2741" spans="2:5" s="4" customFormat="1">
      <c r="B2741" s="28"/>
      <c r="C2741" s="18"/>
      <c r="E2741" s="50"/>
    </row>
    <row r="2742" spans="2:5" s="4" customFormat="1">
      <c r="B2742" s="28"/>
      <c r="C2742" s="18"/>
      <c r="E2742" s="50"/>
    </row>
    <row r="2743" spans="2:5" s="4" customFormat="1">
      <c r="B2743" s="28"/>
      <c r="C2743" s="18"/>
      <c r="E2743" s="50"/>
    </row>
    <row r="2744" spans="2:5" s="4" customFormat="1">
      <c r="B2744" s="28"/>
      <c r="C2744" s="18"/>
      <c r="E2744" s="50"/>
    </row>
    <row r="2745" spans="2:5" s="4" customFormat="1">
      <c r="B2745" s="28"/>
      <c r="C2745" s="18"/>
      <c r="E2745" s="50"/>
    </row>
    <row r="2746" spans="2:5" s="4" customFormat="1">
      <c r="B2746" s="28"/>
      <c r="C2746" s="18"/>
      <c r="E2746" s="50"/>
    </row>
    <row r="2747" spans="2:5" s="4" customFormat="1">
      <c r="B2747" s="28"/>
      <c r="C2747" s="18"/>
      <c r="E2747" s="50"/>
    </row>
    <row r="2748" spans="2:5" s="4" customFormat="1">
      <c r="B2748" s="28"/>
      <c r="C2748" s="18"/>
      <c r="E2748" s="50"/>
    </row>
    <row r="2749" spans="2:5" s="4" customFormat="1">
      <c r="B2749" s="28"/>
      <c r="C2749" s="18"/>
      <c r="E2749" s="50"/>
    </row>
    <row r="2750" spans="2:5" s="4" customFormat="1">
      <c r="B2750" s="28"/>
      <c r="C2750" s="18"/>
      <c r="E2750" s="50"/>
    </row>
    <row r="2751" spans="2:5" s="4" customFormat="1">
      <c r="B2751" s="28"/>
      <c r="C2751" s="18"/>
      <c r="E2751" s="50"/>
    </row>
    <row r="2752" spans="2:5" s="4" customFormat="1">
      <c r="B2752" s="28"/>
      <c r="C2752" s="18"/>
      <c r="E2752" s="50"/>
    </row>
    <row r="2753" spans="2:5" s="4" customFormat="1">
      <c r="B2753" s="28"/>
      <c r="C2753" s="18"/>
      <c r="E2753" s="50"/>
    </row>
    <row r="2754" spans="2:5" s="4" customFormat="1">
      <c r="B2754" s="28"/>
      <c r="C2754" s="18"/>
      <c r="E2754" s="50"/>
    </row>
    <row r="2755" spans="2:5" s="4" customFormat="1">
      <c r="B2755" s="28"/>
      <c r="C2755" s="18"/>
      <c r="E2755" s="50"/>
    </row>
    <row r="2756" spans="2:5" s="4" customFormat="1">
      <c r="B2756" s="28"/>
      <c r="C2756" s="18"/>
      <c r="E2756" s="50"/>
    </row>
    <row r="2757" spans="2:5" s="4" customFormat="1">
      <c r="B2757" s="28"/>
      <c r="C2757" s="18"/>
      <c r="E2757" s="50"/>
    </row>
    <row r="2758" spans="2:5" s="4" customFormat="1">
      <c r="B2758" s="28"/>
      <c r="C2758" s="18"/>
      <c r="E2758" s="50"/>
    </row>
    <row r="2759" spans="2:5" s="4" customFormat="1">
      <c r="B2759" s="28"/>
      <c r="C2759" s="18"/>
      <c r="E2759" s="50"/>
    </row>
    <row r="2760" spans="2:5" s="4" customFormat="1">
      <c r="B2760" s="28"/>
      <c r="C2760" s="18"/>
      <c r="E2760" s="50"/>
    </row>
    <row r="2761" spans="2:5" s="4" customFormat="1">
      <c r="B2761" s="28"/>
      <c r="C2761" s="18"/>
      <c r="E2761" s="50"/>
    </row>
    <row r="2762" spans="2:5" s="4" customFormat="1">
      <c r="B2762" s="28"/>
      <c r="C2762" s="18"/>
      <c r="E2762" s="50"/>
    </row>
    <row r="2763" spans="2:5" s="4" customFormat="1">
      <c r="B2763" s="28"/>
      <c r="C2763" s="18"/>
      <c r="E2763" s="50"/>
    </row>
    <row r="2764" spans="2:5" s="4" customFormat="1">
      <c r="B2764" s="28"/>
      <c r="C2764" s="18"/>
      <c r="E2764" s="50"/>
    </row>
    <row r="2765" spans="2:5" s="4" customFormat="1">
      <c r="B2765" s="28"/>
      <c r="C2765" s="18"/>
      <c r="E2765" s="50"/>
    </row>
    <row r="2766" spans="2:5" s="4" customFormat="1">
      <c r="B2766" s="28"/>
      <c r="C2766" s="18"/>
      <c r="E2766" s="50"/>
    </row>
    <row r="2767" spans="2:5" s="4" customFormat="1">
      <c r="B2767" s="28"/>
      <c r="C2767" s="18"/>
      <c r="E2767" s="50"/>
    </row>
    <row r="2768" spans="2:5" s="4" customFormat="1">
      <c r="B2768" s="28"/>
      <c r="C2768" s="18"/>
      <c r="E2768" s="50"/>
    </row>
    <row r="2769" spans="2:5" s="4" customFormat="1">
      <c r="B2769" s="28"/>
      <c r="C2769" s="18"/>
      <c r="E2769" s="50"/>
    </row>
    <row r="2770" spans="2:5" s="4" customFormat="1">
      <c r="B2770" s="28"/>
      <c r="C2770" s="18"/>
      <c r="E2770" s="50"/>
    </row>
    <row r="2771" spans="2:5" s="4" customFormat="1">
      <c r="B2771" s="28"/>
      <c r="C2771" s="18"/>
      <c r="E2771" s="50"/>
    </row>
    <row r="2772" spans="2:5" s="4" customFormat="1">
      <c r="B2772" s="28"/>
      <c r="C2772" s="18"/>
      <c r="E2772" s="50"/>
    </row>
    <row r="2773" spans="2:5" s="4" customFormat="1">
      <c r="B2773" s="28"/>
      <c r="C2773" s="18"/>
      <c r="E2773" s="50"/>
    </row>
    <row r="2774" spans="2:5" s="4" customFormat="1">
      <c r="B2774" s="28"/>
      <c r="C2774" s="18"/>
      <c r="E2774" s="50"/>
    </row>
    <row r="2775" spans="2:5" s="4" customFormat="1">
      <c r="B2775" s="28"/>
      <c r="C2775" s="18"/>
      <c r="E2775" s="50"/>
    </row>
    <row r="2776" spans="2:5" s="4" customFormat="1">
      <c r="B2776" s="28"/>
      <c r="C2776" s="18"/>
      <c r="E2776" s="50"/>
    </row>
    <row r="2777" spans="2:5" s="4" customFormat="1">
      <c r="B2777" s="28"/>
      <c r="C2777" s="18"/>
      <c r="E2777" s="50"/>
    </row>
    <row r="2778" spans="2:5" s="4" customFormat="1">
      <c r="B2778" s="28"/>
      <c r="C2778" s="18"/>
      <c r="E2778" s="50"/>
    </row>
    <row r="2779" spans="2:5" s="4" customFormat="1">
      <c r="B2779" s="28"/>
      <c r="C2779" s="18"/>
      <c r="E2779" s="50"/>
    </row>
    <row r="2780" spans="2:5" s="4" customFormat="1">
      <c r="B2780" s="28"/>
      <c r="C2780" s="18"/>
      <c r="E2780" s="50"/>
    </row>
    <row r="2781" spans="2:5" s="4" customFormat="1">
      <c r="B2781" s="28"/>
      <c r="C2781" s="18"/>
      <c r="E2781" s="50"/>
    </row>
    <row r="2782" spans="2:5" s="4" customFormat="1">
      <c r="B2782" s="28"/>
      <c r="C2782" s="18"/>
      <c r="E2782" s="50"/>
    </row>
    <row r="2783" spans="2:5" s="4" customFormat="1">
      <c r="B2783" s="28"/>
      <c r="C2783" s="18"/>
      <c r="E2783" s="50"/>
    </row>
    <row r="2784" spans="2:5" s="4" customFormat="1">
      <c r="B2784" s="28"/>
      <c r="C2784" s="18"/>
      <c r="E2784" s="50"/>
    </row>
    <row r="2785" spans="2:5" s="4" customFormat="1">
      <c r="B2785" s="28"/>
      <c r="C2785" s="18"/>
      <c r="E2785" s="50"/>
    </row>
    <row r="2786" spans="2:5" s="4" customFormat="1">
      <c r="B2786" s="28"/>
      <c r="C2786" s="18"/>
      <c r="E2786" s="50"/>
    </row>
    <row r="2787" spans="2:5" s="4" customFormat="1">
      <c r="B2787" s="28"/>
      <c r="C2787" s="18"/>
      <c r="E2787" s="50"/>
    </row>
    <row r="2788" spans="2:5" s="4" customFormat="1">
      <c r="B2788" s="28"/>
      <c r="C2788" s="18"/>
      <c r="E2788" s="50"/>
    </row>
    <row r="2789" spans="2:5" s="4" customFormat="1">
      <c r="B2789" s="28"/>
      <c r="C2789" s="18"/>
      <c r="E2789" s="50"/>
    </row>
    <row r="2790" spans="2:5" s="4" customFormat="1">
      <c r="B2790" s="28"/>
      <c r="C2790" s="18"/>
      <c r="E2790" s="50"/>
    </row>
    <row r="2791" spans="2:5" s="4" customFormat="1">
      <c r="B2791" s="28"/>
      <c r="C2791" s="18"/>
      <c r="E2791" s="50"/>
    </row>
    <row r="2792" spans="2:5" s="4" customFormat="1">
      <c r="B2792" s="28"/>
      <c r="C2792" s="18"/>
      <c r="E2792" s="50"/>
    </row>
    <row r="2793" spans="2:5" s="4" customFormat="1">
      <c r="B2793" s="28"/>
      <c r="C2793" s="18"/>
      <c r="E2793" s="50"/>
    </row>
    <row r="2794" spans="2:5" s="4" customFormat="1">
      <c r="B2794" s="28"/>
      <c r="C2794" s="18"/>
      <c r="E2794" s="50"/>
    </row>
    <row r="2795" spans="2:5" s="4" customFormat="1">
      <c r="B2795" s="28"/>
      <c r="C2795" s="18"/>
      <c r="E2795" s="50"/>
    </row>
    <row r="2796" spans="2:5" s="4" customFormat="1">
      <c r="B2796" s="28"/>
      <c r="C2796" s="18"/>
      <c r="E2796" s="50"/>
    </row>
    <row r="2797" spans="2:5" s="4" customFormat="1">
      <c r="B2797" s="28"/>
      <c r="C2797" s="18"/>
      <c r="E2797" s="50"/>
    </row>
    <row r="2798" spans="2:5" s="4" customFormat="1">
      <c r="B2798" s="28"/>
      <c r="C2798" s="18"/>
      <c r="E2798" s="50"/>
    </row>
    <row r="2799" spans="2:5" s="4" customFormat="1">
      <c r="B2799" s="28"/>
      <c r="C2799" s="18"/>
      <c r="E2799" s="50"/>
    </row>
    <row r="2800" spans="2:5" s="4" customFormat="1">
      <c r="B2800" s="28"/>
      <c r="C2800" s="18"/>
      <c r="E2800" s="50"/>
    </row>
    <row r="2801" spans="2:5" s="4" customFormat="1">
      <c r="B2801" s="28"/>
      <c r="C2801" s="18"/>
      <c r="E2801" s="50"/>
    </row>
    <row r="2802" spans="2:5" s="4" customFormat="1">
      <c r="B2802" s="28"/>
      <c r="C2802" s="18"/>
      <c r="E2802" s="50"/>
    </row>
    <row r="2803" spans="2:5" s="4" customFormat="1">
      <c r="B2803" s="28"/>
      <c r="C2803" s="18"/>
      <c r="E2803" s="50"/>
    </row>
    <row r="2804" spans="2:5" s="4" customFormat="1">
      <c r="B2804" s="28"/>
      <c r="C2804" s="18"/>
      <c r="E2804" s="50"/>
    </row>
    <row r="2805" spans="2:5" s="4" customFormat="1">
      <c r="B2805" s="28"/>
      <c r="C2805" s="18"/>
      <c r="E2805" s="50"/>
    </row>
    <row r="2806" spans="2:5" s="4" customFormat="1">
      <c r="B2806" s="28"/>
      <c r="C2806" s="18"/>
      <c r="E2806" s="50"/>
    </row>
    <row r="2807" spans="2:5" s="4" customFormat="1">
      <c r="B2807" s="28"/>
      <c r="C2807" s="18"/>
      <c r="E2807" s="50"/>
    </row>
    <row r="2808" spans="2:5" s="4" customFormat="1">
      <c r="B2808" s="28"/>
      <c r="C2808" s="18"/>
      <c r="E2808" s="50"/>
    </row>
    <row r="2809" spans="2:5" s="4" customFormat="1">
      <c r="B2809" s="28"/>
      <c r="C2809" s="18"/>
      <c r="E2809" s="50"/>
    </row>
    <row r="2810" spans="2:5" s="4" customFormat="1">
      <c r="B2810" s="28"/>
      <c r="C2810" s="18"/>
      <c r="E2810" s="50"/>
    </row>
    <row r="2811" spans="2:5" s="4" customFormat="1">
      <c r="B2811" s="28"/>
      <c r="C2811" s="18"/>
      <c r="E2811" s="50"/>
    </row>
    <row r="2812" spans="2:5" s="4" customFormat="1">
      <c r="B2812" s="28"/>
      <c r="C2812" s="18"/>
      <c r="E2812" s="50"/>
    </row>
    <row r="2813" spans="2:5" s="4" customFormat="1">
      <c r="B2813" s="28"/>
      <c r="C2813" s="18"/>
      <c r="E2813" s="50"/>
    </row>
    <row r="2814" spans="2:5" s="4" customFormat="1">
      <c r="B2814" s="28"/>
      <c r="C2814" s="18"/>
      <c r="E2814" s="50"/>
    </row>
    <row r="2815" spans="2:5" s="4" customFormat="1">
      <c r="B2815" s="28"/>
      <c r="C2815" s="18"/>
      <c r="E2815" s="50"/>
    </row>
    <row r="2816" spans="2:5" s="4" customFormat="1">
      <c r="B2816" s="28"/>
      <c r="C2816" s="18"/>
      <c r="E2816" s="50"/>
    </row>
    <row r="2817" spans="2:5" s="4" customFormat="1">
      <c r="B2817" s="28"/>
      <c r="C2817" s="18"/>
      <c r="E2817" s="50"/>
    </row>
    <row r="2818" spans="2:5" s="4" customFormat="1">
      <c r="B2818" s="28"/>
      <c r="C2818" s="18"/>
      <c r="E2818" s="50"/>
    </row>
    <row r="2819" spans="2:5" s="4" customFormat="1">
      <c r="B2819" s="28"/>
      <c r="C2819" s="18"/>
      <c r="E2819" s="50"/>
    </row>
    <row r="2820" spans="2:5" s="4" customFormat="1">
      <c r="B2820" s="28"/>
      <c r="C2820" s="18"/>
      <c r="E2820" s="50"/>
    </row>
    <row r="2821" spans="2:5" s="4" customFormat="1">
      <c r="B2821" s="28"/>
      <c r="C2821" s="18"/>
      <c r="E2821" s="50"/>
    </row>
    <row r="2822" spans="2:5" s="4" customFormat="1">
      <c r="B2822" s="28"/>
      <c r="C2822" s="18"/>
      <c r="E2822" s="50"/>
    </row>
    <row r="2823" spans="2:5" s="4" customFormat="1">
      <c r="B2823" s="28"/>
      <c r="C2823" s="18"/>
      <c r="E2823" s="50"/>
    </row>
    <row r="2824" spans="2:5" s="4" customFormat="1">
      <c r="B2824" s="28"/>
      <c r="C2824" s="18"/>
      <c r="E2824" s="50"/>
    </row>
    <row r="2825" spans="2:5" s="4" customFormat="1">
      <c r="B2825" s="28"/>
      <c r="C2825" s="18"/>
      <c r="E2825" s="50"/>
    </row>
    <row r="2826" spans="2:5" s="4" customFormat="1">
      <c r="B2826" s="28"/>
      <c r="C2826" s="18"/>
      <c r="E2826" s="50"/>
    </row>
    <row r="2827" spans="2:5" s="4" customFormat="1">
      <c r="B2827" s="28"/>
      <c r="C2827" s="18"/>
      <c r="E2827" s="50"/>
    </row>
    <row r="2828" spans="2:5" s="4" customFormat="1">
      <c r="B2828" s="28"/>
      <c r="C2828" s="18"/>
      <c r="E2828" s="50"/>
    </row>
    <row r="2829" spans="2:5" s="4" customFormat="1">
      <c r="B2829" s="28"/>
      <c r="C2829" s="18"/>
      <c r="E2829" s="50"/>
    </row>
    <row r="2830" spans="2:5" s="4" customFormat="1">
      <c r="B2830" s="28"/>
      <c r="C2830" s="18"/>
      <c r="E2830" s="50"/>
    </row>
    <row r="2831" spans="2:5" s="4" customFormat="1">
      <c r="B2831" s="28"/>
      <c r="C2831" s="18"/>
      <c r="E2831" s="50"/>
    </row>
    <row r="2832" spans="2:5" s="4" customFormat="1">
      <c r="B2832" s="28"/>
      <c r="C2832" s="18"/>
      <c r="E2832" s="50"/>
    </row>
    <row r="2833" spans="2:5" s="4" customFormat="1">
      <c r="B2833" s="28"/>
      <c r="C2833" s="18"/>
      <c r="E2833" s="50"/>
    </row>
    <row r="2834" spans="2:5" s="4" customFormat="1">
      <c r="B2834" s="28"/>
      <c r="C2834" s="18"/>
      <c r="E2834" s="50"/>
    </row>
    <row r="2835" spans="2:5" s="4" customFormat="1">
      <c r="B2835" s="28"/>
      <c r="C2835" s="18"/>
      <c r="E2835" s="50"/>
    </row>
    <row r="2836" spans="2:5" s="4" customFormat="1">
      <c r="B2836" s="28"/>
      <c r="C2836" s="18"/>
      <c r="E2836" s="50"/>
    </row>
    <row r="2837" spans="2:5" s="4" customFormat="1">
      <c r="B2837" s="28"/>
      <c r="C2837" s="18"/>
      <c r="E2837" s="50"/>
    </row>
    <row r="2838" spans="2:5" s="4" customFormat="1">
      <c r="B2838" s="28"/>
      <c r="C2838" s="18"/>
      <c r="E2838" s="50"/>
    </row>
    <row r="2839" spans="2:5" s="4" customFormat="1">
      <c r="B2839" s="28"/>
      <c r="C2839" s="18"/>
      <c r="E2839" s="50"/>
    </row>
    <row r="2840" spans="2:5" s="4" customFormat="1">
      <c r="B2840" s="28"/>
      <c r="C2840" s="18"/>
      <c r="E2840" s="50"/>
    </row>
    <row r="2841" spans="2:5" s="4" customFormat="1">
      <c r="B2841" s="28"/>
      <c r="C2841" s="18"/>
      <c r="E2841" s="50"/>
    </row>
    <row r="2842" spans="2:5" s="4" customFormat="1">
      <c r="B2842" s="28"/>
      <c r="C2842" s="18"/>
      <c r="E2842" s="50"/>
    </row>
    <row r="2843" spans="2:5" s="4" customFormat="1">
      <c r="B2843" s="28"/>
      <c r="C2843" s="18"/>
      <c r="E2843" s="50"/>
    </row>
    <row r="2844" spans="2:5" s="4" customFormat="1">
      <c r="B2844" s="28"/>
      <c r="C2844" s="18"/>
      <c r="E2844" s="50"/>
    </row>
    <row r="2845" spans="2:5" s="4" customFormat="1">
      <c r="B2845" s="28"/>
      <c r="C2845" s="18"/>
      <c r="E2845" s="50"/>
    </row>
    <row r="2846" spans="2:5" s="4" customFormat="1">
      <c r="B2846" s="28"/>
      <c r="C2846" s="18"/>
      <c r="E2846" s="50"/>
    </row>
    <row r="2847" spans="2:5" s="4" customFormat="1">
      <c r="B2847" s="28"/>
      <c r="C2847" s="18"/>
      <c r="E2847" s="50"/>
    </row>
    <row r="2848" spans="2:5" s="4" customFormat="1">
      <c r="B2848" s="28"/>
      <c r="C2848" s="18"/>
      <c r="E2848" s="50"/>
    </row>
    <row r="2849" spans="2:5" s="4" customFormat="1">
      <c r="B2849" s="28"/>
      <c r="C2849" s="18"/>
      <c r="E2849" s="50"/>
    </row>
    <row r="2850" spans="2:5" s="4" customFormat="1">
      <c r="B2850" s="28"/>
      <c r="C2850" s="18"/>
      <c r="E2850" s="50"/>
    </row>
    <row r="2851" spans="2:5" s="4" customFormat="1">
      <c r="B2851" s="28"/>
      <c r="C2851" s="18"/>
      <c r="E2851" s="50"/>
    </row>
    <row r="2852" spans="2:5" s="4" customFormat="1">
      <c r="B2852" s="28"/>
      <c r="C2852" s="18"/>
      <c r="E2852" s="50"/>
    </row>
    <row r="2853" spans="2:5" s="4" customFormat="1">
      <c r="B2853" s="28"/>
      <c r="C2853" s="18"/>
      <c r="E2853" s="50"/>
    </row>
    <row r="2854" spans="2:5" s="4" customFormat="1">
      <c r="B2854" s="28"/>
      <c r="C2854" s="18"/>
      <c r="E2854" s="50"/>
    </row>
    <row r="2855" spans="2:5" s="4" customFormat="1">
      <c r="B2855" s="28"/>
      <c r="C2855" s="18"/>
      <c r="E2855" s="50"/>
    </row>
    <row r="2856" spans="2:5" s="4" customFormat="1">
      <c r="B2856" s="28"/>
      <c r="C2856" s="18"/>
      <c r="E2856" s="50"/>
    </row>
    <row r="2857" spans="2:5" s="4" customFormat="1">
      <c r="B2857" s="28"/>
      <c r="C2857" s="18"/>
      <c r="E2857" s="50"/>
    </row>
    <row r="2858" spans="2:5" s="4" customFormat="1">
      <c r="B2858" s="28"/>
      <c r="C2858" s="18"/>
      <c r="E2858" s="50"/>
    </row>
    <row r="2859" spans="2:5" s="4" customFormat="1">
      <c r="B2859" s="28"/>
      <c r="C2859" s="18"/>
      <c r="E2859" s="50"/>
    </row>
    <row r="2860" spans="2:5" s="4" customFormat="1">
      <c r="B2860" s="28"/>
      <c r="C2860" s="18"/>
      <c r="E2860" s="50"/>
    </row>
    <row r="2861" spans="2:5" s="4" customFormat="1">
      <c r="B2861" s="28"/>
      <c r="C2861" s="18"/>
      <c r="E2861" s="50"/>
    </row>
    <row r="2862" spans="2:5" s="4" customFormat="1">
      <c r="B2862" s="28"/>
      <c r="C2862" s="18"/>
      <c r="E2862" s="50"/>
    </row>
    <row r="2863" spans="2:5" s="4" customFormat="1">
      <c r="B2863" s="28"/>
      <c r="C2863" s="18"/>
      <c r="E2863" s="50"/>
    </row>
    <row r="2864" spans="2:5" s="4" customFormat="1">
      <c r="B2864" s="28"/>
      <c r="C2864" s="18"/>
      <c r="E2864" s="50"/>
    </row>
    <row r="2865" spans="2:5" s="4" customFormat="1">
      <c r="B2865" s="28"/>
      <c r="C2865" s="18"/>
      <c r="E2865" s="50"/>
    </row>
    <row r="2866" spans="2:5" s="4" customFormat="1">
      <c r="B2866" s="28"/>
      <c r="C2866" s="18"/>
      <c r="E2866" s="50"/>
    </row>
    <row r="2867" spans="2:5" s="4" customFormat="1">
      <c r="B2867" s="28"/>
      <c r="C2867" s="18"/>
      <c r="E2867" s="50"/>
    </row>
    <row r="2868" spans="2:5" s="4" customFormat="1">
      <c r="B2868" s="28"/>
      <c r="C2868" s="18"/>
      <c r="E2868" s="50"/>
    </row>
    <row r="2869" spans="2:5" s="4" customFormat="1">
      <c r="B2869" s="28"/>
      <c r="C2869" s="18"/>
      <c r="E2869" s="50"/>
    </row>
    <row r="2870" spans="2:5" s="4" customFormat="1">
      <c r="B2870" s="28"/>
      <c r="C2870" s="18"/>
      <c r="E2870" s="50"/>
    </row>
    <row r="2871" spans="2:5" s="4" customFormat="1">
      <c r="B2871" s="28"/>
      <c r="C2871" s="18"/>
      <c r="E2871" s="50"/>
    </row>
    <row r="2872" spans="2:5" s="4" customFormat="1">
      <c r="B2872" s="28"/>
      <c r="C2872" s="18"/>
      <c r="E2872" s="50"/>
    </row>
    <row r="2873" spans="2:5" s="4" customFormat="1">
      <c r="B2873" s="28"/>
      <c r="C2873" s="18"/>
      <c r="E2873" s="50"/>
    </row>
    <row r="2874" spans="2:5" s="4" customFormat="1">
      <c r="B2874" s="28"/>
      <c r="C2874" s="18"/>
      <c r="E2874" s="50"/>
    </row>
    <row r="2875" spans="2:5" s="4" customFormat="1">
      <c r="B2875" s="28"/>
      <c r="C2875" s="18"/>
      <c r="E2875" s="50"/>
    </row>
    <row r="2876" spans="2:5" s="4" customFormat="1">
      <c r="B2876" s="28"/>
      <c r="C2876" s="18"/>
      <c r="E2876" s="50"/>
    </row>
    <row r="2877" spans="2:5" s="4" customFormat="1">
      <c r="B2877" s="28"/>
      <c r="C2877" s="18"/>
      <c r="E2877" s="50"/>
    </row>
    <row r="2878" spans="2:5" s="4" customFormat="1">
      <c r="B2878" s="28"/>
      <c r="C2878" s="18"/>
      <c r="E2878" s="50"/>
    </row>
    <row r="2879" spans="2:5" s="4" customFormat="1">
      <c r="B2879" s="28"/>
      <c r="C2879" s="18"/>
      <c r="E2879" s="50"/>
    </row>
    <row r="2880" spans="2:5" s="4" customFormat="1">
      <c r="B2880" s="28"/>
      <c r="C2880" s="18"/>
      <c r="E2880" s="50"/>
    </row>
    <row r="2881" spans="2:5" s="4" customFormat="1">
      <c r="B2881" s="28"/>
      <c r="C2881" s="18"/>
      <c r="E2881" s="50"/>
    </row>
    <row r="2882" spans="2:5" s="4" customFormat="1">
      <c r="B2882" s="28"/>
      <c r="C2882" s="18"/>
      <c r="E2882" s="50"/>
    </row>
    <row r="2883" spans="2:5" s="4" customFormat="1">
      <c r="B2883" s="28"/>
      <c r="C2883" s="18"/>
      <c r="E2883" s="50"/>
    </row>
    <row r="2884" spans="2:5" s="4" customFormat="1">
      <c r="B2884" s="28"/>
      <c r="C2884" s="18"/>
      <c r="E2884" s="50"/>
    </row>
    <row r="2885" spans="2:5" s="4" customFormat="1">
      <c r="B2885" s="28"/>
      <c r="C2885" s="18"/>
      <c r="E2885" s="50"/>
    </row>
    <row r="2886" spans="2:5" s="4" customFormat="1">
      <c r="B2886" s="28"/>
      <c r="C2886" s="18"/>
      <c r="E2886" s="50"/>
    </row>
    <row r="2887" spans="2:5" s="4" customFormat="1">
      <c r="B2887" s="28"/>
      <c r="C2887" s="18"/>
      <c r="E2887" s="50"/>
    </row>
    <row r="2888" spans="2:5" s="4" customFormat="1">
      <c r="B2888" s="28"/>
      <c r="C2888" s="18"/>
      <c r="E2888" s="50"/>
    </row>
    <row r="2889" spans="2:5" s="4" customFormat="1">
      <c r="B2889" s="28"/>
      <c r="C2889" s="18"/>
      <c r="E2889" s="50"/>
    </row>
    <row r="2890" spans="2:5" s="4" customFormat="1">
      <c r="B2890" s="28"/>
      <c r="C2890" s="18"/>
      <c r="E2890" s="50"/>
    </row>
    <row r="2891" spans="2:5" s="4" customFormat="1">
      <c r="B2891" s="28"/>
      <c r="C2891" s="18"/>
      <c r="E2891" s="50"/>
    </row>
    <row r="2892" spans="2:5" s="4" customFormat="1">
      <c r="B2892" s="28"/>
      <c r="C2892" s="18"/>
      <c r="E2892" s="50"/>
    </row>
    <row r="2893" spans="2:5" s="4" customFormat="1">
      <c r="B2893" s="28"/>
      <c r="C2893" s="18"/>
      <c r="E2893" s="50"/>
    </row>
    <row r="2894" spans="2:5" s="4" customFormat="1">
      <c r="B2894" s="28"/>
      <c r="C2894" s="18"/>
      <c r="E2894" s="50"/>
    </row>
    <row r="2895" spans="2:5" s="4" customFormat="1">
      <c r="B2895" s="28"/>
      <c r="C2895" s="18"/>
      <c r="E2895" s="50"/>
    </row>
    <row r="2896" spans="2:5" s="4" customFormat="1">
      <c r="B2896" s="28"/>
      <c r="C2896" s="18"/>
      <c r="E2896" s="50"/>
    </row>
    <row r="2897" spans="2:5" s="4" customFormat="1">
      <c r="B2897" s="28"/>
      <c r="C2897" s="18"/>
      <c r="E2897" s="50"/>
    </row>
    <row r="2898" spans="2:5" s="4" customFormat="1">
      <c r="B2898" s="28"/>
      <c r="C2898" s="18"/>
      <c r="E2898" s="50"/>
    </row>
    <row r="2899" spans="2:5" s="4" customFormat="1">
      <c r="B2899" s="28"/>
      <c r="C2899" s="18"/>
      <c r="E2899" s="50"/>
    </row>
    <row r="2900" spans="2:5" s="4" customFormat="1">
      <c r="B2900" s="28"/>
      <c r="C2900" s="18"/>
      <c r="E2900" s="50"/>
    </row>
    <row r="2901" spans="2:5" s="4" customFormat="1">
      <c r="B2901" s="28"/>
      <c r="C2901" s="18"/>
      <c r="E2901" s="50"/>
    </row>
    <row r="2902" spans="2:5" s="4" customFormat="1">
      <c r="B2902" s="28"/>
      <c r="C2902" s="18"/>
      <c r="E2902" s="50"/>
    </row>
    <row r="2903" spans="2:5" s="4" customFormat="1">
      <c r="B2903" s="28"/>
      <c r="C2903" s="18"/>
      <c r="E2903" s="50"/>
    </row>
    <row r="2904" spans="2:5" s="4" customFormat="1">
      <c r="B2904" s="28"/>
      <c r="C2904" s="18"/>
      <c r="E2904" s="50"/>
    </row>
    <row r="2905" spans="2:5" s="4" customFormat="1">
      <c r="B2905" s="28"/>
      <c r="C2905" s="18"/>
      <c r="E2905" s="50"/>
    </row>
    <row r="2906" spans="2:5" s="4" customFormat="1">
      <c r="B2906" s="28"/>
      <c r="C2906" s="18"/>
      <c r="E2906" s="50"/>
    </row>
    <row r="2907" spans="2:5" s="4" customFormat="1">
      <c r="B2907" s="28"/>
      <c r="C2907" s="18"/>
      <c r="E2907" s="50"/>
    </row>
    <row r="2908" spans="2:5" s="4" customFormat="1">
      <c r="B2908" s="28"/>
      <c r="C2908" s="18"/>
      <c r="E2908" s="50"/>
    </row>
    <row r="2909" spans="2:5" s="4" customFormat="1">
      <c r="B2909" s="28"/>
      <c r="C2909" s="18"/>
      <c r="E2909" s="50"/>
    </row>
    <row r="2910" spans="2:5" s="4" customFormat="1">
      <c r="B2910" s="28"/>
      <c r="C2910" s="18"/>
      <c r="E2910" s="50"/>
    </row>
    <row r="2911" spans="2:5" s="4" customFormat="1">
      <c r="B2911" s="28"/>
      <c r="C2911" s="18"/>
      <c r="E2911" s="50"/>
    </row>
    <row r="2912" spans="2:5" s="4" customFormat="1">
      <c r="B2912" s="28"/>
      <c r="C2912" s="18"/>
      <c r="E2912" s="50"/>
    </row>
    <row r="2913" spans="2:5" s="4" customFormat="1">
      <c r="B2913" s="28"/>
      <c r="C2913" s="18"/>
      <c r="E2913" s="50"/>
    </row>
    <row r="2914" spans="2:5" s="4" customFormat="1">
      <c r="B2914" s="28"/>
      <c r="C2914" s="18"/>
      <c r="E2914" s="50"/>
    </row>
    <row r="2915" spans="2:5" s="4" customFormat="1">
      <c r="B2915" s="28"/>
      <c r="C2915" s="18"/>
      <c r="E2915" s="50"/>
    </row>
    <row r="2916" spans="2:5" s="4" customFormat="1">
      <c r="B2916" s="28"/>
      <c r="C2916" s="18"/>
      <c r="E2916" s="50"/>
    </row>
    <row r="2917" spans="2:5" s="4" customFormat="1">
      <c r="B2917" s="28"/>
      <c r="C2917" s="18"/>
      <c r="E2917" s="50"/>
    </row>
    <row r="2918" spans="2:5" s="4" customFormat="1">
      <c r="B2918" s="28"/>
      <c r="C2918" s="18"/>
      <c r="E2918" s="50"/>
    </row>
    <row r="2919" spans="2:5" s="4" customFormat="1">
      <c r="B2919" s="28"/>
      <c r="C2919" s="18"/>
      <c r="E2919" s="50"/>
    </row>
    <row r="2920" spans="2:5" s="4" customFormat="1">
      <c r="B2920" s="28"/>
      <c r="C2920" s="18"/>
      <c r="E2920" s="50"/>
    </row>
    <row r="2921" spans="2:5" s="4" customFormat="1">
      <c r="B2921" s="28"/>
      <c r="C2921" s="18"/>
      <c r="E2921" s="50"/>
    </row>
    <row r="2922" spans="2:5" s="4" customFormat="1">
      <c r="B2922" s="28"/>
      <c r="C2922" s="18"/>
      <c r="E2922" s="50"/>
    </row>
    <row r="2923" spans="2:5" s="4" customFormat="1">
      <c r="B2923" s="28"/>
      <c r="C2923" s="18"/>
      <c r="E2923" s="50"/>
    </row>
    <row r="2924" spans="2:5" s="4" customFormat="1">
      <c r="B2924" s="28"/>
      <c r="C2924" s="18"/>
      <c r="E2924" s="50"/>
    </row>
    <row r="2925" spans="2:5" s="4" customFormat="1">
      <c r="B2925" s="28"/>
      <c r="C2925" s="18"/>
      <c r="E2925" s="50"/>
    </row>
    <row r="2926" spans="2:5" s="4" customFormat="1">
      <c r="B2926" s="28"/>
      <c r="C2926" s="18"/>
      <c r="E2926" s="50"/>
    </row>
    <row r="2927" spans="2:5" s="4" customFormat="1">
      <c r="B2927" s="28"/>
      <c r="C2927" s="18"/>
      <c r="E2927" s="50"/>
    </row>
    <row r="2928" spans="2:5" s="4" customFormat="1">
      <c r="B2928" s="28"/>
      <c r="C2928" s="18"/>
      <c r="E2928" s="50"/>
    </row>
    <row r="2929" spans="2:5" s="4" customFormat="1">
      <c r="B2929" s="28"/>
      <c r="C2929" s="18"/>
      <c r="E2929" s="50"/>
    </row>
    <row r="2930" spans="2:5" s="4" customFormat="1">
      <c r="B2930" s="28"/>
      <c r="C2930" s="18"/>
      <c r="E2930" s="50"/>
    </row>
    <row r="2931" spans="2:5" s="4" customFormat="1">
      <c r="B2931" s="28"/>
      <c r="C2931" s="18"/>
      <c r="E2931" s="50"/>
    </row>
    <row r="2932" spans="2:5" s="4" customFormat="1">
      <c r="B2932" s="28"/>
      <c r="C2932" s="18"/>
      <c r="E2932" s="50"/>
    </row>
    <row r="2933" spans="2:5" s="4" customFormat="1">
      <c r="B2933" s="28"/>
      <c r="C2933" s="18"/>
      <c r="E2933" s="50"/>
    </row>
    <row r="2934" spans="2:5" s="4" customFormat="1">
      <c r="B2934" s="28"/>
      <c r="C2934" s="18"/>
      <c r="E2934" s="50"/>
    </row>
    <row r="2935" spans="2:5" s="4" customFormat="1">
      <c r="B2935" s="28"/>
      <c r="C2935" s="18"/>
      <c r="E2935" s="50"/>
    </row>
    <row r="2936" spans="2:5" s="4" customFormat="1">
      <c r="B2936" s="28"/>
      <c r="C2936" s="18"/>
      <c r="E2936" s="50"/>
    </row>
    <row r="2937" spans="2:5" s="4" customFormat="1">
      <c r="B2937" s="28"/>
      <c r="C2937" s="18"/>
      <c r="E2937" s="50"/>
    </row>
    <row r="2938" spans="2:5" s="4" customFormat="1">
      <c r="B2938" s="28"/>
      <c r="C2938" s="18"/>
      <c r="E2938" s="50"/>
    </row>
    <row r="2939" spans="2:5" s="4" customFormat="1">
      <c r="B2939" s="28"/>
      <c r="C2939" s="18"/>
      <c r="E2939" s="50"/>
    </row>
    <row r="2940" spans="2:5" s="4" customFormat="1">
      <c r="B2940" s="28"/>
      <c r="C2940" s="18"/>
      <c r="E2940" s="50"/>
    </row>
    <row r="2941" spans="2:5" s="4" customFormat="1">
      <c r="B2941" s="28"/>
      <c r="C2941" s="18"/>
      <c r="E2941" s="50"/>
    </row>
    <row r="2942" spans="2:5" s="4" customFormat="1">
      <c r="B2942" s="28"/>
      <c r="C2942" s="18"/>
      <c r="E2942" s="50"/>
    </row>
    <row r="2943" spans="2:5" s="4" customFormat="1">
      <c r="B2943" s="28"/>
      <c r="C2943" s="18"/>
      <c r="E2943" s="50"/>
    </row>
    <row r="2944" spans="2:5" s="4" customFormat="1">
      <c r="B2944" s="28"/>
      <c r="C2944" s="18"/>
      <c r="E2944" s="50"/>
    </row>
    <row r="2945" spans="2:5" s="4" customFormat="1">
      <c r="B2945" s="28"/>
      <c r="C2945" s="18"/>
      <c r="E2945" s="50"/>
    </row>
    <row r="2946" spans="2:5" s="4" customFormat="1">
      <c r="B2946" s="28"/>
      <c r="C2946" s="18"/>
      <c r="E2946" s="50"/>
    </row>
    <row r="2947" spans="2:5" s="4" customFormat="1">
      <c r="B2947" s="28"/>
      <c r="C2947" s="18"/>
      <c r="E2947" s="50"/>
    </row>
    <row r="2948" spans="2:5" s="4" customFormat="1">
      <c r="B2948" s="28"/>
      <c r="C2948" s="18"/>
      <c r="E2948" s="50"/>
    </row>
    <row r="2949" spans="2:5" s="4" customFormat="1">
      <c r="B2949" s="28"/>
      <c r="C2949" s="18"/>
      <c r="E2949" s="50"/>
    </row>
    <row r="2950" spans="2:5" s="4" customFormat="1">
      <c r="B2950" s="28"/>
      <c r="C2950" s="18"/>
      <c r="E2950" s="50"/>
    </row>
    <row r="2951" spans="2:5" s="4" customFormat="1">
      <c r="B2951" s="28"/>
      <c r="C2951" s="18"/>
      <c r="E2951" s="50"/>
    </row>
    <row r="2952" spans="2:5" s="4" customFormat="1">
      <c r="B2952" s="28"/>
      <c r="C2952" s="18"/>
      <c r="E2952" s="50"/>
    </row>
    <row r="2953" spans="2:5" s="4" customFormat="1">
      <c r="B2953" s="28"/>
      <c r="C2953" s="18"/>
      <c r="E2953" s="50"/>
    </row>
    <row r="2954" spans="2:5" s="4" customFormat="1">
      <c r="B2954" s="28"/>
      <c r="C2954" s="18"/>
      <c r="E2954" s="50"/>
    </row>
    <row r="2955" spans="2:5" s="4" customFormat="1">
      <c r="B2955" s="28"/>
      <c r="C2955" s="18"/>
      <c r="E2955" s="50"/>
    </row>
    <row r="2956" spans="2:5" s="4" customFormat="1">
      <c r="B2956" s="28"/>
      <c r="C2956" s="18"/>
      <c r="E2956" s="50"/>
    </row>
    <row r="2957" spans="2:5" s="4" customFormat="1">
      <c r="B2957" s="28"/>
      <c r="C2957" s="18"/>
      <c r="E2957" s="50"/>
    </row>
    <row r="2958" spans="2:5" s="4" customFormat="1">
      <c r="B2958" s="28"/>
      <c r="C2958" s="18"/>
      <c r="E2958" s="50"/>
    </row>
    <row r="2959" spans="2:5" s="4" customFormat="1">
      <c r="B2959" s="28"/>
      <c r="C2959" s="18"/>
      <c r="E2959" s="50"/>
    </row>
    <row r="2960" spans="2:5" s="4" customFormat="1">
      <c r="B2960" s="28"/>
      <c r="C2960" s="18"/>
      <c r="E2960" s="50"/>
    </row>
    <row r="2961" spans="2:5" s="4" customFormat="1">
      <c r="B2961" s="28"/>
      <c r="C2961" s="18"/>
      <c r="E2961" s="50"/>
    </row>
    <row r="2962" spans="2:5" s="4" customFormat="1">
      <c r="B2962" s="28"/>
      <c r="C2962" s="18"/>
      <c r="E2962" s="50"/>
    </row>
    <row r="2963" spans="2:5" s="4" customFormat="1">
      <c r="B2963" s="28"/>
      <c r="C2963" s="18"/>
      <c r="E2963" s="50"/>
    </row>
    <row r="2964" spans="2:5" s="4" customFormat="1">
      <c r="B2964" s="28"/>
      <c r="C2964" s="18"/>
      <c r="E2964" s="50"/>
    </row>
    <row r="2965" spans="2:5" s="4" customFormat="1">
      <c r="B2965" s="28"/>
      <c r="C2965" s="18"/>
      <c r="E2965" s="50"/>
    </row>
    <row r="2966" spans="2:5" s="4" customFormat="1">
      <c r="B2966" s="28"/>
      <c r="C2966" s="18"/>
      <c r="E2966" s="50"/>
    </row>
    <row r="2967" spans="2:5" s="4" customFormat="1">
      <c r="B2967" s="28"/>
      <c r="C2967" s="18"/>
      <c r="E2967" s="50"/>
    </row>
    <row r="2968" spans="2:5" s="4" customFormat="1">
      <c r="B2968" s="28"/>
      <c r="C2968" s="18"/>
      <c r="E2968" s="50"/>
    </row>
    <row r="2969" spans="2:5" s="4" customFormat="1">
      <c r="B2969" s="28"/>
      <c r="C2969" s="18"/>
      <c r="E2969" s="50"/>
    </row>
    <row r="2970" spans="2:5" s="4" customFormat="1">
      <c r="B2970" s="28"/>
      <c r="C2970" s="18"/>
      <c r="E2970" s="50"/>
    </row>
    <row r="2971" spans="2:5" s="4" customFormat="1">
      <c r="B2971" s="28"/>
      <c r="C2971" s="18"/>
      <c r="E2971" s="50"/>
    </row>
    <row r="2972" spans="2:5" s="4" customFormat="1">
      <c r="B2972" s="28"/>
      <c r="C2972" s="18"/>
      <c r="E2972" s="50"/>
    </row>
    <row r="2973" spans="2:5" s="4" customFormat="1">
      <c r="B2973" s="28"/>
      <c r="C2973" s="18"/>
      <c r="E2973" s="50"/>
    </row>
    <row r="2974" spans="2:5" s="4" customFormat="1">
      <c r="B2974" s="28"/>
      <c r="C2974" s="18"/>
      <c r="E2974" s="50"/>
    </row>
    <row r="2975" spans="2:5" s="4" customFormat="1">
      <c r="B2975" s="28"/>
      <c r="C2975" s="18"/>
      <c r="E2975" s="50"/>
    </row>
    <row r="2976" spans="2:5" s="4" customFormat="1">
      <c r="B2976" s="28"/>
      <c r="C2976" s="18"/>
      <c r="E2976" s="50"/>
    </row>
    <row r="2977" spans="2:5" s="4" customFormat="1">
      <c r="B2977" s="28"/>
      <c r="C2977" s="18"/>
      <c r="E2977" s="50"/>
    </row>
    <row r="2978" spans="2:5" s="4" customFormat="1">
      <c r="B2978" s="28"/>
      <c r="C2978" s="18"/>
      <c r="E2978" s="50"/>
    </row>
    <row r="2979" spans="2:5" s="4" customFormat="1">
      <c r="B2979" s="28"/>
      <c r="C2979" s="18"/>
      <c r="E2979" s="50"/>
    </row>
    <row r="2980" spans="2:5" s="4" customFormat="1">
      <c r="B2980" s="28"/>
      <c r="C2980" s="18"/>
      <c r="E2980" s="50"/>
    </row>
    <row r="2981" spans="2:5" s="4" customFormat="1">
      <c r="B2981" s="28"/>
      <c r="C2981" s="18"/>
      <c r="E2981" s="50"/>
    </row>
    <row r="2982" spans="2:5" s="4" customFormat="1">
      <c r="B2982" s="28"/>
      <c r="C2982" s="18"/>
      <c r="E2982" s="50"/>
    </row>
    <row r="2983" spans="2:5" s="4" customFormat="1">
      <c r="B2983" s="28"/>
      <c r="C2983" s="18"/>
      <c r="E2983" s="50"/>
    </row>
    <row r="2984" spans="2:5" s="4" customFormat="1">
      <c r="B2984" s="28"/>
      <c r="C2984" s="18"/>
      <c r="E2984" s="50"/>
    </row>
    <row r="2985" spans="2:5" s="4" customFormat="1">
      <c r="B2985" s="28"/>
      <c r="C2985" s="18"/>
      <c r="E2985" s="50"/>
    </row>
    <row r="2986" spans="2:5" s="4" customFormat="1">
      <c r="B2986" s="28"/>
      <c r="C2986" s="18"/>
      <c r="E2986" s="50"/>
    </row>
    <row r="2987" spans="2:5" s="4" customFormat="1">
      <c r="B2987" s="28"/>
      <c r="C2987" s="18"/>
      <c r="E2987" s="50"/>
    </row>
    <row r="2988" spans="2:5" s="4" customFormat="1">
      <c r="B2988" s="28"/>
      <c r="C2988" s="18"/>
      <c r="E2988" s="50"/>
    </row>
    <row r="2989" spans="2:5" s="4" customFormat="1">
      <c r="B2989" s="28"/>
      <c r="C2989" s="18"/>
      <c r="E2989" s="50"/>
    </row>
    <row r="2990" spans="2:5" s="4" customFormat="1">
      <c r="B2990" s="28"/>
      <c r="C2990" s="18"/>
      <c r="E2990" s="50"/>
    </row>
    <row r="2991" spans="2:5" s="4" customFormat="1">
      <c r="B2991" s="28"/>
      <c r="C2991" s="18"/>
      <c r="E2991" s="50"/>
    </row>
    <row r="2992" spans="2:5" s="4" customFormat="1">
      <c r="B2992" s="28"/>
      <c r="C2992" s="18"/>
      <c r="E2992" s="50"/>
    </row>
    <row r="2993" spans="2:5" s="4" customFormat="1">
      <c r="B2993" s="28"/>
      <c r="C2993" s="18"/>
      <c r="E2993" s="50"/>
    </row>
    <row r="2994" spans="2:5" s="4" customFormat="1">
      <c r="B2994" s="28"/>
      <c r="C2994" s="18"/>
      <c r="E2994" s="50"/>
    </row>
    <row r="2995" spans="2:5" s="4" customFormat="1">
      <c r="B2995" s="28"/>
      <c r="C2995" s="18"/>
      <c r="E2995" s="50"/>
    </row>
    <row r="2996" spans="2:5" s="4" customFormat="1">
      <c r="B2996" s="28"/>
      <c r="C2996" s="18"/>
      <c r="E2996" s="50"/>
    </row>
    <row r="2997" spans="2:5" s="4" customFormat="1">
      <c r="B2997" s="28"/>
      <c r="C2997" s="18"/>
      <c r="E2997" s="50"/>
    </row>
    <row r="2998" spans="2:5" s="4" customFormat="1">
      <c r="B2998" s="28"/>
      <c r="C2998" s="18"/>
      <c r="E2998" s="50"/>
    </row>
    <row r="2999" spans="2:5" s="4" customFormat="1">
      <c r="B2999" s="28"/>
      <c r="C2999" s="18"/>
      <c r="E2999" s="50"/>
    </row>
    <row r="3000" spans="2:5" s="4" customFormat="1">
      <c r="B3000" s="28"/>
      <c r="C3000" s="18"/>
      <c r="E3000" s="50"/>
    </row>
    <row r="3001" spans="2:5" s="4" customFormat="1">
      <c r="B3001" s="28"/>
      <c r="C3001" s="18"/>
      <c r="E3001" s="50"/>
    </row>
    <row r="3002" spans="2:5" s="4" customFormat="1">
      <c r="B3002" s="28"/>
      <c r="C3002" s="18"/>
      <c r="E3002" s="50"/>
    </row>
    <row r="3003" spans="2:5" s="4" customFormat="1">
      <c r="B3003" s="28"/>
      <c r="C3003" s="18"/>
      <c r="E3003" s="50"/>
    </row>
    <row r="3004" spans="2:5" s="4" customFormat="1">
      <c r="B3004" s="28"/>
      <c r="C3004" s="18"/>
      <c r="E3004" s="50"/>
    </row>
    <row r="3005" spans="2:5" s="4" customFormat="1">
      <c r="B3005" s="28"/>
      <c r="C3005" s="18"/>
      <c r="E3005" s="50"/>
    </row>
    <row r="3006" spans="2:5" s="4" customFormat="1">
      <c r="B3006" s="28"/>
      <c r="C3006" s="18"/>
      <c r="E3006" s="50"/>
    </row>
    <row r="3007" spans="2:5" s="4" customFormat="1">
      <c r="B3007" s="28"/>
      <c r="C3007" s="18"/>
      <c r="E3007" s="50"/>
    </row>
    <row r="3008" spans="2:5" s="4" customFormat="1">
      <c r="B3008" s="28"/>
      <c r="C3008" s="18"/>
      <c r="E3008" s="50"/>
    </row>
    <row r="3009" spans="2:5" s="4" customFormat="1">
      <c r="B3009" s="28"/>
      <c r="C3009" s="18"/>
      <c r="E3009" s="50"/>
    </row>
    <row r="3010" spans="2:5" s="4" customFormat="1">
      <c r="B3010" s="28"/>
      <c r="C3010" s="18"/>
      <c r="E3010" s="50"/>
    </row>
    <row r="3011" spans="2:5" s="4" customFormat="1">
      <c r="B3011" s="28"/>
      <c r="C3011" s="18"/>
      <c r="E3011" s="50"/>
    </row>
    <row r="3012" spans="2:5" s="4" customFormat="1">
      <c r="B3012" s="28"/>
      <c r="C3012" s="18"/>
      <c r="E3012" s="50"/>
    </row>
    <row r="3013" spans="2:5" s="4" customFormat="1">
      <c r="B3013" s="28"/>
      <c r="C3013" s="18"/>
      <c r="E3013" s="50"/>
    </row>
    <row r="3014" spans="2:5" s="4" customFormat="1">
      <c r="B3014" s="28"/>
      <c r="C3014" s="18"/>
      <c r="E3014" s="50"/>
    </row>
    <row r="3015" spans="2:5" s="4" customFormat="1">
      <c r="B3015" s="28"/>
      <c r="C3015" s="18"/>
      <c r="E3015" s="50"/>
    </row>
    <row r="3016" spans="2:5" s="4" customFormat="1">
      <c r="B3016" s="28"/>
      <c r="C3016" s="18"/>
      <c r="E3016" s="50"/>
    </row>
    <row r="3017" spans="2:5" s="4" customFormat="1">
      <c r="B3017" s="28"/>
      <c r="C3017" s="18"/>
      <c r="E3017" s="50"/>
    </row>
    <row r="3018" spans="2:5" s="4" customFormat="1">
      <c r="B3018" s="28"/>
      <c r="C3018" s="18"/>
      <c r="E3018" s="50"/>
    </row>
    <row r="3019" spans="2:5" s="4" customFormat="1">
      <c r="B3019" s="28"/>
      <c r="C3019" s="18"/>
      <c r="E3019" s="50"/>
    </row>
    <row r="3020" spans="2:5" s="4" customFormat="1">
      <c r="B3020" s="28"/>
      <c r="C3020" s="18"/>
      <c r="E3020" s="50"/>
    </row>
    <row r="3021" spans="2:5" s="4" customFormat="1">
      <c r="B3021" s="28"/>
      <c r="C3021" s="18"/>
      <c r="E3021" s="50"/>
    </row>
    <row r="3022" spans="2:5" s="4" customFormat="1">
      <c r="B3022" s="28"/>
      <c r="C3022" s="18"/>
      <c r="E3022" s="50"/>
    </row>
    <row r="3023" spans="2:5" s="4" customFormat="1">
      <c r="B3023" s="28"/>
      <c r="C3023" s="18"/>
      <c r="E3023" s="50"/>
    </row>
    <row r="3024" spans="2:5" s="4" customFormat="1">
      <c r="B3024" s="28"/>
      <c r="C3024" s="18"/>
      <c r="E3024" s="50"/>
    </row>
    <row r="3025" spans="2:5" s="4" customFormat="1">
      <c r="B3025" s="28"/>
      <c r="C3025" s="18"/>
      <c r="E3025" s="50"/>
    </row>
    <row r="3026" spans="2:5" s="4" customFormat="1">
      <c r="B3026" s="28"/>
      <c r="C3026" s="18"/>
      <c r="E3026" s="50"/>
    </row>
    <row r="3027" spans="2:5" s="4" customFormat="1">
      <c r="B3027" s="28"/>
      <c r="C3027" s="18"/>
      <c r="E3027" s="50"/>
    </row>
    <row r="3028" spans="2:5" s="4" customFormat="1">
      <c r="B3028" s="28"/>
      <c r="C3028" s="18"/>
      <c r="E3028" s="50"/>
    </row>
    <row r="3029" spans="2:5" s="4" customFormat="1">
      <c r="B3029" s="28"/>
      <c r="C3029" s="18"/>
      <c r="E3029" s="50"/>
    </row>
    <row r="3030" spans="2:5" s="4" customFormat="1">
      <c r="B3030" s="28"/>
      <c r="C3030" s="18"/>
      <c r="E3030" s="50"/>
    </row>
    <row r="3031" spans="2:5" s="4" customFormat="1">
      <c r="B3031" s="28"/>
      <c r="C3031" s="18"/>
      <c r="E3031" s="50"/>
    </row>
    <row r="3032" spans="2:5" s="4" customFormat="1">
      <c r="B3032" s="28"/>
      <c r="C3032" s="18"/>
      <c r="E3032" s="50"/>
    </row>
    <row r="3033" spans="2:5" s="4" customFormat="1">
      <c r="B3033" s="28"/>
      <c r="C3033" s="18"/>
      <c r="E3033" s="50"/>
    </row>
    <row r="3034" spans="2:5" s="4" customFormat="1">
      <c r="B3034" s="28"/>
      <c r="C3034" s="18"/>
      <c r="E3034" s="50"/>
    </row>
    <row r="3035" spans="2:5" s="4" customFormat="1">
      <c r="B3035" s="28"/>
      <c r="C3035" s="18"/>
      <c r="E3035" s="50"/>
    </row>
    <row r="3036" spans="2:5" s="4" customFormat="1">
      <c r="B3036" s="28"/>
      <c r="C3036" s="18"/>
      <c r="E3036" s="50"/>
    </row>
    <row r="3037" spans="2:5" s="4" customFormat="1">
      <c r="B3037" s="28"/>
      <c r="C3037" s="18"/>
      <c r="E3037" s="50"/>
    </row>
    <row r="3038" spans="2:5" s="4" customFormat="1">
      <c r="B3038" s="28"/>
      <c r="C3038" s="18"/>
      <c r="E3038" s="50"/>
    </row>
    <row r="3039" spans="2:5" s="4" customFormat="1">
      <c r="B3039" s="28"/>
      <c r="C3039" s="18"/>
      <c r="E3039" s="50"/>
    </row>
    <row r="3040" spans="2:5" s="4" customFormat="1">
      <c r="B3040" s="28"/>
      <c r="C3040" s="18"/>
      <c r="E3040" s="50"/>
    </row>
    <row r="3041" spans="2:5" s="4" customFormat="1">
      <c r="B3041" s="28"/>
      <c r="C3041" s="18"/>
      <c r="E3041" s="50"/>
    </row>
    <row r="3042" spans="2:5" s="4" customFormat="1">
      <c r="B3042" s="28"/>
      <c r="C3042" s="18"/>
      <c r="E3042" s="50"/>
    </row>
    <row r="3043" spans="2:5" s="4" customFormat="1">
      <c r="B3043" s="28"/>
      <c r="C3043" s="18"/>
      <c r="E3043" s="50"/>
    </row>
    <row r="3044" spans="2:5" s="4" customFormat="1">
      <c r="B3044" s="28"/>
      <c r="C3044" s="18"/>
      <c r="E3044" s="50"/>
    </row>
    <row r="3045" spans="2:5" s="4" customFormat="1">
      <c r="B3045" s="28"/>
      <c r="C3045" s="18"/>
      <c r="E3045" s="50"/>
    </row>
    <row r="3046" spans="2:5" s="4" customFormat="1">
      <c r="B3046" s="28"/>
      <c r="C3046" s="18"/>
      <c r="E3046" s="50"/>
    </row>
    <row r="3047" spans="2:5" s="4" customFormat="1">
      <c r="B3047" s="28"/>
      <c r="C3047" s="18"/>
      <c r="E3047" s="50"/>
    </row>
    <row r="3048" spans="2:5" s="4" customFormat="1">
      <c r="B3048" s="28"/>
      <c r="C3048" s="18"/>
      <c r="E3048" s="50"/>
    </row>
    <row r="3049" spans="2:5" s="4" customFormat="1">
      <c r="B3049" s="28"/>
      <c r="C3049" s="18"/>
      <c r="E3049" s="50"/>
    </row>
    <row r="3050" spans="2:5" s="4" customFormat="1">
      <c r="B3050" s="28"/>
      <c r="C3050" s="18"/>
      <c r="E3050" s="50"/>
    </row>
    <row r="3051" spans="2:5" s="4" customFormat="1">
      <c r="B3051" s="28"/>
      <c r="C3051" s="18"/>
      <c r="E3051" s="50"/>
    </row>
    <row r="3052" spans="2:5" s="4" customFormat="1">
      <c r="B3052" s="28"/>
      <c r="C3052" s="18"/>
      <c r="E3052" s="50"/>
    </row>
    <row r="3053" spans="2:5" s="4" customFormat="1">
      <c r="B3053" s="28"/>
      <c r="C3053" s="18"/>
      <c r="E3053" s="50"/>
    </row>
    <row r="3054" spans="2:5" s="4" customFormat="1">
      <c r="B3054" s="28"/>
      <c r="C3054" s="18"/>
      <c r="E3054" s="50"/>
    </row>
    <row r="3055" spans="2:5" s="4" customFormat="1">
      <c r="B3055" s="28"/>
      <c r="C3055" s="18"/>
      <c r="E3055" s="50"/>
    </row>
    <row r="3056" spans="2:5" s="4" customFormat="1">
      <c r="B3056" s="28"/>
      <c r="C3056" s="18"/>
      <c r="E3056" s="50"/>
    </row>
    <row r="3057" spans="2:5" s="4" customFormat="1">
      <c r="B3057" s="28"/>
      <c r="C3057" s="18"/>
      <c r="E3057" s="50"/>
    </row>
    <row r="3058" spans="2:5" s="4" customFormat="1">
      <c r="B3058" s="28"/>
      <c r="C3058" s="18"/>
      <c r="E3058" s="50"/>
    </row>
    <row r="3059" spans="2:5" s="4" customFormat="1">
      <c r="B3059" s="28"/>
      <c r="C3059" s="18"/>
      <c r="E3059" s="50"/>
    </row>
    <row r="3060" spans="2:5" s="4" customFormat="1">
      <c r="B3060" s="28"/>
      <c r="C3060" s="18"/>
      <c r="E3060" s="50"/>
    </row>
    <row r="3061" spans="2:5" s="4" customFormat="1">
      <c r="B3061" s="28"/>
      <c r="C3061" s="18"/>
      <c r="E3061" s="50"/>
    </row>
    <row r="3062" spans="2:5" s="4" customFormat="1">
      <c r="B3062" s="28"/>
      <c r="C3062" s="18"/>
      <c r="E3062" s="50"/>
    </row>
    <row r="3063" spans="2:5" s="4" customFormat="1">
      <c r="B3063" s="28"/>
      <c r="C3063" s="18"/>
      <c r="E3063" s="50"/>
    </row>
    <row r="3064" spans="2:5" s="4" customFormat="1">
      <c r="B3064" s="28"/>
      <c r="C3064" s="18"/>
      <c r="E3064" s="50"/>
    </row>
    <row r="3065" spans="2:5" s="4" customFormat="1">
      <c r="B3065" s="28"/>
      <c r="C3065" s="18"/>
      <c r="E3065" s="50"/>
    </row>
    <row r="3066" spans="2:5" s="4" customFormat="1">
      <c r="B3066" s="28"/>
      <c r="C3066" s="18"/>
      <c r="E3066" s="50"/>
    </row>
    <row r="3067" spans="2:5" s="4" customFormat="1">
      <c r="B3067" s="28"/>
      <c r="C3067" s="18"/>
      <c r="E3067" s="50"/>
    </row>
    <row r="3068" spans="2:5" s="4" customFormat="1">
      <c r="B3068" s="28"/>
      <c r="C3068" s="18"/>
      <c r="E3068" s="50"/>
    </row>
    <row r="3069" spans="2:5" s="4" customFormat="1">
      <c r="B3069" s="28"/>
      <c r="C3069" s="18"/>
      <c r="E3069" s="50"/>
    </row>
    <row r="3070" spans="2:5" s="4" customFormat="1">
      <c r="B3070" s="28"/>
      <c r="C3070" s="18"/>
      <c r="E3070" s="50"/>
    </row>
    <row r="3071" spans="2:5" s="4" customFormat="1">
      <c r="B3071" s="28"/>
      <c r="C3071" s="18"/>
      <c r="E3071" s="50"/>
    </row>
    <row r="3072" spans="2:5" s="4" customFormat="1">
      <c r="B3072" s="28"/>
      <c r="C3072" s="18"/>
      <c r="E3072" s="50"/>
    </row>
    <row r="3073" spans="2:5" s="4" customFormat="1">
      <c r="B3073" s="28"/>
      <c r="C3073" s="18"/>
      <c r="E3073" s="50"/>
    </row>
    <row r="3074" spans="2:5" s="4" customFormat="1">
      <c r="B3074" s="28"/>
      <c r="C3074" s="18"/>
      <c r="E3074" s="50"/>
    </row>
    <row r="3075" spans="2:5" s="4" customFormat="1">
      <c r="B3075" s="28"/>
      <c r="C3075" s="18"/>
      <c r="E3075" s="50"/>
    </row>
    <row r="3076" spans="2:5" s="4" customFormat="1">
      <c r="B3076" s="28"/>
      <c r="C3076" s="18"/>
      <c r="E3076" s="50"/>
    </row>
    <row r="3077" spans="2:5" s="4" customFormat="1">
      <c r="B3077" s="28"/>
      <c r="C3077" s="18"/>
      <c r="E3077" s="50"/>
    </row>
    <row r="3078" spans="2:5" s="4" customFormat="1">
      <c r="B3078" s="28"/>
      <c r="C3078" s="18"/>
      <c r="E3078" s="50"/>
    </row>
    <row r="3079" spans="2:5" s="4" customFormat="1">
      <c r="B3079" s="28"/>
      <c r="C3079" s="18"/>
      <c r="E3079" s="50"/>
    </row>
    <row r="3080" spans="2:5" s="4" customFormat="1">
      <c r="B3080" s="28"/>
      <c r="C3080" s="18"/>
      <c r="E3080" s="50"/>
    </row>
    <row r="3081" spans="2:5" s="4" customFormat="1">
      <c r="B3081" s="28"/>
      <c r="C3081" s="18"/>
      <c r="E3081" s="50"/>
    </row>
    <row r="3082" spans="2:5" s="4" customFormat="1">
      <c r="B3082" s="28"/>
      <c r="C3082" s="18"/>
      <c r="E3082" s="50"/>
    </row>
    <row r="3083" spans="2:5" s="4" customFormat="1">
      <c r="B3083" s="28"/>
      <c r="C3083" s="18"/>
      <c r="E3083" s="50"/>
    </row>
    <row r="3084" spans="2:5" s="4" customFormat="1">
      <c r="B3084" s="28"/>
      <c r="C3084" s="18"/>
      <c r="E3084" s="50"/>
    </row>
    <row r="3085" spans="2:5" s="4" customFormat="1">
      <c r="B3085" s="28"/>
      <c r="C3085" s="18"/>
      <c r="E3085" s="50"/>
    </row>
    <row r="3086" spans="2:5" s="4" customFormat="1">
      <c r="B3086" s="28"/>
      <c r="C3086" s="18"/>
      <c r="E3086" s="50"/>
    </row>
    <row r="3087" spans="2:5" s="4" customFormat="1">
      <c r="B3087" s="28"/>
      <c r="C3087" s="18"/>
      <c r="E3087" s="50"/>
    </row>
    <row r="3088" spans="2:5" s="4" customFormat="1">
      <c r="B3088" s="28"/>
      <c r="C3088" s="18"/>
      <c r="E3088" s="50"/>
    </row>
    <row r="3089" spans="2:5" s="4" customFormat="1">
      <c r="B3089" s="28"/>
      <c r="C3089" s="18"/>
      <c r="E3089" s="50"/>
    </row>
    <row r="3090" spans="2:5" s="4" customFormat="1">
      <c r="B3090" s="28"/>
      <c r="C3090" s="18"/>
      <c r="E3090" s="50"/>
    </row>
    <row r="3091" spans="2:5" s="4" customFormat="1">
      <c r="B3091" s="28"/>
      <c r="C3091" s="18"/>
      <c r="E3091" s="50"/>
    </row>
    <row r="3092" spans="2:5" s="4" customFormat="1">
      <c r="B3092" s="28"/>
      <c r="C3092" s="18"/>
      <c r="E3092" s="50"/>
    </row>
    <row r="3093" spans="2:5" s="4" customFormat="1">
      <c r="B3093" s="28"/>
      <c r="C3093" s="18"/>
      <c r="E3093" s="50"/>
    </row>
    <row r="3094" spans="2:5" s="4" customFormat="1">
      <c r="B3094" s="28"/>
      <c r="C3094" s="18"/>
      <c r="E3094" s="50"/>
    </row>
    <row r="3095" spans="2:5" s="4" customFormat="1">
      <c r="B3095" s="28"/>
      <c r="C3095" s="18"/>
      <c r="E3095" s="50"/>
    </row>
    <row r="3096" spans="2:5" s="4" customFormat="1">
      <c r="B3096" s="28"/>
      <c r="C3096" s="18"/>
      <c r="E3096" s="50"/>
    </row>
    <row r="3097" spans="2:5" s="4" customFormat="1">
      <c r="B3097" s="28"/>
      <c r="C3097" s="18"/>
      <c r="E3097" s="50"/>
    </row>
    <row r="3098" spans="2:5" s="4" customFormat="1">
      <c r="B3098" s="28"/>
      <c r="C3098" s="18"/>
      <c r="E3098" s="50"/>
    </row>
    <row r="3099" spans="2:5" s="4" customFormat="1">
      <c r="B3099" s="28"/>
      <c r="C3099" s="18"/>
      <c r="E3099" s="50"/>
    </row>
    <row r="3100" spans="2:5" s="4" customFormat="1">
      <c r="B3100" s="28"/>
      <c r="C3100" s="18"/>
      <c r="E3100" s="50"/>
    </row>
    <row r="3101" spans="2:5" s="4" customFormat="1">
      <c r="B3101" s="28"/>
      <c r="C3101" s="18"/>
      <c r="E3101" s="50"/>
    </row>
    <row r="3102" spans="2:5" s="4" customFormat="1">
      <c r="B3102" s="28"/>
      <c r="C3102" s="18"/>
      <c r="E3102" s="50"/>
    </row>
    <row r="3103" spans="2:5" s="4" customFormat="1">
      <c r="B3103" s="28"/>
      <c r="C3103" s="18"/>
      <c r="E3103" s="50"/>
    </row>
    <row r="3104" spans="2:5" s="4" customFormat="1">
      <c r="B3104" s="28"/>
      <c r="C3104" s="18"/>
      <c r="E3104" s="50"/>
    </row>
    <row r="3105" spans="2:5" s="4" customFormat="1">
      <c r="B3105" s="28"/>
      <c r="C3105" s="18"/>
      <c r="E3105" s="50"/>
    </row>
    <row r="3106" spans="2:5" s="4" customFormat="1">
      <c r="B3106" s="28"/>
      <c r="C3106" s="18"/>
      <c r="E3106" s="50"/>
    </row>
    <row r="3107" spans="2:5" s="4" customFormat="1">
      <c r="B3107" s="28"/>
      <c r="C3107" s="18"/>
      <c r="E3107" s="50"/>
    </row>
    <row r="3108" spans="2:5" s="4" customFormat="1">
      <c r="B3108" s="28"/>
      <c r="C3108" s="18"/>
      <c r="E3108" s="50"/>
    </row>
    <row r="3109" spans="2:5" s="4" customFormat="1">
      <c r="B3109" s="28"/>
      <c r="C3109" s="18"/>
      <c r="E3109" s="50"/>
    </row>
    <row r="3110" spans="2:5" s="4" customFormat="1">
      <c r="B3110" s="28"/>
      <c r="C3110" s="18"/>
      <c r="E3110" s="50"/>
    </row>
    <row r="3111" spans="2:5" s="4" customFormat="1">
      <c r="B3111" s="28"/>
      <c r="C3111" s="18"/>
      <c r="E3111" s="50"/>
    </row>
    <row r="3112" spans="2:5" s="4" customFormat="1">
      <c r="B3112" s="28"/>
      <c r="C3112" s="18"/>
      <c r="E3112" s="50"/>
    </row>
    <row r="3113" spans="2:5" s="4" customFormat="1">
      <c r="B3113" s="28"/>
      <c r="C3113" s="18"/>
      <c r="E3113" s="50"/>
    </row>
    <row r="3114" spans="2:5" s="4" customFormat="1">
      <c r="B3114" s="28"/>
      <c r="C3114" s="18"/>
      <c r="E3114" s="50"/>
    </row>
    <row r="3115" spans="2:5" s="4" customFormat="1">
      <c r="B3115" s="28"/>
      <c r="C3115" s="18"/>
      <c r="E3115" s="50"/>
    </row>
    <row r="3116" spans="2:5" s="4" customFormat="1">
      <c r="B3116" s="28"/>
      <c r="C3116" s="18"/>
      <c r="E3116" s="50"/>
    </row>
    <row r="3117" spans="2:5" s="4" customFormat="1">
      <c r="B3117" s="28"/>
      <c r="C3117" s="18"/>
      <c r="E3117" s="50"/>
    </row>
    <row r="3118" spans="2:5" s="4" customFormat="1">
      <c r="B3118" s="28"/>
      <c r="C3118" s="18"/>
      <c r="E3118" s="50"/>
    </row>
    <row r="3119" spans="2:5" s="4" customFormat="1">
      <c r="B3119" s="28"/>
      <c r="C3119" s="18"/>
      <c r="E3119" s="50"/>
    </row>
    <row r="3120" spans="2:5" s="4" customFormat="1">
      <c r="B3120" s="28"/>
      <c r="C3120" s="18"/>
      <c r="E3120" s="50"/>
    </row>
    <row r="3121" spans="2:5" s="4" customFormat="1">
      <c r="B3121" s="28"/>
      <c r="C3121" s="18"/>
      <c r="E3121" s="50"/>
    </row>
    <row r="3122" spans="2:5" s="4" customFormat="1">
      <c r="B3122" s="28"/>
      <c r="C3122" s="18"/>
      <c r="E3122" s="50"/>
    </row>
    <row r="3123" spans="2:5" s="4" customFormat="1">
      <c r="B3123" s="28"/>
      <c r="C3123" s="18"/>
      <c r="E3123" s="50"/>
    </row>
    <row r="3124" spans="2:5" s="4" customFormat="1">
      <c r="B3124" s="28"/>
      <c r="C3124" s="18"/>
      <c r="E3124" s="50"/>
    </row>
    <row r="3125" spans="2:5" s="4" customFormat="1">
      <c r="B3125" s="28"/>
      <c r="C3125" s="18"/>
      <c r="E3125" s="50"/>
    </row>
    <row r="3126" spans="2:5" s="4" customFormat="1">
      <c r="B3126" s="28"/>
      <c r="C3126" s="18"/>
      <c r="E3126" s="50"/>
    </row>
    <row r="3127" spans="2:5" s="4" customFormat="1">
      <c r="B3127" s="28"/>
      <c r="C3127" s="18"/>
      <c r="E3127" s="50"/>
    </row>
    <row r="3128" spans="2:5" s="4" customFormat="1">
      <c r="B3128" s="28"/>
      <c r="C3128" s="18"/>
      <c r="E3128" s="50"/>
    </row>
    <row r="3129" spans="2:5" s="4" customFormat="1">
      <c r="B3129" s="28"/>
      <c r="C3129" s="18"/>
      <c r="E3129" s="50"/>
    </row>
    <row r="3130" spans="2:5" s="4" customFormat="1">
      <c r="B3130" s="28"/>
      <c r="C3130" s="18"/>
      <c r="E3130" s="50"/>
    </row>
    <row r="3131" spans="2:5" s="4" customFormat="1">
      <c r="B3131" s="28"/>
      <c r="C3131" s="18"/>
      <c r="E3131" s="50"/>
    </row>
    <row r="3132" spans="2:5" s="4" customFormat="1">
      <c r="B3132" s="28"/>
      <c r="C3132" s="18"/>
      <c r="E3132" s="50"/>
    </row>
    <row r="3133" spans="2:5" s="4" customFormat="1">
      <c r="B3133" s="28"/>
      <c r="C3133" s="18"/>
      <c r="E3133" s="50"/>
    </row>
    <row r="3134" spans="2:5" s="4" customFormat="1">
      <c r="B3134" s="28"/>
      <c r="C3134" s="18"/>
      <c r="E3134" s="50"/>
    </row>
    <row r="3135" spans="2:5" s="4" customFormat="1">
      <c r="B3135" s="28"/>
      <c r="C3135" s="18"/>
      <c r="E3135" s="50"/>
    </row>
    <row r="3136" spans="2:5" s="4" customFormat="1">
      <c r="B3136" s="28"/>
      <c r="C3136" s="18"/>
      <c r="E3136" s="50"/>
    </row>
    <row r="3137" spans="2:5" s="4" customFormat="1">
      <c r="B3137" s="28"/>
      <c r="C3137" s="18"/>
      <c r="E3137" s="50"/>
    </row>
    <row r="3138" spans="2:5" s="4" customFormat="1">
      <c r="B3138" s="28"/>
      <c r="C3138" s="18"/>
      <c r="E3138" s="50"/>
    </row>
    <row r="3139" spans="2:5" s="4" customFormat="1">
      <c r="B3139" s="28"/>
      <c r="C3139" s="18"/>
      <c r="E3139" s="50"/>
    </row>
    <row r="3140" spans="2:5" s="4" customFormat="1">
      <c r="B3140" s="28"/>
      <c r="C3140" s="18"/>
      <c r="E3140" s="50"/>
    </row>
    <row r="3141" spans="2:5" s="4" customFormat="1">
      <c r="B3141" s="28"/>
      <c r="C3141" s="18"/>
      <c r="E3141" s="50"/>
    </row>
    <row r="3142" spans="2:5" s="4" customFormat="1">
      <c r="B3142" s="28"/>
      <c r="C3142" s="18"/>
      <c r="E3142" s="50"/>
    </row>
    <row r="3143" spans="2:5" s="4" customFormat="1">
      <c r="B3143" s="28"/>
      <c r="C3143" s="18"/>
      <c r="E3143" s="50"/>
    </row>
    <row r="3144" spans="2:5" s="4" customFormat="1">
      <c r="B3144" s="28"/>
      <c r="C3144" s="18"/>
      <c r="E3144" s="50"/>
    </row>
    <row r="3145" spans="2:5" s="4" customFormat="1">
      <c r="B3145" s="28"/>
      <c r="C3145" s="18"/>
      <c r="E3145" s="50"/>
    </row>
    <row r="3146" spans="2:5" s="4" customFormat="1">
      <c r="B3146" s="28"/>
      <c r="C3146" s="18"/>
      <c r="E3146" s="50"/>
    </row>
    <row r="3147" spans="2:5" s="4" customFormat="1">
      <c r="B3147" s="28"/>
      <c r="C3147" s="18"/>
      <c r="E3147" s="50"/>
    </row>
    <row r="3148" spans="2:5" s="4" customFormat="1">
      <c r="B3148" s="28"/>
      <c r="C3148" s="18"/>
      <c r="E3148" s="50"/>
    </row>
    <row r="3149" spans="2:5" s="4" customFormat="1">
      <c r="B3149" s="28"/>
      <c r="C3149" s="18"/>
      <c r="E3149" s="50"/>
    </row>
    <row r="3150" spans="2:5" s="4" customFormat="1">
      <c r="B3150" s="28"/>
      <c r="C3150" s="18"/>
      <c r="E3150" s="50"/>
    </row>
    <row r="3151" spans="2:5" s="4" customFormat="1">
      <c r="B3151" s="28"/>
      <c r="C3151" s="18"/>
      <c r="E3151" s="50"/>
    </row>
    <row r="3152" spans="2:5" s="4" customFormat="1">
      <c r="B3152" s="28"/>
      <c r="C3152" s="18"/>
      <c r="E3152" s="50"/>
    </row>
    <row r="3153" spans="2:5" s="4" customFormat="1">
      <c r="B3153" s="28"/>
      <c r="C3153" s="18"/>
      <c r="E3153" s="50"/>
    </row>
    <row r="3154" spans="2:5" s="4" customFormat="1">
      <c r="B3154" s="28"/>
      <c r="C3154" s="18"/>
      <c r="E3154" s="50"/>
    </row>
    <row r="3155" spans="2:5" s="4" customFormat="1">
      <c r="B3155" s="28"/>
      <c r="C3155" s="18"/>
      <c r="E3155" s="50"/>
    </row>
    <row r="3156" spans="2:5" s="4" customFormat="1">
      <c r="B3156" s="28"/>
      <c r="C3156" s="18"/>
      <c r="E3156" s="50"/>
    </row>
    <row r="3157" spans="2:5" s="4" customFormat="1">
      <c r="B3157" s="28"/>
      <c r="C3157" s="18"/>
      <c r="E3157" s="50"/>
    </row>
    <row r="3158" spans="2:5" s="4" customFormat="1">
      <c r="B3158" s="28"/>
      <c r="C3158" s="18"/>
      <c r="E3158" s="50"/>
    </row>
    <row r="3159" spans="2:5" s="4" customFormat="1">
      <c r="B3159" s="28"/>
      <c r="C3159" s="18"/>
      <c r="E3159" s="50"/>
    </row>
    <row r="3160" spans="2:5" s="4" customFormat="1">
      <c r="B3160" s="28"/>
      <c r="C3160" s="18"/>
      <c r="E3160" s="50"/>
    </row>
    <row r="3161" spans="2:5" s="4" customFormat="1">
      <c r="B3161" s="28"/>
      <c r="C3161" s="18"/>
      <c r="E3161" s="50"/>
    </row>
    <row r="3162" spans="2:5" s="4" customFormat="1">
      <c r="B3162" s="28"/>
      <c r="C3162" s="18"/>
      <c r="E3162" s="50"/>
    </row>
    <row r="3163" spans="2:5" s="4" customFormat="1">
      <c r="B3163" s="28"/>
      <c r="C3163" s="18"/>
      <c r="E3163" s="50"/>
    </row>
    <row r="3164" spans="2:5" s="4" customFormat="1">
      <c r="B3164" s="28"/>
      <c r="C3164" s="18"/>
      <c r="E3164" s="50"/>
    </row>
    <row r="3165" spans="2:5" s="4" customFormat="1">
      <c r="B3165" s="28"/>
      <c r="C3165" s="18"/>
      <c r="E3165" s="50"/>
    </row>
    <row r="3166" spans="2:5" s="4" customFormat="1">
      <c r="B3166" s="28"/>
      <c r="C3166" s="18"/>
      <c r="E3166" s="50"/>
    </row>
    <row r="3167" spans="2:5" s="4" customFormat="1">
      <c r="B3167" s="28"/>
      <c r="C3167" s="18"/>
      <c r="E3167" s="50"/>
    </row>
    <row r="3168" spans="2:5" s="4" customFormat="1">
      <c r="B3168" s="28"/>
      <c r="C3168" s="18"/>
      <c r="E3168" s="50"/>
    </row>
    <row r="3169" spans="2:5" s="4" customFormat="1">
      <c r="B3169" s="28"/>
      <c r="C3169" s="18"/>
      <c r="E3169" s="50"/>
    </row>
    <row r="3170" spans="2:5" s="4" customFormat="1">
      <c r="B3170" s="28"/>
      <c r="C3170" s="18"/>
      <c r="E3170" s="50"/>
    </row>
    <row r="3171" spans="2:5" s="4" customFormat="1">
      <c r="B3171" s="28"/>
      <c r="C3171" s="18"/>
      <c r="E3171" s="50"/>
    </row>
    <row r="3172" spans="2:5" s="4" customFormat="1">
      <c r="B3172" s="28"/>
      <c r="C3172" s="18"/>
      <c r="E3172" s="50"/>
    </row>
    <row r="3173" spans="2:5" s="4" customFormat="1">
      <c r="B3173" s="28"/>
      <c r="C3173" s="18"/>
      <c r="E3173" s="50"/>
    </row>
    <row r="3174" spans="2:5" s="4" customFormat="1">
      <c r="B3174" s="28"/>
      <c r="C3174" s="18"/>
      <c r="E3174" s="50"/>
    </row>
    <row r="3175" spans="2:5" s="4" customFormat="1">
      <c r="B3175" s="28"/>
      <c r="C3175" s="18"/>
      <c r="E3175" s="50"/>
    </row>
    <row r="3176" spans="2:5" s="4" customFormat="1">
      <c r="B3176" s="28"/>
      <c r="C3176" s="18"/>
      <c r="E3176" s="50"/>
    </row>
    <row r="3177" spans="2:5" s="4" customFormat="1">
      <c r="B3177" s="28"/>
      <c r="C3177" s="18"/>
      <c r="E3177" s="50"/>
    </row>
    <row r="3178" spans="2:5" s="4" customFormat="1">
      <c r="B3178" s="28"/>
      <c r="C3178" s="18"/>
      <c r="E3178" s="50"/>
    </row>
    <row r="3179" spans="2:5" s="4" customFormat="1">
      <c r="B3179" s="28"/>
      <c r="C3179" s="18"/>
      <c r="E3179" s="50"/>
    </row>
    <row r="3180" spans="2:5" s="4" customFormat="1">
      <c r="B3180" s="28"/>
      <c r="C3180" s="18"/>
      <c r="E3180" s="50"/>
    </row>
    <row r="3181" spans="2:5" s="4" customFormat="1">
      <c r="B3181" s="28"/>
      <c r="C3181" s="18"/>
      <c r="E3181" s="50"/>
    </row>
    <row r="3182" spans="2:5" s="4" customFormat="1">
      <c r="B3182" s="28"/>
      <c r="C3182" s="18"/>
      <c r="E3182" s="50"/>
    </row>
    <row r="3183" spans="2:5" s="4" customFormat="1">
      <c r="B3183" s="28"/>
      <c r="C3183" s="18"/>
      <c r="E3183" s="50"/>
    </row>
    <row r="3184" spans="2:5" s="4" customFormat="1">
      <c r="B3184" s="28"/>
      <c r="C3184" s="18"/>
      <c r="E3184" s="50"/>
    </row>
    <row r="3185" spans="2:5" s="4" customFormat="1">
      <c r="B3185" s="28"/>
      <c r="C3185" s="18"/>
      <c r="E3185" s="50"/>
    </row>
    <row r="3186" spans="2:5" s="4" customFormat="1">
      <c r="B3186" s="28"/>
      <c r="C3186" s="18"/>
      <c r="E3186" s="50"/>
    </row>
    <row r="3187" spans="2:5" s="4" customFormat="1">
      <c r="B3187" s="28"/>
      <c r="C3187" s="18"/>
      <c r="E3187" s="50"/>
    </row>
    <row r="3188" spans="2:5" s="4" customFormat="1">
      <c r="B3188" s="28"/>
      <c r="C3188" s="18"/>
      <c r="E3188" s="50"/>
    </row>
    <row r="3189" spans="2:5" s="4" customFormat="1">
      <c r="B3189" s="28"/>
      <c r="C3189" s="18"/>
      <c r="E3189" s="50"/>
    </row>
    <row r="3190" spans="2:5" s="4" customFormat="1">
      <c r="B3190" s="28"/>
      <c r="C3190" s="18"/>
      <c r="E3190" s="50"/>
    </row>
    <row r="3191" spans="2:5" s="4" customFormat="1">
      <c r="B3191" s="28"/>
      <c r="C3191" s="18"/>
      <c r="E3191" s="50"/>
    </row>
    <row r="3192" spans="2:5" s="4" customFormat="1">
      <c r="B3192" s="28"/>
      <c r="C3192" s="18"/>
      <c r="E3192" s="50"/>
    </row>
    <row r="3193" spans="2:5" s="4" customFormat="1">
      <c r="B3193" s="28"/>
      <c r="C3193" s="18"/>
      <c r="E3193" s="50"/>
    </row>
    <row r="3194" spans="2:5" s="4" customFormat="1">
      <c r="B3194" s="28"/>
      <c r="C3194" s="18"/>
      <c r="E3194" s="50"/>
    </row>
    <row r="3195" spans="2:5" s="4" customFormat="1">
      <c r="B3195" s="28"/>
      <c r="C3195" s="18"/>
      <c r="E3195" s="50"/>
    </row>
    <row r="3196" spans="2:5" s="4" customFormat="1">
      <c r="B3196" s="28"/>
      <c r="C3196" s="18"/>
      <c r="E3196" s="50"/>
    </row>
    <row r="3197" spans="2:5" s="4" customFormat="1">
      <c r="B3197" s="28"/>
      <c r="C3197" s="18"/>
      <c r="E3197" s="50"/>
    </row>
    <row r="3198" spans="2:5" s="4" customFormat="1">
      <c r="B3198" s="28"/>
      <c r="C3198" s="18"/>
      <c r="E3198" s="50"/>
    </row>
    <row r="3199" spans="2:5" s="4" customFormat="1">
      <c r="B3199" s="28"/>
      <c r="C3199" s="18"/>
      <c r="E3199" s="50"/>
    </row>
    <row r="3200" spans="2:5" s="4" customFormat="1">
      <c r="B3200" s="28"/>
      <c r="C3200" s="18"/>
      <c r="E3200" s="50"/>
    </row>
    <row r="3201" spans="2:5" s="4" customFormat="1">
      <c r="B3201" s="28"/>
      <c r="C3201" s="18"/>
      <c r="E3201" s="50"/>
    </row>
    <row r="3202" spans="2:5" s="4" customFormat="1">
      <c r="B3202" s="28"/>
      <c r="C3202" s="18"/>
      <c r="E3202" s="50"/>
    </row>
    <row r="3203" spans="2:5" s="4" customFormat="1">
      <c r="B3203" s="28"/>
      <c r="C3203" s="18"/>
      <c r="E3203" s="50"/>
    </row>
    <row r="3204" spans="2:5" s="4" customFormat="1">
      <c r="B3204" s="28"/>
      <c r="C3204" s="18"/>
      <c r="E3204" s="50"/>
    </row>
    <row r="3205" spans="2:5" s="4" customFormat="1">
      <c r="B3205" s="28"/>
      <c r="C3205" s="18"/>
      <c r="E3205" s="50"/>
    </row>
    <row r="3206" spans="2:5" s="4" customFormat="1">
      <c r="B3206" s="28"/>
      <c r="C3206" s="18"/>
      <c r="E3206" s="50"/>
    </row>
    <row r="3207" spans="2:5" s="4" customFormat="1">
      <c r="B3207" s="28"/>
      <c r="C3207" s="18"/>
      <c r="E3207" s="50"/>
    </row>
    <row r="3208" spans="2:5" s="4" customFormat="1">
      <c r="B3208" s="28"/>
      <c r="C3208" s="18"/>
      <c r="E3208" s="50"/>
    </row>
    <row r="3209" spans="2:5" s="4" customFormat="1">
      <c r="B3209" s="28"/>
      <c r="C3209" s="18"/>
      <c r="E3209" s="50"/>
    </row>
    <row r="3210" spans="2:5" s="4" customFormat="1">
      <c r="B3210" s="28"/>
      <c r="C3210" s="18"/>
      <c r="E3210" s="50"/>
    </row>
    <row r="3211" spans="2:5" s="4" customFormat="1">
      <c r="B3211" s="28"/>
      <c r="C3211" s="18"/>
      <c r="E3211" s="50"/>
    </row>
    <row r="3212" spans="2:5" s="4" customFormat="1">
      <c r="B3212" s="28"/>
      <c r="C3212" s="18"/>
      <c r="E3212" s="50"/>
    </row>
    <row r="3213" spans="2:5" s="4" customFormat="1">
      <c r="B3213" s="28"/>
      <c r="C3213" s="18"/>
      <c r="E3213" s="50"/>
    </row>
    <row r="3214" spans="2:5" s="4" customFormat="1">
      <c r="B3214" s="28"/>
      <c r="C3214" s="18"/>
      <c r="E3214" s="50"/>
    </row>
    <row r="3215" spans="2:5" s="4" customFormat="1">
      <c r="B3215" s="28"/>
      <c r="C3215" s="18"/>
      <c r="E3215" s="50"/>
    </row>
    <row r="3216" spans="2:5" s="4" customFormat="1">
      <c r="B3216" s="28"/>
      <c r="C3216" s="18"/>
      <c r="E3216" s="50"/>
    </row>
    <row r="3217" spans="2:5" s="4" customFormat="1">
      <c r="B3217" s="28"/>
      <c r="C3217" s="18"/>
      <c r="E3217" s="50"/>
    </row>
    <row r="3218" spans="2:5" s="4" customFormat="1">
      <c r="B3218" s="28"/>
      <c r="C3218" s="18"/>
      <c r="E3218" s="50"/>
    </row>
    <row r="3219" spans="2:5" s="4" customFormat="1">
      <c r="B3219" s="28"/>
      <c r="C3219" s="18"/>
      <c r="E3219" s="50"/>
    </row>
    <row r="3220" spans="2:5" s="4" customFormat="1">
      <c r="B3220" s="28"/>
      <c r="C3220" s="18"/>
      <c r="E3220" s="50"/>
    </row>
    <row r="3221" spans="2:5" s="4" customFormat="1">
      <c r="B3221" s="28"/>
      <c r="C3221" s="18"/>
      <c r="E3221" s="50"/>
    </row>
    <row r="3222" spans="2:5" s="4" customFormat="1">
      <c r="B3222" s="28"/>
      <c r="C3222" s="18"/>
      <c r="E3222" s="50"/>
    </row>
    <row r="3223" spans="2:5" s="4" customFormat="1">
      <c r="B3223" s="28"/>
      <c r="C3223" s="18"/>
      <c r="E3223" s="50"/>
    </row>
    <row r="3224" spans="2:5" s="4" customFormat="1">
      <c r="B3224" s="28"/>
      <c r="C3224" s="18"/>
      <c r="E3224" s="50"/>
    </row>
    <row r="3225" spans="2:5" s="4" customFormat="1">
      <c r="B3225" s="28"/>
      <c r="C3225" s="18"/>
      <c r="E3225" s="50"/>
    </row>
    <row r="3226" spans="2:5" s="4" customFormat="1">
      <c r="B3226" s="28"/>
      <c r="C3226" s="18"/>
      <c r="E3226" s="50"/>
    </row>
    <row r="3227" spans="2:5" s="4" customFormat="1">
      <c r="B3227" s="28"/>
      <c r="C3227" s="18"/>
      <c r="E3227" s="50"/>
    </row>
    <row r="3228" spans="2:5" s="4" customFormat="1">
      <c r="B3228" s="28"/>
      <c r="C3228" s="18"/>
      <c r="E3228" s="50"/>
    </row>
    <row r="3229" spans="2:5" s="4" customFormat="1">
      <c r="B3229" s="28"/>
      <c r="C3229" s="18"/>
      <c r="E3229" s="50"/>
    </row>
    <row r="3230" spans="2:5" s="4" customFormat="1">
      <c r="B3230" s="28"/>
      <c r="C3230" s="18"/>
      <c r="E3230" s="50"/>
    </row>
    <row r="3231" spans="2:5" s="4" customFormat="1">
      <c r="B3231" s="28"/>
      <c r="C3231" s="18"/>
      <c r="E3231" s="50"/>
    </row>
    <row r="3232" spans="2:5" s="4" customFormat="1">
      <c r="B3232" s="28"/>
      <c r="C3232" s="18"/>
      <c r="E3232" s="50"/>
    </row>
    <row r="3233" spans="2:5" s="4" customFormat="1">
      <c r="B3233" s="28"/>
      <c r="C3233" s="18"/>
      <c r="E3233" s="50"/>
    </row>
    <row r="3234" spans="2:5" s="4" customFormat="1">
      <c r="B3234" s="28"/>
      <c r="C3234" s="18"/>
      <c r="E3234" s="50"/>
    </row>
    <row r="3235" spans="2:5" s="4" customFormat="1">
      <c r="B3235" s="28"/>
      <c r="C3235" s="18"/>
      <c r="E3235" s="50"/>
    </row>
    <row r="3236" spans="2:5" s="4" customFormat="1">
      <c r="B3236" s="28"/>
      <c r="C3236" s="18"/>
      <c r="E3236" s="50"/>
    </row>
    <row r="3237" spans="2:5" s="4" customFormat="1">
      <c r="B3237" s="28"/>
      <c r="C3237" s="18"/>
      <c r="E3237" s="50"/>
    </row>
    <row r="3238" spans="2:5" s="4" customFormat="1">
      <c r="B3238" s="28"/>
      <c r="C3238" s="18"/>
      <c r="E3238" s="50"/>
    </row>
    <row r="3239" spans="2:5" s="4" customFormat="1">
      <c r="B3239" s="28"/>
      <c r="C3239" s="18"/>
      <c r="E3239" s="50"/>
    </row>
    <row r="3240" spans="2:5" s="4" customFormat="1">
      <c r="B3240" s="28"/>
      <c r="C3240" s="18"/>
      <c r="E3240" s="50"/>
    </row>
    <row r="3241" spans="2:5" s="4" customFormat="1">
      <c r="B3241" s="28"/>
      <c r="C3241" s="18"/>
      <c r="E3241" s="50"/>
    </row>
    <row r="3242" spans="2:5" s="4" customFormat="1">
      <c r="B3242" s="28"/>
      <c r="C3242" s="18"/>
      <c r="E3242" s="50"/>
    </row>
    <row r="3243" spans="2:5" s="4" customFormat="1">
      <c r="B3243" s="28"/>
      <c r="C3243" s="18"/>
      <c r="E3243" s="50"/>
    </row>
    <row r="3244" spans="2:5" s="4" customFormat="1">
      <c r="B3244" s="28"/>
      <c r="C3244" s="18"/>
      <c r="E3244" s="50"/>
    </row>
    <row r="3245" spans="2:5" s="4" customFormat="1">
      <c r="B3245" s="28"/>
      <c r="C3245" s="18"/>
      <c r="E3245" s="50"/>
    </row>
    <row r="3246" spans="2:5" s="4" customFormat="1">
      <c r="B3246" s="28"/>
      <c r="C3246" s="18"/>
      <c r="E3246" s="50"/>
    </row>
    <row r="3247" spans="2:5" s="4" customFormat="1">
      <c r="B3247" s="28"/>
      <c r="C3247" s="18"/>
      <c r="E3247" s="50"/>
    </row>
    <row r="3248" spans="2:5" s="4" customFormat="1">
      <c r="B3248" s="28"/>
      <c r="C3248" s="18"/>
      <c r="E3248" s="50"/>
    </row>
    <row r="3249" spans="2:5" s="4" customFormat="1">
      <c r="B3249" s="28"/>
      <c r="C3249" s="18"/>
      <c r="E3249" s="50"/>
    </row>
    <row r="3250" spans="2:5" s="4" customFormat="1">
      <c r="B3250" s="28"/>
      <c r="C3250" s="18"/>
      <c r="E3250" s="50"/>
    </row>
    <row r="3251" spans="2:5" s="4" customFormat="1">
      <c r="B3251" s="28"/>
      <c r="C3251" s="18"/>
      <c r="E3251" s="50"/>
    </row>
    <row r="3252" spans="2:5" s="4" customFormat="1">
      <c r="B3252" s="28"/>
      <c r="C3252" s="18"/>
      <c r="E3252" s="50"/>
    </row>
    <row r="3253" spans="2:5" s="4" customFormat="1">
      <c r="B3253" s="28"/>
      <c r="C3253" s="18"/>
      <c r="E3253" s="50"/>
    </row>
    <row r="3254" spans="2:5" s="4" customFormat="1">
      <c r="B3254" s="28"/>
      <c r="C3254" s="18"/>
      <c r="E3254" s="50"/>
    </row>
    <row r="3255" spans="2:5" s="4" customFormat="1">
      <c r="B3255" s="28"/>
      <c r="C3255" s="18"/>
      <c r="E3255" s="50"/>
    </row>
    <row r="3256" spans="2:5" s="4" customFormat="1">
      <c r="B3256" s="28"/>
      <c r="C3256" s="18"/>
      <c r="E3256" s="50"/>
    </row>
    <row r="3257" spans="2:5" s="4" customFormat="1">
      <c r="B3257" s="28"/>
      <c r="C3257" s="18"/>
      <c r="E3257" s="50"/>
    </row>
    <row r="3258" spans="2:5" s="4" customFormat="1">
      <c r="B3258" s="28"/>
      <c r="C3258" s="18"/>
      <c r="E3258" s="50"/>
    </row>
    <row r="3259" spans="2:5" s="4" customFormat="1">
      <c r="B3259" s="28"/>
      <c r="C3259" s="18"/>
      <c r="E3259" s="50"/>
    </row>
    <row r="3260" spans="2:5" s="4" customFormat="1">
      <c r="B3260" s="28"/>
      <c r="C3260" s="18"/>
      <c r="E3260" s="50"/>
    </row>
    <row r="3261" spans="2:5" s="4" customFormat="1">
      <c r="B3261" s="28"/>
      <c r="C3261" s="18"/>
      <c r="E3261" s="50"/>
    </row>
    <row r="3262" spans="2:5" s="4" customFormat="1">
      <c r="B3262" s="28"/>
      <c r="C3262" s="18"/>
      <c r="E3262" s="50"/>
    </row>
    <row r="3263" spans="2:5" s="4" customFormat="1">
      <c r="B3263" s="28"/>
      <c r="C3263" s="18"/>
      <c r="E3263" s="50"/>
    </row>
    <row r="3264" spans="2:5" s="4" customFormat="1">
      <c r="B3264" s="28"/>
      <c r="C3264" s="18"/>
      <c r="E3264" s="50"/>
    </row>
    <row r="3265" spans="2:5" s="4" customFormat="1">
      <c r="B3265" s="28"/>
      <c r="C3265" s="18"/>
      <c r="E3265" s="50"/>
    </row>
    <row r="3266" spans="2:5" s="4" customFormat="1">
      <c r="B3266" s="28"/>
      <c r="C3266" s="18"/>
      <c r="E3266" s="50"/>
    </row>
    <row r="3267" spans="2:5" s="4" customFormat="1">
      <c r="B3267" s="28"/>
      <c r="C3267" s="18"/>
      <c r="E3267" s="50"/>
    </row>
    <row r="3268" spans="2:5" s="4" customFormat="1">
      <c r="B3268" s="28"/>
      <c r="C3268" s="18"/>
      <c r="E3268" s="50"/>
    </row>
    <row r="3269" spans="2:5" s="4" customFormat="1">
      <c r="B3269" s="28"/>
      <c r="C3269" s="18"/>
      <c r="E3269" s="50"/>
    </row>
    <row r="3270" spans="2:5" s="4" customFormat="1">
      <c r="B3270" s="28"/>
      <c r="C3270" s="18"/>
      <c r="E3270" s="50"/>
    </row>
    <row r="3271" spans="2:5" s="4" customFormat="1">
      <c r="B3271" s="28"/>
      <c r="C3271" s="18"/>
      <c r="E3271" s="50"/>
    </row>
    <row r="3272" spans="2:5" s="4" customFormat="1">
      <c r="B3272" s="28"/>
      <c r="C3272" s="18"/>
      <c r="E3272" s="50"/>
    </row>
    <row r="3273" spans="2:5" s="4" customFormat="1">
      <c r="B3273" s="28"/>
      <c r="C3273" s="18"/>
      <c r="E3273" s="50"/>
    </row>
    <row r="3274" spans="2:5" s="4" customFormat="1">
      <c r="B3274" s="28"/>
      <c r="C3274" s="18"/>
      <c r="E3274" s="50"/>
    </row>
    <row r="3275" spans="2:5" s="4" customFormat="1">
      <c r="B3275" s="28"/>
      <c r="C3275" s="18"/>
      <c r="E3275" s="50"/>
    </row>
    <row r="3276" spans="2:5" s="4" customFormat="1">
      <c r="B3276" s="28"/>
      <c r="C3276" s="18"/>
      <c r="E3276" s="50"/>
    </row>
    <row r="3277" spans="2:5" s="4" customFormat="1">
      <c r="B3277" s="28"/>
      <c r="C3277" s="18"/>
      <c r="E3277" s="50"/>
    </row>
    <row r="3278" spans="2:5" s="4" customFormat="1">
      <c r="B3278" s="28"/>
      <c r="C3278" s="18"/>
      <c r="E3278" s="50"/>
    </row>
    <row r="3279" spans="2:5" s="4" customFormat="1">
      <c r="B3279" s="28"/>
      <c r="C3279" s="18"/>
      <c r="E3279" s="50"/>
    </row>
    <row r="3280" spans="2:5" s="4" customFormat="1">
      <c r="B3280" s="28"/>
      <c r="C3280" s="18"/>
      <c r="E3280" s="50"/>
    </row>
    <row r="3281" spans="2:5" s="4" customFormat="1">
      <c r="B3281" s="28"/>
      <c r="C3281" s="18"/>
      <c r="E3281" s="50"/>
    </row>
    <row r="3282" spans="2:5" s="4" customFormat="1">
      <c r="B3282" s="28"/>
      <c r="C3282" s="18"/>
      <c r="E3282" s="50"/>
    </row>
    <row r="3283" spans="2:5" s="4" customFormat="1">
      <c r="B3283" s="28"/>
      <c r="C3283" s="18"/>
      <c r="E3283" s="50"/>
    </row>
    <row r="3284" spans="2:5" s="4" customFormat="1">
      <c r="B3284" s="28"/>
      <c r="C3284" s="18"/>
      <c r="E3284" s="50"/>
    </row>
    <row r="3285" spans="2:5" s="4" customFormat="1">
      <c r="B3285" s="28"/>
      <c r="C3285" s="18"/>
      <c r="E3285" s="50"/>
    </row>
    <row r="3286" spans="2:5" s="4" customFormat="1">
      <c r="B3286" s="28"/>
      <c r="C3286" s="18"/>
      <c r="E3286" s="50"/>
    </row>
    <row r="3287" spans="2:5" s="4" customFormat="1">
      <c r="B3287" s="28"/>
      <c r="C3287" s="18"/>
      <c r="E3287" s="50"/>
    </row>
    <row r="3288" spans="2:5" s="4" customFormat="1">
      <c r="B3288" s="28"/>
      <c r="C3288" s="18"/>
      <c r="E3288" s="50"/>
    </row>
    <row r="3289" spans="2:5" s="4" customFormat="1">
      <c r="B3289" s="28"/>
      <c r="C3289" s="18"/>
      <c r="E3289" s="50"/>
    </row>
    <row r="3290" spans="2:5" s="4" customFormat="1">
      <c r="B3290" s="28"/>
      <c r="C3290" s="18"/>
      <c r="E3290" s="50"/>
    </row>
    <row r="3291" spans="2:5" s="4" customFormat="1">
      <c r="B3291" s="28"/>
      <c r="C3291" s="18"/>
      <c r="E3291" s="50"/>
    </row>
    <row r="3292" spans="2:5" s="4" customFormat="1">
      <c r="B3292" s="28"/>
      <c r="C3292" s="18"/>
      <c r="E3292" s="50"/>
    </row>
    <row r="3293" spans="2:5" s="4" customFormat="1">
      <c r="B3293" s="28"/>
      <c r="C3293" s="18"/>
      <c r="E3293" s="50"/>
    </row>
    <row r="3294" spans="2:5" s="4" customFormat="1">
      <c r="B3294" s="28"/>
      <c r="C3294" s="18"/>
      <c r="E3294" s="50"/>
    </row>
    <row r="3295" spans="2:5" s="4" customFormat="1">
      <c r="B3295" s="28"/>
      <c r="C3295" s="18"/>
      <c r="E3295" s="50"/>
    </row>
    <row r="3296" spans="2:5" s="4" customFormat="1">
      <c r="B3296" s="28"/>
      <c r="C3296" s="18"/>
      <c r="E3296" s="50"/>
    </row>
    <row r="3297" spans="2:5" s="4" customFormat="1">
      <c r="B3297" s="28"/>
      <c r="C3297" s="18"/>
      <c r="E3297" s="50"/>
    </row>
    <row r="3298" spans="2:5" s="4" customFormat="1">
      <c r="B3298" s="28"/>
      <c r="C3298" s="18"/>
      <c r="E3298" s="50"/>
    </row>
    <row r="3299" spans="2:5" s="4" customFormat="1">
      <c r="B3299" s="28"/>
      <c r="C3299" s="18"/>
      <c r="E3299" s="50"/>
    </row>
    <row r="3300" spans="2:5" s="4" customFormat="1">
      <c r="B3300" s="28"/>
      <c r="C3300" s="18"/>
      <c r="E3300" s="50"/>
    </row>
    <row r="3301" spans="2:5" s="4" customFormat="1">
      <c r="B3301" s="28"/>
      <c r="C3301" s="18"/>
      <c r="E3301" s="50"/>
    </row>
    <row r="3302" spans="2:5" s="4" customFormat="1">
      <c r="B3302" s="28"/>
      <c r="C3302" s="18"/>
      <c r="E3302" s="50"/>
    </row>
    <row r="3303" spans="2:5" s="4" customFormat="1">
      <c r="B3303" s="28"/>
      <c r="C3303" s="18"/>
      <c r="E3303" s="50"/>
    </row>
    <row r="3304" spans="2:5" s="4" customFormat="1">
      <c r="B3304" s="28"/>
      <c r="C3304" s="18"/>
      <c r="E3304" s="50"/>
    </row>
    <row r="3305" spans="2:5" s="4" customFormat="1">
      <c r="B3305" s="28"/>
      <c r="C3305" s="18"/>
      <c r="E3305" s="50"/>
    </row>
    <row r="3306" spans="2:5" s="4" customFormat="1">
      <c r="B3306" s="28"/>
      <c r="C3306" s="18"/>
      <c r="E3306" s="50"/>
    </row>
    <row r="3307" spans="2:5" s="4" customFormat="1">
      <c r="B3307" s="28"/>
      <c r="C3307" s="18"/>
      <c r="E3307" s="50"/>
    </row>
    <row r="3308" spans="2:5" s="4" customFormat="1">
      <c r="B3308" s="28"/>
      <c r="C3308" s="18"/>
      <c r="E3308" s="50"/>
    </row>
    <row r="3309" spans="2:5" s="4" customFormat="1">
      <c r="B3309" s="28"/>
      <c r="C3309" s="18"/>
      <c r="E3309" s="50"/>
    </row>
    <row r="3310" spans="2:5" s="4" customFormat="1">
      <c r="B3310" s="28"/>
      <c r="C3310" s="18"/>
      <c r="E3310" s="50"/>
    </row>
    <row r="3311" spans="2:5" s="4" customFormat="1">
      <c r="B3311" s="28"/>
      <c r="C3311" s="18"/>
      <c r="E3311" s="50"/>
    </row>
    <row r="3312" spans="2:5" s="4" customFormat="1">
      <c r="B3312" s="28"/>
      <c r="C3312" s="18"/>
      <c r="E3312" s="50"/>
    </row>
    <row r="3313" spans="2:5" s="4" customFormat="1">
      <c r="B3313" s="28"/>
      <c r="C3313" s="18"/>
      <c r="E3313" s="50"/>
    </row>
    <row r="3314" spans="2:5" s="4" customFormat="1">
      <c r="B3314" s="28"/>
      <c r="C3314" s="18"/>
      <c r="E3314" s="50"/>
    </row>
    <row r="3315" spans="2:5" s="4" customFormat="1">
      <c r="B3315" s="28"/>
      <c r="C3315" s="18"/>
      <c r="E3315" s="50"/>
    </row>
    <row r="3316" spans="2:5" s="4" customFormat="1">
      <c r="B3316" s="28"/>
      <c r="C3316" s="18"/>
      <c r="E3316" s="50"/>
    </row>
    <row r="3317" spans="2:5" s="4" customFormat="1">
      <c r="B3317" s="28"/>
      <c r="C3317" s="18"/>
      <c r="E3317" s="50"/>
    </row>
    <row r="3318" spans="2:5" s="4" customFormat="1">
      <c r="B3318" s="28"/>
      <c r="C3318" s="18"/>
      <c r="E3318" s="50"/>
    </row>
    <row r="3319" spans="2:5" s="4" customFormat="1">
      <c r="B3319" s="28"/>
      <c r="C3319" s="18"/>
      <c r="E3319" s="50"/>
    </row>
    <row r="3320" spans="2:5" s="4" customFormat="1">
      <c r="B3320" s="28"/>
      <c r="C3320" s="18"/>
      <c r="E3320" s="50"/>
    </row>
    <row r="3321" spans="2:5" s="4" customFormat="1">
      <c r="B3321" s="28"/>
      <c r="C3321" s="18"/>
      <c r="E3321" s="50"/>
    </row>
    <row r="3322" spans="2:5" s="4" customFormat="1">
      <c r="B3322" s="28"/>
      <c r="C3322" s="18"/>
      <c r="E3322" s="50"/>
    </row>
    <row r="3323" spans="2:5" s="4" customFormat="1">
      <c r="B3323" s="28"/>
      <c r="C3323" s="18"/>
      <c r="E3323" s="50"/>
    </row>
    <row r="3324" spans="2:5" s="4" customFormat="1">
      <c r="B3324" s="28"/>
      <c r="C3324" s="18"/>
      <c r="E3324" s="50"/>
    </row>
    <row r="3325" spans="2:5" s="4" customFormat="1">
      <c r="B3325" s="28"/>
      <c r="C3325" s="18"/>
      <c r="E3325" s="50"/>
    </row>
    <row r="3326" spans="2:5" s="4" customFormat="1">
      <c r="B3326" s="28"/>
      <c r="C3326" s="18"/>
      <c r="E3326" s="50"/>
    </row>
    <row r="3327" spans="2:5" s="4" customFormat="1">
      <c r="B3327" s="28"/>
      <c r="C3327" s="18"/>
      <c r="E3327" s="50"/>
    </row>
    <row r="3328" spans="2:5" s="4" customFormat="1">
      <c r="B3328" s="28"/>
      <c r="C3328" s="18"/>
      <c r="E3328" s="50"/>
    </row>
    <row r="3329" spans="2:5" s="4" customFormat="1">
      <c r="B3329" s="28"/>
      <c r="C3329" s="18"/>
      <c r="E3329" s="50"/>
    </row>
    <row r="3330" spans="2:5" s="4" customFormat="1">
      <c r="B3330" s="28"/>
      <c r="C3330" s="18"/>
      <c r="E3330" s="50"/>
    </row>
    <row r="3331" spans="2:5" s="4" customFormat="1">
      <c r="B3331" s="28"/>
      <c r="C3331" s="18"/>
      <c r="E3331" s="50"/>
    </row>
    <row r="3332" spans="2:5" s="4" customFormat="1">
      <c r="B3332" s="28"/>
      <c r="C3332" s="18"/>
      <c r="E3332" s="50"/>
    </row>
    <row r="3333" spans="2:5" s="4" customFormat="1">
      <c r="B3333" s="28"/>
      <c r="C3333" s="18"/>
      <c r="E3333" s="50"/>
    </row>
    <row r="3334" spans="2:5" s="4" customFormat="1">
      <c r="B3334" s="28"/>
      <c r="C3334" s="18"/>
      <c r="E3334" s="50"/>
    </row>
    <row r="3335" spans="2:5" s="4" customFormat="1">
      <c r="B3335" s="28"/>
      <c r="C3335" s="18"/>
      <c r="E3335" s="50"/>
    </row>
    <row r="3336" spans="2:5" s="4" customFormat="1">
      <c r="B3336" s="28"/>
      <c r="C3336" s="18"/>
      <c r="E3336" s="50"/>
    </row>
    <row r="3337" spans="2:5" s="4" customFormat="1">
      <c r="B3337" s="28"/>
      <c r="C3337" s="18"/>
      <c r="E3337" s="50"/>
    </row>
    <row r="3338" spans="2:5" s="4" customFormat="1">
      <c r="B3338" s="28"/>
      <c r="C3338" s="18"/>
      <c r="E3338" s="50"/>
    </row>
    <row r="3339" spans="2:5" s="4" customFormat="1">
      <c r="B3339" s="28"/>
      <c r="C3339" s="18"/>
      <c r="E3339" s="50"/>
    </row>
    <row r="3340" spans="2:5" s="4" customFormat="1">
      <c r="B3340" s="28"/>
      <c r="C3340" s="18"/>
      <c r="E3340" s="50"/>
    </row>
    <row r="3341" spans="2:5" s="4" customFormat="1">
      <c r="B3341" s="28"/>
      <c r="C3341" s="18"/>
      <c r="E3341" s="50"/>
    </row>
    <row r="3342" spans="2:5" s="4" customFormat="1">
      <c r="B3342" s="28"/>
      <c r="C3342" s="18"/>
      <c r="E3342" s="50"/>
    </row>
    <row r="3343" spans="2:5" s="4" customFormat="1">
      <c r="B3343" s="28"/>
      <c r="C3343" s="18"/>
      <c r="E3343" s="50"/>
    </row>
    <row r="3344" spans="2:5" s="4" customFormat="1">
      <c r="B3344" s="28"/>
      <c r="C3344" s="18"/>
      <c r="E3344" s="50"/>
    </row>
    <row r="3345" spans="2:5" s="4" customFormat="1">
      <c r="B3345" s="28"/>
      <c r="C3345" s="18"/>
      <c r="E3345" s="50"/>
    </row>
    <row r="3346" spans="2:5" s="4" customFormat="1">
      <c r="B3346" s="28"/>
      <c r="C3346" s="18"/>
      <c r="E3346" s="50"/>
    </row>
    <row r="3347" spans="2:5" s="4" customFormat="1">
      <c r="B3347" s="28"/>
      <c r="C3347" s="18"/>
      <c r="E3347" s="50"/>
    </row>
    <row r="3348" spans="2:5" s="4" customFormat="1">
      <c r="B3348" s="28"/>
      <c r="C3348" s="18"/>
      <c r="E3348" s="50"/>
    </row>
    <row r="3349" spans="2:5" s="4" customFormat="1">
      <c r="B3349" s="28"/>
      <c r="C3349" s="18"/>
      <c r="E3349" s="50"/>
    </row>
    <row r="3350" spans="2:5" s="4" customFormat="1">
      <c r="B3350" s="28"/>
      <c r="C3350" s="18"/>
      <c r="E3350" s="50"/>
    </row>
    <row r="3351" spans="2:5" s="4" customFormat="1">
      <c r="B3351" s="28"/>
      <c r="C3351" s="18"/>
      <c r="E3351" s="50"/>
    </row>
    <row r="3352" spans="2:5" s="4" customFormat="1">
      <c r="B3352" s="28"/>
      <c r="C3352" s="18"/>
      <c r="E3352" s="50"/>
    </row>
    <row r="3353" spans="2:5" s="4" customFormat="1">
      <c r="B3353" s="28"/>
      <c r="C3353" s="18"/>
      <c r="E3353" s="50"/>
    </row>
    <row r="3354" spans="2:5" s="4" customFormat="1">
      <c r="B3354" s="28"/>
      <c r="C3354" s="18"/>
      <c r="E3354" s="50"/>
    </row>
    <row r="3355" spans="2:5" s="4" customFormat="1">
      <c r="B3355" s="28"/>
      <c r="C3355" s="18"/>
      <c r="E3355" s="50"/>
    </row>
    <row r="3356" spans="2:5" s="4" customFormat="1">
      <c r="B3356" s="28"/>
      <c r="C3356" s="18"/>
      <c r="E3356" s="50"/>
    </row>
    <row r="3357" spans="2:5" s="4" customFormat="1">
      <c r="B3357" s="28"/>
      <c r="C3357" s="18"/>
      <c r="E3357" s="50"/>
    </row>
    <row r="3358" spans="2:5" s="4" customFormat="1">
      <c r="B3358" s="28"/>
      <c r="C3358" s="18"/>
      <c r="E3358" s="50"/>
    </row>
    <row r="3359" spans="2:5" s="4" customFormat="1">
      <c r="B3359" s="28"/>
      <c r="C3359" s="18"/>
      <c r="E3359" s="50"/>
    </row>
    <row r="3360" spans="2:5" s="4" customFormat="1">
      <c r="B3360" s="28"/>
      <c r="C3360" s="18"/>
      <c r="E3360" s="50"/>
    </row>
    <row r="3361" spans="2:5" s="4" customFormat="1">
      <c r="B3361" s="28"/>
      <c r="C3361" s="18"/>
      <c r="E3361" s="50"/>
    </row>
    <row r="3362" spans="2:5" s="4" customFormat="1">
      <c r="B3362" s="28"/>
      <c r="C3362" s="18"/>
      <c r="E3362" s="50"/>
    </row>
    <row r="3363" spans="2:5" s="4" customFormat="1">
      <c r="B3363" s="28"/>
      <c r="C3363" s="18"/>
      <c r="E3363" s="50"/>
    </row>
    <row r="3364" spans="2:5" s="4" customFormat="1">
      <c r="B3364" s="28"/>
      <c r="C3364" s="18"/>
      <c r="E3364" s="50"/>
    </row>
    <row r="3365" spans="2:5" s="4" customFormat="1">
      <c r="B3365" s="28"/>
      <c r="C3365" s="18"/>
      <c r="E3365" s="50"/>
    </row>
    <row r="3366" spans="2:5" s="4" customFormat="1">
      <c r="B3366" s="28"/>
      <c r="C3366" s="18"/>
      <c r="E3366" s="50"/>
    </row>
    <row r="3367" spans="2:5" s="4" customFormat="1">
      <c r="B3367" s="28"/>
      <c r="C3367" s="18"/>
      <c r="E3367" s="50"/>
    </row>
    <row r="3368" spans="2:5" s="4" customFormat="1">
      <c r="B3368" s="28"/>
      <c r="C3368" s="18"/>
      <c r="E3368" s="50"/>
    </row>
    <row r="3369" spans="2:5" s="4" customFormat="1">
      <c r="B3369" s="28"/>
      <c r="C3369" s="18"/>
      <c r="E3369" s="50"/>
    </row>
    <row r="3370" spans="2:5" s="4" customFormat="1">
      <c r="B3370" s="28"/>
      <c r="C3370" s="18"/>
      <c r="E3370" s="50"/>
    </row>
    <row r="3371" spans="2:5" s="4" customFormat="1">
      <c r="B3371" s="28"/>
      <c r="C3371" s="18"/>
      <c r="E3371" s="50"/>
    </row>
    <row r="3372" spans="2:5" s="4" customFormat="1">
      <c r="B3372" s="28"/>
      <c r="C3372" s="18"/>
      <c r="E3372" s="50"/>
    </row>
    <row r="3373" spans="2:5" s="4" customFormat="1">
      <c r="B3373" s="28"/>
      <c r="C3373" s="18"/>
      <c r="E3373" s="50"/>
    </row>
    <row r="3374" spans="2:5" s="4" customFormat="1">
      <c r="B3374" s="28"/>
      <c r="C3374" s="18"/>
      <c r="E3374" s="50"/>
    </row>
    <row r="3375" spans="2:5" s="4" customFormat="1">
      <c r="B3375" s="28"/>
      <c r="C3375" s="18"/>
      <c r="E3375" s="50"/>
    </row>
    <row r="3376" spans="2:5" s="4" customFormat="1">
      <c r="B3376" s="28"/>
      <c r="C3376" s="18"/>
      <c r="E3376" s="50"/>
    </row>
    <row r="3377" spans="2:5" s="4" customFormat="1">
      <c r="B3377" s="28"/>
      <c r="C3377" s="18"/>
      <c r="E3377" s="50"/>
    </row>
    <row r="3378" spans="2:5" s="4" customFormat="1">
      <c r="B3378" s="28"/>
      <c r="C3378" s="18"/>
      <c r="E3378" s="50"/>
    </row>
    <row r="3379" spans="2:5" s="4" customFormat="1">
      <c r="B3379" s="28"/>
      <c r="C3379" s="18"/>
      <c r="E3379" s="50"/>
    </row>
    <row r="3380" spans="2:5" s="4" customFormat="1">
      <c r="B3380" s="28"/>
      <c r="C3380" s="18"/>
      <c r="E3380" s="50"/>
    </row>
    <row r="3381" spans="2:5" s="4" customFormat="1">
      <c r="B3381" s="28"/>
      <c r="C3381" s="18"/>
      <c r="E3381" s="50"/>
    </row>
    <row r="3382" spans="2:5" s="4" customFormat="1">
      <c r="B3382" s="28"/>
      <c r="C3382" s="18"/>
      <c r="E3382" s="50"/>
    </row>
    <row r="3383" spans="2:5" s="4" customFormat="1">
      <c r="B3383" s="28"/>
      <c r="C3383" s="18"/>
      <c r="E3383" s="50"/>
    </row>
    <row r="3384" spans="2:5" s="4" customFormat="1">
      <c r="B3384" s="28"/>
      <c r="C3384" s="18"/>
      <c r="E3384" s="50"/>
    </row>
    <row r="3385" spans="2:5" s="4" customFormat="1">
      <c r="B3385" s="28"/>
      <c r="C3385" s="18"/>
      <c r="E3385" s="50"/>
    </row>
    <row r="3386" spans="2:5" s="4" customFormat="1">
      <c r="B3386" s="28"/>
      <c r="C3386" s="18"/>
      <c r="E3386" s="50"/>
    </row>
    <row r="3387" spans="2:5" s="4" customFormat="1">
      <c r="B3387" s="28"/>
      <c r="C3387" s="18"/>
      <c r="E3387" s="50"/>
    </row>
    <row r="3388" spans="2:5" s="4" customFormat="1">
      <c r="B3388" s="28"/>
      <c r="C3388" s="18"/>
      <c r="E3388" s="50"/>
    </row>
    <row r="3389" spans="2:5" s="4" customFormat="1">
      <c r="B3389" s="28"/>
      <c r="C3389" s="18"/>
      <c r="E3389" s="50"/>
    </row>
    <row r="3390" spans="2:5" s="4" customFormat="1">
      <c r="B3390" s="28"/>
      <c r="C3390" s="18"/>
      <c r="E3390" s="50"/>
    </row>
    <row r="3391" spans="2:5" s="4" customFormat="1">
      <c r="B3391" s="28"/>
      <c r="C3391" s="18"/>
      <c r="E3391" s="50"/>
    </row>
    <row r="3392" spans="2:5" s="4" customFormat="1">
      <c r="B3392" s="28"/>
      <c r="C3392" s="18"/>
      <c r="E3392" s="50"/>
    </row>
    <row r="3393" spans="2:5" s="4" customFormat="1">
      <c r="B3393" s="28"/>
      <c r="C3393" s="18"/>
      <c r="E3393" s="50"/>
    </row>
    <row r="3394" spans="2:5" s="4" customFormat="1">
      <c r="B3394" s="28"/>
      <c r="C3394" s="18"/>
      <c r="E3394" s="50"/>
    </row>
    <row r="3395" spans="2:5" s="4" customFormat="1">
      <c r="B3395" s="28"/>
      <c r="C3395" s="18"/>
      <c r="E3395" s="50"/>
    </row>
    <row r="3396" spans="2:5" s="4" customFormat="1">
      <c r="B3396" s="28"/>
      <c r="C3396" s="18"/>
      <c r="E3396" s="50"/>
    </row>
    <row r="3397" spans="2:5" s="4" customFormat="1">
      <c r="B3397" s="28"/>
      <c r="C3397" s="18"/>
      <c r="E3397" s="50"/>
    </row>
    <row r="3398" spans="2:5" s="4" customFormat="1">
      <c r="B3398" s="28"/>
      <c r="C3398" s="18"/>
      <c r="E3398" s="50"/>
    </row>
    <row r="3399" spans="2:5" s="4" customFormat="1">
      <c r="B3399" s="28"/>
      <c r="C3399" s="18"/>
      <c r="E3399" s="50"/>
    </row>
    <row r="3400" spans="2:5" s="4" customFormat="1">
      <c r="B3400" s="28"/>
      <c r="C3400" s="18"/>
      <c r="E3400" s="50"/>
    </row>
    <row r="3401" spans="2:5" s="4" customFormat="1">
      <c r="B3401" s="28"/>
      <c r="C3401" s="18"/>
      <c r="E3401" s="50"/>
    </row>
    <row r="3402" spans="2:5" s="4" customFormat="1">
      <c r="B3402" s="28"/>
      <c r="C3402" s="18"/>
      <c r="E3402" s="50"/>
    </row>
    <row r="3403" spans="2:5" s="4" customFormat="1">
      <c r="B3403" s="28"/>
      <c r="C3403" s="18"/>
      <c r="E3403" s="50"/>
    </row>
    <row r="3404" spans="2:5" s="4" customFormat="1">
      <c r="B3404" s="28"/>
      <c r="C3404" s="18"/>
      <c r="E3404" s="50"/>
    </row>
    <row r="3405" spans="2:5" s="4" customFormat="1">
      <c r="B3405" s="28"/>
      <c r="C3405" s="18"/>
      <c r="E3405" s="50"/>
    </row>
    <row r="3406" spans="2:5" s="4" customFormat="1">
      <c r="B3406" s="28"/>
      <c r="C3406" s="18"/>
      <c r="E3406" s="50"/>
    </row>
    <row r="3407" spans="2:5" s="4" customFormat="1">
      <c r="B3407" s="28"/>
      <c r="C3407" s="18"/>
      <c r="E3407" s="50"/>
    </row>
    <row r="3408" spans="2:5" s="4" customFormat="1">
      <c r="B3408" s="28"/>
      <c r="C3408" s="18"/>
      <c r="E3408" s="50"/>
    </row>
    <row r="3409" spans="2:5" s="4" customFormat="1">
      <c r="B3409" s="28"/>
      <c r="C3409" s="18"/>
      <c r="E3409" s="50"/>
    </row>
    <row r="3410" spans="2:5" s="4" customFormat="1">
      <c r="B3410" s="28"/>
      <c r="C3410" s="18"/>
      <c r="E3410" s="50"/>
    </row>
    <row r="3411" spans="2:5" s="4" customFormat="1">
      <c r="B3411" s="28"/>
      <c r="C3411" s="18"/>
      <c r="E3411" s="50"/>
    </row>
    <row r="3412" spans="2:5" s="4" customFormat="1">
      <c r="B3412" s="28"/>
      <c r="C3412" s="18"/>
      <c r="E3412" s="50"/>
    </row>
    <row r="3413" spans="2:5" s="4" customFormat="1">
      <c r="B3413" s="28"/>
      <c r="C3413" s="18"/>
      <c r="E3413" s="50"/>
    </row>
    <row r="3414" spans="2:5" s="4" customFormat="1">
      <c r="B3414" s="28"/>
      <c r="C3414" s="18"/>
      <c r="E3414" s="50"/>
    </row>
    <row r="3415" spans="2:5" s="4" customFormat="1">
      <c r="B3415" s="28"/>
      <c r="C3415" s="18"/>
      <c r="E3415" s="50"/>
    </row>
    <row r="3416" spans="2:5" s="4" customFormat="1">
      <c r="B3416" s="28"/>
      <c r="C3416" s="18"/>
      <c r="E3416" s="50"/>
    </row>
    <row r="3417" spans="2:5" s="4" customFormat="1">
      <c r="B3417" s="28"/>
      <c r="C3417" s="18"/>
      <c r="E3417" s="50"/>
    </row>
    <row r="3418" spans="2:5" s="4" customFormat="1">
      <c r="B3418" s="28"/>
      <c r="C3418" s="18"/>
      <c r="E3418" s="50"/>
    </row>
    <row r="3419" spans="2:5" s="4" customFormat="1">
      <c r="B3419" s="28"/>
      <c r="C3419" s="18"/>
      <c r="E3419" s="50"/>
    </row>
    <row r="3420" spans="2:5" s="4" customFormat="1">
      <c r="B3420" s="28"/>
      <c r="C3420" s="18"/>
      <c r="E3420" s="50"/>
    </row>
    <row r="3421" spans="2:5" s="4" customFormat="1">
      <c r="B3421" s="28"/>
      <c r="C3421" s="18"/>
      <c r="E3421" s="50"/>
    </row>
    <row r="3422" spans="2:5" s="4" customFormat="1">
      <c r="B3422" s="28"/>
      <c r="C3422" s="18"/>
      <c r="E3422" s="50"/>
    </row>
    <row r="3423" spans="2:5" s="4" customFormat="1">
      <c r="B3423" s="28"/>
      <c r="C3423" s="18"/>
      <c r="E3423" s="50"/>
    </row>
    <row r="3424" spans="2:5" s="4" customFormat="1">
      <c r="B3424" s="28"/>
      <c r="C3424" s="18"/>
      <c r="E3424" s="50"/>
    </row>
    <row r="3425" spans="2:5" s="4" customFormat="1">
      <c r="B3425" s="28"/>
      <c r="C3425" s="18"/>
      <c r="E3425" s="50"/>
    </row>
    <row r="3426" spans="2:5" s="4" customFormat="1">
      <c r="B3426" s="28"/>
      <c r="C3426" s="18"/>
      <c r="E3426" s="50"/>
    </row>
    <row r="3427" spans="2:5" s="4" customFormat="1">
      <c r="B3427" s="28"/>
      <c r="C3427" s="18"/>
      <c r="E3427" s="50"/>
    </row>
    <row r="3428" spans="2:5" s="4" customFormat="1">
      <c r="B3428" s="28"/>
      <c r="C3428" s="18"/>
      <c r="E3428" s="50"/>
    </row>
    <row r="3429" spans="2:5" s="4" customFormat="1">
      <c r="B3429" s="28"/>
      <c r="C3429" s="18"/>
      <c r="E3429" s="50"/>
    </row>
    <row r="3430" spans="2:5" s="4" customFormat="1">
      <c r="B3430" s="28"/>
      <c r="C3430" s="18"/>
      <c r="E3430" s="50"/>
    </row>
    <row r="3431" spans="2:5" s="4" customFormat="1">
      <c r="B3431" s="28"/>
      <c r="C3431" s="18"/>
      <c r="E3431" s="50"/>
    </row>
    <row r="3432" spans="2:5" s="4" customFormat="1">
      <c r="B3432" s="28"/>
      <c r="C3432" s="18"/>
      <c r="E3432" s="50"/>
    </row>
    <row r="3433" spans="2:5" s="4" customFormat="1">
      <c r="B3433" s="28"/>
      <c r="C3433" s="18"/>
      <c r="E3433" s="50"/>
    </row>
    <row r="3434" spans="2:5" s="4" customFormat="1">
      <c r="B3434" s="28"/>
      <c r="C3434" s="18"/>
      <c r="E3434" s="50"/>
    </row>
    <row r="3435" spans="2:5" s="4" customFormat="1">
      <c r="B3435" s="28"/>
      <c r="C3435" s="18"/>
      <c r="E3435" s="50"/>
    </row>
    <row r="3436" spans="2:5" s="4" customFormat="1">
      <c r="B3436" s="28"/>
      <c r="C3436" s="18"/>
      <c r="E3436" s="50"/>
    </row>
    <row r="3437" spans="2:5" s="4" customFormat="1">
      <c r="B3437" s="28"/>
      <c r="C3437" s="18"/>
      <c r="E3437" s="50"/>
    </row>
    <row r="3438" spans="2:5" s="4" customFormat="1">
      <c r="B3438" s="28"/>
      <c r="C3438" s="18"/>
      <c r="E3438" s="50"/>
    </row>
    <row r="3439" spans="2:5" s="4" customFormat="1">
      <c r="B3439" s="28"/>
      <c r="C3439" s="18"/>
      <c r="E3439" s="50"/>
    </row>
    <row r="3440" spans="2:5" s="4" customFormat="1">
      <c r="B3440" s="28"/>
      <c r="C3440" s="18"/>
      <c r="E3440" s="50"/>
    </row>
    <row r="3441" spans="1:7" s="4" customFormat="1">
      <c r="B3441" s="28"/>
      <c r="C3441" s="18"/>
      <c r="E3441" s="50"/>
    </row>
    <row r="3442" spans="1:7" s="4" customFormat="1">
      <c r="B3442" s="28"/>
      <c r="C3442" s="18"/>
      <c r="E3442" s="50"/>
    </row>
    <row r="3443" spans="1:7" s="4" customFormat="1">
      <c r="A3443"/>
      <c r="B3443" s="25"/>
      <c r="C3443" s="2"/>
      <c r="D3443"/>
      <c r="E3443" s="48"/>
      <c r="F3443"/>
      <c r="G3443"/>
    </row>
    <row r="3444" spans="1:7" s="4" customFormat="1">
      <c r="A3444"/>
      <c r="B3444" s="25"/>
      <c r="C3444" s="2"/>
      <c r="D3444"/>
      <c r="E3444" s="48"/>
      <c r="F3444"/>
      <c r="G3444"/>
    </row>
    <row r="3445" spans="1:7" s="4" customFormat="1">
      <c r="A3445"/>
      <c r="B3445" s="25"/>
      <c r="C3445" s="2"/>
      <c r="D3445"/>
      <c r="E3445" s="48"/>
      <c r="F3445"/>
      <c r="G3445"/>
    </row>
    <row r="3446" spans="1:7" s="4" customFormat="1">
      <c r="A3446"/>
      <c r="B3446" s="25"/>
      <c r="C3446" s="2"/>
      <c r="D3446"/>
      <c r="E3446" s="48"/>
      <c r="F3446"/>
      <c r="G3446"/>
    </row>
    <row r="3447" spans="1:7" s="4" customFormat="1">
      <c r="A3447"/>
      <c r="B3447" s="25"/>
      <c r="C3447" s="2"/>
      <c r="D3447"/>
      <c r="E3447" s="48"/>
      <c r="F3447"/>
      <c r="G3447"/>
    </row>
    <row r="3448" spans="1:7" s="4" customFormat="1">
      <c r="A3448"/>
      <c r="B3448" s="25"/>
      <c r="C3448" s="2"/>
      <c r="D3448"/>
      <c r="E3448" s="48"/>
      <c r="F3448"/>
      <c r="G3448"/>
    </row>
    <row r="3449" spans="1:7" s="4" customFormat="1">
      <c r="A3449"/>
      <c r="B3449" s="25"/>
      <c r="C3449" s="2"/>
      <c r="D3449"/>
      <c r="E3449" s="48"/>
      <c r="F3449"/>
      <c r="G3449"/>
    </row>
    <row r="3450" spans="1:7" s="4" customFormat="1">
      <c r="A3450"/>
      <c r="B3450" s="25"/>
      <c r="C3450" s="2"/>
      <c r="D3450"/>
      <c r="E3450" s="48"/>
      <c r="F3450"/>
      <c r="G3450"/>
    </row>
    <row r="3451" spans="1:7" s="4" customFormat="1">
      <c r="A3451"/>
      <c r="B3451" s="25"/>
      <c r="C3451" s="2"/>
      <c r="D3451"/>
      <c r="E3451" s="48"/>
      <c r="F3451"/>
      <c r="G3451"/>
    </row>
    <row r="3452" spans="1:7" s="4" customFormat="1">
      <c r="A3452"/>
      <c r="B3452" s="25"/>
      <c r="C3452" s="2"/>
      <c r="D3452"/>
      <c r="E3452" s="48"/>
      <c r="F3452"/>
      <c r="G3452"/>
    </row>
    <row r="3453" spans="1:7" s="4" customFormat="1">
      <c r="A3453"/>
      <c r="B3453" s="25"/>
      <c r="C3453" s="2"/>
      <c r="D3453"/>
      <c r="E3453" s="48"/>
      <c r="F3453"/>
      <c r="G3453"/>
    </row>
    <row r="3454" spans="1:7" s="4" customFormat="1">
      <c r="A3454"/>
      <c r="B3454" s="25"/>
      <c r="C3454" s="2"/>
      <c r="D3454"/>
      <c r="E3454" s="48"/>
      <c r="F3454"/>
      <c r="G3454"/>
    </row>
    <row r="3455" spans="1:7" s="4" customFormat="1">
      <c r="A3455"/>
      <c r="B3455" s="25"/>
      <c r="C3455" s="2"/>
      <c r="D3455"/>
      <c r="E3455" s="48"/>
      <c r="F3455"/>
      <c r="G3455"/>
    </row>
    <row r="3456" spans="1:7" s="4" customFormat="1">
      <c r="A3456"/>
      <c r="B3456" s="25"/>
      <c r="C3456" s="2"/>
      <c r="D3456"/>
      <c r="E3456" s="48"/>
      <c r="F3456"/>
      <c r="G3456"/>
    </row>
    <row r="3457" spans="1:7" s="4" customFormat="1">
      <c r="A3457"/>
      <c r="B3457" s="25"/>
      <c r="C3457" s="2"/>
      <c r="D3457"/>
      <c r="E3457" s="48"/>
      <c r="F3457"/>
      <c r="G3457"/>
    </row>
    <row r="3458" spans="1:7" s="4" customFormat="1">
      <c r="A3458"/>
      <c r="B3458" s="25"/>
      <c r="C3458" s="2"/>
      <c r="D3458"/>
      <c r="E3458" s="48"/>
      <c r="F3458"/>
      <c r="G3458"/>
    </row>
    <row r="3459" spans="1:7" s="4" customFormat="1">
      <c r="A3459"/>
      <c r="B3459" s="25"/>
      <c r="C3459" s="2"/>
      <c r="D3459"/>
      <c r="E3459" s="48"/>
      <c r="F3459"/>
      <c r="G3459"/>
    </row>
    <row r="3460" spans="1:7" s="4" customFormat="1">
      <c r="A3460"/>
      <c r="B3460" s="25"/>
      <c r="C3460" s="2"/>
      <c r="D3460"/>
      <c r="E3460" s="48"/>
      <c r="F3460"/>
      <c r="G3460"/>
    </row>
    <row r="3461" spans="1:7" s="4" customFormat="1">
      <c r="A3461"/>
      <c r="B3461" s="25"/>
      <c r="C3461" s="2"/>
      <c r="D3461"/>
      <c r="E3461" s="48"/>
      <c r="F3461"/>
      <c r="G3461"/>
    </row>
    <row r="3462" spans="1:7" s="4" customFormat="1">
      <c r="A3462"/>
      <c r="B3462" s="25"/>
      <c r="C3462" s="2"/>
      <c r="D3462"/>
      <c r="E3462" s="48"/>
      <c r="F3462"/>
      <c r="G3462"/>
    </row>
  </sheetData>
  <mergeCells count="11">
    <mergeCell ref="F48:G48"/>
    <mergeCell ref="B49:G49"/>
    <mergeCell ref="C2:F3"/>
    <mergeCell ref="C50:D50"/>
    <mergeCell ref="F50:G50"/>
    <mergeCell ref="C51:G51"/>
    <mergeCell ref="B52:G53"/>
    <mergeCell ref="C54:E54"/>
    <mergeCell ref="F54:G55"/>
    <mergeCell ref="C55:E56"/>
    <mergeCell ref="F56:G56"/>
  </mergeCells>
  <pageMargins left="0.78740157480314965" right="0.23622047244094491" top="0.96" bottom="0.31496062992125984" header="0.92" footer="0.31496062992125984"/>
  <pageSetup scale="83" orientation="portrait" horizontalDpi="4294967294"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ENTRADA ALMACEN</vt:lpstr>
      <vt:lpstr>'ENTRADA ALMACEN'!Área_de_impresión</vt:lpstr>
    </vt:vector>
  </TitlesOfParts>
  <Company>hogar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razo gateway</dc:creator>
  <cp:lastModifiedBy>*</cp:lastModifiedBy>
  <cp:lastPrinted>2025-12-18T21:23:21Z</cp:lastPrinted>
  <dcterms:created xsi:type="dcterms:W3CDTF">2016-03-10T01:50:40Z</dcterms:created>
  <dcterms:modified xsi:type="dcterms:W3CDTF">2025-12-22T18:37:25Z</dcterms:modified>
</cp:coreProperties>
</file>