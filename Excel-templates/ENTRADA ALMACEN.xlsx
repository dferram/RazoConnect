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drawings/drawing1.xml" ContentType="application/vnd.openxmlformats-officedocument.drawing+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20" yWindow="105" windowWidth="15135" windowHeight="7365" tabRatio="604"/>
  </bookViews>
  <sheets>
    <sheet name="ENTRADA ALMACEN" sheetId="22" r:id="rId1"/>
  </sheets>
  <externalReferences>
    <externalReference r:id="rId2"/>
  </externalReferences>
  <definedNames>
    <definedName name="_xlnm._FilterDatabase" localSheetId="0" hidden="1">'ENTRADA ALMACEN'!$B$17:$G$28</definedName>
    <definedName name="_xlnm.Print_Area" localSheetId="0">'ENTRADA ALMACEN'!$B$1:$G$56</definedName>
  </definedNames>
  <calcPr calcId="125725"/>
</workbook>
</file>

<file path=xl/calcChain.xml><?xml version="1.0" encoding="utf-8"?>
<calcChain xmlns="http://schemas.openxmlformats.org/spreadsheetml/2006/main">
  <c r="B41" i="22"/>
  <c r="G46"/>
  <c r="G41"/>
  <c r="D7"/>
  <c r="C54" s="1"/>
  <c r="G5"/>
  <c r="D48"/>
  <c r="C55"/>
  <c r="G43" l="1"/>
  <c r="B48"/>
  <c r="F50" s="1"/>
  <c r="F48"/>
</calcChain>
</file>

<file path=xl/sharedStrings.xml><?xml version="1.0" encoding="utf-8"?>
<sst xmlns="http://schemas.openxmlformats.org/spreadsheetml/2006/main" count="28" uniqueCount="26">
  <si>
    <t>FOLIO</t>
  </si>
  <si>
    <t>NO. CLIENTE:</t>
  </si>
  <si>
    <t>NOMBRE:</t>
  </si>
  <si>
    <t>JOSE GARCIA</t>
  </si>
  <si>
    <t>PEDIDO</t>
  </si>
  <si>
    <t>DESCRIPCIÓN</t>
  </si>
  <si>
    <t xml:space="preserve">Precio Unitario </t>
  </si>
  <si>
    <t>TOTAL</t>
  </si>
  <si>
    <t>Artículos fueron surtidos</t>
  </si>
  <si>
    <t>BUENO POR $</t>
  </si>
  <si>
    <t>a la orden de:</t>
  </si>
  <si>
    <t>MARIA TERESA RAZO VALENCIA</t>
  </si>
  <si>
    <t xml:space="preserve">La cantidad de </t>
  </si>
  <si>
    <r>
      <t>Valor recibido a mi (nuestra) entera satisfacción. Este pagaré forma parte de una serie numerada del 1 al</t>
    </r>
    <r>
      <rPr>
        <u/>
        <sz val="7.5"/>
        <rFont val="Arial"/>
        <family val="2"/>
      </rPr>
      <t xml:space="preserve">  1  </t>
    </r>
    <r>
      <rPr>
        <sz val="7.5"/>
        <rFont val="Arial"/>
        <family val="2"/>
      </rPr>
      <t>y todos están sujetos a la condición de que al no pagarse cualquiera de ellos a su vencimiento, serán exigibles todos los que le sigan en número, además de los ya vencidos, desde la fecha de vencimiento de este documento hasta el día de su liquidación, causará intereses moratorios al tipo de 3% mensual, pagadero en esta cuidad juntamente con el principal.</t>
    </r>
  </si>
  <si>
    <t>Nombre:</t>
  </si>
  <si>
    <t>Acepto(amos) y pagare(mos) a su vencimiento.</t>
  </si>
  <si>
    <t>Dirección.</t>
  </si>
  <si>
    <t>Firma</t>
  </si>
  <si>
    <t>Lugar de expedición</t>
  </si>
  <si>
    <t xml:space="preserve">Debe(mos) y pagare(mos) incondicionalmente sin pretexto este pagaré en el lugar y fecha citadas donde elija el tenedor el día de su vencimiento </t>
  </si>
  <si>
    <t>CODIGO</t>
  </si>
  <si>
    <t>IVA</t>
  </si>
  <si>
    <t>I-2833</t>
  </si>
  <si>
    <t>(CINCO MIL QUINIENTOS TREINTA Y UN PESOS 10/100 M.N.)</t>
  </si>
  <si>
    <t>ENTRADA DE ALMACEN</t>
  </si>
  <si>
    <t>ENTRADA ALMACEN</t>
  </si>
</sst>
</file>

<file path=xl/styles.xml><?xml version="1.0" encoding="utf-8"?>
<styleSheet xmlns="http://schemas.openxmlformats.org/spreadsheetml/2006/main">
  <numFmts count="8">
    <numFmt numFmtId="8" formatCode="&quot;$&quot;#,##0.00;[Red]\-&quot;$&quot;#,##0.00"/>
    <numFmt numFmtId="41" formatCode="_-* #,##0_-;\-* #,##0_-;_-* &quot;-&quot;_-;_-@_-"/>
    <numFmt numFmtId="44" formatCode="_-&quot;$&quot;* #,##0.00_-;\-&quot;$&quot;* #,##0.00_-;_-&quot;$&quot;* &quot;-&quot;??_-;_-@_-"/>
    <numFmt numFmtId="43" formatCode="_-* #,##0.00_-;\-* #,##0.00_-;_-* &quot;-&quot;??_-;_-@_-"/>
    <numFmt numFmtId="164" formatCode="dd/mmm/yyyy"/>
    <numFmt numFmtId="165" formatCode="dd/mm/yy;@"/>
    <numFmt numFmtId="166" formatCode="_-* #,##0.00_-;\-* #,##0.00_-;_-* &quot;-&quot;_-;_-@_-"/>
    <numFmt numFmtId="167" formatCode="0.000000000000000"/>
  </numFmts>
  <fonts count="42">
    <font>
      <sz val="11"/>
      <color theme="1"/>
      <name val="Calibri"/>
      <family val="2"/>
      <scheme val="minor"/>
    </font>
    <font>
      <sz val="11"/>
      <color theme="1"/>
      <name val="Calibri"/>
      <family val="2"/>
      <scheme val="minor"/>
    </font>
    <font>
      <sz val="8"/>
      <name val="Arial"/>
      <family val="2"/>
    </font>
    <font>
      <sz val="18"/>
      <color indexed="8"/>
      <name val="Arial Black"/>
      <family val="2"/>
    </font>
    <font>
      <b/>
      <sz val="10"/>
      <color indexed="10"/>
      <name val="Arial"/>
      <family val="2"/>
    </font>
    <font>
      <b/>
      <sz val="10"/>
      <color indexed="8"/>
      <name val="Dungeon"/>
      <family val="5"/>
    </font>
    <font>
      <sz val="10"/>
      <name val="Arial"/>
      <family val="2"/>
    </font>
    <font>
      <b/>
      <sz val="8"/>
      <name val="Arial"/>
      <family val="2"/>
    </font>
    <font>
      <sz val="9"/>
      <name val="Arial"/>
      <family val="2"/>
    </font>
    <font>
      <b/>
      <sz val="9"/>
      <name val="Arial"/>
      <family val="2"/>
    </font>
    <font>
      <sz val="9"/>
      <color indexed="9"/>
      <name val="Arial"/>
      <family val="2"/>
    </font>
    <font>
      <b/>
      <sz val="10"/>
      <name val="Arial"/>
      <family val="2"/>
    </font>
    <font>
      <sz val="7"/>
      <name val="Arial"/>
      <family val="2"/>
    </font>
    <font>
      <sz val="7"/>
      <color indexed="9"/>
      <name val="Arial"/>
      <family val="2"/>
    </font>
    <font>
      <sz val="7.5"/>
      <name val="Arial"/>
      <family val="2"/>
    </font>
    <font>
      <u/>
      <sz val="7.5"/>
      <name val="Arial"/>
      <family val="2"/>
    </font>
    <font>
      <b/>
      <sz val="30"/>
      <color indexed="8"/>
      <name val="Magneto"/>
      <family val="5"/>
    </font>
    <font>
      <b/>
      <sz val="11"/>
      <color theme="1"/>
      <name val="Calibri"/>
      <family val="2"/>
      <scheme val="minor"/>
    </font>
    <font>
      <sz val="12"/>
      <name val="宋体"/>
      <family val="3"/>
      <charset val="134"/>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MS Sans Serif"/>
      <family val="2"/>
    </font>
    <font>
      <sz val="12"/>
      <name val="宋体"/>
      <charset val="134"/>
    </font>
    <font>
      <b/>
      <sz val="7.5"/>
      <name val="Arial"/>
      <family val="2"/>
    </font>
    <font>
      <sz val="9"/>
      <color theme="1"/>
      <name val="Arial Rounded MT Bold"/>
      <family val="2"/>
    </font>
    <font>
      <sz val="6"/>
      <name val="Arial"/>
      <family val="2"/>
    </font>
    <font>
      <sz val="8"/>
      <color theme="1"/>
      <name val="Arial Rounded MT Bold"/>
      <family val="2"/>
    </font>
    <font>
      <sz val="10"/>
      <name val="Arial"/>
      <family val="2"/>
    </font>
    <font>
      <b/>
      <sz val="12"/>
      <color indexed="8"/>
      <name val="Verdana"/>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s>
  <borders count="41">
    <border>
      <left/>
      <right/>
      <top/>
      <bottom/>
      <diagonal/>
    </border>
    <border>
      <left/>
      <right/>
      <top/>
      <bottom style="thin">
        <color indexed="64"/>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bottom/>
      <diagonal/>
    </border>
    <border>
      <left style="thin">
        <color indexed="64"/>
      </left>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s>
  <cellStyleXfs count="111">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0" fontId="18" fillId="0" borderId="0">
      <alignment vertical="center"/>
    </xf>
    <xf numFmtId="0" fontId="19" fillId="0" borderId="0" applyNumberFormat="0" applyFill="0" applyBorder="0" applyAlignment="0" applyProtection="0"/>
    <xf numFmtId="0" fontId="20" fillId="0" borderId="20" applyNumberFormat="0" applyFill="0" applyAlignment="0" applyProtection="0"/>
    <xf numFmtId="0" fontId="21" fillId="0" borderId="21" applyNumberFormat="0" applyFill="0" applyAlignment="0" applyProtection="0"/>
    <xf numFmtId="0" fontId="22" fillId="0" borderId="22" applyNumberFormat="0" applyFill="0" applyAlignment="0" applyProtection="0"/>
    <xf numFmtId="0" fontId="22" fillId="0" borderId="0" applyNumberFormat="0" applyFill="0" applyBorder="0" applyAlignment="0" applyProtection="0"/>
    <xf numFmtId="0" fontId="23" fillId="2" borderId="0" applyNumberFormat="0" applyBorder="0" applyAlignment="0" applyProtection="0"/>
    <xf numFmtId="0" fontId="24" fillId="3" borderId="0" applyNumberFormat="0" applyBorder="0" applyAlignment="0" applyProtection="0"/>
    <xf numFmtId="0" fontId="25" fillId="4" borderId="0" applyNumberFormat="0" applyBorder="0" applyAlignment="0" applyProtection="0"/>
    <xf numFmtId="0" fontId="26" fillId="5" borderId="23" applyNumberFormat="0" applyAlignment="0" applyProtection="0"/>
    <xf numFmtId="0" fontId="27" fillId="6" borderId="24" applyNumberFormat="0" applyAlignment="0" applyProtection="0"/>
    <xf numFmtId="0" fontId="28" fillId="6" borderId="23" applyNumberFormat="0" applyAlignment="0" applyProtection="0"/>
    <xf numFmtId="0" fontId="29" fillId="0" borderId="25" applyNumberFormat="0" applyFill="0" applyAlignment="0" applyProtection="0"/>
    <xf numFmtId="0" fontId="30" fillId="7" borderId="26" applyNumberFormat="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17" fillId="0" borderId="28" applyNumberFormat="0" applyFill="0" applyAlignment="0" applyProtection="0"/>
    <xf numFmtId="0" fontId="33"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33" fillId="12" borderId="0" applyNumberFormat="0" applyBorder="0" applyAlignment="0" applyProtection="0"/>
    <xf numFmtId="0" fontId="33"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33" fillId="16" borderId="0" applyNumberFormat="0" applyBorder="0" applyAlignment="0" applyProtection="0"/>
    <xf numFmtId="0" fontId="33"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33" fillId="20" borderId="0" applyNumberFormat="0" applyBorder="0" applyAlignment="0" applyProtection="0"/>
    <xf numFmtId="0" fontId="33"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33" fillId="24" borderId="0" applyNumberFormat="0" applyBorder="0" applyAlignment="0" applyProtection="0"/>
    <xf numFmtId="0" fontId="33"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33" fillId="28" borderId="0" applyNumberFormat="0" applyBorder="0" applyAlignment="0" applyProtection="0"/>
    <xf numFmtId="0" fontId="33"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33" fillId="32" borderId="0" applyNumberFormat="0" applyBorder="0" applyAlignment="0" applyProtection="0"/>
    <xf numFmtId="0" fontId="34" fillId="0" borderId="0"/>
    <xf numFmtId="0" fontId="35" fillId="0" borderId="0"/>
    <xf numFmtId="0" fontId="1" fillId="0" borderId="0"/>
    <xf numFmtId="0" fontId="1" fillId="0" borderId="0"/>
    <xf numFmtId="0" fontId="35" fillId="0" borderId="0"/>
    <xf numFmtId="0" fontId="1" fillId="0" borderId="0"/>
    <xf numFmtId="0" fontId="1" fillId="0" borderId="0"/>
    <xf numFmtId="0" fontId="35" fillId="0" borderId="0"/>
    <xf numFmtId="0" fontId="1" fillId="0" borderId="0"/>
    <xf numFmtId="0" fontId="1" fillId="0" borderId="0"/>
    <xf numFmtId="0" fontId="35" fillId="0" borderId="0"/>
    <xf numFmtId="0" fontId="1" fillId="0" borderId="0"/>
    <xf numFmtId="0" fontId="1" fillId="0" borderId="0"/>
    <xf numFmtId="0" fontId="35" fillId="0" borderId="0"/>
    <xf numFmtId="0" fontId="1" fillId="0" borderId="0"/>
    <xf numFmtId="0" fontId="1" fillId="0" borderId="0"/>
    <xf numFmtId="0" fontId="1" fillId="0" borderId="0"/>
    <xf numFmtId="0" fontId="1" fillId="0" borderId="0"/>
    <xf numFmtId="0" fontId="6" fillId="0" borderId="0"/>
    <xf numFmtId="0" fontId="6" fillId="0" borderId="0"/>
    <xf numFmtId="0" fontId="1" fillId="0" borderId="0"/>
    <xf numFmtId="0" fontId="1" fillId="0" borderId="0"/>
    <xf numFmtId="0" fontId="1" fillId="8" borderId="27" applyNumberFormat="0" applyFont="0" applyAlignment="0" applyProtection="0"/>
    <xf numFmtId="0" fontId="1" fillId="0" borderId="0"/>
    <xf numFmtId="0" fontId="35" fillId="0" borderId="0"/>
    <xf numFmtId="0" fontId="1" fillId="0" borderId="0"/>
    <xf numFmtId="0" fontId="1" fillId="0" borderId="0"/>
    <xf numFmtId="0" fontId="35" fillId="0" borderId="0"/>
    <xf numFmtId="0" fontId="34" fillId="0" borderId="0"/>
    <xf numFmtId="0" fontId="1" fillId="0" borderId="0"/>
    <xf numFmtId="0" fontId="1" fillId="0" borderId="0"/>
    <xf numFmtId="0" fontId="35" fillId="0" borderId="0"/>
    <xf numFmtId="0" fontId="1" fillId="0" borderId="0"/>
    <xf numFmtId="0" fontId="1" fillId="0" borderId="0"/>
    <xf numFmtId="0" fontId="35" fillId="0" borderId="0"/>
    <xf numFmtId="0" fontId="1" fillId="0" borderId="0"/>
    <xf numFmtId="0" fontId="1" fillId="0" borderId="0"/>
    <xf numFmtId="0" fontId="35" fillId="0" borderId="0"/>
    <xf numFmtId="0" fontId="34" fillId="0" borderId="0"/>
    <xf numFmtId="0" fontId="1" fillId="0" borderId="0"/>
    <xf numFmtId="0" fontId="1" fillId="0" borderId="0"/>
    <xf numFmtId="0" fontId="35" fillId="0" borderId="0"/>
    <xf numFmtId="0" fontId="34" fillId="0" borderId="0"/>
    <xf numFmtId="0" fontId="1" fillId="0" borderId="0"/>
    <xf numFmtId="0" fontId="1" fillId="0" borderId="0"/>
    <xf numFmtId="0" fontId="35" fillId="0" borderId="0"/>
    <xf numFmtId="0" fontId="34" fillId="0" borderId="0"/>
    <xf numFmtId="0" fontId="1" fillId="0" borderId="0"/>
    <xf numFmtId="0" fontId="1" fillId="0" borderId="0"/>
    <xf numFmtId="0" fontId="35" fillId="0" borderId="0"/>
    <xf numFmtId="0" fontId="34" fillId="0" borderId="0"/>
    <xf numFmtId="0" fontId="1" fillId="0" borderId="0"/>
    <xf numFmtId="0" fontId="34" fillId="0" borderId="0"/>
    <xf numFmtId="0" fontId="1" fillId="0" borderId="0"/>
    <xf numFmtId="0" fontId="34" fillId="0" borderId="0"/>
    <xf numFmtId="0" fontId="34" fillId="0" borderId="0"/>
    <xf numFmtId="0" fontId="34" fillId="0" borderId="0"/>
    <xf numFmtId="0" fontId="34" fillId="0" borderId="0"/>
    <xf numFmtId="0" fontId="34" fillId="0" borderId="0"/>
    <xf numFmtId="0" fontId="34" fillId="0" borderId="0"/>
    <xf numFmtId="43" fontId="6" fillId="0" borderId="0" applyFont="0" applyFill="0" applyBorder="0" applyAlignment="0" applyProtection="0"/>
    <xf numFmtId="43" fontId="6" fillId="0" borderId="0" applyFont="0" applyFill="0" applyBorder="0" applyAlignment="0" applyProtection="0"/>
    <xf numFmtId="44" fontId="6" fillId="0" borderId="0" applyFont="0" applyFill="0" applyBorder="0" applyAlignment="0" applyProtection="0"/>
    <xf numFmtId="0" fontId="40" fillId="0" borderId="0"/>
    <xf numFmtId="43" fontId="40" fillId="0" borderId="0" applyFont="0" applyFill="0" applyBorder="0" applyAlignment="0" applyProtection="0"/>
    <xf numFmtId="44" fontId="40" fillId="0" borderId="0" applyFont="0" applyFill="0" applyBorder="0" applyAlignment="0" applyProtection="0"/>
  </cellStyleXfs>
  <cellXfs count="132">
    <xf numFmtId="0" fontId="0" fillId="0" borderId="0" xfId="0"/>
    <xf numFmtId="0" fontId="3" fillId="0" borderId="0" xfId="0" applyFont="1" applyFill="1" applyAlignment="1">
      <alignment horizontal="center"/>
    </xf>
    <xf numFmtId="49" fontId="0" fillId="0" borderId="0" xfId="0" applyNumberFormat="1"/>
    <xf numFmtId="41" fontId="0" fillId="0" borderId="0" xfId="0" applyNumberFormat="1"/>
    <xf numFmtId="0" fontId="0" fillId="0" borderId="0" xfId="0" applyBorder="1"/>
    <xf numFmtId="49" fontId="8" fillId="0" borderId="0" xfId="0" applyNumberFormat="1" applyFont="1" applyBorder="1" applyAlignment="1">
      <alignment horizontal="left"/>
    </xf>
    <xf numFmtId="0" fontId="8" fillId="0" borderId="0" xfId="0" applyFont="1" applyBorder="1"/>
    <xf numFmtId="2" fontId="8" fillId="0" borderId="0" xfId="0" applyNumberFormat="1" applyFont="1" applyBorder="1"/>
    <xf numFmtId="2" fontId="0" fillId="0" borderId="0" xfId="0" applyNumberFormat="1" applyBorder="1"/>
    <xf numFmtId="0" fontId="11" fillId="0" borderId="0" xfId="0" applyFont="1" applyBorder="1" applyAlignment="1">
      <alignment horizontal="center"/>
    </xf>
    <xf numFmtId="0" fontId="12" fillId="0" borderId="0" xfId="0" applyFont="1" applyBorder="1" applyAlignment="1" applyProtection="1">
      <alignment horizontal="center"/>
    </xf>
    <xf numFmtId="0" fontId="0" fillId="0" borderId="4" xfId="0" applyBorder="1" applyProtection="1"/>
    <xf numFmtId="49" fontId="0" fillId="0" borderId="4" xfId="0" applyNumberFormat="1" applyBorder="1" applyProtection="1"/>
    <xf numFmtId="0" fontId="12" fillId="0" borderId="4" xfId="0" applyFont="1" applyBorder="1" applyAlignment="1" applyProtection="1">
      <alignment horizontal="left"/>
    </xf>
    <xf numFmtId="0" fontId="0" fillId="0" borderId="0" xfId="0" applyProtection="1"/>
    <xf numFmtId="0" fontId="0" fillId="0" borderId="0" xfId="0" applyBorder="1" applyProtection="1"/>
    <xf numFmtId="0" fontId="13" fillId="0" borderId="0" xfId="0" applyFont="1" applyBorder="1" applyAlignment="1" applyProtection="1">
      <alignment horizontal="center"/>
    </xf>
    <xf numFmtId="0" fontId="2" fillId="0" borderId="0" xfId="0" applyFont="1" applyAlignment="1" applyProtection="1">
      <alignment horizontal="left"/>
    </xf>
    <xf numFmtId="49" fontId="0" fillId="0" borderId="0" xfId="0" applyNumberFormat="1" applyBorder="1"/>
    <xf numFmtId="0" fontId="9" fillId="0" borderId="6" xfId="0" applyFont="1" applyBorder="1" applyAlignment="1">
      <alignment horizontal="center" vertical="center" wrapText="1"/>
    </xf>
    <xf numFmtId="0" fontId="9" fillId="0" borderId="6" xfId="0" applyFont="1" applyBorder="1" applyAlignment="1">
      <alignment horizontal="center" vertical="center"/>
    </xf>
    <xf numFmtId="0" fontId="9" fillId="0" borderId="8" xfId="0" applyFont="1" applyBorder="1" applyAlignment="1">
      <alignment horizontal="center" vertical="center" wrapText="1"/>
    </xf>
    <xf numFmtId="0" fontId="8" fillId="0" borderId="0" xfId="0" applyNumberFormat="1" applyFont="1" applyAlignment="1">
      <alignment horizontal="left" vertical="center"/>
    </xf>
    <xf numFmtId="0" fontId="9" fillId="0" borderId="10" xfId="0" applyFont="1" applyBorder="1" applyAlignment="1">
      <alignment horizontal="center" vertical="center" wrapText="1"/>
    </xf>
    <xf numFmtId="167" fontId="0" fillId="0" borderId="0" xfId="0" applyNumberFormat="1"/>
    <xf numFmtId="0" fontId="0" fillId="0" borderId="0" xfId="0" applyFill="1"/>
    <xf numFmtId="0" fontId="9" fillId="0" borderId="7" xfId="0" applyFont="1" applyFill="1" applyBorder="1" applyAlignment="1">
      <alignment horizontal="center" vertical="center" wrapText="1"/>
    </xf>
    <xf numFmtId="0" fontId="9" fillId="0" borderId="6" xfId="0" applyFont="1" applyFill="1" applyBorder="1" applyAlignment="1">
      <alignment horizontal="center" vertical="center" wrapText="1"/>
    </xf>
    <xf numFmtId="0" fontId="0" fillId="0" borderId="0" xfId="0" applyFill="1" applyBorder="1"/>
    <xf numFmtId="0" fontId="8" fillId="0" borderId="0" xfId="0" applyNumberFormat="1" applyFont="1" applyFill="1" applyAlignment="1">
      <alignment horizontal="left" vertical="center"/>
    </xf>
    <xf numFmtId="2" fontId="8" fillId="0" borderId="14" xfId="0" applyNumberFormat="1" applyFont="1" applyBorder="1"/>
    <xf numFmtId="0" fontId="9" fillId="0" borderId="0" xfId="0" applyFont="1" applyBorder="1" applyAlignment="1">
      <alignment horizontal="right"/>
    </xf>
    <xf numFmtId="2" fontId="0" fillId="0" borderId="14" xfId="0" applyNumberFormat="1" applyBorder="1"/>
    <xf numFmtId="0" fontId="0" fillId="0" borderId="30" xfId="0" applyBorder="1" applyProtection="1"/>
    <xf numFmtId="0" fontId="0" fillId="0" borderId="14" xfId="0" applyBorder="1" applyProtection="1"/>
    <xf numFmtId="43" fontId="0" fillId="0" borderId="0" xfId="0" applyNumberFormat="1"/>
    <xf numFmtId="0" fontId="0" fillId="0" borderId="9" xfId="0" applyBorder="1"/>
    <xf numFmtId="43" fontId="0" fillId="0" borderId="0" xfId="0" applyNumberFormat="1" applyProtection="1"/>
    <xf numFmtId="0" fontId="12" fillId="0" borderId="16" xfId="0" applyFont="1" applyFill="1" applyBorder="1" applyAlignment="1" applyProtection="1">
      <alignment horizontal="center"/>
    </xf>
    <xf numFmtId="14" fontId="13" fillId="0" borderId="16" xfId="0" applyNumberFormat="1" applyFont="1" applyFill="1" applyBorder="1" applyAlignment="1" applyProtection="1">
      <alignment horizontal="center"/>
    </xf>
    <xf numFmtId="0" fontId="14" fillId="0" borderId="16" xfId="0" applyFont="1" applyFill="1" applyBorder="1" applyAlignment="1" applyProtection="1">
      <alignment horizontal="left"/>
    </xf>
    <xf numFmtId="0" fontId="2" fillId="0" borderId="29" xfId="0" applyFont="1" applyFill="1" applyBorder="1" applyAlignment="1" applyProtection="1">
      <alignment horizontal="left" vertical="center" wrapText="1"/>
    </xf>
    <xf numFmtId="0" fontId="2" fillId="0" borderId="16" xfId="0" applyFont="1" applyFill="1" applyBorder="1" applyAlignment="1" applyProtection="1">
      <alignment horizontal="left" vertical="center"/>
    </xf>
    <xf numFmtId="0" fontId="0" fillId="0" borderId="32" xfId="0" applyFill="1" applyBorder="1" applyAlignment="1" applyProtection="1">
      <alignment horizontal="center"/>
    </xf>
    <xf numFmtId="44" fontId="11" fillId="0" borderId="12" xfId="2" applyNumberFormat="1" applyFont="1" applyBorder="1" applyAlignment="1" applyProtection="1">
      <alignment horizontal="center" shrinkToFit="1"/>
    </xf>
    <xf numFmtId="0" fontId="12" fillId="0" borderId="0" xfId="0" applyFont="1" applyBorder="1" applyAlignment="1" applyProtection="1">
      <alignment horizontal="center" vertical="center"/>
    </xf>
    <xf numFmtId="0" fontId="13" fillId="0" borderId="0" xfId="0" applyFont="1" applyBorder="1" applyAlignment="1" applyProtection="1">
      <alignment horizontal="center" vertical="center"/>
    </xf>
    <xf numFmtId="0" fontId="0" fillId="0" borderId="0" xfId="0" applyBorder="1" applyAlignment="1" applyProtection="1">
      <alignment horizontal="center" vertical="center"/>
    </xf>
    <xf numFmtId="0" fontId="0" fillId="0" borderId="0" xfId="0" applyAlignment="1">
      <alignment horizontal="center" vertical="center"/>
    </xf>
    <xf numFmtId="0" fontId="8" fillId="0" borderId="0" xfId="0" applyFont="1" applyBorder="1" applyAlignment="1">
      <alignment horizontal="center" vertical="center"/>
    </xf>
    <xf numFmtId="0" fontId="0" fillId="0" borderId="0" xfId="0" applyBorder="1" applyAlignment="1">
      <alignment horizontal="center" vertical="center"/>
    </xf>
    <xf numFmtId="0" fontId="12" fillId="0" borderId="4" xfId="0" applyFont="1" applyBorder="1" applyAlignment="1" applyProtection="1">
      <alignment horizontal="center" vertical="center"/>
    </xf>
    <xf numFmtId="166" fontId="0" fillId="0" borderId="0" xfId="0" applyNumberFormat="1"/>
    <xf numFmtId="44" fontId="9" fillId="0" borderId="36" xfId="0" applyNumberFormat="1" applyFont="1" applyBorder="1" applyAlignment="1">
      <alignment horizontal="right" vertical="center" wrapText="1"/>
    </xf>
    <xf numFmtId="44" fontId="9" fillId="0" borderId="13" xfId="0" applyNumberFormat="1" applyFont="1" applyBorder="1" applyAlignment="1">
      <alignment horizontal="right" vertical="center" wrapText="1"/>
    </xf>
    <xf numFmtId="0" fontId="37" fillId="0" borderId="19" xfId="0" applyFont="1" applyFill="1" applyBorder="1" applyAlignment="1">
      <alignment horizontal="center" vertical="center"/>
    </xf>
    <xf numFmtId="43" fontId="17" fillId="0" borderId="6" xfId="1" applyFont="1" applyBorder="1"/>
    <xf numFmtId="43" fontId="1" fillId="0" borderId="38" xfId="1" applyFont="1" applyBorder="1"/>
    <xf numFmtId="0" fontId="5" fillId="0" borderId="0" xfId="0" applyFont="1" applyFill="1" applyBorder="1" applyAlignment="1">
      <alignment horizontal="center"/>
    </xf>
    <xf numFmtId="0" fontId="5" fillId="0" borderId="0" xfId="0" applyFont="1" applyFill="1" applyBorder="1" applyAlignment="1">
      <alignment horizontal="center" vertical="center"/>
    </xf>
    <xf numFmtId="0" fontId="8" fillId="0" borderId="0" xfId="0" applyNumberFormat="1" applyFont="1" applyBorder="1" applyAlignment="1">
      <alignment horizontal="left" vertical="center"/>
    </xf>
    <xf numFmtId="0" fontId="8" fillId="0" borderId="0" xfId="0" applyNumberFormat="1" applyFont="1" applyFill="1" applyBorder="1" applyAlignment="1">
      <alignment horizontal="left" vertical="center"/>
    </xf>
    <xf numFmtId="49" fontId="8" fillId="0" borderId="0" xfId="0" applyNumberFormat="1" applyFont="1" applyBorder="1" applyAlignment="1">
      <alignment horizontal="left" vertical="center"/>
    </xf>
    <xf numFmtId="0" fontId="9" fillId="0" borderId="0" xfId="0" applyFont="1" applyBorder="1" applyAlignment="1">
      <alignment horizontal="center"/>
    </xf>
    <xf numFmtId="0" fontId="16" fillId="0" borderId="0" xfId="0" applyFont="1" applyFill="1" applyBorder="1" applyAlignment="1"/>
    <xf numFmtId="0" fontId="16" fillId="0" borderId="0" xfId="0" applyFont="1" applyFill="1" applyBorder="1" applyAlignment="1">
      <alignment horizontal="center" vertical="center"/>
    </xf>
    <xf numFmtId="49" fontId="4" fillId="0" borderId="0" xfId="0" applyNumberFormat="1" applyFont="1" applyBorder="1" applyAlignment="1">
      <alignment horizontal="center"/>
    </xf>
    <xf numFmtId="0" fontId="7" fillId="0" borderId="0" xfId="0" applyFont="1" applyBorder="1" applyAlignment="1">
      <alignment horizontal="center"/>
    </xf>
    <xf numFmtId="164" fontId="8" fillId="0" borderId="0" xfId="0" applyNumberFormat="1" applyFont="1" applyBorder="1" applyAlignment="1">
      <alignment horizontal="center"/>
    </xf>
    <xf numFmtId="0" fontId="10" fillId="0" borderId="0" xfId="0" applyFont="1" applyBorder="1" applyAlignment="1">
      <alignment horizontal="center"/>
    </xf>
    <xf numFmtId="0" fontId="6" fillId="0" borderId="0" xfId="0" applyFont="1" applyBorder="1" applyAlignment="1"/>
    <xf numFmtId="0" fontId="2" fillId="0" borderId="0" xfId="0" applyFont="1" applyBorder="1" applyAlignment="1">
      <alignment horizontal="center" vertical="center"/>
    </xf>
    <xf numFmtId="0" fontId="39" fillId="0" borderId="3" xfId="0" applyFont="1" applyFill="1" applyBorder="1" applyAlignment="1">
      <alignment vertical="center"/>
    </xf>
    <xf numFmtId="0" fontId="39" fillId="0" borderId="37" xfId="0" applyFont="1" applyFill="1" applyBorder="1" applyAlignment="1">
      <alignment vertical="center"/>
    </xf>
    <xf numFmtId="0" fontId="39" fillId="0" borderId="3" xfId="0" applyFont="1" applyFill="1" applyBorder="1" applyAlignment="1">
      <alignment horizontal="left" vertical="center"/>
    </xf>
    <xf numFmtId="2" fontId="8" fillId="0" borderId="39" xfId="0" applyNumberFormat="1" applyFont="1" applyBorder="1" applyAlignment="1">
      <alignment horizontal="right" vertical="center"/>
    </xf>
    <xf numFmtId="0" fontId="12" fillId="0" borderId="39" xfId="0" applyNumberFormat="1" applyFont="1" applyBorder="1" applyAlignment="1">
      <alignment horizontal="center" vertical="center" wrapText="1"/>
    </xf>
    <xf numFmtId="0" fontId="0" fillId="33" borderId="0" xfId="0" applyFill="1"/>
    <xf numFmtId="0" fontId="39" fillId="0" borderId="37" xfId="0" applyFont="1" applyFill="1" applyBorder="1" applyAlignment="1">
      <alignment horizontal="left" vertical="center"/>
    </xf>
    <xf numFmtId="43" fontId="1" fillId="0" borderId="12" xfId="1" applyFont="1" applyBorder="1"/>
    <xf numFmtId="0" fontId="6" fillId="0" borderId="16" xfId="0" applyFont="1" applyFill="1" applyBorder="1" applyAlignment="1">
      <alignment horizontal="center"/>
    </xf>
    <xf numFmtId="0" fontId="17" fillId="0" borderId="32" xfId="0" applyFont="1" applyFill="1" applyBorder="1" applyAlignment="1">
      <alignment horizontal="center"/>
    </xf>
    <xf numFmtId="0" fontId="17" fillId="0" borderId="16" xfId="0" applyFont="1" applyFill="1" applyBorder="1" applyAlignment="1">
      <alignment horizontal="center"/>
    </xf>
    <xf numFmtId="0" fontId="0" fillId="0" borderId="16" xfId="0" applyFill="1" applyBorder="1"/>
    <xf numFmtId="0" fontId="0" fillId="0" borderId="29" xfId="0" applyFill="1" applyBorder="1" applyProtection="1"/>
    <xf numFmtId="8" fontId="0" fillId="0" borderId="0" xfId="0" applyNumberFormat="1" applyFill="1" applyBorder="1"/>
    <xf numFmtId="0" fontId="39" fillId="0" borderId="11" xfId="0" applyFont="1" applyFill="1" applyBorder="1" applyAlignment="1">
      <alignment horizontal="center" vertical="center"/>
    </xf>
    <xf numFmtId="0" fontId="39" fillId="0" borderId="18" xfId="0" applyFont="1" applyFill="1" applyBorder="1" applyAlignment="1">
      <alignment horizontal="left" vertical="center"/>
    </xf>
    <xf numFmtId="0" fontId="39" fillId="0" borderId="18" xfId="0" applyFont="1" applyFill="1" applyBorder="1" applyAlignment="1">
      <alignment vertical="center"/>
    </xf>
    <xf numFmtId="0" fontId="37" fillId="0" borderId="40" xfId="0" applyFont="1" applyFill="1" applyBorder="1" applyAlignment="1">
      <alignment horizontal="center" vertical="center"/>
    </xf>
    <xf numFmtId="0" fontId="39" fillId="0" borderId="39" xfId="0" applyFont="1" applyFill="1" applyBorder="1" applyAlignment="1">
      <alignment horizontal="left" vertical="center"/>
    </xf>
    <xf numFmtId="0" fontId="39" fillId="0" borderId="39" xfId="0" applyFont="1" applyFill="1" applyBorder="1" applyAlignment="1">
      <alignment vertical="center"/>
    </xf>
    <xf numFmtId="0" fontId="37" fillId="0" borderId="11" xfId="0" applyFont="1" applyFill="1" applyBorder="1" applyAlignment="1">
      <alignment horizontal="center" vertical="center"/>
    </xf>
    <xf numFmtId="0" fontId="38" fillId="0" borderId="37" xfId="0" applyNumberFormat="1" applyFont="1" applyFill="1" applyBorder="1" applyAlignment="1">
      <alignment horizontal="center" vertical="center" wrapText="1"/>
    </xf>
    <xf numFmtId="2" fontId="8" fillId="0" borderId="37" xfId="0" applyNumberFormat="1" applyFont="1" applyFill="1" applyBorder="1" applyAlignment="1">
      <alignment horizontal="right" vertical="center"/>
    </xf>
    <xf numFmtId="2" fontId="8" fillId="0" borderId="18" xfId="0" applyNumberFormat="1" applyFont="1" applyFill="1" applyBorder="1" applyAlignment="1">
      <alignment horizontal="right" vertical="center"/>
    </xf>
    <xf numFmtId="0" fontId="38" fillId="0" borderId="3" xfId="0" applyNumberFormat="1" applyFont="1" applyFill="1" applyBorder="1" applyAlignment="1">
      <alignment horizontal="center" vertical="center" wrapText="1"/>
    </xf>
    <xf numFmtId="2" fontId="8" fillId="0" borderId="3" xfId="0" applyNumberFormat="1" applyFont="1" applyFill="1" applyBorder="1" applyAlignment="1">
      <alignment horizontal="right" vertical="center"/>
    </xf>
    <xf numFmtId="0" fontId="12" fillId="0" borderId="18" xfId="0" applyNumberFormat="1" applyFont="1" applyFill="1" applyBorder="1" applyAlignment="1">
      <alignment horizontal="center" vertical="center" wrapText="1"/>
    </xf>
    <xf numFmtId="0" fontId="39" fillId="0" borderId="15" xfId="0" applyFont="1" applyFill="1" applyBorder="1" applyAlignment="1">
      <alignment horizontal="center" vertical="center"/>
    </xf>
    <xf numFmtId="2" fontId="12" fillId="0" borderId="18" xfId="0" applyNumberFormat="1" applyFont="1" applyFill="1" applyBorder="1" applyAlignment="1">
      <alignment horizontal="center" vertical="center" wrapText="1"/>
    </xf>
    <xf numFmtId="0" fontId="9" fillId="0" borderId="0" xfId="0" applyFont="1" applyFill="1" applyBorder="1" applyAlignment="1">
      <alignment horizontal="left"/>
    </xf>
    <xf numFmtId="0" fontId="14" fillId="0" borderId="16" xfId="0" applyFont="1" applyFill="1" applyBorder="1" applyAlignment="1" applyProtection="1">
      <alignment horizontal="center"/>
    </xf>
    <xf numFmtId="0" fontId="9" fillId="0" borderId="9" xfId="0" applyFont="1" applyBorder="1" applyAlignment="1">
      <alignment horizontal="center" vertical="center" wrapText="1"/>
    </xf>
    <xf numFmtId="0" fontId="11" fillId="0" borderId="0" xfId="0" applyFont="1" applyFill="1" applyBorder="1" applyAlignment="1" applyProtection="1">
      <alignment vertical="center" shrinkToFit="1"/>
    </xf>
    <xf numFmtId="165" fontId="2" fillId="0" borderId="0" xfId="0" applyNumberFormat="1" applyFont="1" applyBorder="1" applyAlignment="1" applyProtection="1">
      <alignment horizontal="center"/>
    </xf>
    <xf numFmtId="165" fontId="2" fillId="0" borderId="14" xfId="0" applyNumberFormat="1" applyFont="1" applyBorder="1" applyAlignment="1" applyProtection="1">
      <alignment horizontal="center"/>
    </xf>
    <xf numFmtId="0" fontId="14" fillId="0" borderId="16" xfId="0" applyFont="1" applyBorder="1" applyAlignment="1" applyProtection="1">
      <alignment horizontal="justify"/>
    </xf>
    <xf numFmtId="0" fontId="14" fillId="0" borderId="0" xfId="0" applyFont="1" applyBorder="1" applyAlignment="1" applyProtection="1">
      <alignment horizontal="justify"/>
    </xf>
    <xf numFmtId="0" fontId="14" fillId="0" borderId="14" xfId="0" applyFont="1" applyBorder="1" applyAlignment="1" applyProtection="1">
      <alignment horizontal="justify"/>
    </xf>
    <xf numFmtId="0" fontId="41" fillId="0" borderId="0" xfId="0" applyFont="1" applyFill="1" applyBorder="1" applyAlignment="1">
      <alignment horizontal="center" vertical="center"/>
    </xf>
    <xf numFmtId="0" fontId="36" fillId="0" borderId="0" xfId="0" applyFont="1" applyBorder="1" applyAlignment="1" applyProtection="1">
      <alignment horizontal="center"/>
    </xf>
    <xf numFmtId="0" fontId="14" fillId="0" borderId="0" xfId="0" applyNumberFormat="1" applyFont="1" applyBorder="1" applyAlignment="1" applyProtection="1">
      <alignment horizontal="left"/>
    </xf>
    <xf numFmtId="0" fontId="14" fillId="0" borderId="14" xfId="0" applyNumberFormat="1" applyFont="1" applyBorder="1" applyAlignment="1" applyProtection="1">
      <alignment horizontal="left"/>
    </xf>
    <xf numFmtId="0" fontId="14" fillId="0" borderId="1" xfId="0" applyFont="1" applyBorder="1" applyAlignment="1" applyProtection="1">
      <alignment horizontal="center"/>
    </xf>
    <xf numFmtId="0" fontId="14" fillId="0" borderId="31" xfId="0" applyFont="1" applyBorder="1" applyAlignment="1" applyProtection="1">
      <alignment horizontal="center"/>
    </xf>
    <xf numFmtId="0" fontId="14" fillId="0" borderId="16" xfId="0" applyFont="1" applyBorder="1" applyAlignment="1" applyProtection="1">
      <alignment horizontal="justify" vertical="center" wrapText="1"/>
    </xf>
    <xf numFmtId="0" fontId="0" fillId="0" borderId="0" xfId="0" applyBorder="1" applyAlignment="1" applyProtection="1">
      <alignment horizontal="justify" vertical="center" wrapText="1"/>
    </xf>
    <xf numFmtId="0" fontId="0" fillId="0" borderId="14" xfId="0" applyBorder="1" applyAlignment="1" applyProtection="1">
      <alignment horizontal="justify" vertical="center" wrapText="1"/>
    </xf>
    <xf numFmtId="0" fontId="0" fillId="0" borderId="16" xfId="0" applyBorder="1" applyAlignment="1" applyProtection="1">
      <alignment horizontal="justify" vertical="center" wrapText="1"/>
    </xf>
    <xf numFmtId="0" fontId="2" fillId="0" borderId="4" xfId="0" applyNumberFormat="1" applyFont="1" applyBorder="1" applyAlignment="1" applyProtection="1">
      <alignment horizontal="left" vertical="center" wrapText="1"/>
    </xf>
    <xf numFmtId="0" fontId="2" fillId="0" borderId="5" xfId="0" applyNumberFormat="1" applyFont="1" applyBorder="1" applyAlignment="1" applyProtection="1">
      <alignment horizontal="left" vertical="center" wrapText="1"/>
    </xf>
    <xf numFmtId="0" fontId="12" fillId="0" borderId="4" xfId="0" applyFont="1" applyBorder="1" applyAlignment="1" applyProtection="1">
      <alignment horizontal="center" vertical="top" wrapText="1"/>
    </xf>
    <xf numFmtId="0" fontId="12" fillId="0" borderId="30" xfId="0" applyFont="1" applyBorder="1" applyAlignment="1" applyProtection="1">
      <alignment horizontal="center" vertical="top" wrapText="1"/>
    </xf>
    <xf numFmtId="0" fontId="12" fillId="0" borderId="0" xfId="0" applyFont="1" applyBorder="1" applyAlignment="1" applyProtection="1">
      <alignment horizontal="center" vertical="top" wrapText="1"/>
    </xf>
    <xf numFmtId="0" fontId="12" fillId="0" borderId="14" xfId="0" applyFont="1" applyBorder="1" applyAlignment="1" applyProtection="1">
      <alignment horizontal="center" vertical="top" wrapText="1"/>
    </xf>
    <xf numFmtId="0" fontId="2" fillId="0" borderId="0" xfId="0" applyFont="1" applyBorder="1" applyAlignment="1" applyProtection="1">
      <alignment horizontal="left" vertical="top" wrapText="1"/>
    </xf>
    <xf numFmtId="0" fontId="2" fillId="0" borderId="2" xfId="0" applyFont="1" applyBorder="1" applyAlignment="1" applyProtection="1">
      <alignment horizontal="left" vertical="top" wrapText="1"/>
    </xf>
    <xf numFmtId="0" fontId="2" fillId="0" borderId="33" xfId="0" applyFont="1" applyBorder="1" applyAlignment="1" applyProtection="1">
      <alignment horizontal="left" vertical="top" wrapText="1"/>
    </xf>
    <xf numFmtId="0" fontId="2" fillId="0" borderId="34" xfId="0" applyFont="1" applyBorder="1" applyAlignment="1" applyProtection="1">
      <alignment horizontal="left" vertical="top" wrapText="1"/>
    </xf>
    <xf numFmtId="0" fontId="0" fillId="0" borderId="17" xfId="0" applyNumberFormat="1" applyBorder="1" applyAlignment="1" applyProtection="1">
      <alignment horizontal="center" vertical="center"/>
    </xf>
    <xf numFmtId="0" fontId="0" fillId="0" borderId="35" xfId="0" applyNumberFormat="1" applyBorder="1" applyAlignment="1" applyProtection="1">
      <alignment horizontal="center" vertical="center"/>
    </xf>
  </cellXfs>
  <cellStyles count="111">
    <cellStyle name="20% - Énfasis1" xfId="22" builtinId="30" customBuiltin="1"/>
    <cellStyle name="20% - Énfasis2" xfId="26" builtinId="34" customBuiltin="1"/>
    <cellStyle name="20% - Énfasis3" xfId="30" builtinId="38" customBuiltin="1"/>
    <cellStyle name="20% - Énfasis4" xfId="34" builtinId="42" customBuiltin="1"/>
    <cellStyle name="20% - Énfasis5" xfId="38" builtinId="46" customBuiltin="1"/>
    <cellStyle name="20% - Énfasis6" xfId="42" builtinId="50" customBuiltin="1"/>
    <cellStyle name="40% - Énfasis1" xfId="23" builtinId="31" customBuiltin="1"/>
    <cellStyle name="40% - Énfasis2" xfId="27" builtinId="35" customBuiltin="1"/>
    <cellStyle name="40% - Énfasis3" xfId="31" builtinId="39" customBuiltin="1"/>
    <cellStyle name="40% - Énfasis4" xfId="35" builtinId="43" customBuiltin="1"/>
    <cellStyle name="40% - Énfasis5" xfId="39" builtinId="47" customBuiltin="1"/>
    <cellStyle name="40% - Énfasis6" xfId="43" builtinId="51" customBuiltin="1"/>
    <cellStyle name="60% - Énfasis1" xfId="24" builtinId="32" customBuiltin="1"/>
    <cellStyle name="60% - Énfasis2" xfId="28" builtinId="36" customBuiltin="1"/>
    <cellStyle name="60% - Énfasis3" xfId="32" builtinId="40" customBuiltin="1"/>
    <cellStyle name="60% - Énfasis4" xfId="36" builtinId="44" customBuiltin="1"/>
    <cellStyle name="60% - Énfasis5" xfId="40" builtinId="48" customBuiltin="1"/>
    <cellStyle name="60% - Énfasis6" xfId="44" builtinId="52" customBuiltin="1"/>
    <cellStyle name="Buena" xfId="10" builtinId="26" customBuiltin="1"/>
    <cellStyle name="Cálculo" xfId="15" builtinId="22" customBuiltin="1"/>
    <cellStyle name="Celda de comprobación" xfId="17" builtinId="23" customBuiltin="1"/>
    <cellStyle name="Celda vinculada" xfId="16" builtinId="24" customBuiltin="1"/>
    <cellStyle name="Encabezado 4" xfId="9" builtinId="19" customBuiltin="1"/>
    <cellStyle name="Énfasis1" xfId="21" builtinId="29" customBuiltin="1"/>
    <cellStyle name="Énfasis2" xfId="25" builtinId="33" customBuiltin="1"/>
    <cellStyle name="Énfasis3" xfId="29" builtinId="37" customBuiltin="1"/>
    <cellStyle name="Énfasis4" xfId="33" builtinId="41" customBuiltin="1"/>
    <cellStyle name="Énfasis5" xfId="37" builtinId="45" customBuiltin="1"/>
    <cellStyle name="Énfasis6" xfId="41" builtinId="49" customBuiltin="1"/>
    <cellStyle name="Entrada" xfId="13" builtinId="20" customBuiltin="1"/>
    <cellStyle name="Incorrecto" xfId="11" builtinId="27" customBuiltin="1"/>
    <cellStyle name="Millares" xfId="1" builtinId="3"/>
    <cellStyle name="Millares 2" xfId="106"/>
    <cellStyle name="Millares 3" xfId="105"/>
    <cellStyle name="Millares 4" xfId="109"/>
    <cellStyle name="Moneda" xfId="2" builtinId="4"/>
    <cellStyle name="Moneda 2" xfId="107"/>
    <cellStyle name="Moneda 3" xfId="110"/>
    <cellStyle name="Neutral" xfId="12" builtinId="28" customBuiltin="1"/>
    <cellStyle name="Normal" xfId="0" builtinId="0"/>
    <cellStyle name="Normal 10" xfId="100"/>
    <cellStyle name="Normal 11" xfId="101"/>
    <cellStyle name="Normal 12" xfId="102"/>
    <cellStyle name="Normal 13" xfId="103"/>
    <cellStyle name="Normal 14" xfId="104"/>
    <cellStyle name="Normal 15" xfId="108"/>
    <cellStyle name="Normal 2" xfId="45"/>
    <cellStyle name="Normal 2 10" xfId="47"/>
    <cellStyle name="Normal 2 11" xfId="54"/>
    <cellStyle name="Normal 2 12" xfId="75"/>
    <cellStyle name="Normal 2 13" xfId="68"/>
    <cellStyle name="Normal 2 14" xfId="78"/>
    <cellStyle name="Normal 2 15" xfId="71"/>
    <cellStyle name="Normal 2 16" xfId="81"/>
    <cellStyle name="Normal 2 17" xfId="85"/>
    <cellStyle name="Normal 2 18" xfId="89"/>
    <cellStyle name="Normal 2 19" xfId="93"/>
    <cellStyle name="Normal 2 2" xfId="57"/>
    <cellStyle name="Normal 2 2 10" xfId="72"/>
    <cellStyle name="Normal 2 2 11" xfId="82"/>
    <cellStyle name="Normal 2 2 12" xfId="86"/>
    <cellStyle name="Normal 2 2 13" xfId="90"/>
    <cellStyle name="Normal 2 2 14" xfId="94"/>
    <cellStyle name="Normal 2 2 2" xfId="58"/>
    <cellStyle name="Normal 2 2 2 10" xfId="84"/>
    <cellStyle name="Normal 2 2 2 11" xfId="88"/>
    <cellStyle name="Normal 2 2 2 12" xfId="92"/>
    <cellStyle name="Normal 2 2 2 13" xfId="96"/>
    <cellStyle name="Normal 2 2 2 14" xfId="98"/>
    <cellStyle name="Normal 2 2 2 2" xfId="59"/>
    <cellStyle name="Normal 2 2 2 3" xfId="48"/>
    <cellStyle name="Normal 2 2 2 4" xfId="53"/>
    <cellStyle name="Normal 2 2 2 5" xfId="74"/>
    <cellStyle name="Normal 2 2 2 6" xfId="56"/>
    <cellStyle name="Normal 2 2 2 7" xfId="77"/>
    <cellStyle name="Normal 2 2 2 8" xfId="70"/>
    <cellStyle name="Normal 2 2 2 9" xfId="80"/>
    <cellStyle name="Normal 2 2 3" xfId="49"/>
    <cellStyle name="Normal 2 2 4" xfId="52"/>
    <cellStyle name="Normal 2 2 5" xfId="46"/>
    <cellStyle name="Normal 2 2 6" xfId="55"/>
    <cellStyle name="Normal 2 2 7" xfId="76"/>
    <cellStyle name="Normal 2 2 8" xfId="69"/>
    <cellStyle name="Normal 2 2 9" xfId="79"/>
    <cellStyle name="Normal 2 3" xfId="60"/>
    <cellStyle name="Normal 2 4" xfId="61"/>
    <cellStyle name="Normal 2 5" xfId="62"/>
    <cellStyle name="Normal 2 6" xfId="63"/>
    <cellStyle name="Normal 2 7" xfId="64"/>
    <cellStyle name="Normal 2 8" xfId="50"/>
    <cellStyle name="Normal 2 9" xfId="51"/>
    <cellStyle name="Normal 20" xfId="65"/>
    <cellStyle name="Normal 20 2" xfId="66"/>
    <cellStyle name="Normal 3" xfId="73"/>
    <cellStyle name="Normal 38" xfId="3"/>
    <cellStyle name="Normal 4" xfId="83"/>
    <cellStyle name="Normal 5" xfId="87"/>
    <cellStyle name="Normal 6" xfId="91"/>
    <cellStyle name="Normal 7" xfId="95"/>
    <cellStyle name="Normal 8" xfId="97"/>
    <cellStyle name="Normal 9" xfId="99"/>
    <cellStyle name="Notas 2" xfId="67"/>
    <cellStyle name="Salida" xfId="14" builtinId="21" customBuiltin="1"/>
    <cellStyle name="Texto de advertencia" xfId="18" builtinId="11" customBuiltin="1"/>
    <cellStyle name="Texto explicativo" xfId="19" builtinId="53" customBuiltin="1"/>
    <cellStyle name="Título" xfId="5" builtinId="15" customBuiltin="1"/>
    <cellStyle name="Título 1" xfId="6" builtinId="16" customBuiltin="1"/>
    <cellStyle name="Título 2" xfId="7" builtinId="17" customBuiltin="1"/>
    <cellStyle name="Título 3" xfId="8" builtinId="18" customBuiltin="1"/>
    <cellStyle name="Total" xfId="20" builtinId="25" customBuiltin="1"/>
    <cellStyle name="常规_合同附表" xfId="4"/>
  </cellStyles>
  <dxfs count="0"/>
  <tableStyles count="0" defaultTableStyle="TableStyleMedium9" defaultPivotStyle="PivotStyleLight16"/>
  <colors>
    <mruColors>
      <color rgb="FFFFFFCC"/>
    </mru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304801</xdr:colOff>
      <xdr:row>0</xdr:row>
      <xdr:rowOff>66677</xdr:rowOff>
    </xdr:from>
    <xdr:to>
      <xdr:col>2</xdr:col>
      <xdr:colOff>390525</xdr:colOff>
      <xdr:row>4</xdr:row>
      <xdr:rowOff>133351</xdr:rowOff>
    </xdr:to>
    <xdr:pic>
      <xdr:nvPicPr>
        <xdr:cNvPr id="2" name="1 Imagen" descr="D:\Documents and Settings\Compac Presario\Configuración local\Archivos temporales de Internet\Content.Word\IMG-20240313-WA0045.jpg"/>
        <xdr:cNvPicPr/>
      </xdr:nvPicPr>
      <xdr:blipFill>
        <a:blip xmlns:r="http://schemas.openxmlformats.org/officeDocument/2006/relationships" r:embed="rId1" cstate="print"/>
        <a:srcRect l="13953" t="10000" r="15504" b="10000"/>
        <a:stretch>
          <a:fillRect/>
        </a:stretch>
      </xdr:blipFill>
      <xdr:spPr bwMode="auto">
        <a:xfrm>
          <a:off x="304801" y="66677"/>
          <a:ext cx="676274" cy="771524"/>
        </a:xfrm>
        <a:prstGeom prst="rect">
          <a:avLst/>
        </a:prstGeom>
        <a:noFill/>
        <a:ln w="9525">
          <a:noFill/>
          <a:miter lim="800000"/>
          <a:headEnd/>
          <a:tailEn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Documents%20and%20Settings\Compac%20Presario\Datos%20de%20programa\Microsoft\Excel\FACTURAS%202025.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FACTURAS"/>
      <sheetName val="COBRANZA"/>
      <sheetName val="CLIENTES"/>
      <sheetName val="PEDIDOS"/>
      <sheetName val="CATALOGO GASTOS"/>
      <sheetName val="FTO. GASTOS"/>
      <sheetName val="RUTAS"/>
      <sheetName val="Hoja1"/>
    </sheetNames>
    <sheetDataSet>
      <sheetData sheetId="0" refreshError="1"/>
      <sheetData sheetId="1" refreshError="1"/>
      <sheetData sheetId="2" refreshError="1">
        <row r="2">
          <cell r="A2">
            <v>1001</v>
          </cell>
          <cell r="B2" t="str">
            <v>ERNESTINA TOVAR MARQUEZ  (TEPEJI)</v>
          </cell>
          <cell r="C2" t="str">
            <v/>
          </cell>
          <cell r="D2" t="str">
            <v/>
          </cell>
          <cell r="E2" t="str">
            <v>TEPEJI DEL RIO, HGO.</v>
          </cell>
          <cell r="F2" t="str">
            <v/>
          </cell>
          <cell r="G2" t="str">
            <v/>
          </cell>
          <cell r="H2" t="str">
            <v/>
          </cell>
          <cell r="I2" t="str">
            <v/>
          </cell>
          <cell r="J2" t="str">
            <v>M04</v>
          </cell>
          <cell r="K2" t="str">
            <v/>
          </cell>
          <cell r="L2">
            <v>0</v>
          </cell>
          <cell r="M2">
            <v>1</v>
          </cell>
          <cell r="N2" t="str">
            <v>A</v>
          </cell>
          <cell r="O2">
            <v>41663</v>
          </cell>
          <cell r="P2" t="str">
            <v xml:space="preserve">    1</v>
          </cell>
          <cell r="Q2">
            <v>0</v>
          </cell>
          <cell r="R2">
            <v>0</v>
          </cell>
          <cell r="S2">
            <v>0</v>
          </cell>
          <cell r="T2">
            <v>10383</v>
          </cell>
          <cell r="U2">
            <v>0</v>
          </cell>
          <cell r="V2" t="str">
            <v/>
          </cell>
          <cell r="W2" t="str">
            <v/>
          </cell>
          <cell r="X2" t="str">
            <v/>
          </cell>
        </row>
        <row r="3">
          <cell r="A3">
            <v>1002</v>
          </cell>
          <cell r="B3" t="str">
            <v>ADRIANA CASTILLO SOTELO (TEPEJI)</v>
          </cell>
          <cell r="C3" t="str">
            <v/>
          </cell>
          <cell r="D3" t="str">
            <v>IGNACIO COMONFORT #14</v>
          </cell>
          <cell r="E3" t="str">
            <v>TEPEJI DEL RIO, HGO.</v>
          </cell>
          <cell r="F3" t="str">
            <v/>
          </cell>
          <cell r="G3" t="str">
            <v>(773) 733-2242</v>
          </cell>
          <cell r="H3" t="str">
            <v/>
          </cell>
          <cell r="I3" t="str">
            <v/>
          </cell>
          <cell r="J3" t="str">
            <v>BAJA</v>
          </cell>
          <cell r="K3" t="str">
            <v/>
          </cell>
          <cell r="L3">
            <v>0</v>
          </cell>
          <cell r="M3">
            <v>2</v>
          </cell>
          <cell r="N3" t="str">
            <v>S</v>
          </cell>
          <cell r="O3">
            <v>40681</v>
          </cell>
          <cell r="P3" t="str">
            <v xml:space="preserve">    1</v>
          </cell>
          <cell r="Q3">
            <v>0</v>
          </cell>
          <cell r="R3">
            <v>0</v>
          </cell>
          <cell r="S3">
            <v>0</v>
          </cell>
          <cell r="T3">
            <v>7049.5</v>
          </cell>
          <cell r="U3">
            <v>0</v>
          </cell>
          <cell r="V3" t="str">
            <v>NOXTONGO</v>
          </cell>
          <cell r="W3" t="str">
            <v/>
          </cell>
          <cell r="X3" t="str">
            <v/>
          </cell>
        </row>
        <row r="4">
          <cell r="A4">
            <v>1003</v>
          </cell>
          <cell r="B4" t="str">
            <v>MAGDALENA VELEZ FONTAINE (ROMERO)</v>
          </cell>
          <cell r="C4" t="str">
            <v/>
          </cell>
          <cell r="D4" t="str">
            <v>LOCAL MERCADO MUNICIPAL</v>
          </cell>
          <cell r="E4" t="str">
            <v>CUAUTITLAN, EDO. DE MEXICO</v>
          </cell>
          <cell r="F4" t="str">
            <v/>
          </cell>
          <cell r="G4" t="str">
            <v>(55) 3627-6333</v>
          </cell>
          <cell r="H4" t="str">
            <v/>
          </cell>
          <cell r="I4" t="str">
            <v/>
          </cell>
          <cell r="J4" t="str">
            <v>BAJA</v>
          </cell>
          <cell r="K4" t="str">
            <v/>
          </cell>
          <cell r="L4">
            <v>0</v>
          </cell>
          <cell r="M4">
            <v>3</v>
          </cell>
          <cell r="N4" t="str">
            <v>S</v>
          </cell>
          <cell r="O4">
            <v>41600</v>
          </cell>
          <cell r="P4" t="str">
            <v xml:space="preserve">    2</v>
          </cell>
          <cell r="Q4">
            <v>0</v>
          </cell>
          <cell r="R4">
            <v>0</v>
          </cell>
          <cell r="S4">
            <v>0</v>
          </cell>
          <cell r="T4">
            <v>48304</v>
          </cell>
          <cell r="U4">
            <v>0</v>
          </cell>
          <cell r="V4" t="str">
            <v>CENTRO</v>
          </cell>
          <cell r="W4" t="str">
            <v>62*304055*1</v>
          </cell>
          <cell r="X4" t="str">
            <v/>
          </cell>
        </row>
        <row r="5">
          <cell r="A5">
            <v>1004</v>
          </cell>
          <cell r="B5" t="str">
            <v>CARLOS MORALES LOPEZ (C. IZCALLI)</v>
          </cell>
          <cell r="C5" t="str">
            <v/>
          </cell>
          <cell r="D5" t="str">
            <v>TEMOAYA #59 INTERIOR 9</v>
          </cell>
          <cell r="E5" t="str">
            <v>IZCALLI, EDO. DE MEXICO</v>
          </cell>
          <cell r="F5" t="str">
            <v>54700</v>
          </cell>
          <cell r="G5" t="str">
            <v>(55) 1676-5464</v>
          </cell>
          <cell r="H5" t="str">
            <v/>
          </cell>
          <cell r="I5" t="str">
            <v/>
          </cell>
          <cell r="J5" t="str">
            <v>BAJA</v>
          </cell>
          <cell r="K5" t="str">
            <v/>
          </cell>
          <cell r="L5">
            <v>0</v>
          </cell>
          <cell r="M5">
            <v>4</v>
          </cell>
          <cell r="N5" t="str">
            <v>S</v>
          </cell>
          <cell r="O5">
            <v>40743</v>
          </cell>
          <cell r="P5" t="str">
            <v xml:space="preserve">    1</v>
          </cell>
          <cell r="Q5">
            <v>0</v>
          </cell>
          <cell r="R5">
            <v>0</v>
          </cell>
          <cell r="S5">
            <v>0</v>
          </cell>
          <cell r="T5">
            <v>6718</v>
          </cell>
          <cell r="U5">
            <v>0</v>
          </cell>
          <cell r="V5" t="str">
            <v>CENTRO URBANO</v>
          </cell>
          <cell r="W5" t="str">
            <v/>
          </cell>
          <cell r="X5" t="str">
            <v>capancich@hotmail.com</v>
          </cell>
        </row>
        <row r="6">
          <cell r="A6">
            <v>1005</v>
          </cell>
          <cell r="B6" t="str">
            <v>ESPERANZA SANCHEZ REYES (TULTEPEC)</v>
          </cell>
          <cell r="C6" t="str">
            <v/>
          </cell>
          <cell r="D6" t="str">
            <v>AV. JOAQUIN MONTENEGRO #6</v>
          </cell>
          <cell r="E6" t="str">
            <v>TULTEPEC, EDO. DE MEXICO</v>
          </cell>
          <cell r="F6" t="str">
            <v>54960</v>
          </cell>
          <cell r="G6" t="str">
            <v>(55) 5892-4618</v>
          </cell>
          <cell r="H6" t="str">
            <v/>
          </cell>
          <cell r="I6" t="str">
            <v/>
          </cell>
          <cell r="J6" t="str">
            <v>M01</v>
          </cell>
          <cell r="K6" t="str">
            <v/>
          </cell>
          <cell r="L6">
            <v>0</v>
          </cell>
          <cell r="M6">
            <v>5</v>
          </cell>
          <cell r="N6" t="str">
            <v>A</v>
          </cell>
          <cell r="O6">
            <v>41734</v>
          </cell>
          <cell r="P6" t="str">
            <v xml:space="preserve">    1</v>
          </cell>
          <cell r="Q6">
            <v>0</v>
          </cell>
          <cell r="R6">
            <v>0</v>
          </cell>
          <cell r="S6">
            <v>0</v>
          </cell>
          <cell r="T6">
            <v>70274.5</v>
          </cell>
          <cell r="U6">
            <v>0</v>
          </cell>
          <cell r="V6" t="str">
            <v>BARRIO SAN RAFAEL</v>
          </cell>
          <cell r="W6" t="str">
            <v/>
          </cell>
          <cell r="X6" t="str">
            <v/>
          </cell>
        </row>
        <row r="7">
          <cell r="A7">
            <v>1006</v>
          </cell>
          <cell r="B7" t="str">
            <v>ROSARIO JIMENEZ CARMONA (ECATEPEC)</v>
          </cell>
          <cell r="C7" t="str">
            <v/>
          </cell>
          <cell r="D7" t="str">
            <v>MERCADO DE SAN CRISTOBAL LOCAL 87</v>
          </cell>
          <cell r="E7" t="str">
            <v>ECATEPEC, EDO. DE MEXICO</v>
          </cell>
          <cell r="F7" t="str">
            <v/>
          </cell>
          <cell r="G7" t="str">
            <v>(55) 5116-6443</v>
          </cell>
          <cell r="H7" t="str">
            <v/>
          </cell>
          <cell r="I7" t="str">
            <v/>
          </cell>
          <cell r="J7" t="str">
            <v>M03</v>
          </cell>
          <cell r="K7" t="str">
            <v/>
          </cell>
          <cell r="L7">
            <v>0</v>
          </cell>
          <cell r="M7">
            <v>6</v>
          </cell>
          <cell r="N7" t="str">
            <v>A</v>
          </cell>
          <cell r="O7">
            <v>42275</v>
          </cell>
          <cell r="P7" t="str">
            <v xml:space="preserve">    1</v>
          </cell>
          <cell r="Q7">
            <v>0</v>
          </cell>
          <cell r="R7">
            <v>0</v>
          </cell>
          <cell r="S7">
            <v>0</v>
          </cell>
          <cell r="T7">
            <v>69540.5</v>
          </cell>
          <cell r="U7">
            <v>0</v>
          </cell>
          <cell r="V7" t="str">
            <v>SAN CRISTOBAL</v>
          </cell>
          <cell r="W7" t="str">
            <v/>
          </cell>
          <cell r="X7" t="str">
            <v/>
          </cell>
        </row>
        <row r="8">
          <cell r="A8">
            <v>1007</v>
          </cell>
          <cell r="B8" t="str">
            <v>SILVIA PEREZ LOPEZ (BOSQUES)</v>
          </cell>
          <cell r="C8" t="str">
            <v/>
          </cell>
          <cell r="D8" t="str">
            <v>BOULEVARD DE BOSQUES CENTRAL # 88-A</v>
          </cell>
          <cell r="E8" t="str">
            <v>COACALCO, EDO. DE MEXICO</v>
          </cell>
          <cell r="F8" t="str">
            <v/>
          </cell>
          <cell r="G8" t="str">
            <v>(55) 1358-4502 CEL</v>
          </cell>
          <cell r="H8" t="str">
            <v/>
          </cell>
          <cell r="I8" t="str">
            <v/>
          </cell>
          <cell r="J8" t="str">
            <v>BAJA</v>
          </cell>
          <cell r="K8" t="str">
            <v/>
          </cell>
          <cell r="L8">
            <v>0</v>
          </cell>
          <cell r="M8">
            <v>7</v>
          </cell>
          <cell r="N8" t="str">
            <v>S</v>
          </cell>
          <cell r="O8">
            <v>40954</v>
          </cell>
          <cell r="P8" t="str">
            <v xml:space="preserve">    1</v>
          </cell>
          <cell r="Q8">
            <v>0</v>
          </cell>
          <cell r="R8">
            <v>0</v>
          </cell>
          <cell r="S8">
            <v>0</v>
          </cell>
          <cell r="T8">
            <v>21454</v>
          </cell>
          <cell r="U8">
            <v>0</v>
          </cell>
          <cell r="V8" t="str">
            <v>BOSQUES DEL VALLE</v>
          </cell>
          <cell r="W8" t="str">
            <v/>
          </cell>
          <cell r="X8" t="str">
            <v/>
          </cell>
        </row>
        <row r="9">
          <cell r="A9">
            <v>1008</v>
          </cell>
          <cell r="B9" t="str">
            <v>LEONOR GONZALEZ MONDRAGON (VILLA)</v>
          </cell>
          <cell r="C9" t="str">
            <v/>
          </cell>
          <cell r="D9" t="str">
            <v>CONJUNTO COMERCIAL HARIMOSAS L-</v>
          </cell>
          <cell r="E9" t="str">
            <v>COACALCO, EDO. DE MEXICO</v>
          </cell>
          <cell r="F9" t="str">
            <v/>
          </cell>
          <cell r="G9" t="str">
            <v>(55) 3490-9196</v>
          </cell>
          <cell r="H9" t="str">
            <v/>
          </cell>
          <cell r="I9" t="str">
            <v/>
          </cell>
          <cell r="J9" t="str">
            <v>BAJA</v>
          </cell>
          <cell r="K9" t="str">
            <v/>
          </cell>
          <cell r="L9">
            <v>0</v>
          </cell>
          <cell r="M9">
            <v>8</v>
          </cell>
          <cell r="N9" t="str">
            <v>S</v>
          </cell>
          <cell r="O9">
            <v>40620</v>
          </cell>
          <cell r="P9" t="str">
            <v xml:space="preserve">    1</v>
          </cell>
          <cell r="Q9">
            <v>0</v>
          </cell>
          <cell r="R9">
            <v>0</v>
          </cell>
          <cell r="S9">
            <v>0</v>
          </cell>
          <cell r="T9">
            <v>2165</v>
          </cell>
          <cell r="U9">
            <v>0</v>
          </cell>
          <cell r="V9" t="str">
            <v>VILLA DE LAS FLORES</v>
          </cell>
          <cell r="W9" t="str">
            <v/>
          </cell>
          <cell r="X9" t="str">
            <v/>
          </cell>
        </row>
        <row r="10">
          <cell r="A10">
            <v>1009</v>
          </cell>
          <cell r="B10" t="str">
            <v>MARIELA RIOS LOPEZ (VILLA)</v>
          </cell>
          <cell r="C10" t="str">
            <v/>
          </cell>
          <cell r="D10" t="str">
            <v>BOULEVARD COACALCO # 404</v>
          </cell>
          <cell r="E10" t="str">
            <v>COACALCO, EDO. DE MEXICO</v>
          </cell>
          <cell r="F10" t="str">
            <v/>
          </cell>
          <cell r="G10" t="str">
            <v>(55) 3911-3022</v>
          </cell>
          <cell r="H10" t="str">
            <v/>
          </cell>
          <cell r="I10" t="str">
            <v/>
          </cell>
          <cell r="J10" t="str">
            <v>BAJA</v>
          </cell>
          <cell r="K10" t="str">
            <v/>
          </cell>
          <cell r="L10">
            <v>0</v>
          </cell>
          <cell r="M10">
            <v>9</v>
          </cell>
          <cell r="N10" t="str">
            <v>S</v>
          </cell>
          <cell r="O10">
            <v>41023</v>
          </cell>
          <cell r="P10" t="str">
            <v xml:space="preserve">    1</v>
          </cell>
          <cell r="Q10">
            <v>0</v>
          </cell>
          <cell r="R10">
            <v>0</v>
          </cell>
          <cell r="S10">
            <v>0</v>
          </cell>
          <cell r="T10">
            <v>3948</v>
          </cell>
          <cell r="U10">
            <v>0</v>
          </cell>
          <cell r="V10" t="str">
            <v>VILLA DE LAS FLORES</v>
          </cell>
          <cell r="W10" t="str">
            <v/>
          </cell>
          <cell r="X10" t="str">
            <v/>
          </cell>
        </row>
        <row r="11">
          <cell r="A11">
            <v>1010</v>
          </cell>
          <cell r="B11" t="str">
            <v>JOSEFINA VELAZQUEZ HERNANDEZ (VILLA)</v>
          </cell>
          <cell r="C11" t="str">
            <v/>
          </cell>
          <cell r="D11" t="str">
            <v>MERCADO DE VILLA LOCAL 66</v>
          </cell>
          <cell r="E11" t="str">
            <v>COACALCO, EDO. DE MEXICO</v>
          </cell>
          <cell r="F11" t="str">
            <v/>
          </cell>
          <cell r="G11" t="str">
            <v>(55) 5879-1542</v>
          </cell>
          <cell r="H11" t="str">
            <v>JOSEFINA VELAZQUEZ</v>
          </cell>
          <cell r="I11" t="str">
            <v>JOSEFINA VELAZQUEZ</v>
          </cell>
          <cell r="J11" t="str">
            <v>M01</v>
          </cell>
          <cell r="K11" t="str">
            <v/>
          </cell>
          <cell r="L11">
            <v>0</v>
          </cell>
          <cell r="M11">
            <v>10</v>
          </cell>
          <cell r="N11" t="str">
            <v>A</v>
          </cell>
          <cell r="O11">
            <v>42461</v>
          </cell>
          <cell r="P11" t="str">
            <v xml:space="preserve">    1</v>
          </cell>
          <cell r="Q11">
            <v>0</v>
          </cell>
          <cell r="R11">
            <v>0</v>
          </cell>
          <cell r="S11">
            <v>5672</v>
          </cell>
          <cell r="T11">
            <v>127204</v>
          </cell>
          <cell r="U11">
            <v>0</v>
          </cell>
          <cell r="V11" t="str">
            <v>VILLA DE LAS FLORES</v>
          </cell>
          <cell r="W11" t="str">
            <v/>
          </cell>
          <cell r="X11" t="str">
            <v/>
          </cell>
        </row>
        <row r="12">
          <cell r="A12">
            <v>1011</v>
          </cell>
          <cell r="B12" t="str">
            <v>MONICA CHAVEZ GOMEZ (ATIZAPAN)</v>
          </cell>
          <cell r="C12" t="str">
            <v>TABITAS</v>
          </cell>
          <cell r="D12" t="str">
            <v>MOCTEZUMA #12</v>
          </cell>
          <cell r="E12" t="str">
            <v>ATIZAPAN, EDO. DE MEXICO</v>
          </cell>
          <cell r="F12" t="str">
            <v/>
          </cell>
          <cell r="G12" t="str">
            <v>(55) 5884-2988</v>
          </cell>
          <cell r="H12" t="str">
            <v/>
          </cell>
          <cell r="I12" t="str">
            <v/>
          </cell>
          <cell r="J12" t="str">
            <v>M02</v>
          </cell>
          <cell r="K12" t="str">
            <v/>
          </cell>
          <cell r="L12">
            <v>0</v>
          </cell>
          <cell r="M12">
            <v>11</v>
          </cell>
          <cell r="N12" t="str">
            <v>A</v>
          </cell>
          <cell r="O12">
            <v>42275</v>
          </cell>
          <cell r="P12" t="str">
            <v xml:space="preserve">    1</v>
          </cell>
          <cell r="Q12">
            <v>0</v>
          </cell>
          <cell r="R12">
            <v>0</v>
          </cell>
          <cell r="S12">
            <v>2619</v>
          </cell>
          <cell r="T12">
            <v>104006</v>
          </cell>
          <cell r="U12">
            <v>0</v>
          </cell>
          <cell r="V12" t="str">
            <v>SN MIGUEL XOCHIMANGA</v>
          </cell>
          <cell r="W12" t="str">
            <v>(55) 5311-0590 CASA</v>
          </cell>
          <cell r="X12" t="str">
            <v/>
          </cell>
        </row>
        <row r="13">
          <cell r="A13">
            <v>1012</v>
          </cell>
          <cell r="B13" t="str">
            <v>JOSEFINA CARMEN CONTRERAS MARTINEZ (MELCHOR OC</v>
          </cell>
          <cell r="C13" t="str">
            <v/>
          </cell>
          <cell r="D13" t="str">
            <v>BLVD. CENTENARIO HIMNO NACIONAL #2 L-C</v>
          </cell>
          <cell r="E13" t="str">
            <v>MELCHOR OCAMPO, EDO. DE MEXICO</v>
          </cell>
          <cell r="F13" t="str">
            <v/>
          </cell>
          <cell r="G13" t="str">
            <v>(55) 5878-4267</v>
          </cell>
          <cell r="H13" t="str">
            <v/>
          </cell>
          <cell r="I13" t="str">
            <v/>
          </cell>
          <cell r="J13" t="str">
            <v>BAJA</v>
          </cell>
          <cell r="K13" t="str">
            <v/>
          </cell>
          <cell r="L13">
            <v>0</v>
          </cell>
          <cell r="M13">
            <v>12</v>
          </cell>
          <cell r="N13" t="str">
            <v>S</v>
          </cell>
          <cell r="O13">
            <v>41390</v>
          </cell>
          <cell r="P13" t="str">
            <v xml:space="preserve">    1</v>
          </cell>
          <cell r="Q13">
            <v>0</v>
          </cell>
          <cell r="R13">
            <v>0</v>
          </cell>
          <cell r="S13">
            <v>0</v>
          </cell>
          <cell r="T13">
            <v>18409</v>
          </cell>
          <cell r="U13">
            <v>0</v>
          </cell>
          <cell r="V13" t="str">
            <v>CENTRO</v>
          </cell>
          <cell r="W13" t="str">
            <v/>
          </cell>
          <cell r="X13" t="str">
            <v/>
          </cell>
        </row>
        <row r="14">
          <cell r="A14">
            <v>1013</v>
          </cell>
          <cell r="B14" t="str">
            <v>ESTELA CASAS REYES (TEOLOYUCAN)</v>
          </cell>
          <cell r="C14" t="str">
            <v/>
          </cell>
          <cell r="D14" t="str">
            <v>AV. 5 DE MAYO # 5</v>
          </cell>
          <cell r="E14" t="str">
            <v>TEOLOYUCAN, EDO. DE MEXICO</v>
          </cell>
          <cell r="F14" t="str">
            <v/>
          </cell>
          <cell r="G14" t="str">
            <v>(55) 2093-8829 CEL</v>
          </cell>
          <cell r="H14" t="str">
            <v/>
          </cell>
          <cell r="I14" t="str">
            <v/>
          </cell>
          <cell r="J14" t="str">
            <v>M01</v>
          </cell>
          <cell r="K14" t="str">
            <v/>
          </cell>
          <cell r="L14">
            <v>0</v>
          </cell>
          <cell r="M14">
            <v>13</v>
          </cell>
          <cell r="N14" t="str">
            <v>A</v>
          </cell>
          <cell r="O14">
            <v>42460</v>
          </cell>
          <cell r="P14" t="str">
            <v xml:space="preserve">    1</v>
          </cell>
          <cell r="Q14">
            <v>0</v>
          </cell>
          <cell r="R14">
            <v>0</v>
          </cell>
          <cell r="S14">
            <v>3422</v>
          </cell>
          <cell r="T14">
            <v>167915.30000000002</v>
          </cell>
          <cell r="U14">
            <v>0</v>
          </cell>
          <cell r="V14" t="str">
            <v>BARRIO DE CUAXOXOCA</v>
          </cell>
          <cell r="W14" t="str">
            <v/>
          </cell>
          <cell r="X14" t="str">
            <v/>
          </cell>
        </row>
        <row r="15">
          <cell r="A15">
            <v>1014</v>
          </cell>
          <cell r="B15" t="str">
            <v>CARINA EUGENIA CRUZ MAGAÑA (TEOLOYUCAN)</v>
          </cell>
          <cell r="C15" t="str">
            <v/>
          </cell>
          <cell r="D15" t="str">
            <v>AV. MORELIA # (PLAZA MAYECA)</v>
          </cell>
          <cell r="E15" t="str">
            <v>TEOLOYUCAN, EDO. DE MEXICO</v>
          </cell>
          <cell r="F15" t="str">
            <v/>
          </cell>
          <cell r="G15" t="str">
            <v>(55) 4609-9956 NXT</v>
          </cell>
          <cell r="H15" t="str">
            <v/>
          </cell>
          <cell r="I15" t="str">
            <v/>
          </cell>
          <cell r="J15" t="str">
            <v>BAJA</v>
          </cell>
          <cell r="K15" t="str">
            <v/>
          </cell>
          <cell r="L15">
            <v>0</v>
          </cell>
          <cell r="M15">
            <v>14</v>
          </cell>
          <cell r="N15" t="str">
            <v>S</v>
          </cell>
          <cell r="O15">
            <v>40686</v>
          </cell>
          <cell r="P15" t="str">
            <v xml:space="preserve">    1</v>
          </cell>
          <cell r="Q15">
            <v>0</v>
          </cell>
          <cell r="R15">
            <v>0</v>
          </cell>
          <cell r="S15">
            <v>0</v>
          </cell>
          <cell r="T15">
            <v>1322</v>
          </cell>
          <cell r="U15">
            <v>0</v>
          </cell>
          <cell r="V15" t="str">
            <v>BARRIO DE ZIMAPAN</v>
          </cell>
          <cell r="W15" t="str">
            <v>(55) 3980-7349 CEL</v>
          </cell>
          <cell r="X15" t="str">
            <v/>
          </cell>
        </row>
        <row r="16">
          <cell r="A16">
            <v>1015</v>
          </cell>
          <cell r="B16" t="str">
            <v>RAQUEL HERNANDEZ MARTINEZ (APAXCO)</v>
          </cell>
          <cell r="C16" t="str">
            <v/>
          </cell>
          <cell r="D16" t="str">
            <v>ESTRELLA # 8</v>
          </cell>
          <cell r="E16" t="str">
            <v>APAXCO, EDO. DE MEXICO</v>
          </cell>
          <cell r="F16" t="str">
            <v/>
          </cell>
          <cell r="G16" t="str">
            <v>(55) 5998-0452</v>
          </cell>
          <cell r="H16" t="str">
            <v/>
          </cell>
          <cell r="I16" t="str">
            <v/>
          </cell>
          <cell r="J16" t="str">
            <v>BAJA</v>
          </cell>
          <cell r="K16" t="str">
            <v/>
          </cell>
          <cell r="L16">
            <v>0</v>
          </cell>
          <cell r="M16">
            <v>15</v>
          </cell>
          <cell r="N16" t="str">
            <v>S</v>
          </cell>
          <cell r="O16">
            <v>40609</v>
          </cell>
          <cell r="P16" t="str">
            <v xml:space="preserve">    1</v>
          </cell>
          <cell r="Q16">
            <v>0</v>
          </cell>
          <cell r="R16">
            <v>0</v>
          </cell>
          <cell r="S16">
            <v>0</v>
          </cell>
          <cell r="T16">
            <v>1990</v>
          </cell>
          <cell r="U16">
            <v>0</v>
          </cell>
          <cell r="V16" t="str">
            <v>CENTRO</v>
          </cell>
          <cell r="W16" t="str">
            <v/>
          </cell>
          <cell r="X16" t="str">
            <v/>
          </cell>
        </row>
        <row r="17">
          <cell r="A17">
            <v>1016</v>
          </cell>
          <cell r="B17" t="str">
            <v>ROSALINDA SAENZ SANCHEZ (POLOTITLAN)</v>
          </cell>
          <cell r="C17" t="str">
            <v/>
          </cell>
          <cell r="D17" t="str">
            <v>ZARAGOZA #20</v>
          </cell>
          <cell r="E17" t="str">
            <v>POLOTITLAN, EDO. DE MEXICO</v>
          </cell>
          <cell r="F17" t="str">
            <v>54200</v>
          </cell>
          <cell r="G17" t="str">
            <v/>
          </cell>
          <cell r="H17" t="str">
            <v/>
          </cell>
          <cell r="I17" t="str">
            <v/>
          </cell>
          <cell r="J17" t="str">
            <v>BAJA</v>
          </cell>
          <cell r="K17" t="str">
            <v/>
          </cell>
          <cell r="L17">
            <v>0</v>
          </cell>
          <cell r="M17">
            <v>16</v>
          </cell>
          <cell r="N17" t="str">
            <v>S</v>
          </cell>
          <cell r="O17">
            <v>40611</v>
          </cell>
          <cell r="P17" t="str">
            <v xml:space="preserve">    1</v>
          </cell>
          <cell r="Q17">
            <v>0</v>
          </cell>
          <cell r="R17">
            <v>0</v>
          </cell>
          <cell r="S17">
            <v>0</v>
          </cell>
          <cell r="T17">
            <v>279</v>
          </cell>
          <cell r="U17">
            <v>0</v>
          </cell>
          <cell r="V17" t="str">
            <v>CENTRO</v>
          </cell>
          <cell r="W17" t="str">
            <v/>
          </cell>
          <cell r="X17" t="str">
            <v/>
          </cell>
        </row>
        <row r="18">
          <cell r="A18">
            <v>1017</v>
          </cell>
          <cell r="B18" t="str">
            <v>YOLANDA MARTINEZ OLVERA (POLOTITLAN)</v>
          </cell>
          <cell r="C18" t="str">
            <v/>
          </cell>
          <cell r="D18" t="str">
            <v>MOCTEZUMA # 12</v>
          </cell>
          <cell r="E18" t="str">
            <v>POLOTITLAN, EDO. DE MEXICO</v>
          </cell>
          <cell r="F18" t="str">
            <v>54200</v>
          </cell>
          <cell r="G18" t="str">
            <v>(427) 266-0729</v>
          </cell>
          <cell r="H18" t="str">
            <v/>
          </cell>
          <cell r="I18" t="str">
            <v/>
          </cell>
          <cell r="J18" t="str">
            <v>F02</v>
          </cell>
          <cell r="K18" t="str">
            <v/>
          </cell>
          <cell r="L18">
            <v>0</v>
          </cell>
          <cell r="M18">
            <v>17</v>
          </cell>
          <cell r="N18" t="str">
            <v>A</v>
          </cell>
          <cell r="O18">
            <v>42268</v>
          </cell>
          <cell r="P18" t="str">
            <v xml:space="preserve">    1</v>
          </cell>
          <cell r="Q18">
            <v>0</v>
          </cell>
          <cell r="R18">
            <v>0</v>
          </cell>
          <cell r="S18">
            <v>0</v>
          </cell>
          <cell r="T18">
            <v>58136</v>
          </cell>
          <cell r="U18">
            <v>0</v>
          </cell>
          <cell r="V18" t="str">
            <v>CENTRO</v>
          </cell>
          <cell r="W18" t="str">
            <v>72*146565*2</v>
          </cell>
          <cell r="X18" t="str">
            <v/>
          </cell>
        </row>
        <row r="19">
          <cell r="A19">
            <v>1018</v>
          </cell>
          <cell r="B19" t="str">
            <v>MARIA DE LA LUZ CRUZ ARROYO (SAN LORENZO)</v>
          </cell>
          <cell r="C19" t="str">
            <v/>
          </cell>
          <cell r="D19" t="str">
            <v>INDEPENDENCIA # 19</v>
          </cell>
          <cell r="E19" t="str">
            <v>COACALCO, EDO. DE MEXICO</v>
          </cell>
          <cell r="F19" t="str">
            <v/>
          </cell>
          <cell r="G19" t="str">
            <v>(55) 5865-2666</v>
          </cell>
          <cell r="H19" t="str">
            <v/>
          </cell>
          <cell r="I19" t="str">
            <v/>
          </cell>
          <cell r="J19" t="str">
            <v>M01</v>
          </cell>
          <cell r="K19" t="str">
            <v/>
          </cell>
          <cell r="L19">
            <v>0</v>
          </cell>
          <cell r="M19">
            <v>23</v>
          </cell>
          <cell r="N19" t="str">
            <v>A</v>
          </cell>
          <cell r="O19">
            <v>42431</v>
          </cell>
          <cell r="P19" t="str">
            <v xml:space="preserve">    5</v>
          </cell>
          <cell r="Q19">
            <v>0</v>
          </cell>
          <cell r="R19">
            <v>0</v>
          </cell>
          <cell r="S19">
            <v>477</v>
          </cell>
          <cell r="T19">
            <v>82987.5</v>
          </cell>
          <cell r="U19">
            <v>0</v>
          </cell>
          <cell r="V19" t="str">
            <v>SAN LORENZO</v>
          </cell>
          <cell r="W19" t="str">
            <v>(55) 3156-9144 CEL</v>
          </cell>
          <cell r="X19" t="str">
            <v/>
          </cell>
        </row>
        <row r="20">
          <cell r="A20">
            <v>1019</v>
          </cell>
          <cell r="B20" t="str">
            <v>LORENA MORALES CHAVEZ (SAN LORENZO)</v>
          </cell>
          <cell r="C20" t="str">
            <v/>
          </cell>
          <cell r="D20" t="str">
            <v>ABAZO # 58</v>
          </cell>
          <cell r="E20" t="str">
            <v>COACALCO, EDO. DE MEXICO</v>
          </cell>
          <cell r="F20" t="str">
            <v/>
          </cell>
          <cell r="G20" t="str">
            <v>(55) 2600-6086</v>
          </cell>
          <cell r="H20" t="str">
            <v/>
          </cell>
          <cell r="I20" t="str">
            <v/>
          </cell>
          <cell r="J20" t="str">
            <v>M01</v>
          </cell>
          <cell r="K20" t="str">
            <v/>
          </cell>
          <cell r="L20">
            <v>0</v>
          </cell>
          <cell r="M20">
            <v>24</v>
          </cell>
          <cell r="N20" t="str">
            <v>A</v>
          </cell>
          <cell r="O20">
            <v>42111</v>
          </cell>
          <cell r="P20" t="str">
            <v xml:space="preserve">    5</v>
          </cell>
          <cell r="Q20">
            <v>0</v>
          </cell>
          <cell r="R20">
            <v>0</v>
          </cell>
          <cell r="S20">
            <v>0</v>
          </cell>
          <cell r="T20">
            <v>64213</v>
          </cell>
          <cell r="U20">
            <v>0</v>
          </cell>
          <cell r="V20" t="str">
            <v>SAN LORENZO</v>
          </cell>
          <cell r="W20" t="str">
            <v/>
          </cell>
          <cell r="X20" t="str">
            <v/>
          </cell>
        </row>
        <row r="21">
          <cell r="A21">
            <v>1020</v>
          </cell>
          <cell r="B21" t="str">
            <v>ISABEL GARCIA GARCIA (COYOTEPEC)</v>
          </cell>
          <cell r="C21" t="str">
            <v/>
          </cell>
          <cell r="D21" t="str">
            <v>MERCADO MUNICIPAL DE COYOTEPEC L-43</v>
          </cell>
          <cell r="E21" t="str">
            <v>COYOTEPEC, EDO. DE MEXICO</v>
          </cell>
          <cell r="F21" t="str">
            <v/>
          </cell>
          <cell r="G21" t="str">
            <v>(55) 4492-2180 CEL</v>
          </cell>
          <cell r="H21" t="str">
            <v/>
          </cell>
          <cell r="I21" t="str">
            <v/>
          </cell>
          <cell r="J21" t="str">
            <v>M01</v>
          </cell>
          <cell r="K21" t="str">
            <v/>
          </cell>
          <cell r="L21">
            <v>0</v>
          </cell>
          <cell r="M21">
            <v>25</v>
          </cell>
          <cell r="N21" t="str">
            <v>A</v>
          </cell>
          <cell r="O21">
            <v>42497</v>
          </cell>
          <cell r="P21" t="str">
            <v xml:space="preserve">    5</v>
          </cell>
          <cell r="Q21">
            <v>0</v>
          </cell>
          <cell r="R21">
            <v>0</v>
          </cell>
          <cell r="S21">
            <v>8120</v>
          </cell>
          <cell r="T21">
            <v>368741.23</v>
          </cell>
          <cell r="U21">
            <v>0</v>
          </cell>
          <cell r="V21" t="str">
            <v>CENTRO</v>
          </cell>
          <cell r="W21" t="str">
            <v>(55) 3191-3642 CEL MAMA</v>
          </cell>
          <cell r="X21" t="str">
            <v>(55) 4828-5605 LUPITA</v>
          </cell>
        </row>
        <row r="22">
          <cell r="A22">
            <v>1021</v>
          </cell>
          <cell r="B22" t="str">
            <v>JOVITA SANDOVAL CHICO (COACALCO)</v>
          </cell>
          <cell r="C22" t="str">
            <v/>
          </cell>
          <cell r="D22" t="str">
            <v>IXTLEMEMELIXTLE S/N</v>
          </cell>
          <cell r="E22" t="str">
            <v>COACALCO, EDO. DE MEXICO</v>
          </cell>
          <cell r="F22" t="str">
            <v/>
          </cell>
          <cell r="G22" t="str">
            <v>55 1542 0817</v>
          </cell>
          <cell r="H22" t="str">
            <v/>
          </cell>
          <cell r="I22" t="str">
            <v/>
          </cell>
          <cell r="J22" t="str">
            <v>BAJA</v>
          </cell>
          <cell r="K22" t="str">
            <v/>
          </cell>
          <cell r="L22">
            <v>0</v>
          </cell>
          <cell r="M22">
            <v>26</v>
          </cell>
          <cell r="N22" t="str">
            <v>S</v>
          </cell>
          <cell r="O22">
            <v>40616</v>
          </cell>
          <cell r="P22" t="str">
            <v xml:space="preserve">    5</v>
          </cell>
          <cell r="Q22">
            <v>0</v>
          </cell>
          <cell r="R22">
            <v>0</v>
          </cell>
          <cell r="S22">
            <v>0</v>
          </cell>
          <cell r="T22">
            <v>247</v>
          </cell>
          <cell r="U22">
            <v>0</v>
          </cell>
          <cell r="V22" t="str">
            <v/>
          </cell>
          <cell r="W22" t="str">
            <v/>
          </cell>
          <cell r="X22" t="str">
            <v/>
          </cell>
        </row>
        <row r="23">
          <cell r="A23">
            <v>1022</v>
          </cell>
          <cell r="B23" t="str">
            <v>FILEMON DE LA CRUZ SANTOS (HUEHUETOCA)</v>
          </cell>
          <cell r="C23" t="str">
            <v/>
          </cell>
          <cell r="D23" t="str">
            <v>DE LA RIVIERA S/N</v>
          </cell>
          <cell r="E23" t="str">
            <v>HUEHUETOCA, EDO. DE MEXICO</v>
          </cell>
          <cell r="F23" t="str">
            <v/>
          </cell>
          <cell r="G23" t="str">
            <v>(55) 1367-3340</v>
          </cell>
          <cell r="H23" t="str">
            <v/>
          </cell>
          <cell r="I23" t="str">
            <v/>
          </cell>
          <cell r="J23" t="str">
            <v>BAJA</v>
          </cell>
          <cell r="K23" t="str">
            <v/>
          </cell>
          <cell r="L23">
            <v>0</v>
          </cell>
          <cell r="M23">
            <v>27</v>
          </cell>
          <cell r="N23" t="str">
            <v>S</v>
          </cell>
          <cell r="O23">
            <v>40684</v>
          </cell>
          <cell r="P23" t="str">
            <v xml:space="preserve">    5</v>
          </cell>
          <cell r="Q23">
            <v>0</v>
          </cell>
          <cell r="R23">
            <v>0</v>
          </cell>
          <cell r="S23">
            <v>0</v>
          </cell>
          <cell r="T23">
            <v>8675.5</v>
          </cell>
          <cell r="U23">
            <v>0</v>
          </cell>
          <cell r="V23" t="str">
            <v>CENTRO</v>
          </cell>
          <cell r="W23" t="str">
            <v/>
          </cell>
          <cell r="X23" t="str">
            <v/>
          </cell>
        </row>
        <row r="24">
          <cell r="A24">
            <v>1023</v>
          </cell>
          <cell r="B24" t="str">
            <v>FABIOLA NUÑEZ CRUZ (ATIZAPAN)</v>
          </cell>
          <cell r="C24" t="str">
            <v/>
          </cell>
          <cell r="D24" t="str">
            <v>PASEO SAN FCO. #179 ESQ. PASEO ATIZAPAN</v>
          </cell>
          <cell r="E24" t="str">
            <v>ATIZAPAN, EDO. DE MEXICO</v>
          </cell>
          <cell r="F24" t="str">
            <v/>
          </cell>
          <cell r="G24" t="str">
            <v>(55) 5825-4525</v>
          </cell>
          <cell r="H24" t="str">
            <v/>
          </cell>
          <cell r="I24" t="str">
            <v/>
          </cell>
          <cell r="J24" t="str">
            <v>BAJA</v>
          </cell>
          <cell r="K24" t="str">
            <v/>
          </cell>
          <cell r="L24">
            <v>0</v>
          </cell>
          <cell r="M24">
            <v>28</v>
          </cell>
          <cell r="N24" t="str">
            <v>S</v>
          </cell>
          <cell r="O24">
            <v>41437</v>
          </cell>
          <cell r="P24" t="str">
            <v xml:space="preserve">    5</v>
          </cell>
          <cell r="Q24">
            <v>0</v>
          </cell>
          <cell r="R24">
            <v>0</v>
          </cell>
          <cell r="S24">
            <v>0</v>
          </cell>
          <cell r="T24">
            <v>129938.75</v>
          </cell>
          <cell r="U24">
            <v>1</v>
          </cell>
          <cell r="V24" t="str">
            <v>PASEO DE ATIZAPAN</v>
          </cell>
          <cell r="W24" t="str">
            <v>044 55 1850-8741</v>
          </cell>
          <cell r="X24" t="str">
            <v/>
          </cell>
        </row>
        <row r="25">
          <cell r="A25">
            <v>1024</v>
          </cell>
          <cell r="B25" t="str">
            <v>CLAUDIA LOPEZ RAMOS (SALAMANCA)</v>
          </cell>
          <cell r="C25" t="str">
            <v/>
          </cell>
          <cell r="D25" t="str">
            <v>SANCHEZ TORRADO # 311</v>
          </cell>
          <cell r="E25" t="str">
            <v>SALAMANCA, GTO.</v>
          </cell>
          <cell r="F25" t="str">
            <v>36700</v>
          </cell>
          <cell r="G25" t="str">
            <v>464 648 6571</v>
          </cell>
          <cell r="H25" t="str">
            <v/>
          </cell>
          <cell r="I25" t="str">
            <v/>
          </cell>
          <cell r="J25" t="str">
            <v>BAJA</v>
          </cell>
          <cell r="K25" t="str">
            <v/>
          </cell>
          <cell r="L25">
            <v>0</v>
          </cell>
          <cell r="M25">
            <v>18</v>
          </cell>
          <cell r="N25" t="str">
            <v>S</v>
          </cell>
          <cell r="O25">
            <v>40815</v>
          </cell>
          <cell r="P25" t="str">
            <v xml:space="preserve">    1</v>
          </cell>
          <cell r="Q25">
            <v>0</v>
          </cell>
          <cell r="R25">
            <v>0</v>
          </cell>
          <cell r="S25">
            <v>0</v>
          </cell>
          <cell r="T25">
            <v>3462</v>
          </cell>
          <cell r="U25">
            <v>0</v>
          </cell>
          <cell r="V25" t="str">
            <v>CENTRO</v>
          </cell>
          <cell r="W25" t="str">
            <v/>
          </cell>
          <cell r="X25" t="str">
            <v/>
          </cell>
        </row>
        <row r="26">
          <cell r="A26">
            <v>1025</v>
          </cell>
          <cell r="B26" t="str">
            <v>CECILIA AGUIRRE MACIAS (CUERAMARO)</v>
          </cell>
          <cell r="C26" t="str">
            <v/>
          </cell>
          <cell r="D26" t="str">
            <v>FRANCISCO I. MADERO # 111</v>
          </cell>
          <cell r="E26" t="str">
            <v>CUERAMARO, GTO.</v>
          </cell>
          <cell r="F26" t="str">
            <v>36960</v>
          </cell>
          <cell r="G26" t="str">
            <v>429 694 1720</v>
          </cell>
          <cell r="H26" t="str">
            <v/>
          </cell>
          <cell r="I26" t="str">
            <v/>
          </cell>
          <cell r="J26" t="str">
            <v>BAJA</v>
          </cell>
          <cell r="K26" t="str">
            <v/>
          </cell>
          <cell r="L26">
            <v>0</v>
          </cell>
          <cell r="M26">
            <v>19</v>
          </cell>
          <cell r="N26" t="str">
            <v>S</v>
          </cell>
          <cell r="O26">
            <v>40662</v>
          </cell>
          <cell r="P26" t="str">
            <v xml:space="preserve">    1</v>
          </cell>
          <cell r="Q26">
            <v>0</v>
          </cell>
          <cell r="R26">
            <v>0</v>
          </cell>
          <cell r="S26">
            <v>0</v>
          </cell>
          <cell r="T26">
            <v>5165</v>
          </cell>
          <cell r="U26">
            <v>0</v>
          </cell>
          <cell r="V26" t="str">
            <v>CENTRO</v>
          </cell>
          <cell r="W26" t="str">
            <v>045 429 102 5601</v>
          </cell>
          <cell r="X26" t="str">
            <v/>
          </cell>
        </row>
        <row r="27">
          <cell r="A27">
            <v>1026</v>
          </cell>
          <cell r="B27" t="str">
            <v>BEATRIZ CORONA ZAMORA (CUERAMARO)</v>
          </cell>
          <cell r="C27" t="str">
            <v/>
          </cell>
          <cell r="D27" t="str">
            <v>GALEANA S/N</v>
          </cell>
          <cell r="E27" t="str">
            <v>CUERAMARO, GTO.</v>
          </cell>
          <cell r="F27" t="str">
            <v>36960</v>
          </cell>
          <cell r="G27" t="str">
            <v>429 693 8090</v>
          </cell>
          <cell r="H27" t="str">
            <v/>
          </cell>
          <cell r="I27" t="str">
            <v/>
          </cell>
          <cell r="J27" t="str">
            <v>BAJA</v>
          </cell>
          <cell r="K27" t="str">
            <v/>
          </cell>
          <cell r="L27">
            <v>0</v>
          </cell>
          <cell r="M27">
            <v>20</v>
          </cell>
          <cell r="N27" t="str">
            <v>S</v>
          </cell>
          <cell r="O27">
            <v>40635</v>
          </cell>
          <cell r="P27" t="str">
            <v xml:space="preserve">    1</v>
          </cell>
          <cell r="Q27">
            <v>0</v>
          </cell>
          <cell r="R27">
            <v>0</v>
          </cell>
          <cell r="S27">
            <v>0</v>
          </cell>
          <cell r="T27">
            <v>4344</v>
          </cell>
          <cell r="U27">
            <v>0</v>
          </cell>
          <cell r="V27" t="str">
            <v>CENTRO</v>
          </cell>
          <cell r="W27" t="str">
            <v>045 429 697 1162</v>
          </cell>
          <cell r="X27" t="str">
            <v/>
          </cell>
        </row>
        <row r="28">
          <cell r="A28">
            <v>1027</v>
          </cell>
          <cell r="B28" t="str">
            <v>LINDA ROJAS CARDIEL (COACALCO)</v>
          </cell>
          <cell r="C28" t="str">
            <v/>
          </cell>
          <cell r="D28" t="str">
            <v>PROV. NORTE ESQ. SAN ANTONIO</v>
          </cell>
          <cell r="E28" t="str">
            <v>COACALCO, EDO. DE MEXICO</v>
          </cell>
          <cell r="F28" t="str">
            <v/>
          </cell>
          <cell r="G28" t="str">
            <v>(55) 3735-6186</v>
          </cell>
          <cell r="H28" t="str">
            <v/>
          </cell>
          <cell r="I28" t="str">
            <v/>
          </cell>
          <cell r="J28" t="str">
            <v>M01</v>
          </cell>
          <cell r="K28" t="str">
            <v/>
          </cell>
          <cell r="L28">
            <v>0</v>
          </cell>
          <cell r="M28">
            <v>21</v>
          </cell>
          <cell r="N28" t="str">
            <v>A</v>
          </cell>
          <cell r="O28">
            <v>42291</v>
          </cell>
          <cell r="P28" t="str">
            <v xml:space="preserve">    5</v>
          </cell>
          <cell r="Q28">
            <v>0</v>
          </cell>
          <cell r="R28">
            <v>0</v>
          </cell>
          <cell r="S28">
            <v>0</v>
          </cell>
          <cell r="T28">
            <v>4093</v>
          </cell>
          <cell r="U28">
            <v>0</v>
          </cell>
          <cell r="V28" t="str">
            <v>VILLA D LAS MANZANAS</v>
          </cell>
          <cell r="W28" t="str">
            <v/>
          </cell>
          <cell r="X28" t="str">
            <v/>
          </cell>
        </row>
        <row r="29">
          <cell r="A29">
            <v>1028</v>
          </cell>
          <cell r="B29" t="str">
            <v>ADRIANA MARTINEZ RIOS (ABASOLO)</v>
          </cell>
          <cell r="C29" t="str">
            <v/>
          </cell>
          <cell r="D29" t="str">
            <v>JARDIN # 201</v>
          </cell>
          <cell r="E29" t="str">
            <v>ABASOLO, GTO.</v>
          </cell>
          <cell r="F29" t="str">
            <v>36970</v>
          </cell>
          <cell r="G29" t="str">
            <v>429 693 6466</v>
          </cell>
          <cell r="H29" t="str">
            <v/>
          </cell>
          <cell r="I29" t="str">
            <v/>
          </cell>
          <cell r="J29" t="str">
            <v>BAJA</v>
          </cell>
          <cell r="K29" t="str">
            <v/>
          </cell>
          <cell r="L29">
            <v>0</v>
          </cell>
          <cell r="M29">
            <v>22</v>
          </cell>
          <cell r="N29" t="str">
            <v>S</v>
          </cell>
          <cell r="O29">
            <v>40616</v>
          </cell>
          <cell r="P29" t="str">
            <v xml:space="preserve">    1</v>
          </cell>
          <cell r="Q29">
            <v>0</v>
          </cell>
          <cell r="R29">
            <v>0</v>
          </cell>
          <cell r="S29">
            <v>0</v>
          </cell>
          <cell r="T29">
            <v>287</v>
          </cell>
          <cell r="U29">
            <v>0</v>
          </cell>
          <cell r="V29" t="str">
            <v>CENTRO</v>
          </cell>
          <cell r="W29" t="str">
            <v/>
          </cell>
          <cell r="X29" t="str">
            <v/>
          </cell>
        </row>
        <row r="30">
          <cell r="A30">
            <v>1029</v>
          </cell>
          <cell r="B30" t="str">
            <v>MARIA IRENE LARA LARA (ACULCO)</v>
          </cell>
          <cell r="C30" t="str">
            <v/>
          </cell>
          <cell r="D30" t="str">
            <v>ARROYO ZARCO S/N</v>
          </cell>
          <cell r="E30" t="str">
            <v>ACULCO, EDO. DE MEXICO</v>
          </cell>
          <cell r="F30" t="str">
            <v>50380</v>
          </cell>
          <cell r="G30" t="str">
            <v>(718) 111-7070</v>
          </cell>
          <cell r="H30" t="str">
            <v/>
          </cell>
          <cell r="I30" t="str">
            <v/>
          </cell>
          <cell r="J30" t="str">
            <v>BAJA</v>
          </cell>
          <cell r="K30" t="str">
            <v/>
          </cell>
          <cell r="L30">
            <v>0</v>
          </cell>
          <cell r="M30">
            <v>29</v>
          </cell>
          <cell r="N30" t="str">
            <v>S</v>
          </cell>
          <cell r="O30">
            <v>40970</v>
          </cell>
          <cell r="P30" t="str">
            <v xml:space="preserve">    1</v>
          </cell>
          <cell r="Q30">
            <v>0</v>
          </cell>
          <cell r="R30">
            <v>0</v>
          </cell>
          <cell r="S30">
            <v>0</v>
          </cell>
          <cell r="T30">
            <v>10558</v>
          </cell>
          <cell r="U30">
            <v>0</v>
          </cell>
          <cell r="V30" t="str">
            <v>CENTRO</v>
          </cell>
          <cell r="W30" t="str">
            <v/>
          </cell>
          <cell r="X30" t="str">
            <v/>
          </cell>
        </row>
        <row r="31">
          <cell r="A31">
            <v>1030</v>
          </cell>
          <cell r="B31" t="str">
            <v>REYNA ROSAURA FULGENCIO PAREDES (ROMERO)</v>
          </cell>
          <cell r="C31" t="str">
            <v/>
          </cell>
          <cell r="D31" t="str">
            <v>LOCAL 48 MERCADO MUNICIPAL DE CUAUTITLAN</v>
          </cell>
          <cell r="E31" t="str">
            <v>CUAUTITLAN, EDO. DE MEXICO</v>
          </cell>
          <cell r="F31" t="str">
            <v/>
          </cell>
          <cell r="G31" t="str">
            <v>55 5870 5726</v>
          </cell>
          <cell r="H31" t="str">
            <v/>
          </cell>
          <cell r="I31" t="str">
            <v/>
          </cell>
          <cell r="J31" t="str">
            <v>BAJA</v>
          </cell>
          <cell r="K31" t="str">
            <v/>
          </cell>
          <cell r="L31">
            <v>0</v>
          </cell>
          <cell r="M31">
            <v>30</v>
          </cell>
          <cell r="N31" t="str">
            <v>S</v>
          </cell>
          <cell r="O31">
            <v>40712</v>
          </cell>
          <cell r="P31" t="str">
            <v xml:space="preserve">    3</v>
          </cell>
          <cell r="Q31">
            <v>0</v>
          </cell>
          <cell r="R31">
            <v>0</v>
          </cell>
          <cell r="S31">
            <v>0</v>
          </cell>
          <cell r="T31">
            <v>5981</v>
          </cell>
          <cell r="U31">
            <v>0</v>
          </cell>
          <cell r="V31" t="str">
            <v>ROMERO RUBIO</v>
          </cell>
          <cell r="W31" t="str">
            <v/>
          </cell>
          <cell r="X31" t="str">
            <v/>
          </cell>
        </row>
        <row r="32">
          <cell r="A32">
            <v>1031</v>
          </cell>
          <cell r="B32" t="str">
            <v>VERONICA PINEDA SOLANO (TEYAHUALCO)</v>
          </cell>
          <cell r="C32" t="str">
            <v/>
          </cell>
          <cell r="D32" t="str">
            <v>10 DE JUNIO ESQ. MATAMOROS</v>
          </cell>
          <cell r="E32" t="str">
            <v>TEYAHUALCO, EDO. DE MEXICO</v>
          </cell>
          <cell r="F32" t="str">
            <v/>
          </cell>
          <cell r="G32" t="str">
            <v>(55) 3349-9880 CEL</v>
          </cell>
          <cell r="H32" t="str">
            <v>VERONICA PINEDA S.</v>
          </cell>
          <cell r="I32" t="str">
            <v>VERONICA PINEDA S.</v>
          </cell>
          <cell r="J32" t="str">
            <v>BAJA</v>
          </cell>
          <cell r="K32" t="str">
            <v/>
          </cell>
          <cell r="L32">
            <v>0</v>
          </cell>
          <cell r="M32">
            <v>31</v>
          </cell>
          <cell r="N32" t="str">
            <v>S</v>
          </cell>
          <cell r="O32">
            <v>40907</v>
          </cell>
          <cell r="P32" t="str">
            <v xml:space="preserve">    2</v>
          </cell>
          <cell r="Q32">
            <v>0</v>
          </cell>
          <cell r="R32">
            <v>0</v>
          </cell>
          <cell r="S32">
            <v>0</v>
          </cell>
          <cell r="T32">
            <v>3528</v>
          </cell>
          <cell r="U32">
            <v>0</v>
          </cell>
          <cell r="V32" t="str">
            <v>SANTIAGO TEYAHUALCO</v>
          </cell>
          <cell r="W32" t="str">
            <v/>
          </cell>
          <cell r="X32" t="str">
            <v/>
          </cell>
        </row>
        <row r="33">
          <cell r="A33">
            <v>1032</v>
          </cell>
          <cell r="B33" t="str">
            <v>SILVIA PINEDA MANZANO (TEOLOYUCAN)</v>
          </cell>
          <cell r="C33" t="str">
            <v/>
          </cell>
          <cell r="D33" t="str">
            <v>MATAMOROS ESQ. CALLEJON TOLUCA</v>
          </cell>
          <cell r="E33" t="str">
            <v>TEOLOYUCAN, EDO. DE MEXICO</v>
          </cell>
          <cell r="F33" t="str">
            <v>54770</v>
          </cell>
          <cell r="G33" t="str">
            <v>(593) 914-0453</v>
          </cell>
          <cell r="H33" t="str">
            <v/>
          </cell>
          <cell r="I33" t="str">
            <v/>
          </cell>
          <cell r="J33" t="str">
            <v>M01</v>
          </cell>
          <cell r="K33" t="str">
            <v/>
          </cell>
          <cell r="L33">
            <v>0</v>
          </cell>
          <cell r="M33">
            <v>32</v>
          </cell>
          <cell r="N33" t="str">
            <v>A</v>
          </cell>
          <cell r="O33">
            <v>42516</v>
          </cell>
          <cell r="P33" t="str">
            <v xml:space="preserve">    2</v>
          </cell>
          <cell r="Q33">
            <v>0</v>
          </cell>
          <cell r="R33">
            <v>0</v>
          </cell>
          <cell r="S33">
            <v>9297</v>
          </cell>
          <cell r="T33">
            <v>97757</v>
          </cell>
          <cell r="U33">
            <v>0</v>
          </cell>
          <cell r="V33" t="str">
            <v/>
          </cell>
          <cell r="W33" t="str">
            <v>(55) 8506-5727 CEL</v>
          </cell>
          <cell r="X33" t="str">
            <v/>
          </cell>
        </row>
        <row r="34">
          <cell r="A34">
            <v>1033</v>
          </cell>
          <cell r="B34" t="str">
            <v>MA. DOLORES ARCHUNDIA RICO (CELAYA)</v>
          </cell>
          <cell r="C34" t="str">
            <v/>
          </cell>
          <cell r="D34" t="str">
            <v>EXTERIOR MERCADO MORELOS LOCAL 86</v>
          </cell>
          <cell r="E34" t="str">
            <v>CELAYA, GTO.</v>
          </cell>
          <cell r="F34" t="str">
            <v>38000</v>
          </cell>
          <cell r="G34" t="str">
            <v>(461) 610-329</v>
          </cell>
          <cell r="H34" t="str">
            <v>MARIA DOLORES A.</v>
          </cell>
          <cell r="I34" t="str">
            <v>MARIA DOLORES A.</v>
          </cell>
          <cell r="J34" t="str">
            <v>BAJA</v>
          </cell>
          <cell r="K34" t="str">
            <v/>
          </cell>
          <cell r="L34">
            <v>0</v>
          </cell>
          <cell r="M34">
            <v>34</v>
          </cell>
          <cell r="N34" t="str">
            <v>S</v>
          </cell>
          <cell r="O34">
            <v>40623</v>
          </cell>
          <cell r="P34" t="str">
            <v xml:space="preserve">    1</v>
          </cell>
          <cell r="Q34">
            <v>0</v>
          </cell>
          <cell r="R34">
            <v>0</v>
          </cell>
          <cell r="S34">
            <v>0</v>
          </cell>
          <cell r="T34">
            <v>692</v>
          </cell>
          <cell r="U34">
            <v>0</v>
          </cell>
          <cell r="V34" t="str">
            <v>CENTRO</v>
          </cell>
          <cell r="W34" t="str">
            <v/>
          </cell>
          <cell r="X34" t="str">
            <v/>
          </cell>
        </row>
        <row r="35">
          <cell r="A35">
            <v>1034</v>
          </cell>
          <cell r="B35" t="str">
            <v>VERONICA GALVAN GUERRERO (CELAYA)</v>
          </cell>
          <cell r="C35" t="str">
            <v/>
          </cell>
          <cell r="D35" t="str">
            <v>LIBERTAD #123-A</v>
          </cell>
          <cell r="E35" t="str">
            <v>CELAYA, GTO.</v>
          </cell>
          <cell r="F35" t="str">
            <v>38000</v>
          </cell>
          <cell r="G35" t="str">
            <v>044 461-206-5084</v>
          </cell>
          <cell r="H35" t="str">
            <v>VERONICA GALVAN</v>
          </cell>
          <cell r="I35" t="str">
            <v>VERONICA GALVAN</v>
          </cell>
          <cell r="J35" t="str">
            <v>BAJA</v>
          </cell>
          <cell r="K35" t="str">
            <v/>
          </cell>
          <cell r="L35">
            <v>0</v>
          </cell>
          <cell r="M35">
            <v>35</v>
          </cell>
          <cell r="N35" t="str">
            <v>S</v>
          </cell>
          <cell r="O35">
            <v>40623</v>
          </cell>
          <cell r="P35" t="str">
            <v xml:space="preserve">    1</v>
          </cell>
          <cell r="Q35">
            <v>0</v>
          </cell>
          <cell r="R35">
            <v>0</v>
          </cell>
          <cell r="S35">
            <v>0</v>
          </cell>
          <cell r="T35">
            <v>1584</v>
          </cell>
          <cell r="U35">
            <v>0</v>
          </cell>
          <cell r="V35" t="str">
            <v>CENTRO</v>
          </cell>
          <cell r="W35" t="str">
            <v/>
          </cell>
          <cell r="X35" t="str">
            <v/>
          </cell>
        </row>
        <row r="36">
          <cell r="A36">
            <v>1035</v>
          </cell>
          <cell r="B36" t="str">
            <v>ALFREDO ROBELLADA (ROMERO)</v>
          </cell>
          <cell r="C36" t="str">
            <v/>
          </cell>
          <cell r="D36" t="str">
            <v>TRANQUILINO SALGADO #101 LOCAL-C</v>
          </cell>
          <cell r="E36" t="str">
            <v>CUAUTITLAN, EDO. DE MEXICO</v>
          </cell>
          <cell r="F36" t="str">
            <v/>
          </cell>
          <cell r="G36" t="str">
            <v>(55) 2620-1430</v>
          </cell>
          <cell r="H36" t="str">
            <v>ALFREDO ROBELLADA</v>
          </cell>
          <cell r="I36" t="str">
            <v>ALFREDO ROBELLADA</v>
          </cell>
          <cell r="J36" t="str">
            <v>M01</v>
          </cell>
          <cell r="K36" t="str">
            <v/>
          </cell>
          <cell r="L36">
            <v>0</v>
          </cell>
          <cell r="M36">
            <v>36</v>
          </cell>
          <cell r="N36" t="str">
            <v>A</v>
          </cell>
          <cell r="O36">
            <v>41788</v>
          </cell>
          <cell r="P36" t="str">
            <v xml:space="preserve">    2</v>
          </cell>
          <cell r="Q36">
            <v>0</v>
          </cell>
          <cell r="R36">
            <v>0</v>
          </cell>
          <cell r="S36">
            <v>0</v>
          </cell>
          <cell r="T36">
            <v>1077</v>
          </cell>
          <cell r="U36">
            <v>0</v>
          </cell>
          <cell r="V36" t="str">
            <v>ROMERO RUBIO</v>
          </cell>
          <cell r="W36" t="str">
            <v/>
          </cell>
          <cell r="X36" t="str">
            <v/>
          </cell>
        </row>
        <row r="37">
          <cell r="A37">
            <v>1036</v>
          </cell>
          <cell r="B37" t="str">
            <v>RICARDO SANCHEZ (TLALNEPANTLA)</v>
          </cell>
          <cell r="C37" t="str">
            <v/>
          </cell>
          <cell r="D37" t="str">
            <v>PASAJE SAN JAVIER #236 LOCAL-B</v>
          </cell>
          <cell r="E37" t="str">
            <v>TLALNEPANTLA, EDO. DE MEXICO</v>
          </cell>
          <cell r="F37" t="str">
            <v/>
          </cell>
          <cell r="G37" t="str">
            <v>(55) 5565-7068</v>
          </cell>
          <cell r="H37" t="str">
            <v>RICARDO SANCHEZ</v>
          </cell>
          <cell r="I37" t="str">
            <v>RICARDO SANCHEZ</v>
          </cell>
          <cell r="J37" t="str">
            <v>BAJA</v>
          </cell>
          <cell r="K37" t="str">
            <v/>
          </cell>
          <cell r="L37">
            <v>0</v>
          </cell>
          <cell r="M37">
            <v>37</v>
          </cell>
          <cell r="N37" t="str">
            <v>S</v>
          </cell>
          <cell r="O37">
            <v>40626</v>
          </cell>
          <cell r="P37" t="str">
            <v xml:space="preserve">    2</v>
          </cell>
          <cell r="Q37">
            <v>0</v>
          </cell>
          <cell r="R37">
            <v>0</v>
          </cell>
          <cell r="S37">
            <v>0</v>
          </cell>
          <cell r="T37">
            <v>383</v>
          </cell>
          <cell r="U37">
            <v>0</v>
          </cell>
          <cell r="V37" t="str">
            <v/>
          </cell>
          <cell r="W37" t="str">
            <v/>
          </cell>
          <cell r="X37" t="str">
            <v/>
          </cell>
        </row>
        <row r="38">
          <cell r="A38">
            <v>1037</v>
          </cell>
          <cell r="B38" t="str">
            <v>VIRGINIA ALFARO RODRIGUEZ (SALAMANCA)</v>
          </cell>
          <cell r="C38" t="str">
            <v/>
          </cell>
          <cell r="D38" t="str">
            <v>SANCHEZ TORNADO #427-A</v>
          </cell>
          <cell r="E38" t="str">
            <v>SALAMANCA, GTO.</v>
          </cell>
          <cell r="F38" t="str">
            <v/>
          </cell>
          <cell r="G38" t="str">
            <v>(464) 641-1582</v>
          </cell>
          <cell r="H38" t="str">
            <v>VIRGINIA ALFARO</v>
          </cell>
          <cell r="I38" t="str">
            <v>VIRGINIA ALFARO</v>
          </cell>
          <cell r="J38" t="str">
            <v>BAJA</v>
          </cell>
          <cell r="K38" t="str">
            <v/>
          </cell>
          <cell r="L38">
            <v>0</v>
          </cell>
          <cell r="M38">
            <v>38</v>
          </cell>
          <cell r="N38" t="str">
            <v>S</v>
          </cell>
          <cell r="O38">
            <v>40626</v>
          </cell>
          <cell r="P38" t="str">
            <v xml:space="preserve">    1</v>
          </cell>
          <cell r="Q38">
            <v>0</v>
          </cell>
          <cell r="R38">
            <v>0</v>
          </cell>
          <cell r="S38">
            <v>0</v>
          </cell>
          <cell r="T38">
            <v>2285</v>
          </cell>
          <cell r="U38">
            <v>0</v>
          </cell>
          <cell r="V38" t="str">
            <v>CENTRO</v>
          </cell>
          <cell r="W38" t="str">
            <v/>
          </cell>
          <cell r="X38" t="str">
            <v/>
          </cell>
        </row>
        <row r="39">
          <cell r="A39">
            <v>1038</v>
          </cell>
          <cell r="B39" t="str">
            <v>OBDULIA RIVERA MENDOZA (IRAPUATO)</v>
          </cell>
          <cell r="C39" t="str">
            <v/>
          </cell>
          <cell r="D39" t="str">
            <v>LAGUNILLA #1223</v>
          </cell>
          <cell r="E39" t="str">
            <v>IRAPUATO, GTO.</v>
          </cell>
          <cell r="F39" t="str">
            <v>36570</v>
          </cell>
          <cell r="G39" t="str">
            <v>(462)-114-1266</v>
          </cell>
          <cell r="H39" t="str">
            <v>OBDULIA RIVERA</v>
          </cell>
          <cell r="I39" t="str">
            <v>OBDULIA RIVERA</v>
          </cell>
          <cell r="J39" t="str">
            <v>BAJA</v>
          </cell>
          <cell r="K39" t="str">
            <v/>
          </cell>
          <cell r="L39">
            <v>0</v>
          </cell>
          <cell r="M39">
            <v>39</v>
          </cell>
          <cell r="N39" t="str">
            <v>S</v>
          </cell>
          <cell r="O39">
            <v>40626</v>
          </cell>
          <cell r="P39" t="str">
            <v xml:space="preserve">    1</v>
          </cell>
          <cell r="Q39">
            <v>0</v>
          </cell>
          <cell r="R39">
            <v>0</v>
          </cell>
          <cell r="S39">
            <v>0</v>
          </cell>
          <cell r="T39">
            <v>559</v>
          </cell>
          <cell r="U39">
            <v>0</v>
          </cell>
          <cell r="V39" t="str">
            <v>12 DE DICIEMBRE</v>
          </cell>
          <cell r="W39" t="str">
            <v/>
          </cell>
          <cell r="X39" t="str">
            <v/>
          </cell>
        </row>
        <row r="40">
          <cell r="A40">
            <v>1039</v>
          </cell>
          <cell r="B40" t="str">
            <v>ADRIANA RIVERA GONZALEZ (IRAPUATO)</v>
          </cell>
          <cell r="C40" t="str">
            <v/>
          </cell>
          <cell r="D40" t="str">
            <v>INT. MERCADO HIDALGO #159-B</v>
          </cell>
          <cell r="E40" t="str">
            <v>IRAPUATO, GTO.</v>
          </cell>
          <cell r="F40" t="str">
            <v/>
          </cell>
          <cell r="G40" t="str">
            <v>(462) 626-0218</v>
          </cell>
          <cell r="H40" t="str">
            <v>ADRIANA RIVERA</v>
          </cell>
          <cell r="I40" t="str">
            <v>ADRIANA RIVERA</v>
          </cell>
          <cell r="J40" t="str">
            <v>BAJA</v>
          </cell>
          <cell r="K40" t="str">
            <v/>
          </cell>
          <cell r="L40">
            <v>0</v>
          </cell>
          <cell r="M40">
            <v>40</v>
          </cell>
          <cell r="N40" t="str">
            <v>S</v>
          </cell>
          <cell r="O40">
            <v>40626</v>
          </cell>
          <cell r="P40" t="str">
            <v xml:space="preserve">    1</v>
          </cell>
          <cell r="Q40">
            <v>0</v>
          </cell>
          <cell r="R40">
            <v>0</v>
          </cell>
          <cell r="S40">
            <v>0</v>
          </cell>
          <cell r="T40">
            <v>6158</v>
          </cell>
          <cell r="U40">
            <v>0</v>
          </cell>
          <cell r="V40" t="str">
            <v>CENTRO</v>
          </cell>
          <cell r="W40" t="str">
            <v>(462) 626-5003 CASA</v>
          </cell>
          <cell r="X40" t="str">
            <v/>
          </cell>
        </row>
        <row r="41">
          <cell r="A41">
            <v>1040</v>
          </cell>
          <cell r="B41" t="str">
            <v>BEGONIA VARELA SERRANO (IRAPUATO)</v>
          </cell>
          <cell r="C41" t="str">
            <v/>
          </cell>
          <cell r="D41" t="str">
            <v>EJERCITO NACIONAL #1687</v>
          </cell>
          <cell r="E41" t="str">
            <v>IRAPUATO, GTO.</v>
          </cell>
          <cell r="F41" t="str">
            <v>36630</v>
          </cell>
          <cell r="G41" t="str">
            <v>(462) 624-5284</v>
          </cell>
          <cell r="H41" t="str">
            <v>BEGONIA VARELA S.</v>
          </cell>
          <cell r="I41" t="str">
            <v>BEGONIA VARELA S.</v>
          </cell>
          <cell r="J41" t="str">
            <v>BAJA</v>
          </cell>
          <cell r="K41" t="str">
            <v/>
          </cell>
          <cell r="L41">
            <v>0</v>
          </cell>
          <cell r="M41">
            <v>41</v>
          </cell>
          <cell r="N41" t="str">
            <v>A</v>
          </cell>
          <cell r="O41">
            <v>40662</v>
          </cell>
          <cell r="P41" t="str">
            <v xml:space="preserve">    1</v>
          </cell>
          <cell r="Q41">
            <v>0</v>
          </cell>
          <cell r="R41">
            <v>0</v>
          </cell>
          <cell r="S41">
            <v>0</v>
          </cell>
          <cell r="T41">
            <v>1161</v>
          </cell>
          <cell r="U41">
            <v>0</v>
          </cell>
          <cell r="V41" t="str">
            <v>LA PRADERA</v>
          </cell>
          <cell r="W41" t="str">
            <v>(462) 139-1471 NXT</v>
          </cell>
          <cell r="X41" t="str">
            <v/>
          </cell>
        </row>
        <row r="42">
          <cell r="A42">
            <v>1041</v>
          </cell>
          <cell r="B42" t="str">
            <v>CONSUELO LOZANO ROMERO (IRAPUATO)</v>
          </cell>
          <cell r="C42" t="str">
            <v/>
          </cell>
          <cell r="D42" t="str">
            <v>BLVD. DIAZ ORDAZ #1377</v>
          </cell>
          <cell r="E42" t="str">
            <v>IRAPUATO, GTO.</v>
          </cell>
          <cell r="F42" t="str">
            <v>36660</v>
          </cell>
          <cell r="G42" t="str">
            <v>(462) 625-4045</v>
          </cell>
          <cell r="H42" t="str">
            <v>CONSUELO LOZANO R.</v>
          </cell>
          <cell r="I42" t="str">
            <v>CONSUELO LOZANO R.</v>
          </cell>
          <cell r="J42" t="str">
            <v>INCO</v>
          </cell>
          <cell r="K42" t="str">
            <v/>
          </cell>
          <cell r="L42">
            <v>0</v>
          </cell>
          <cell r="M42">
            <v>42</v>
          </cell>
          <cell r="N42" t="str">
            <v>S</v>
          </cell>
          <cell r="O42">
            <v>40662</v>
          </cell>
          <cell r="P42" t="str">
            <v xml:space="preserve">    1</v>
          </cell>
          <cell r="Q42">
            <v>0</v>
          </cell>
          <cell r="R42">
            <v>0</v>
          </cell>
          <cell r="S42">
            <v>0</v>
          </cell>
          <cell r="T42">
            <v>7036</v>
          </cell>
          <cell r="U42">
            <v>0</v>
          </cell>
          <cell r="V42" t="str">
            <v>LAS REYNAS</v>
          </cell>
          <cell r="W42" t="str">
            <v/>
          </cell>
          <cell r="X42" t="str">
            <v/>
          </cell>
        </row>
        <row r="43">
          <cell r="A43">
            <v>1042</v>
          </cell>
          <cell r="B43" t="str">
            <v>LETICIA ESPITIA CABRERA  (ABASOLO)</v>
          </cell>
          <cell r="C43" t="str">
            <v/>
          </cell>
          <cell r="D43" t="str">
            <v>PORTAL HIDALGO #131</v>
          </cell>
          <cell r="E43" t="str">
            <v>ABASOLO, GTO.</v>
          </cell>
          <cell r="F43" t="str">
            <v>36970</v>
          </cell>
          <cell r="G43" t="str">
            <v>(429) 103-5772</v>
          </cell>
          <cell r="H43" t="str">
            <v>LETICIA ESPITIA C.</v>
          </cell>
          <cell r="I43" t="str">
            <v>LETICIA ESPITIA C.</v>
          </cell>
          <cell r="J43" t="str">
            <v>BAJA</v>
          </cell>
          <cell r="K43" t="str">
            <v/>
          </cell>
          <cell r="L43">
            <v>0</v>
          </cell>
          <cell r="M43">
            <v>43</v>
          </cell>
          <cell r="N43" t="str">
            <v>A</v>
          </cell>
          <cell r="O43">
            <v>40815</v>
          </cell>
          <cell r="P43" t="str">
            <v xml:space="preserve">    1</v>
          </cell>
          <cell r="Q43">
            <v>0</v>
          </cell>
          <cell r="R43">
            <v>0</v>
          </cell>
          <cell r="S43">
            <v>0</v>
          </cell>
          <cell r="T43">
            <v>2369</v>
          </cell>
          <cell r="U43">
            <v>0</v>
          </cell>
          <cell r="V43" t="str">
            <v>CENTRO</v>
          </cell>
          <cell r="W43" t="str">
            <v/>
          </cell>
          <cell r="X43" t="str">
            <v/>
          </cell>
        </row>
        <row r="44">
          <cell r="A44">
            <v>1043</v>
          </cell>
          <cell r="B44" t="str">
            <v>AVELINA MARTINEZ MARTINEZ (ABASOLO)</v>
          </cell>
          <cell r="C44" t="str">
            <v/>
          </cell>
          <cell r="D44" t="str">
            <v>PLAZA PRINCIPAL #206</v>
          </cell>
          <cell r="E44" t="str">
            <v>ABASOLO, GTO.</v>
          </cell>
          <cell r="F44" t="str">
            <v>36970</v>
          </cell>
          <cell r="G44" t="str">
            <v>(429) 693-0174</v>
          </cell>
          <cell r="H44" t="str">
            <v>AVELINA MARTINEZ M.</v>
          </cell>
          <cell r="I44" t="str">
            <v>AVELINA MARTINEZ M.</v>
          </cell>
          <cell r="J44" t="str">
            <v>BAJA</v>
          </cell>
          <cell r="K44" t="str">
            <v/>
          </cell>
          <cell r="L44">
            <v>0</v>
          </cell>
          <cell r="M44">
            <v>44</v>
          </cell>
          <cell r="N44" t="str">
            <v>A</v>
          </cell>
          <cell r="O44">
            <v>40626</v>
          </cell>
          <cell r="P44" t="str">
            <v xml:space="preserve">    1</v>
          </cell>
          <cell r="Q44">
            <v>0</v>
          </cell>
          <cell r="R44">
            <v>0</v>
          </cell>
          <cell r="S44">
            <v>0</v>
          </cell>
          <cell r="T44">
            <v>2878</v>
          </cell>
          <cell r="U44">
            <v>0</v>
          </cell>
          <cell r="V44" t="str">
            <v>CENTRO</v>
          </cell>
          <cell r="W44" t="str">
            <v/>
          </cell>
          <cell r="X44" t="str">
            <v/>
          </cell>
        </row>
        <row r="45">
          <cell r="A45">
            <v>1044</v>
          </cell>
          <cell r="B45" t="str">
            <v>TANIA MIRELES GONZALEZ (COYOTEPEC)</v>
          </cell>
          <cell r="C45" t="str">
            <v/>
          </cell>
          <cell r="D45" t="str">
            <v>VICENTE GUERRERO S/N LOCAL 13</v>
          </cell>
          <cell r="E45" t="str">
            <v>COYOTEPEC, EDO. DE MEXICO</v>
          </cell>
          <cell r="F45" t="str">
            <v/>
          </cell>
          <cell r="G45" t="str">
            <v>(55) 5190-3708</v>
          </cell>
          <cell r="H45" t="str">
            <v>TANIA MIRELES G.</v>
          </cell>
          <cell r="I45" t="str">
            <v>TANIA MIRELES G.</v>
          </cell>
          <cell r="J45" t="str">
            <v>BAJA</v>
          </cell>
          <cell r="K45" t="str">
            <v/>
          </cell>
          <cell r="L45">
            <v>0</v>
          </cell>
          <cell r="M45">
            <v>45</v>
          </cell>
          <cell r="N45" t="str">
            <v>A</v>
          </cell>
          <cell r="O45">
            <v>40631</v>
          </cell>
          <cell r="P45" t="str">
            <v xml:space="preserve">    3</v>
          </cell>
          <cell r="Q45">
            <v>0</v>
          </cell>
          <cell r="R45">
            <v>0</v>
          </cell>
          <cell r="S45">
            <v>0</v>
          </cell>
          <cell r="T45">
            <v>353</v>
          </cell>
          <cell r="U45">
            <v>0</v>
          </cell>
          <cell r="V45" t="str">
            <v/>
          </cell>
          <cell r="W45" t="str">
            <v/>
          </cell>
          <cell r="X45" t="str">
            <v/>
          </cell>
        </row>
        <row r="46">
          <cell r="A46">
            <v>1045</v>
          </cell>
          <cell r="B46" t="str">
            <v>IRMA CANO VALERIA (COYOTEPEC)</v>
          </cell>
          <cell r="C46" t="str">
            <v/>
          </cell>
          <cell r="D46" t="str">
            <v>DOMINGO CASTRO #4</v>
          </cell>
          <cell r="E46" t="str">
            <v>COYOTEPEC, EDO. DE MEXICO</v>
          </cell>
          <cell r="F46" t="str">
            <v/>
          </cell>
          <cell r="G46" t="str">
            <v>(593) 915-2825</v>
          </cell>
          <cell r="H46" t="str">
            <v>IRMA CANO VALERIA</v>
          </cell>
          <cell r="I46" t="str">
            <v>IRMA CANO VALERIA</v>
          </cell>
          <cell r="J46" t="str">
            <v>BAJA</v>
          </cell>
          <cell r="K46" t="str">
            <v/>
          </cell>
          <cell r="L46">
            <v>0</v>
          </cell>
          <cell r="M46">
            <v>46</v>
          </cell>
          <cell r="N46" t="str">
            <v>A</v>
          </cell>
          <cell r="O46">
            <v>40631</v>
          </cell>
          <cell r="P46" t="str">
            <v xml:space="preserve">    3</v>
          </cell>
          <cell r="Q46">
            <v>0</v>
          </cell>
          <cell r="R46">
            <v>0</v>
          </cell>
          <cell r="S46">
            <v>0</v>
          </cell>
          <cell r="T46">
            <v>357</v>
          </cell>
          <cell r="U46">
            <v>0</v>
          </cell>
          <cell r="V46" t="str">
            <v>BARRIO REYES CENTRO</v>
          </cell>
          <cell r="W46" t="str">
            <v/>
          </cell>
          <cell r="X46" t="str">
            <v/>
          </cell>
        </row>
        <row r="47">
          <cell r="A47">
            <v>1046</v>
          </cell>
          <cell r="B47" t="str">
            <v>LOURDES BAEZ (TULTITLAN)</v>
          </cell>
          <cell r="C47" t="str">
            <v/>
          </cell>
          <cell r="D47" t="str">
            <v/>
          </cell>
          <cell r="E47" t="str">
            <v>TULTITLAN, EDO. DE MEXICO</v>
          </cell>
          <cell r="F47" t="str">
            <v/>
          </cell>
          <cell r="G47" t="str">
            <v>(55) 4249-2463 CEL</v>
          </cell>
          <cell r="H47" t="str">
            <v>LOURDES BAEZ</v>
          </cell>
          <cell r="I47" t="str">
            <v>LOURDES BAEZ</v>
          </cell>
          <cell r="J47" t="str">
            <v>M01</v>
          </cell>
          <cell r="K47" t="str">
            <v/>
          </cell>
          <cell r="L47">
            <v>0</v>
          </cell>
          <cell r="M47">
            <v>47</v>
          </cell>
          <cell r="N47" t="str">
            <v>A</v>
          </cell>
          <cell r="O47">
            <v>42367</v>
          </cell>
          <cell r="P47" t="str">
            <v xml:space="preserve">    2</v>
          </cell>
          <cell r="Q47">
            <v>0</v>
          </cell>
          <cell r="R47">
            <v>0</v>
          </cell>
          <cell r="S47">
            <v>352</v>
          </cell>
          <cell r="T47">
            <v>129274</v>
          </cell>
          <cell r="U47">
            <v>0</v>
          </cell>
          <cell r="V47" t="str">
            <v/>
          </cell>
          <cell r="W47" t="str">
            <v>(55) 3137-3024</v>
          </cell>
          <cell r="X47" t="str">
            <v/>
          </cell>
        </row>
        <row r="48">
          <cell r="A48">
            <v>1047</v>
          </cell>
          <cell r="B48" t="str">
            <v>ALLEN DOMINGUEZ HERNANDEZ (TIZAYUCA)</v>
          </cell>
          <cell r="C48" t="str">
            <v/>
          </cell>
          <cell r="D48" t="str">
            <v>5 DE MAYO S/N ESQ. JUAREZ</v>
          </cell>
          <cell r="E48" t="str">
            <v>TIZAYUCA, HGO.</v>
          </cell>
          <cell r="F48" t="str">
            <v>43800</v>
          </cell>
          <cell r="G48" t="str">
            <v>(779) 796-3618</v>
          </cell>
          <cell r="H48" t="str">
            <v>ALLEN DOMINGUEZ H.</v>
          </cell>
          <cell r="I48" t="str">
            <v>ALLEN DOMINGUEZ H.</v>
          </cell>
          <cell r="J48" t="str">
            <v>BAJA</v>
          </cell>
          <cell r="K48" t="str">
            <v/>
          </cell>
          <cell r="L48">
            <v>0</v>
          </cell>
          <cell r="M48">
            <v>48</v>
          </cell>
          <cell r="N48" t="str">
            <v>S</v>
          </cell>
          <cell r="O48">
            <v>40638</v>
          </cell>
          <cell r="P48" t="str">
            <v xml:space="preserve">    3</v>
          </cell>
          <cell r="Q48">
            <v>0</v>
          </cell>
          <cell r="R48">
            <v>0</v>
          </cell>
          <cell r="S48">
            <v>0</v>
          </cell>
          <cell r="T48">
            <v>3153</v>
          </cell>
          <cell r="U48">
            <v>0</v>
          </cell>
          <cell r="V48" t="str">
            <v>CENTRO</v>
          </cell>
          <cell r="W48" t="str">
            <v/>
          </cell>
          <cell r="X48" t="str">
            <v/>
          </cell>
        </row>
        <row r="49">
          <cell r="A49">
            <v>1048</v>
          </cell>
          <cell r="B49" t="str">
            <v>ELENA AVALOS PIÑA (EL PUEBLITO)</v>
          </cell>
          <cell r="C49" t="str">
            <v/>
          </cell>
          <cell r="D49" t="str">
            <v>PEDRO URTEGA #1</v>
          </cell>
          <cell r="E49" t="str">
            <v>EL PUEBLITO, QRO.</v>
          </cell>
          <cell r="F49" t="str">
            <v>76900</v>
          </cell>
          <cell r="G49" t="str">
            <v>(442) 225-0457</v>
          </cell>
          <cell r="H49" t="str">
            <v>ELENA AVALOS PIÑA</v>
          </cell>
          <cell r="I49" t="str">
            <v>ELENA AVALOS PIÑA</v>
          </cell>
          <cell r="J49" t="str">
            <v>BAJA</v>
          </cell>
          <cell r="K49" t="str">
            <v/>
          </cell>
          <cell r="L49">
            <v>0</v>
          </cell>
          <cell r="M49">
            <v>50</v>
          </cell>
          <cell r="N49" t="str">
            <v>A</v>
          </cell>
          <cell r="O49">
            <v>40633</v>
          </cell>
          <cell r="P49" t="str">
            <v xml:space="preserve">    1</v>
          </cell>
          <cell r="Q49">
            <v>0</v>
          </cell>
          <cell r="R49">
            <v>0</v>
          </cell>
          <cell r="S49">
            <v>0</v>
          </cell>
          <cell r="T49">
            <v>2498</v>
          </cell>
          <cell r="U49">
            <v>0</v>
          </cell>
          <cell r="V49" t="str">
            <v>CENTRO</v>
          </cell>
          <cell r="W49" t="str">
            <v/>
          </cell>
          <cell r="X49" t="str">
            <v/>
          </cell>
        </row>
        <row r="50">
          <cell r="A50">
            <v>1049</v>
          </cell>
          <cell r="B50" t="str">
            <v>MA. LETICIA MANRIQUE BARAJAS (CUERAMARO)</v>
          </cell>
          <cell r="C50" t="str">
            <v/>
          </cell>
          <cell r="D50" t="str">
            <v>MORELOS #114</v>
          </cell>
          <cell r="E50" t="str">
            <v>CUERAMARO, GTO.</v>
          </cell>
          <cell r="F50" t="str">
            <v>36960</v>
          </cell>
          <cell r="G50" t="str">
            <v>(429) 694-0730</v>
          </cell>
          <cell r="H50" t="str">
            <v>MA. LETICIA MANRIQUE</v>
          </cell>
          <cell r="I50" t="str">
            <v>MA. LETICIA MANRIQUE</v>
          </cell>
          <cell r="J50" t="str">
            <v>BAJA</v>
          </cell>
          <cell r="K50" t="str">
            <v/>
          </cell>
          <cell r="L50">
            <v>0</v>
          </cell>
          <cell r="M50">
            <v>51</v>
          </cell>
          <cell r="N50" t="str">
            <v>A</v>
          </cell>
          <cell r="O50">
            <v>40635</v>
          </cell>
          <cell r="P50" t="str">
            <v xml:space="preserve">    1</v>
          </cell>
          <cell r="Q50">
            <v>0</v>
          </cell>
          <cell r="R50">
            <v>0</v>
          </cell>
          <cell r="S50">
            <v>0</v>
          </cell>
          <cell r="T50">
            <v>6973</v>
          </cell>
          <cell r="U50">
            <v>0</v>
          </cell>
          <cell r="V50" t="str">
            <v>CENTRO</v>
          </cell>
          <cell r="W50" t="str">
            <v/>
          </cell>
          <cell r="X50" t="str">
            <v/>
          </cell>
        </row>
        <row r="51">
          <cell r="A51">
            <v>1050</v>
          </cell>
          <cell r="B51" t="str">
            <v>RAUL PADILLA ESPINOSA (TULTEPEC)</v>
          </cell>
          <cell r="C51" t="str">
            <v/>
          </cell>
          <cell r="D51" t="str">
            <v>AV. 2 DE MARZO LOCAL 7</v>
          </cell>
          <cell r="E51" t="str">
            <v>TULTEPEC, EDO. DE MEXICO</v>
          </cell>
          <cell r="F51" t="str">
            <v/>
          </cell>
          <cell r="G51" t="str">
            <v>(55) 2329-0233</v>
          </cell>
          <cell r="H51" t="str">
            <v>RAUL PADILLA E.</v>
          </cell>
          <cell r="I51" t="str">
            <v>RAUL PADILLA E.</v>
          </cell>
          <cell r="J51" t="str">
            <v>BAJA</v>
          </cell>
          <cell r="K51" t="str">
            <v/>
          </cell>
          <cell r="L51">
            <v>0</v>
          </cell>
          <cell r="M51">
            <v>52</v>
          </cell>
          <cell r="N51" t="str">
            <v>A</v>
          </cell>
          <cell r="O51">
            <v>40641</v>
          </cell>
          <cell r="P51" t="str">
            <v xml:space="preserve">    3</v>
          </cell>
          <cell r="Q51">
            <v>0</v>
          </cell>
          <cell r="R51">
            <v>0</v>
          </cell>
          <cell r="S51">
            <v>0</v>
          </cell>
          <cell r="T51">
            <v>478</v>
          </cell>
          <cell r="U51">
            <v>0</v>
          </cell>
          <cell r="V51" t="str">
            <v/>
          </cell>
          <cell r="W51" t="str">
            <v/>
          </cell>
          <cell r="X51" t="str">
            <v/>
          </cell>
        </row>
        <row r="52">
          <cell r="A52">
            <v>1051</v>
          </cell>
          <cell r="B52" t="str">
            <v>CARMEN CURIEL AYALA (TEOLOYUCAN)</v>
          </cell>
          <cell r="C52" t="str">
            <v/>
          </cell>
          <cell r="D52" t="str">
            <v>AV. MORELIA #5</v>
          </cell>
          <cell r="E52" t="str">
            <v>TEOLOYUCAN, EDO. DE MEXICO</v>
          </cell>
          <cell r="F52" t="str">
            <v>54770</v>
          </cell>
          <cell r="G52" t="str">
            <v/>
          </cell>
          <cell r="H52" t="str">
            <v>CARMEN CURIEL AYALA</v>
          </cell>
          <cell r="I52" t="str">
            <v>CARMEN CURIEL AYALA</v>
          </cell>
          <cell r="J52" t="str">
            <v>BAJA</v>
          </cell>
          <cell r="K52" t="str">
            <v/>
          </cell>
          <cell r="L52">
            <v>0</v>
          </cell>
          <cell r="M52">
            <v>53</v>
          </cell>
          <cell r="N52" t="str">
            <v>A</v>
          </cell>
          <cell r="O52">
            <v>40700</v>
          </cell>
          <cell r="P52" t="str">
            <v xml:space="preserve">    3</v>
          </cell>
          <cell r="Q52">
            <v>0</v>
          </cell>
          <cell r="R52">
            <v>0</v>
          </cell>
          <cell r="S52">
            <v>0</v>
          </cell>
          <cell r="T52">
            <v>2394</v>
          </cell>
          <cell r="U52">
            <v>0</v>
          </cell>
          <cell r="V52" t="str">
            <v>BARRIO DE ZIMAPAN</v>
          </cell>
          <cell r="W52" t="str">
            <v/>
          </cell>
          <cell r="X52" t="str">
            <v/>
          </cell>
        </row>
        <row r="53">
          <cell r="A53">
            <v>1052</v>
          </cell>
          <cell r="B53" t="str">
            <v>EDITH ROJAS ZUÑIGA (TULTEPEC)</v>
          </cell>
          <cell r="C53" t="str">
            <v/>
          </cell>
          <cell r="D53" t="str">
            <v>AV. 16 DE SEPTIEMBRE #60</v>
          </cell>
          <cell r="E53" t="str">
            <v>TULTEPEC, EDO. DE MEXICO</v>
          </cell>
          <cell r="F53" t="str">
            <v>54960</v>
          </cell>
          <cell r="G53" t="str">
            <v>(55) 2460-0359 CASA</v>
          </cell>
          <cell r="H53" t="str">
            <v>EDITH ROJAS ZUÑIGA</v>
          </cell>
          <cell r="I53" t="str">
            <v>EDITH ROJAS ZUÑIGA</v>
          </cell>
          <cell r="J53" t="str">
            <v>M02</v>
          </cell>
          <cell r="K53" t="str">
            <v/>
          </cell>
          <cell r="L53">
            <v>0</v>
          </cell>
          <cell r="M53">
            <v>54</v>
          </cell>
          <cell r="N53" t="str">
            <v>A</v>
          </cell>
          <cell r="O53">
            <v>42198</v>
          </cell>
          <cell r="P53" t="str">
            <v xml:space="preserve">    3</v>
          </cell>
          <cell r="Q53">
            <v>0</v>
          </cell>
          <cell r="R53">
            <v>0</v>
          </cell>
          <cell r="S53">
            <v>0</v>
          </cell>
          <cell r="T53">
            <v>32740</v>
          </cell>
          <cell r="U53">
            <v>0</v>
          </cell>
          <cell r="V53" t="str">
            <v>BARRIO SAN JUAN</v>
          </cell>
          <cell r="W53" t="str">
            <v/>
          </cell>
          <cell r="X53" t="str">
            <v>M01</v>
          </cell>
        </row>
        <row r="54">
          <cell r="A54">
            <v>1053</v>
          </cell>
          <cell r="B54" t="str">
            <v>MARIBEL RODRIGUEZ  (TEOLOYUCAN)</v>
          </cell>
          <cell r="C54" t="str">
            <v/>
          </cell>
          <cell r="D54" t="str">
            <v>AV. DOLORES #4</v>
          </cell>
          <cell r="E54" t="str">
            <v>TEOLOYUCAN, EDO. DE MEXICO</v>
          </cell>
          <cell r="F54" t="str">
            <v/>
          </cell>
          <cell r="G54" t="str">
            <v>(59) 3914-0095</v>
          </cell>
          <cell r="H54" t="str">
            <v>MARIBEL RODRIGUEZ</v>
          </cell>
          <cell r="I54" t="str">
            <v>MARIBEL RODRIGUEZ</v>
          </cell>
          <cell r="J54" t="str">
            <v>BAJA</v>
          </cell>
          <cell r="K54" t="str">
            <v/>
          </cell>
          <cell r="L54">
            <v>0</v>
          </cell>
          <cell r="M54">
            <v>55</v>
          </cell>
          <cell r="N54" t="str">
            <v>A</v>
          </cell>
          <cell r="O54">
            <v>41159</v>
          </cell>
          <cell r="P54" t="str">
            <v xml:space="preserve">    3</v>
          </cell>
          <cell r="Q54">
            <v>0</v>
          </cell>
          <cell r="R54">
            <v>0</v>
          </cell>
          <cell r="S54">
            <v>0</v>
          </cell>
          <cell r="T54">
            <v>5610</v>
          </cell>
          <cell r="U54">
            <v>0</v>
          </cell>
          <cell r="V54" t="str">
            <v>BARRIO TLATILCO</v>
          </cell>
          <cell r="W54" t="str">
            <v/>
          </cell>
          <cell r="X54" t="str">
            <v/>
          </cell>
        </row>
        <row r="55">
          <cell r="A55">
            <v>1054</v>
          </cell>
          <cell r="B55" t="str">
            <v>NORMA VIQUEZ ARELLANO (SAN LORENZO)</v>
          </cell>
          <cell r="D55" t="str">
            <v xml:space="preserve">INDEPENDENCIA #6                        </v>
          </cell>
          <cell r="E55" t="str">
            <v>COACALCO, EDO. DE MEXICO</v>
          </cell>
          <cell r="G55" t="str">
            <v>(55) 2968-3241</v>
          </cell>
          <cell r="H55" t="str">
            <v>NORMA VIQUEZ A.</v>
          </cell>
          <cell r="I55" t="str">
            <v>NORMA VIQUEZ A.</v>
          </cell>
          <cell r="J55" t="str">
            <v>BAJA</v>
          </cell>
          <cell r="K55" t="str">
            <v/>
          </cell>
          <cell r="L55">
            <v>0</v>
          </cell>
          <cell r="M55">
            <v>56</v>
          </cell>
          <cell r="N55" t="str">
            <v>A</v>
          </cell>
          <cell r="O55">
            <v>40865</v>
          </cell>
          <cell r="P55" t="str">
            <v xml:space="preserve">    3</v>
          </cell>
          <cell r="Q55">
            <v>0</v>
          </cell>
          <cell r="R55">
            <v>0</v>
          </cell>
          <cell r="S55">
            <v>0</v>
          </cell>
          <cell r="T55">
            <v>4491</v>
          </cell>
          <cell r="U55">
            <v>0</v>
          </cell>
          <cell r="V55" t="str">
            <v>SAN LORENZO</v>
          </cell>
          <cell r="W55" t="str">
            <v/>
          </cell>
          <cell r="X55" t="str">
            <v/>
          </cell>
        </row>
        <row r="56">
          <cell r="A56">
            <v>1055</v>
          </cell>
          <cell r="B56" t="str">
            <v xml:space="preserve">RICARDO VARGAS JAIMES (NICOLAS ROMERO)                      </v>
          </cell>
          <cell r="D56" t="str">
            <v xml:space="preserve">GUILLERMO PRIETO #2                     </v>
          </cell>
          <cell r="E56" t="str">
            <v>NICOLAS ROMERO, EDO. DE MEXICO</v>
          </cell>
          <cell r="G56" t="str">
            <v>(55) 3697-4561</v>
          </cell>
          <cell r="H56" t="str">
            <v>RICARDO VARGAS J.</v>
          </cell>
          <cell r="I56" t="str">
            <v>RICARDO VARGAS J.</v>
          </cell>
          <cell r="J56" t="str">
            <v>BAJA</v>
          </cell>
          <cell r="K56" t="str">
            <v/>
          </cell>
          <cell r="L56">
            <v>0</v>
          </cell>
          <cell r="M56">
            <v>57</v>
          </cell>
          <cell r="N56" t="str">
            <v>A</v>
          </cell>
          <cell r="O56">
            <v>40659</v>
          </cell>
          <cell r="P56" t="str">
            <v xml:space="preserve">    3</v>
          </cell>
          <cell r="Q56">
            <v>0</v>
          </cell>
          <cell r="R56">
            <v>0</v>
          </cell>
          <cell r="S56">
            <v>0</v>
          </cell>
          <cell r="T56">
            <v>1397</v>
          </cell>
          <cell r="U56">
            <v>0</v>
          </cell>
          <cell r="V56" t="str">
            <v>SAN PEDRO CENTRO</v>
          </cell>
          <cell r="W56" t="str">
            <v>(55) 5828-6987 CASA</v>
          </cell>
          <cell r="X56" t="str">
            <v/>
          </cell>
        </row>
        <row r="57">
          <cell r="A57">
            <v>1056</v>
          </cell>
          <cell r="B57" t="str">
            <v>MARIBEL RAMIREZ BAZAN (IZCALLI)</v>
          </cell>
          <cell r="C57" t="str">
            <v/>
          </cell>
          <cell r="F57" t="str">
            <v/>
          </cell>
          <cell r="G57" t="str">
            <v>(55) 4972-3997</v>
          </cell>
          <cell r="H57" t="str">
            <v>MARIBEL RAMIREZ B.</v>
          </cell>
          <cell r="I57" t="str">
            <v>MARIBEL RAMIREZ B.</v>
          </cell>
          <cell r="J57" t="str">
            <v>BAJA</v>
          </cell>
          <cell r="K57" t="str">
            <v/>
          </cell>
          <cell r="L57">
            <v>0</v>
          </cell>
          <cell r="M57">
            <v>58</v>
          </cell>
          <cell r="N57" t="str">
            <v>A</v>
          </cell>
          <cell r="O57">
            <v>40849</v>
          </cell>
          <cell r="P57" t="str">
            <v xml:space="preserve">    3</v>
          </cell>
          <cell r="Q57">
            <v>0</v>
          </cell>
          <cell r="R57">
            <v>0</v>
          </cell>
          <cell r="S57">
            <v>0</v>
          </cell>
          <cell r="T57">
            <v>8415</v>
          </cell>
          <cell r="U57">
            <v>2</v>
          </cell>
          <cell r="V57" t="str">
            <v>CENTRO URBANO</v>
          </cell>
          <cell r="W57" t="str">
            <v>(55) 2822-0503 CEL</v>
          </cell>
          <cell r="X57" t="str">
            <v/>
          </cell>
        </row>
        <row r="58">
          <cell r="A58">
            <v>1057</v>
          </cell>
          <cell r="B58" t="str">
            <v>ENRIQUETA ESTEVES (ECATEPEC)</v>
          </cell>
          <cell r="C58" t="str">
            <v/>
          </cell>
          <cell r="F58" t="str">
            <v/>
          </cell>
          <cell r="G58" t="str">
            <v/>
          </cell>
          <cell r="H58" t="str">
            <v>ENRIQUETA ESTEVES</v>
          </cell>
          <cell r="I58" t="str">
            <v>ENRIQUETA ESTEVES</v>
          </cell>
          <cell r="J58" t="str">
            <v>BAJA</v>
          </cell>
          <cell r="K58" t="str">
            <v/>
          </cell>
          <cell r="L58">
            <v>0</v>
          </cell>
          <cell r="M58">
            <v>59</v>
          </cell>
          <cell r="N58" t="str">
            <v>A</v>
          </cell>
          <cell r="O58">
            <v>41449</v>
          </cell>
          <cell r="P58" t="str">
            <v xml:space="preserve">    3</v>
          </cell>
          <cell r="Q58">
            <v>0</v>
          </cell>
          <cell r="R58">
            <v>0</v>
          </cell>
          <cell r="S58">
            <v>0</v>
          </cell>
          <cell r="T58">
            <v>1881</v>
          </cell>
          <cell r="U58">
            <v>0</v>
          </cell>
          <cell r="V58" t="str">
            <v>SAN CRISTOBAL CENTRO</v>
          </cell>
          <cell r="W58" t="str">
            <v/>
          </cell>
          <cell r="X58" t="str">
            <v/>
          </cell>
        </row>
        <row r="59">
          <cell r="A59">
            <v>1058</v>
          </cell>
          <cell r="B59" t="str">
            <v>JORGE IGNACIO LUJANO MENDOZA (JUVENTINO ROSAS)</v>
          </cell>
          <cell r="D59" t="str">
            <v>BELIZARIO DOMINGUEZ #208</v>
          </cell>
          <cell r="E59" t="str">
            <v>JUVENTINO ROSAS, GTO.</v>
          </cell>
          <cell r="F59" t="str">
            <v/>
          </cell>
          <cell r="G59" t="str">
            <v>(412) 157-2208</v>
          </cell>
          <cell r="H59" t="str">
            <v>JOSE IGNACIO LUJANO</v>
          </cell>
          <cell r="I59" t="str">
            <v>JOSE IGNACIO LUJANO</v>
          </cell>
          <cell r="J59" t="str">
            <v>F04</v>
          </cell>
          <cell r="K59" t="str">
            <v/>
          </cell>
          <cell r="L59">
            <v>0</v>
          </cell>
          <cell r="M59">
            <v>60</v>
          </cell>
          <cell r="N59" t="str">
            <v>A</v>
          </cell>
          <cell r="O59">
            <v>42469</v>
          </cell>
          <cell r="P59" t="str">
            <v xml:space="preserve">    1</v>
          </cell>
          <cell r="Q59">
            <v>0</v>
          </cell>
          <cell r="R59">
            <v>0</v>
          </cell>
          <cell r="S59">
            <v>500</v>
          </cell>
          <cell r="T59">
            <v>62340.5</v>
          </cell>
          <cell r="U59">
            <v>0</v>
          </cell>
          <cell r="V59" t="str">
            <v>CENTRO</v>
          </cell>
          <cell r="W59" t="str">
            <v/>
          </cell>
          <cell r="X59" t="str">
            <v/>
          </cell>
        </row>
        <row r="60">
          <cell r="A60">
            <v>1059</v>
          </cell>
          <cell r="B60" t="str">
            <v>TERE PERUSQUIA (AMEALCO)</v>
          </cell>
          <cell r="C60" t="str">
            <v/>
          </cell>
          <cell r="E60" t="str">
            <v>AMEALCO, QRO.</v>
          </cell>
          <cell r="F60" t="str">
            <v/>
          </cell>
          <cell r="G60" t="str">
            <v>(448) 169-5016 CEL</v>
          </cell>
          <cell r="H60" t="str">
            <v>TERE PERUSQUIA</v>
          </cell>
          <cell r="I60" t="str">
            <v>TERE PERUSQUIA</v>
          </cell>
          <cell r="J60" t="str">
            <v>L06</v>
          </cell>
          <cell r="K60" t="str">
            <v/>
          </cell>
          <cell r="L60">
            <v>0</v>
          </cell>
          <cell r="M60">
            <v>61</v>
          </cell>
          <cell r="N60" t="str">
            <v>A</v>
          </cell>
          <cell r="O60">
            <v>42480</v>
          </cell>
          <cell r="P60" t="str">
            <v xml:space="preserve">   97</v>
          </cell>
          <cell r="Q60">
            <v>0</v>
          </cell>
          <cell r="R60">
            <v>0</v>
          </cell>
          <cell r="S60">
            <v>3611</v>
          </cell>
          <cell r="T60">
            <v>116504</v>
          </cell>
          <cell r="U60">
            <v>0</v>
          </cell>
          <cell r="V60" t="str">
            <v/>
          </cell>
          <cell r="W60" t="str">
            <v/>
          </cell>
          <cell r="X60" t="str">
            <v/>
          </cell>
        </row>
        <row r="61">
          <cell r="A61">
            <v>1060</v>
          </cell>
          <cell r="B61" t="str">
            <v>AZUCENA ARIAS RODRIGUEZ (AMEALCO)</v>
          </cell>
          <cell r="C61" t="str">
            <v/>
          </cell>
          <cell r="D61" t="str">
            <v>AV. JUAREZ #106</v>
          </cell>
          <cell r="E61" t="str">
            <v>AMEALCO, QRO.</v>
          </cell>
          <cell r="F61" t="str">
            <v>76850</v>
          </cell>
          <cell r="G61" t="str">
            <v>(448) 278-9432</v>
          </cell>
          <cell r="H61" t="str">
            <v>AZUCENA ARIAS R.</v>
          </cell>
          <cell r="I61" t="str">
            <v>AZUCENA ARIAS R.</v>
          </cell>
          <cell r="J61" t="str">
            <v>L06</v>
          </cell>
          <cell r="K61" t="str">
            <v/>
          </cell>
          <cell r="L61">
            <v>0</v>
          </cell>
          <cell r="M61">
            <v>62</v>
          </cell>
          <cell r="N61" t="str">
            <v>A</v>
          </cell>
          <cell r="O61">
            <v>42487</v>
          </cell>
          <cell r="P61" t="str">
            <v xml:space="preserve">    1</v>
          </cell>
          <cell r="Q61">
            <v>0</v>
          </cell>
          <cell r="R61">
            <v>0</v>
          </cell>
          <cell r="S61">
            <v>13845</v>
          </cell>
          <cell r="T61">
            <v>254184.5</v>
          </cell>
          <cell r="U61">
            <v>0</v>
          </cell>
          <cell r="V61" t="str">
            <v>CENTRO</v>
          </cell>
          <cell r="W61" t="str">
            <v/>
          </cell>
          <cell r="X61" t="str">
            <v/>
          </cell>
        </row>
        <row r="62">
          <cell r="A62">
            <v>1061</v>
          </cell>
          <cell r="B62" t="str">
            <v>SUSANA ARIAS (AMEALCO)</v>
          </cell>
          <cell r="C62" t="str">
            <v/>
          </cell>
          <cell r="D62" t="str">
            <v/>
          </cell>
          <cell r="E62" t="str">
            <v>AMEALCO, QRO.</v>
          </cell>
          <cell r="F62" t="str">
            <v/>
          </cell>
          <cell r="G62" t="str">
            <v>(448) 210-0635</v>
          </cell>
          <cell r="H62" t="str">
            <v>GENOVEVA RETANA G.</v>
          </cell>
          <cell r="I62" t="str">
            <v>GENOVEVA RETANA G.</v>
          </cell>
          <cell r="J62" t="str">
            <v>L06</v>
          </cell>
          <cell r="K62" t="str">
            <v/>
          </cell>
          <cell r="L62">
            <v>0</v>
          </cell>
          <cell r="M62">
            <v>63</v>
          </cell>
          <cell r="N62" t="str">
            <v>A</v>
          </cell>
          <cell r="O62">
            <v>42426</v>
          </cell>
          <cell r="P62" t="str">
            <v xml:space="preserve">    1</v>
          </cell>
          <cell r="Q62">
            <v>0</v>
          </cell>
          <cell r="R62">
            <v>0</v>
          </cell>
          <cell r="S62">
            <v>0</v>
          </cell>
          <cell r="T62">
            <v>25872</v>
          </cell>
          <cell r="U62">
            <v>0</v>
          </cell>
          <cell r="V62" t="str">
            <v/>
          </cell>
          <cell r="W62" t="str">
            <v/>
          </cell>
          <cell r="X62" t="str">
            <v/>
          </cell>
        </row>
        <row r="63">
          <cell r="A63">
            <v>1062</v>
          </cell>
          <cell r="B63" t="str">
            <v>ELIZABETH ARIAS RODRIGUEZ (AMEALCO)</v>
          </cell>
          <cell r="C63" t="str">
            <v/>
          </cell>
          <cell r="D63" t="str">
            <v>INTERIOR MERCADO LOCAL-59</v>
          </cell>
          <cell r="E63" t="str">
            <v>AMEALCO, QRO.</v>
          </cell>
          <cell r="F63" t="str">
            <v/>
          </cell>
          <cell r="G63" t="str">
            <v>(448) 105-6178 CEL EMPLEA</v>
          </cell>
          <cell r="H63" t="str">
            <v>ELIZABETH ARIAS R.</v>
          </cell>
          <cell r="I63" t="str">
            <v>ELIZABETH ARIAS R.</v>
          </cell>
          <cell r="J63" t="str">
            <v>L06</v>
          </cell>
          <cell r="K63" t="str">
            <v/>
          </cell>
          <cell r="L63">
            <v>0</v>
          </cell>
          <cell r="M63">
            <v>64</v>
          </cell>
          <cell r="N63" t="str">
            <v>A</v>
          </cell>
          <cell r="O63">
            <v>42487</v>
          </cell>
          <cell r="P63" t="str">
            <v xml:space="preserve">    1</v>
          </cell>
          <cell r="Q63">
            <v>0</v>
          </cell>
          <cell r="R63">
            <v>0</v>
          </cell>
          <cell r="S63">
            <v>13685</v>
          </cell>
          <cell r="T63">
            <v>447454</v>
          </cell>
          <cell r="U63">
            <v>0</v>
          </cell>
          <cell r="V63" t="str">
            <v/>
          </cell>
          <cell r="W63" t="str">
            <v/>
          </cell>
          <cell r="X63" t="str">
            <v>(448) 278-9432</v>
          </cell>
        </row>
        <row r="64">
          <cell r="A64">
            <v>1063</v>
          </cell>
          <cell r="B64" t="str">
            <v>GUADALUPE MORALES MONROY (EPITACIO HUERTA)</v>
          </cell>
          <cell r="C64" t="str">
            <v/>
          </cell>
          <cell r="D64" t="str">
            <v>MORELOS #1</v>
          </cell>
          <cell r="E64" t="str">
            <v>EPITACIO HUERTA, MICH.</v>
          </cell>
          <cell r="F64" t="str">
            <v/>
          </cell>
          <cell r="G64" t="str">
            <v>(421) 454-0125 CASA</v>
          </cell>
          <cell r="H64" t="str">
            <v>GUADALUPE MORALES M.</v>
          </cell>
          <cell r="I64" t="str">
            <v>GUADALUPE MORALES M.</v>
          </cell>
          <cell r="J64" t="str">
            <v>BAJA</v>
          </cell>
          <cell r="K64" t="str">
            <v/>
          </cell>
          <cell r="L64">
            <v>0</v>
          </cell>
          <cell r="M64">
            <v>65</v>
          </cell>
          <cell r="N64" t="str">
            <v>A</v>
          </cell>
          <cell r="O64">
            <v>40668</v>
          </cell>
          <cell r="P64" t="str">
            <v xml:space="preserve">    1</v>
          </cell>
          <cell r="Q64">
            <v>0</v>
          </cell>
          <cell r="R64">
            <v>0</v>
          </cell>
          <cell r="S64">
            <v>0</v>
          </cell>
          <cell r="T64">
            <v>426</v>
          </cell>
          <cell r="U64">
            <v>0</v>
          </cell>
          <cell r="V64" t="str">
            <v>CENTRO</v>
          </cell>
          <cell r="W64" t="str">
            <v/>
          </cell>
          <cell r="X64" t="str">
            <v/>
          </cell>
        </row>
        <row r="65">
          <cell r="A65">
            <v>1064</v>
          </cell>
          <cell r="B65" t="str">
            <v>IRMA RAMOS GONZALEZ (CORONEO)</v>
          </cell>
          <cell r="C65" t="str">
            <v/>
          </cell>
          <cell r="D65" t="str">
            <v>INTERIOR MERCADO LOCAL-3</v>
          </cell>
          <cell r="E65" t="str">
            <v>CORONEO, GTO.</v>
          </cell>
          <cell r="F65" t="str">
            <v/>
          </cell>
          <cell r="G65" t="str">
            <v>(421) 473-0307</v>
          </cell>
          <cell r="H65" t="str">
            <v>IRMA RAMOS GONZALEZ</v>
          </cell>
          <cell r="I65" t="str">
            <v>IRMA RAMOS GONZALEZ</v>
          </cell>
          <cell r="J65" t="str">
            <v>BAJA</v>
          </cell>
          <cell r="K65" t="str">
            <v/>
          </cell>
          <cell r="L65">
            <v>0</v>
          </cell>
          <cell r="M65">
            <v>66</v>
          </cell>
          <cell r="N65" t="str">
            <v>A</v>
          </cell>
          <cell r="O65">
            <v>40926</v>
          </cell>
          <cell r="P65" t="str">
            <v xml:space="preserve">    1</v>
          </cell>
          <cell r="Q65">
            <v>0</v>
          </cell>
          <cell r="R65">
            <v>0</v>
          </cell>
          <cell r="S65">
            <v>0</v>
          </cell>
          <cell r="T65">
            <v>11383</v>
          </cell>
          <cell r="U65">
            <v>0</v>
          </cell>
          <cell r="V65" t="str">
            <v/>
          </cell>
          <cell r="W65" t="str">
            <v/>
          </cell>
          <cell r="X65" t="str">
            <v/>
          </cell>
        </row>
        <row r="66">
          <cell r="A66">
            <v>1065</v>
          </cell>
          <cell r="B66" t="str">
            <v>J. JESUS TORREZ PATIÑO (JERECUARO)</v>
          </cell>
          <cell r="C66" t="str">
            <v/>
          </cell>
          <cell r="D66" t="str">
            <v>MANUEL DOBLADO #14</v>
          </cell>
          <cell r="E66" t="str">
            <v>JERECUARO, GTO.</v>
          </cell>
          <cell r="F66" t="str">
            <v/>
          </cell>
          <cell r="G66" t="str">
            <v>(421) 476-0156 CEL</v>
          </cell>
          <cell r="H66" t="str">
            <v>J. JESUS TORREZ P.</v>
          </cell>
          <cell r="I66" t="str">
            <v>J. JESUS TORREZ P.</v>
          </cell>
          <cell r="J66" t="str">
            <v>J06</v>
          </cell>
          <cell r="K66" t="str">
            <v/>
          </cell>
          <cell r="L66">
            <v>0</v>
          </cell>
          <cell r="M66">
            <v>67</v>
          </cell>
          <cell r="N66" t="str">
            <v>A</v>
          </cell>
          <cell r="O66">
            <v>41779</v>
          </cell>
          <cell r="P66" t="str">
            <v xml:space="preserve">    1</v>
          </cell>
          <cell r="Q66">
            <v>0</v>
          </cell>
          <cell r="R66">
            <v>0</v>
          </cell>
          <cell r="S66">
            <v>0</v>
          </cell>
          <cell r="T66">
            <v>15513</v>
          </cell>
          <cell r="U66">
            <v>0</v>
          </cell>
          <cell r="V66" t="str">
            <v>CENTRO</v>
          </cell>
          <cell r="W66" t="str">
            <v/>
          </cell>
          <cell r="X66" t="str">
            <v/>
          </cell>
        </row>
        <row r="67">
          <cell r="A67">
            <v>1066</v>
          </cell>
          <cell r="B67" t="str">
            <v>LAURA DURAN GORDILLO (ACAMBARO)</v>
          </cell>
          <cell r="C67" t="str">
            <v/>
          </cell>
          <cell r="D67" t="str">
            <v>GUERRERO #1-A</v>
          </cell>
          <cell r="E67" t="str">
            <v>ACAMBARO, GTO.</v>
          </cell>
          <cell r="F67" t="str">
            <v/>
          </cell>
          <cell r="G67" t="str">
            <v>(417) 108-4416 CEL</v>
          </cell>
          <cell r="H67" t="str">
            <v>LAURA DURAN GORDILLO</v>
          </cell>
          <cell r="I67" t="str">
            <v>LAURA DURAN GORDILLO</v>
          </cell>
          <cell r="J67" t="str">
            <v>J06</v>
          </cell>
          <cell r="K67" t="str">
            <v/>
          </cell>
          <cell r="L67">
            <v>0</v>
          </cell>
          <cell r="M67">
            <v>68</v>
          </cell>
          <cell r="N67" t="str">
            <v>A</v>
          </cell>
          <cell r="O67">
            <v>42490</v>
          </cell>
          <cell r="P67" t="str">
            <v xml:space="preserve">    1</v>
          </cell>
          <cell r="Q67">
            <v>0</v>
          </cell>
          <cell r="R67">
            <v>0</v>
          </cell>
          <cell r="S67">
            <v>1236</v>
          </cell>
          <cell r="T67">
            <v>30115.5</v>
          </cell>
          <cell r="U67">
            <v>0</v>
          </cell>
          <cell r="V67" t="str">
            <v>CENTRO</v>
          </cell>
          <cell r="W67" t="str">
            <v/>
          </cell>
          <cell r="X67" t="str">
            <v/>
          </cell>
        </row>
        <row r="68">
          <cell r="A68">
            <v>1067</v>
          </cell>
          <cell r="B68" t="str">
            <v>MA. DE LOURDES ESCALONA (ZUMPANGO)</v>
          </cell>
          <cell r="C68" t="str">
            <v/>
          </cell>
          <cell r="D68" t="str">
            <v>MERCADO ZUMPANGO LOCAL 116 Y 117</v>
          </cell>
          <cell r="E68" t="str">
            <v>ZUMPANGO, EDO. DE MEXICO</v>
          </cell>
          <cell r="F68" t="str">
            <v/>
          </cell>
          <cell r="G68" t="str">
            <v>(591) 917-5450</v>
          </cell>
          <cell r="H68" t="str">
            <v>MA. DE LOURDES E.</v>
          </cell>
          <cell r="I68" t="str">
            <v>MA. DE LOURDES E.</v>
          </cell>
          <cell r="J68" t="str">
            <v>M01</v>
          </cell>
          <cell r="K68" t="str">
            <v/>
          </cell>
          <cell r="L68">
            <v>0</v>
          </cell>
          <cell r="M68">
            <v>69</v>
          </cell>
          <cell r="N68" t="str">
            <v>A</v>
          </cell>
          <cell r="O68">
            <v>42518</v>
          </cell>
          <cell r="P68" t="str">
            <v xml:space="preserve">    2</v>
          </cell>
          <cell r="Q68">
            <v>0</v>
          </cell>
          <cell r="R68">
            <v>0</v>
          </cell>
          <cell r="S68">
            <v>9186</v>
          </cell>
          <cell r="T68">
            <v>118294</v>
          </cell>
          <cell r="U68">
            <v>0</v>
          </cell>
          <cell r="V68" t="str">
            <v/>
          </cell>
          <cell r="W68" t="str">
            <v/>
          </cell>
          <cell r="X68" t="str">
            <v/>
          </cell>
        </row>
        <row r="69">
          <cell r="A69">
            <v>1068</v>
          </cell>
          <cell r="B69" t="str">
            <v>GUADALUPE GOMEZ (ZUMPANGO)</v>
          </cell>
          <cell r="C69" t="str">
            <v/>
          </cell>
          <cell r="D69" t="str">
            <v>JESUS CARRANZA #4</v>
          </cell>
          <cell r="E69" t="str">
            <v>ZUMPANGO, EDO. DE MEXICO</v>
          </cell>
          <cell r="F69" t="str">
            <v>55600</v>
          </cell>
          <cell r="G69" t="str">
            <v>(591) 100-0893</v>
          </cell>
          <cell r="H69" t="str">
            <v>PAULA MARQUEZ H.</v>
          </cell>
          <cell r="I69" t="str">
            <v>PAULA MARQUEZ H.</v>
          </cell>
          <cell r="J69" t="str">
            <v>BAJA</v>
          </cell>
          <cell r="K69" t="str">
            <v/>
          </cell>
          <cell r="L69">
            <v>0</v>
          </cell>
          <cell r="M69">
            <v>70</v>
          </cell>
          <cell r="N69" t="str">
            <v>A</v>
          </cell>
          <cell r="O69">
            <v>41013</v>
          </cell>
          <cell r="P69" t="str">
            <v xml:space="preserve">    3</v>
          </cell>
          <cell r="Q69">
            <v>0</v>
          </cell>
          <cell r="R69">
            <v>0</v>
          </cell>
          <cell r="S69">
            <v>0</v>
          </cell>
          <cell r="T69">
            <v>8290</v>
          </cell>
          <cell r="U69">
            <v>0</v>
          </cell>
          <cell r="V69" t="str">
            <v>CENTRO</v>
          </cell>
          <cell r="W69" t="str">
            <v/>
          </cell>
          <cell r="X69" t="str">
            <v/>
          </cell>
        </row>
        <row r="70">
          <cell r="A70">
            <v>1069</v>
          </cell>
          <cell r="B70" t="str">
            <v>CARMEN TORICES SANCHEZ (ROMERO)</v>
          </cell>
          <cell r="C70" t="str">
            <v/>
          </cell>
          <cell r="D70" t="str">
            <v>TRANQUILINO SALGADO #117</v>
          </cell>
          <cell r="E70" t="str">
            <v>CUAUTITLAN, EDO. DE MEXICO</v>
          </cell>
          <cell r="F70" t="str">
            <v/>
          </cell>
          <cell r="G70" t="str">
            <v>(55) 5892-4208</v>
          </cell>
          <cell r="H70" t="str">
            <v>CARMEN TORICES S.</v>
          </cell>
          <cell r="I70" t="str">
            <v>CARMEN TORICES S.</v>
          </cell>
          <cell r="J70" t="str">
            <v>M01</v>
          </cell>
          <cell r="K70" t="str">
            <v/>
          </cell>
          <cell r="L70">
            <v>0</v>
          </cell>
          <cell r="M70">
            <v>71</v>
          </cell>
          <cell r="N70" t="str">
            <v>A</v>
          </cell>
          <cell r="O70">
            <v>42478</v>
          </cell>
          <cell r="P70" t="str">
            <v xml:space="preserve">    3</v>
          </cell>
          <cell r="Q70">
            <v>0</v>
          </cell>
          <cell r="R70">
            <v>0</v>
          </cell>
          <cell r="S70">
            <v>9241</v>
          </cell>
          <cell r="T70">
            <v>116556.5</v>
          </cell>
          <cell r="U70">
            <v>0</v>
          </cell>
          <cell r="V70" t="str">
            <v>ROMERO RUBIO</v>
          </cell>
          <cell r="W70" t="str">
            <v>(55) 3577-6328 CEL</v>
          </cell>
          <cell r="X70" t="str">
            <v/>
          </cell>
        </row>
        <row r="71">
          <cell r="A71">
            <v>1070</v>
          </cell>
          <cell r="B71" t="str">
            <v>CRUZ SAVIÑON JARDINES (TEPOZOTLAN)</v>
          </cell>
          <cell r="C71" t="str">
            <v/>
          </cell>
          <cell r="D71" t="str">
            <v>AMPLIACION MERCADO DE TEPOZOTLAN LOC. 15</v>
          </cell>
          <cell r="E71" t="str">
            <v>TEPOTZOTLAN, EDO. DE MEXICO</v>
          </cell>
          <cell r="F71" t="str">
            <v/>
          </cell>
          <cell r="G71" t="str">
            <v>(55) 5876-8700 CASA</v>
          </cell>
          <cell r="H71" t="str">
            <v>CRUZ SAVIÑON J.</v>
          </cell>
          <cell r="I71" t="str">
            <v>CRUZ SAVIÑON J.</v>
          </cell>
          <cell r="J71" t="str">
            <v>M01</v>
          </cell>
          <cell r="K71" t="str">
            <v/>
          </cell>
          <cell r="L71">
            <v>0</v>
          </cell>
          <cell r="M71">
            <v>72</v>
          </cell>
          <cell r="N71" t="str">
            <v>A</v>
          </cell>
          <cell r="O71">
            <v>42487</v>
          </cell>
          <cell r="P71" t="str">
            <v xml:space="preserve">    3</v>
          </cell>
          <cell r="Q71">
            <v>0</v>
          </cell>
          <cell r="R71">
            <v>0</v>
          </cell>
          <cell r="S71">
            <v>3499</v>
          </cell>
          <cell r="T71">
            <v>96297.5</v>
          </cell>
          <cell r="U71">
            <v>0</v>
          </cell>
          <cell r="V71" t="str">
            <v>CENTRO</v>
          </cell>
          <cell r="W71" t="str">
            <v>(55) 3651-2149 CEL</v>
          </cell>
          <cell r="X71" t="str">
            <v/>
          </cell>
        </row>
        <row r="72">
          <cell r="A72">
            <v>1071</v>
          </cell>
          <cell r="B72" t="str">
            <v>YANIRA SALINAS GONZALEZ (ECATEPEC)</v>
          </cell>
          <cell r="C72" t="str">
            <v/>
          </cell>
          <cell r="D72" t="str">
            <v>AV. MORELOS #49 ORIENTE</v>
          </cell>
          <cell r="E72" t="str">
            <v>ECATEPEC, EDO. DE MEXICO</v>
          </cell>
          <cell r="F72" t="str">
            <v>55000</v>
          </cell>
          <cell r="G72" t="str">
            <v>(55) 5116-8975</v>
          </cell>
          <cell r="H72" t="str">
            <v>YANIRA SALINAS G.</v>
          </cell>
          <cell r="I72" t="str">
            <v>YANIRA SALINAS G.</v>
          </cell>
          <cell r="J72" t="str">
            <v>BAJA</v>
          </cell>
          <cell r="K72" t="str">
            <v/>
          </cell>
          <cell r="L72">
            <v>0</v>
          </cell>
          <cell r="M72">
            <v>73</v>
          </cell>
          <cell r="N72" t="str">
            <v>A</v>
          </cell>
          <cell r="O72">
            <v>40821</v>
          </cell>
          <cell r="P72" t="str">
            <v xml:space="preserve">    3</v>
          </cell>
          <cell r="Q72">
            <v>0</v>
          </cell>
          <cell r="R72">
            <v>0</v>
          </cell>
          <cell r="S72">
            <v>0</v>
          </cell>
          <cell r="T72">
            <v>3627</v>
          </cell>
          <cell r="U72">
            <v>0</v>
          </cell>
          <cell r="V72" t="str">
            <v>SAN CRISTOBAL CENTRO</v>
          </cell>
          <cell r="W72" t="str">
            <v/>
          </cell>
          <cell r="X72" t="str">
            <v/>
          </cell>
        </row>
        <row r="73">
          <cell r="A73">
            <v>1072</v>
          </cell>
          <cell r="B73" t="str">
            <v>MANUEL ORTEGA LOPEZ (ECATEPEC)</v>
          </cell>
          <cell r="C73" t="str">
            <v/>
          </cell>
          <cell r="D73" t="str">
            <v>AV. MORELOS #129</v>
          </cell>
          <cell r="E73" t="str">
            <v>ECATEPEC, EDO. DE MEXICO</v>
          </cell>
          <cell r="F73" t="str">
            <v/>
          </cell>
          <cell r="G73" t="str">
            <v>(55) 5116-3058</v>
          </cell>
          <cell r="H73" t="str">
            <v>MANUEL ORTEGA LOPEZ</v>
          </cell>
          <cell r="I73" t="str">
            <v>MANUEL ORTEGA LOPEZ</v>
          </cell>
          <cell r="J73" t="str">
            <v>M03</v>
          </cell>
          <cell r="K73" t="str">
            <v/>
          </cell>
          <cell r="L73">
            <v>0</v>
          </cell>
          <cell r="M73">
            <v>74</v>
          </cell>
          <cell r="N73" t="str">
            <v>A</v>
          </cell>
          <cell r="O73">
            <v>42514</v>
          </cell>
          <cell r="P73" t="str">
            <v xml:space="preserve">    3</v>
          </cell>
          <cell r="Q73">
            <v>0</v>
          </cell>
          <cell r="R73">
            <v>0</v>
          </cell>
          <cell r="S73">
            <v>2481</v>
          </cell>
          <cell r="T73">
            <v>95617</v>
          </cell>
          <cell r="U73">
            <v>0</v>
          </cell>
          <cell r="V73" t="str">
            <v>SAN CRISTOBAL CENTRO</v>
          </cell>
          <cell r="W73" t="str">
            <v/>
          </cell>
          <cell r="X73" t="str">
            <v/>
          </cell>
        </row>
        <row r="74">
          <cell r="A74">
            <v>1073</v>
          </cell>
          <cell r="B74" t="str">
            <v>GRACIELA BODAJAS ACEVES "GREY" (TULTEPEC)</v>
          </cell>
          <cell r="C74" t="str">
            <v/>
          </cell>
          <cell r="D74" t="str">
            <v/>
          </cell>
          <cell r="E74" t="str">
            <v xml:space="preserve">TULTEPEC, EDO. DE MEXICO      </v>
          </cell>
          <cell r="F74" t="str">
            <v/>
          </cell>
          <cell r="G74" t="str">
            <v>(55) 2532-5073</v>
          </cell>
          <cell r="H74" t="str">
            <v>GRACIELA DOMINGUEZ</v>
          </cell>
          <cell r="I74" t="str">
            <v>GRACIELA DOMINGUEZ</v>
          </cell>
          <cell r="J74" t="str">
            <v>F02A</v>
          </cell>
          <cell r="K74" t="str">
            <v/>
          </cell>
          <cell r="L74">
            <v>0</v>
          </cell>
          <cell r="M74">
            <v>75</v>
          </cell>
          <cell r="N74" t="str">
            <v>A</v>
          </cell>
          <cell r="O74">
            <v>40676</v>
          </cell>
          <cell r="P74" t="str">
            <v xml:space="preserve">    3</v>
          </cell>
          <cell r="Q74">
            <v>0</v>
          </cell>
          <cell r="R74">
            <v>0</v>
          </cell>
          <cell r="S74">
            <v>0</v>
          </cell>
          <cell r="T74">
            <v>1987</v>
          </cell>
          <cell r="U74">
            <v>0</v>
          </cell>
          <cell r="V74" t="str">
            <v/>
          </cell>
          <cell r="W74" t="str">
            <v/>
          </cell>
          <cell r="X74" t="str">
            <v/>
          </cell>
        </row>
        <row r="75">
          <cell r="A75">
            <v>1074</v>
          </cell>
          <cell r="B75" t="str">
            <v>CAROLINA MORALES GUZMAN (ACULCO)</v>
          </cell>
          <cell r="C75" t="str">
            <v/>
          </cell>
          <cell r="D75" t="str">
            <v>AV. HANK GONZALEZ S/N</v>
          </cell>
          <cell r="E75" t="str">
            <v>ACULCO, EDO. DE MEXICO</v>
          </cell>
          <cell r="F75" t="str">
            <v/>
          </cell>
          <cell r="G75" t="str">
            <v/>
          </cell>
          <cell r="H75" t="str">
            <v>CAROLINA MORALES G.</v>
          </cell>
          <cell r="I75" t="str">
            <v>CAROLINA MORALES G.</v>
          </cell>
          <cell r="J75" t="str">
            <v>BAJA</v>
          </cell>
          <cell r="K75" t="str">
            <v/>
          </cell>
          <cell r="L75">
            <v>0</v>
          </cell>
          <cell r="M75">
            <v>76</v>
          </cell>
          <cell r="N75" t="str">
            <v>S</v>
          </cell>
          <cell r="O75">
            <v>41049</v>
          </cell>
          <cell r="P75" t="str">
            <v xml:space="preserve">    3</v>
          </cell>
          <cell r="Q75">
            <v>0</v>
          </cell>
          <cell r="R75">
            <v>0</v>
          </cell>
          <cell r="S75">
            <v>0</v>
          </cell>
          <cell r="T75">
            <v>4788</v>
          </cell>
          <cell r="U75">
            <v>0</v>
          </cell>
          <cell r="V75" t="str">
            <v>ARROYO ZARCO</v>
          </cell>
          <cell r="W75" t="str">
            <v/>
          </cell>
          <cell r="X75" t="str">
            <v/>
          </cell>
        </row>
        <row r="76">
          <cell r="A76">
            <v>1075</v>
          </cell>
          <cell r="B76" t="str">
            <v>LAURA RODRIGUEZ ROSALES (ZITLALTEPEC)</v>
          </cell>
          <cell r="C76" t="str">
            <v/>
          </cell>
          <cell r="D76" t="str">
            <v>AV. 16 DE SEPTIEMBRE S/N</v>
          </cell>
          <cell r="E76" t="str">
            <v>SN JUAN ZITLALTEPEC, EDO. MEX.</v>
          </cell>
          <cell r="F76" t="str">
            <v/>
          </cell>
          <cell r="G76" t="str">
            <v>(55) 3805-5293 CEL</v>
          </cell>
          <cell r="H76" t="str">
            <v>LAURA RODRIGUEZ R.</v>
          </cell>
          <cell r="I76" t="str">
            <v>LAURA RODRIGUEZ R.</v>
          </cell>
          <cell r="J76" t="str">
            <v>M01</v>
          </cell>
          <cell r="K76" t="str">
            <v/>
          </cell>
          <cell r="L76">
            <v>0</v>
          </cell>
          <cell r="M76">
            <v>77</v>
          </cell>
          <cell r="N76" t="str">
            <v>A</v>
          </cell>
          <cell r="O76">
            <v>41877</v>
          </cell>
          <cell r="P76" t="str">
            <v xml:space="preserve">    3</v>
          </cell>
          <cell r="Q76">
            <v>0</v>
          </cell>
          <cell r="R76">
            <v>0</v>
          </cell>
          <cell r="S76">
            <v>0</v>
          </cell>
          <cell r="T76">
            <v>23294</v>
          </cell>
          <cell r="U76">
            <v>0</v>
          </cell>
          <cell r="V76" t="str">
            <v/>
          </cell>
          <cell r="W76" t="str">
            <v>(591) 911-0876 MAMA</v>
          </cell>
          <cell r="X76" t="str">
            <v/>
          </cell>
        </row>
        <row r="77">
          <cell r="A77">
            <v>1076</v>
          </cell>
          <cell r="B77" t="str">
            <v>ANGELICA GONZALEZ POBLANO (ZUMPANGO)</v>
          </cell>
          <cell r="C77" t="str">
            <v/>
          </cell>
          <cell r="D77" t="str">
            <v>MERCADO MUNICIPAL LOCAL #14</v>
          </cell>
          <cell r="E77" t="str">
            <v>ZUMPANGO, EDO. DE MEXICO</v>
          </cell>
          <cell r="F77" t="str">
            <v/>
          </cell>
          <cell r="G77" t="str">
            <v>(55) 1171-6884 CEL</v>
          </cell>
          <cell r="H77" t="str">
            <v>ANGELICA GONZALEZ P.</v>
          </cell>
          <cell r="I77" t="str">
            <v>ANGELICA GONZALEZ P.</v>
          </cell>
          <cell r="J77" t="str">
            <v>M01</v>
          </cell>
          <cell r="K77" t="str">
            <v/>
          </cell>
          <cell r="L77">
            <v>0</v>
          </cell>
          <cell r="M77">
            <v>78</v>
          </cell>
          <cell r="N77" t="str">
            <v>A</v>
          </cell>
          <cell r="O77">
            <v>42459</v>
          </cell>
          <cell r="P77" t="str">
            <v xml:space="preserve">    3</v>
          </cell>
          <cell r="Q77">
            <v>0</v>
          </cell>
          <cell r="R77">
            <v>0</v>
          </cell>
          <cell r="S77">
            <v>4588</v>
          </cell>
          <cell r="T77">
            <v>70712</v>
          </cell>
          <cell r="U77">
            <v>0</v>
          </cell>
          <cell r="V77" t="str">
            <v>CENTRO</v>
          </cell>
          <cell r="W77" t="str">
            <v/>
          </cell>
          <cell r="X77" t="str">
            <v/>
          </cell>
        </row>
        <row r="78">
          <cell r="A78">
            <v>1077</v>
          </cell>
          <cell r="B78" t="str">
            <v>BEATRIZ AVILA AVILA (VILLA)</v>
          </cell>
          <cell r="C78" t="str">
            <v/>
          </cell>
          <cell r="D78" t="str">
            <v>ALAMOS</v>
          </cell>
          <cell r="E78" t="str">
            <v>COACALCO, EDO. DE MEXICO</v>
          </cell>
          <cell r="F78" t="str">
            <v/>
          </cell>
          <cell r="G78" t="str">
            <v/>
          </cell>
          <cell r="H78" t="str">
            <v/>
          </cell>
          <cell r="I78" t="str">
            <v/>
          </cell>
          <cell r="J78" t="str">
            <v>M01</v>
          </cell>
          <cell r="K78" t="str">
            <v/>
          </cell>
          <cell r="L78">
            <v>0</v>
          </cell>
          <cell r="M78">
            <v>79</v>
          </cell>
          <cell r="N78" t="str">
            <v>A</v>
          </cell>
          <cell r="O78">
            <v>42081</v>
          </cell>
          <cell r="P78" t="str">
            <v/>
          </cell>
          <cell r="Q78">
            <v>0</v>
          </cell>
          <cell r="R78">
            <v>0</v>
          </cell>
          <cell r="S78">
            <v>0</v>
          </cell>
          <cell r="T78">
            <v>3140</v>
          </cell>
          <cell r="U78">
            <v>0</v>
          </cell>
          <cell r="V78" t="str">
            <v>VILLA DE LAS FLORES</v>
          </cell>
          <cell r="W78" t="str">
            <v/>
          </cell>
          <cell r="X78" t="str">
            <v/>
          </cell>
        </row>
        <row r="79">
          <cell r="A79">
            <v>1078</v>
          </cell>
          <cell r="B79" t="str">
            <v>MA. DE LOURDES MARTINEZ GONZALEZ (EPITACIO HUERTA)</v>
          </cell>
          <cell r="C79" t="str">
            <v/>
          </cell>
          <cell r="D79" t="str">
            <v>MORELOS S/N</v>
          </cell>
          <cell r="E79" t="str">
            <v>EPITACIO HUERTA, MICH.</v>
          </cell>
          <cell r="F79" t="str">
            <v/>
          </cell>
          <cell r="G79" t="str">
            <v>(447) 109-4122 CEL</v>
          </cell>
          <cell r="H79" t="str">
            <v>MA. DE LOURDES MTZ.</v>
          </cell>
          <cell r="I79" t="str">
            <v>MA. DE LOURDES MTZ.</v>
          </cell>
          <cell r="J79" t="str">
            <v>BAJA</v>
          </cell>
          <cell r="K79" t="str">
            <v/>
          </cell>
          <cell r="L79">
            <v>0</v>
          </cell>
          <cell r="M79">
            <v>80</v>
          </cell>
          <cell r="N79" t="str">
            <v>A</v>
          </cell>
          <cell r="O79">
            <v>40691</v>
          </cell>
          <cell r="P79" t="str">
            <v xml:space="preserve">    1</v>
          </cell>
          <cell r="Q79">
            <v>0</v>
          </cell>
          <cell r="R79">
            <v>0</v>
          </cell>
          <cell r="S79">
            <v>0</v>
          </cell>
          <cell r="T79">
            <v>2137</v>
          </cell>
          <cell r="U79">
            <v>0</v>
          </cell>
          <cell r="V79" t="str">
            <v>CENTRO</v>
          </cell>
          <cell r="W79" t="str">
            <v/>
          </cell>
          <cell r="X79" t="str">
            <v/>
          </cell>
        </row>
        <row r="80">
          <cell r="A80">
            <v>1079</v>
          </cell>
          <cell r="B80" t="str">
            <v>JESUS MARIA SILVA HERNANDEZ (ZINAPECUARO)</v>
          </cell>
          <cell r="C80" t="str">
            <v/>
          </cell>
          <cell r="D80" t="str">
            <v>MORELOS #13</v>
          </cell>
          <cell r="E80" t="str">
            <v>ZINAPECUARO, MICH.</v>
          </cell>
          <cell r="F80" t="str">
            <v/>
          </cell>
          <cell r="G80" t="str">
            <v>(451) 355-2755</v>
          </cell>
          <cell r="H80" t="str">
            <v>JESUS SILVA HDZ.</v>
          </cell>
          <cell r="I80" t="str">
            <v>JESUS SILVA HDZ.</v>
          </cell>
          <cell r="J80" t="str">
            <v>J06</v>
          </cell>
          <cell r="K80" t="str">
            <v/>
          </cell>
          <cell r="L80">
            <v>0</v>
          </cell>
          <cell r="M80">
            <v>81</v>
          </cell>
          <cell r="N80" t="str">
            <v>A</v>
          </cell>
          <cell r="O80">
            <v>41852</v>
          </cell>
          <cell r="P80" t="str">
            <v xml:space="preserve">    1</v>
          </cell>
          <cell r="Q80">
            <v>0</v>
          </cell>
          <cell r="R80">
            <v>0</v>
          </cell>
          <cell r="S80">
            <v>1130</v>
          </cell>
          <cell r="T80">
            <v>36814</v>
          </cell>
          <cell r="U80">
            <v>0</v>
          </cell>
          <cell r="V80" t="str">
            <v>CENTRO</v>
          </cell>
          <cell r="W80" t="str">
            <v>(451) 100-1761 CEL</v>
          </cell>
          <cell r="X80" t="str">
            <v/>
          </cell>
        </row>
        <row r="81">
          <cell r="A81">
            <v>1080</v>
          </cell>
          <cell r="B81" t="str">
            <v>BENITA ESPINO PIÑA (TEPEJI)</v>
          </cell>
          <cell r="C81" t="str">
            <v/>
          </cell>
          <cell r="D81" t="str">
            <v>NARDO #4, D</v>
          </cell>
          <cell r="E81" t="str">
            <v>TEPEJI DEL RIO, HGO.</v>
          </cell>
          <cell r="F81" t="str">
            <v/>
          </cell>
          <cell r="G81" t="str">
            <v>(593) 915-0924 CASA</v>
          </cell>
          <cell r="H81" t="str">
            <v>BENITA ESPINO PIÑA</v>
          </cell>
          <cell r="I81" t="str">
            <v>BENITA ESPINO PIÑA</v>
          </cell>
          <cell r="J81" t="str">
            <v>BAJA</v>
          </cell>
          <cell r="K81" t="str">
            <v/>
          </cell>
          <cell r="L81">
            <v>0</v>
          </cell>
          <cell r="M81">
            <v>82</v>
          </cell>
          <cell r="N81" t="str">
            <v>S</v>
          </cell>
          <cell r="O81">
            <v>41227</v>
          </cell>
          <cell r="P81" t="str">
            <v xml:space="preserve">    3</v>
          </cell>
          <cell r="Q81">
            <v>0</v>
          </cell>
          <cell r="R81">
            <v>0</v>
          </cell>
          <cell r="S81">
            <v>0</v>
          </cell>
          <cell r="T81">
            <v>35716</v>
          </cell>
          <cell r="U81">
            <v>0</v>
          </cell>
          <cell r="V81" t="str">
            <v>EL EDEN</v>
          </cell>
          <cell r="W81" t="str">
            <v>(773)  102-4108 CEL</v>
          </cell>
          <cell r="X81" t="str">
            <v/>
          </cell>
        </row>
        <row r="82">
          <cell r="A82">
            <v>1081</v>
          </cell>
          <cell r="B82" t="str">
            <v>MIGUEL HERNANDEZ GOMEZ (APAXCO)</v>
          </cell>
          <cell r="C82" t="str">
            <v/>
          </cell>
          <cell r="D82" t="str">
            <v>ABASOLO S/N</v>
          </cell>
          <cell r="E82" t="str">
            <v>APAXCO, EDO. DE MEXICO</v>
          </cell>
          <cell r="F82" t="str">
            <v/>
          </cell>
          <cell r="G82" t="str">
            <v>(55) 3645-5916</v>
          </cell>
          <cell r="H82" t="str">
            <v>PATRICIA GARDUÑO</v>
          </cell>
          <cell r="I82" t="str">
            <v>PATRICIA GARDUÑO</v>
          </cell>
          <cell r="J82" t="str">
            <v>BAJA</v>
          </cell>
          <cell r="K82" t="str">
            <v/>
          </cell>
          <cell r="L82">
            <v>0</v>
          </cell>
          <cell r="M82">
            <v>83</v>
          </cell>
          <cell r="N82" t="str">
            <v>A</v>
          </cell>
          <cell r="O82">
            <v>40774</v>
          </cell>
          <cell r="P82" t="str">
            <v xml:space="preserve">    3</v>
          </cell>
          <cell r="Q82">
            <v>0</v>
          </cell>
          <cell r="R82">
            <v>0</v>
          </cell>
          <cell r="S82">
            <v>0</v>
          </cell>
          <cell r="T82">
            <v>1513</v>
          </cell>
          <cell r="U82">
            <v>0</v>
          </cell>
          <cell r="V82" t="str">
            <v>CENTRO</v>
          </cell>
          <cell r="W82" t="str">
            <v>(55) 3566-8309</v>
          </cell>
          <cell r="X82" t="str">
            <v/>
          </cell>
        </row>
        <row r="83">
          <cell r="A83">
            <v>1082</v>
          </cell>
          <cell r="B83" t="str">
            <v>ROCIO DIAZ NAVARRO (TEPOTZOTLAN)</v>
          </cell>
          <cell r="C83" t="str">
            <v/>
          </cell>
          <cell r="D83" t="str">
            <v>JUAREZ #5</v>
          </cell>
          <cell r="E83" t="str">
            <v>TEPOTZOTLAN, EDO. DE MEXICO</v>
          </cell>
          <cell r="F83" t="str">
            <v/>
          </cell>
          <cell r="G83" t="str">
            <v>(55) 5876-3091</v>
          </cell>
          <cell r="H83" t="str">
            <v>ROCIO DIAZ NAVARRO</v>
          </cell>
          <cell r="I83" t="str">
            <v>ROCIO DIAZ NAVARRO</v>
          </cell>
          <cell r="J83" t="str">
            <v>BAJA</v>
          </cell>
          <cell r="K83" t="str">
            <v/>
          </cell>
          <cell r="L83">
            <v>0</v>
          </cell>
          <cell r="M83">
            <v>84</v>
          </cell>
          <cell r="N83" t="str">
            <v>A</v>
          </cell>
          <cell r="O83">
            <v>40701</v>
          </cell>
          <cell r="P83" t="str">
            <v xml:space="preserve">    3</v>
          </cell>
          <cell r="Q83">
            <v>0</v>
          </cell>
          <cell r="R83">
            <v>0</v>
          </cell>
          <cell r="S83">
            <v>0</v>
          </cell>
          <cell r="T83">
            <v>1050</v>
          </cell>
          <cell r="U83">
            <v>0</v>
          </cell>
          <cell r="V83" t="str">
            <v>BARRIO DE SAN MARTIN</v>
          </cell>
          <cell r="W83" t="str">
            <v>(55) 4611-3610</v>
          </cell>
          <cell r="X83" t="str">
            <v/>
          </cell>
        </row>
        <row r="84">
          <cell r="A84">
            <v>1083</v>
          </cell>
          <cell r="B84" t="str">
            <v>LUZ MERCEDES ANDA VARGAS (PIRAMIDES)</v>
          </cell>
          <cell r="C84" t="str">
            <v/>
          </cell>
          <cell r="D84" t="str">
            <v>AV. 16 DE SEPTIEMBRE S/N, PLAZA LUNA</v>
          </cell>
          <cell r="E84" t="str">
            <v>SAN MARTN PIRAMIDES, EDO. MEX.</v>
          </cell>
          <cell r="F84" t="str">
            <v/>
          </cell>
          <cell r="G84" t="str">
            <v>(594) 958-7098</v>
          </cell>
          <cell r="H84" t="str">
            <v>LUZ ANGELICA ANDA V.</v>
          </cell>
          <cell r="I84" t="str">
            <v>LUZ ANGELICA ANDA V.</v>
          </cell>
          <cell r="J84" t="str">
            <v>BAJA</v>
          </cell>
          <cell r="K84" t="str">
            <v/>
          </cell>
          <cell r="L84">
            <v>0</v>
          </cell>
          <cell r="M84">
            <v>85</v>
          </cell>
          <cell r="N84" t="str">
            <v>A</v>
          </cell>
          <cell r="O84">
            <v>41537</v>
          </cell>
          <cell r="P84" t="str">
            <v xml:space="preserve">    3</v>
          </cell>
          <cell r="Q84">
            <v>0</v>
          </cell>
          <cell r="R84">
            <v>0</v>
          </cell>
          <cell r="S84">
            <v>0</v>
          </cell>
          <cell r="T84">
            <v>60327</v>
          </cell>
          <cell r="U84">
            <v>0</v>
          </cell>
          <cell r="V84" t="str">
            <v>CENTRO</v>
          </cell>
          <cell r="W84" t="str">
            <v>(55) 1155-8702</v>
          </cell>
          <cell r="X84" t="str">
            <v/>
          </cell>
        </row>
        <row r="85">
          <cell r="A85">
            <v>1084</v>
          </cell>
          <cell r="B85" t="str">
            <v>SAUL TORREZ GAONA (QUERETARO)</v>
          </cell>
          <cell r="C85" t="str">
            <v/>
          </cell>
          <cell r="D85" t="str">
            <v>AV. JUAREZ SUR #32 Y 34</v>
          </cell>
          <cell r="E85" t="str">
            <v>QUERETARO, QRO.</v>
          </cell>
          <cell r="F85" t="str">
            <v>76000</v>
          </cell>
          <cell r="G85" t="str">
            <v>52*189675*2</v>
          </cell>
          <cell r="H85" t="str">
            <v>SALVADOR TORREZ G.</v>
          </cell>
          <cell r="I85" t="str">
            <v>SALVADOR TORREZ G.</v>
          </cell>
          <cell r="J85" t="str">
            <v>BAJA</v>
          </cell>
          <cell r="K85" t="str">
            <v/>
          </cell>
          <cell r="L85">
            <v>0</v>
          </cell>
          <cell r="M85">
            <v>86</v>
          </cell>
          <cell r="N85" t="str">
            <v>A</v>
          </cell>
          <cell r="O85">
            <v>40760</v>
          </cell>
          <cell r="P85" t="str">
            <v xml:space="preserve">    1</v>
          </cell>
          <cell r="Q85">
            <v>0</v>
          </cell>
          <cell r="R85">
            <v>0</v>
          </cell>
          <cell r="S85">
            <v>0</v>
          </cell>
          <cell r="T85">
            <v>24524</v>
          </cell>
          <cell r="U85">
            <v>0</v>
          </cell>
          <cell r="V85" t="str">
            <v>CENTRO</v>
          </cell>
          <cell r="W85" t="str">
            <v>(442) 140-1231</v>
          </cell>
          <cell r="X85" t="str">
            <v/>
          </cell>
        </row>
        <row r="86">
          <cell r="A86">
            <v>1085</v>
          </cell>
          <cell r="B86" t="str">
            <v>FABIOLA JIMENEZ CRUZ (HUEHUETOCA)</v>
          </cell>
          <cell r="C86" t="str">
            <v/>
          </cell>
          <cell r="D86" t="str">
            <v>AV. JORGE JIMENEZ CANTU S/N</v>
          </cell>
          <cell r="E86" t="str">
            <v>HUEHUETOCA, EDO. DE MEXICO</v>
          </cell>
          <cell r="F86" t="str">
            <v/>
          </cell>
          <cell r="G86" t="str">
            <v/>
          </cell>
          <cell r="H86" t="str">
            <v>FABIOLA JIMENEZ CRUZ</v>
          </cell>
          <cell r="I86" t="str">
            <v>FABIOLA JIMENEZ CRUZ</v>
          </cell>
          <cell r="J86" t="str">
            <v>BAJA</v>
          </cell>
          <cell r="K86" t="str">
            <v/>
          </cell>
          <cell r="L86">
            <v>0</v>
          </cell>
          <cell r="M86">
            <v>87</v>
          </cell>
          <cell r="N86" t="str">
            <v>S</v>
          </cell>
          <cell r="O86">
            <v>41318</v>
          </cell>
          <cell r="P86" t="str">
            <v xml:space="preserve">    7</v>
          </cell>
          <cell r="Q86">
            <v>0</v>
          </cell>
          <cell r="R86">
            <v>0</v>
          </cell>
          <cell r="S86">
            <v>0</v>
          </cell>
          <cell r="T86">
            <v>238</v>
          </cell>
          <cell r="U86">
            <v>0</v>
          </cell>
          <cell r="V86" t="str">
            <v>CABECERA MUNICIPAL</v>
          </cell>
          <cell r="W86" t="str">
            <v/>
          </cell>
          <cell r="X86" t="str">
            <v/>
          </cell>
        </row>
        <row r="87">
          <cell r="A87">
            <v>1086</v>
          </cell>
          <cell r="B87" t="str">
            <v>ROSA REYNA AGUILAR (TEOLOYUCAN)</v>
          </cell>
          <cell r="C87" t="str">
            <v/>
          </cell>
          <cell r="D87" t="str">
            <v>AV. CAPULINES O CAMINO REAL ESQ MORELIA</v>
          </cell>
          <cell r="E87" t="str">
            <v>TEOLOYUCAN, EDO. DE MEXICO</v>
          </cell>
          <cell r="F87" t="str">
            <v/>
          </cell>
          <cell r="G87" t="str">
            <v>044 55-4529-9218</v>
          </cell>
          <cell r="H87" t="str">
            <v>VICTOR MANUEL LEON R</v>
          </cell>
          <cell r="I87" t="str">
            <v>VICTOR MANUEL LEON R</v>
          </cell>
          <cell r="J87" t="str">
            <v>BAJA</v>
          </cell>
          <cell r="K87" t="str">
            <v/>
          </cell>
          <cell r="L87">
            <v>0</v>
          </cell>
          <cell r="M87">
            <v>88</v>
          </cell>
          <cell r="N87" t="str">
            <v>A</v>
          </cell>
          <cell r="O87">
            <v>40999</v>
          </cell>
          <cell r="P87" t="str">
            <v xml:space="preserve">    7</v>
          </cell>
          <cell r="Q87">
            <v>0</v>
          </cell>
          <cell r="R87">
            <v>0</v>
          </cell>
          <cell r="S87">
            <v>0</v>
          </cell>
          <cell r="T87">
            <v>2590</v>
          </cell>
          <cell r="U87">
            <v>0</v>
          </cell>
          <cell r="V87" t="str">
            <v>BARRIO ZIMAPAN</v>
          </cell>
          <cell r="W87" t="str">
            <v/>
          </cell>
          <cell r="X87" t="str">
            <v/>
          </cell>
        </row>
        <row r="88">
          <cell r="A88">
            <v>1087</v>
          </cell>
          <cell r="B88" t="str">
            <v>JUANA VAZQUEZ RIOS (MELCHOR OCAMPO)</v>
          </cell>
          <cell r="C88" t="str">
            <v/>
          </cell>
          <cell r="D88" t="str">
            <v>CRISPIN PEREZ S/N</v>
          </cell>
          <cell r="E88" t="str">
            <v>MELCHOR OCAMPO, EDO. DE MEXICO</v>
          </cell>
          <cell r="F88" t="str">
            <v/>
          </cell>
          <cell r="G88" t="str">
            <v>(55) 5878-1071</v>
          </cell>
          <cell r="H88" t="str">
            <v>JUANA VAZQUEZ RIOS</v>
          </cell>
          <cell r="I88" t="str">
            <v>JUANA VAZQUEZ RIOS</v>
          </cell>
          <cell r="J88" t="str">
            <v>M01</v>
          </cell>
          <cell r="K88" t="str">
            <v/>
          </cell>
          <cell r="L88">
            <v>0</v>
          </cell>
          <cell r="M88">
            <v>89</v>
          </cell>
          <cell r="N88" t="str">
            <v>A</v>
          </cell>
          <cell r="O88">
            <v>42328</v>
          </cell>
          <cell r="P88" t="str">
            <v xml:space="preserve">    7</v>
          </cell>
          <cell r="Q88">
            <v>0</v>
          </cell>
          <cell r="R88">
            <v>0</v>
          </cell>
          <cell r="S88">
            <v>1241</v>
          </cell>
          <cell r="T88">
            <v>102097</v>
          </cell>
          <cell r="U88">
            <v>0</v>
          </cell>
          <cell r="V88" t="str">
            <v>CENTRO</v>
          </cell>
          <cell r="W88" t="str">
            <v>(55) 6570-2925</v>
          </cell>
          <cell r="X88" t="str">
            <v/>
          </cell>
        </row>
        <row r="89">
          <cell r="A89">
            <v>1088</v>
          </cell>
          <cell r="B89" t="str">
            <v>FERNANDO SOTO MOLINA (TLALNEPANTLA)</v>
          </cell>
          <cell r="C89" t="str">
            <v/>
          </cell>
          <cell r="D89" t="str">
            <v/>
          </cell>
          <cell r="E89" t="str">
            <v>TLALNEPANTLA, EDO. DE MEXICO</v>
          </cell>
          <cell r="F89" t="str">
            <v/>
          </cell>
          <cell r="G89" t="str">
            <v>(55)3643-1244</v>
          </cell>
          <cell r="H89" t="str">
            <v/>
          </cell>
          <cell r="I89" t="str">
            <v/>
          </cell>
          <cell r="J89" t="str">
            <v>BAJA</v>
          </cell>
          <cell r="K89" t="str">
            <v/>
          </cell>
          <cell r="L89">
            <v>0</v>
          </cell>
          <cell r="M89">
            <v>90</v>
          </cell>
          <cell r="N89" t="str">
            <v>A</v>
          </cell>
          <cell r="O89">
            <v>40709</v>
          </cell>
          <cell r="P89" t="str">
            <v xml:space="preserve">    3</v>
          </cell>
          <cell r="Q89">
            <v>0</v>
          </cell>
          <cell r="R89">
            <v>0</v>
          </cell>
          <cell r="S89">
            <v>0</v>
          </cell>
          <cell r="T89">
            <v>1077</v>
          </cell>
          <cell r="U89">
            <v>0</v>
          </cell>
          <cell r="V89" t="str">
            <v/>
          </cell>
          <cell r="W89" t="str">
            <v>04455 4013-4648</v>
          </cell>
          <cell r="X89" t="str">
            <v/>
          </cell>
        </row>
        <row r="90">
          <cell r="A90">
            <v>1089</v>
          </cell>
          <cell r="B90" t="str">
            <v>LAURA GOMEZ RUPIT (TEXCOCO)</v>
          </cell>
          <cell r="C90" t="str">
            <v/>
          </cell>
          <cell r="D90" t="str">
            <v>MERCADO TEXCOCO LOCAL 203</v>
          </cell>
          <cell r="E90" t="str">
            <v>TEXCOCO, EDO. DE MEXICO</v>
          </cell>
          <cell r="F90" t="str">
            <v/>
          </cell>
          <cell r="G90" t="str">
            <v>(55) 1584-4561 CEL</v>
          </cell>
          <cell r="H90" t="str">
            <v>LAURA GOMEZ RUPIT</v>
          </cell>
          <cell r="I90" t="str">
            <v>LAURA GOMEZ RUPIT</v>
          </cell>
          <cell r="J90" t="str">
            <v>BAJA</v>
          </cell>
          <cell r="K90" t="str">
            <v/>
          </cell>
          <cell r="L90">
            <v>0</v>
          </cell>
          <cell r="M90">
            <v>91</v>
          </cell>
          <cell r="N90" t="str">
            <v>A</v>
          </cell>
          <cell r="O90">
            <v>41466</v>
          </cell>
          <cell r="P90" t="str">
            <v xml:space="preserve">    3</v>
          </cell>
          <cell r="Q90">
            <v>0</v>
          </cell>
          <cell r="R90">
            <v>0</v>
          </cell>
          <cell r="S90">
            <v>0</v>
          </cell>
          <cell r="T90">
            <v>16527</v>
          </cell>
          <cell r="U90">
            <v>0</v>
          </cell>
          <cell r="V90" t="str">
            <v>CENTRO</v>
          </cell>
          <cell r="W90" t="str">
            <v>(595) 928-1218 CASA</v>
          </cell>
          <cell r="X90" t="str">
            <v/>
          </cell>
        </row>
        <row r="91">
          <cell r="A91">
            <v>1090</v>
          </cell>
          <cell r="B91" t="str">
            <v>YANETH LABASTIDA HURTADO (TLALNEPANTLA)</v>
          </cell>
          <cell r="C91" t="str">
            <v/>
          </cell>
          <cell r="D91" t="str">
            <v>FCO. SARABIA #49</v>
          </cell>
          <cell r="E91" t="str">
            <v>TLALNEPANTLA, EDO. DE MEXICO</v>
          </cell>
          <cell r="F91" t="str">
            <v/>
          </cell>
          <cell r="G91" t="str">
            <v/>
          </cell>
          <cell r="H91" t="str">
            <v>YANETH LABASTIDA H.</v>
          </cell>
          <cell r="I91" t="str">
            <v>YANETH LABASTIDA H.</v>
          </cell>
          <cell r="J91" t="str">
            <v>BAJA</v>
          </cell>
          <cell r="K91" t="str">
            <v/>
          </cell>
          <cell r="L91">
            <v>0</v>
          </cell>
          <cell r="M91">
            <v>92</v>
          </cell>
          <cell r="N91" t="str">
            <v>A</v>
          </cell>
          <cell r="O91">
            <v>40712</v>
          </cell>
          <cell r="P91" t="str">
            <v xml:space="preserve">    5</v>
          </cell>
          <cell r="Q91">
            <v>0</v>
          </cell>
          <cell r="R91">
            <v>0</v>
          </cell>
          <cell r="S91">
            <v>0</v>
          </cell>
          <cell r="T91">
            <v>932</v>
          </cell>
          <cell r="U91">
            <v>0</v>
          </cell>
          <cell r="V91" t="str">
            <v/>
          </cell>
          <cell r="W91" t="str">
            <v/>
          </cell>
          <cell r="X91" t="str">
            <v/>
          </cell>
        </row>
        <row r="92">
          <cell r="A92">
            <v>1091</v>
          </cell>
          <cell r="B92" t="str">
            <v>ANGELICA TAPIA LOPEZ (ZINAPECUARO)</v>
          </cell>
          <cell r="C92" t="str">
            <v/>
          </cell>
          <cell r="D92" t="str">
            <v>RAMON LOPEZ LARA #29</v>
          </cell>
          <cell r="E92" t="str">
            <v>ZINAPECUARO, MICH.</v>
          </cell>
          <cell r="F92" t="str">
            <v/>
          </cell>
          <cell r="G92" t="str">
            <v>044 44 101-0308</v>
          </cell>
          <cell r="H92" t="str">
            <v>ANGELICA TAPIA LOPEZ</v>
          </cell>
          <cell r="I92" t="str">
            <v>ANGELICA TAPIA LOPEZ</v>
          </cell>
          <cell r="J92" t="str">
            <v>BAJA</v>
          </cell>
          <cell r="K92" t="str">
            <v/>
          </cell>
          <cell r="L92">
            <v>0</v>
          </cell>
          <cell r="M92">
            <v>93</v>
          </cell>
          <cell r="N92" t="str">
            <v>A</v>
          </cell>
          <cell r="O92">
            <v>40716</v>
          </cell>
          <cell r="P92" t="str">
            <v xml:space="preserve">    1</v>
          </cell>
          <cell r="Q92">
            <v>0</v>
          </cell>
          <cell r="R92">
            <v>0</v>
          </cell>
          <cell r="S92">
            <v>0</v>
          </cell>
          <cell r="T92">
            <v>198</v>
          </cell>
          <cell r="U92">
            <v>0</v>
          </cell>
          <cell r="V92" t="str">
            <v>CENTRO</v>
          </cell>
          <cell r="W92" t="str">
            <v/>
          </cell>
          <cell r="X92" t="str">
            <v/>
          </cell>
        </row>
        <row r="93">
          <cell r="A93">
            <v>1092</v>
          </cell>
          <cell r="B93" t="str">
            <v>HILDA CRUZ RUEDA (ATIZAPAN)</v>
          </cell>
          <cell r="C93" t="str">
            <v/>
          </cell>
          <cell r="D93" t="str">
            <v>COLIBRI #73</v>
          </cell>
          <cell r="E93" t="str">
            <v>ATIZAPAN, EDO. DE MEXICO</v>
          </cell>
          <cell r="F93" t="str">
            <v/>
          </cell>
          <cell r="G93" t="str">
            <v>(55) 5821-0204 LOCAL</v>
          </cell>
          <cell r="H93" t="str">
            <v>HILDA CRUZ RUEDA</v>
          </cell>
          <cell r="I93" t="str">
            <v>MIGUEL ANGEL</v>
          </cell>
          <cell r="J93" t="str">
            <v>BAJA</v>
          </cell>
          <cell r="K93" t="str">
            <v/>
          </cell>
          <cell r="L93">
            <v>0</v>
          </cell>
          <cell r="M93">
            <v>94</v>
          </cell>
          <cell r="N93" t="str">
            <v>A</v>
          </cell>
          <cell r="O93">
            <v>41500</v>
          </cell>
          <cell r="P93" t="str">
            <v xml:space="preserve">    3</v>
          </cell>
          <cell r="Q93">
            <v>0</v>
          </cell>
          <cell r="R93">
            <v>0</v>
          </cell>
          <cell r="S93">
            <v>0</v>
          </cell>
          <cell r="T93">
            <v>78883</v>
          </cell>
          <cell r="U93">
            <v>0</v>
          </cell>
          <cell r="V93" t="str">
            <v>ARBOLEDAS</v>
          </cell>
          <cell r="W93" t="str">
            <v>(55) 5379-2898 CASA</v>
          </cell>
          <cell r="X93" t="str">
            <v/>
          </cell>
        </row>
        <row r="94">
          <cell r="A94">
            <v>1093</v>
          </cell>
          <cell r="B94" t="str">
            <v>BETRIZ GARCIA RODEA (JILOTEPEC)</v>
          </cell>
          <cell r="C94" t="str">
            <v/>
          </cell>
          <cell r="D94" t="str">
            <v>FRANCISCO JAVIER MINA #118</v>
          </cell>
          <cell r="E94" t="str">
            <v>JILOTEPEC, EDO. DE MEXICO</v>
          </cell>
          <cell r="F94" t="str">
            <v/>
          </cell>
          <cell r="G94" t="str">
            <v/>
          </cell>
          <cell r="H94" t="str">
            <v>BETRIZ GARCIA RODEA</v>
          </cell>
          <cell r="I94" t="str">
            <v>BETRIZ GARCIA RODEA</v>
          </cell>
          <cell r="J94" t="str">
            <v>BAJA</v>
          </cell>
          <cell r="K94" t="str">
            <v/>
          </cell>
          <cell r="L94">
            <v>0</v>
          </cell>
          <cell r="M94">
            <v>95</v>
          </cell>
          <cell r="N94" t="str">
            <v>A</v>
          </cell>
          <cell r="O94">
            <v>41037</v>
          </cell>
          <cell r="P94" t="str">
            <v xml:space="preserve">    1</v>
          </cell>
          <cell r="Q94">
            <v>0</v>
          </cell>
          <cell r="R94">
            <v>0</v>
          </cell>
          <cell r="S94">
            <v>0</v>
          </cell>
          <cell r="T94">
            <v>1005</v>
          </cell>
          <cell r="U94">
            <v>0</v>
          </cell>
          <cell r="V94" t="str">
            <v>CENTRO</v>
          </cell>
          <cell r="W94" t="str">
            <v/>
          </cell>
          <cell r="X94" t="str">
            <v/>
          </cell>
        </row>
        <row r="95">
          <cell r="A95">
            <v>1094</v>
          </cell>
          <cell r="B95" t="str">
            <v>INFANTILES ANGELO (SATELITE)</v>
          </cell>
          <cell r="C95" t="str">
            <v/>
          </cell>
          <cell r="D95" t="str">
            <v>CIRCUITOS CIRUJANOS LOCAL</v>
          </cell>
          <cell r="E95" t="str">
            <v>NAUCALPAN, EDO. DE MEXICO</v>
          </cell>
          <cell r="F95" t="str">
            <v/>
          </cell>
          <cell r="G95" t="str">
            <v>(55) 5572-1048</v>
          </cell>
          <cell r="H95" t="str">
            <v/>
          </cell>
          <cell r="I95" t="str">
            <v/>
          </cell>
          <cell r="J95" t="str">
            <v>BAJA</v>
          </cell>
          <cell r="K95" t="str">
            <v/>
          </cell>
          <cell r="L95">
            <v>0</v>
          </cell>
          <cell r="M95">
            <v>96</v>
          </cell>
          <cell r="N95" t="str">
            <v>A</v>
          </cell>
          <cell r="O95">
            <v>40737</v>
          </cell>
          <cell r="P95" t="str">
            <v xml:space="preserve">    3</v>
          </cell>
          <cell r="Q95">
            <v>0</v>
          </cell>
          <cell r="R95">
            <v>0</v>
          </cell>
          <cell r="S95">
            <v>0</v>
          </cell>
          <cell r="T95">
            <v>1059</v>
          </cell>
          <cell r="U95">
            <v>0</v>
          </cell>
          <cell r="V95" t="str">
            <v>SATELITE</v>
          </cell>
          <cell r="W95" t="str">
            <v/>
          </cell>
          <cell r="X95" t="str">
            <v/>
          </cell>
        </row>
        <row r="96">
          <cell r="A96">
            <v>1095</v>
          </cell>
          <cell r="B96" t="str">
            <v xml:space="preserve">ARACELI VAZQUEZ (SJR)                                       </v>
          </cell>
          <cell r="C96" t="str">
            <v/>
          </cell>
          <cell r="D96" t="str">
            <v xml:space="preserve">JASPE #13                               </v>
          </cell>
          <cell r="E96" t="str">
            <v xml:space="preserve">SAN JUAN DEL RIO, QRO.        </v>
          </cell>
          <cell r="F96" t="str">
            <v/>
          </cell>
          <cell r="G96" t="str">
            <v>(427) 103-3101</v>
          </cell>
          <cell r="H96" t="str">
            <v>GRISELDA GONZALEZ</v>
          </cell>
          <cell r="I96" t="str">
            <v>GRISELDA GONZALEZ</v>
          </cell>
          <cell r="J96" t="str">
            <v>J01</v>
          </cell>
          <cell r="K96" t="str">
            <v/>
          </cell>
          <cell r="L96">
            <v>0</v>
          </cell>
          <cell r="M96">
            <v>97</v>
          </cell>
          <cell r="N96" t="str">
            <v>A</v>
          </cell>
          <cell r="O96">
            <v>40730</v>
          </cell>
          <cell r="P96" t="str">
            <v xml:space="preserve">    3</v>
          </cell>
          <cell r="Q96">
            <v>0</v>
          </cell>
          <cell r="R96">
            <v>0</v>
          </cell>
          <cell r="S96">
            <v>0</v>
          </cell>
          <cell r="T96">
            <v>460</v>
          </cell>
          <cell r="U96">
            <v>0</v>
          </cell>
          <cell r="V96" t="str">
            <v>INFONAVIT, PEDREGOSO</v>
          </cell>
          <cell r="W96" t="str">
            <v/>
          </cell>
          <cell r="X96" t="str">
            <v/>
          </cell>
        </row>
        <row r="97">
          <cell r="A97">
            <v>1096</v>
          </cell>
          <cell r="B97" t="str">
            <v>GUADALUPE GALICIA GARCIA (VILLA)</v>
          </cell>
          <cell r="C97" t="str">
            <v/>
          </cell>
          <cell r="D97" t="str">
            <v>MERCADO DE VILLA LOCAL 76</v>
          </cell>
          <cell r="E97" t="str">
            <v>COACALCO, EDO. DE MEXICO</v>
          </cell>
          <cell r="F97" t="str">
            <v/>
          </cell>
          <cell r="G97" t="str">
            <v/>
          </cell>
          <cell r="H97" t="str">
            <v>GUADALUPE GARCIA G.</v>
          </cell>
          <cell r="I97" t="str">
            <v>GUADALUPE GARCIA G.</v>
          </cell>
          <cell r="J97" t="str">
            <v>BAJA</v>
          </cell>
          <cell r="K97" t="str">
            <v/>
          </cell>
          <cell r="L97">
            <v>0</v>
          </cell>
          <cell r="M97">
            <v>98</v>
          </cell>
          <cell r="N97" t="str">
            <v>A</v>
          </cell>
          <cell r="O97">
            <v>40847</v>
          </cell>
          <cell r="P97" t="str">
            <v xml:space="preserve">    3</v>
          </cell>
          <cell r="Q97">
            <v>0</v>
          </cell>
          <cell r="R97">
            <v>0</v>
          </cell>
          <cell r="S97">
            <v>0</v>
          </cell>
          <cell r="T97">
            <v>1906</v>
          </cell>
          <cell r="U97">
            <v>0</v>
          </cell>
          <cell r="V97" t="str">
            <v>VILLA DE LAS FLORES</v>
          </cell>
          <cell r="W97" t="str">
            <v/>
          </cell>
          <cell r="X97" t="str">
            <v/>
          </cell>
        </row>
        <row r="98">
          <cell r="A98">
            <v>1097</v>
          </cell>
          <cell r="B98" t="str">
            <v>MARITZA VAZQUEZ GALVEZ (SAN CRISTOBAL)</v>
          </cell>
          <cell r="C98" t="str">
            <v/>
          </cell>
          <cell r="D98" t="str">
            <v>AV. MORELOS #4</v>
          </cell>
          <cell r="E98" t="str">
            <v>ECATEPEC, EDO. DE MEXICO</v>
          </cell>
          <cell r="F98" t="str">
            <v/>
          </cell>
          <cell r="G98" t="str">
            <v>(55) 5770-4751</v>
          </cell>
          <cell r="H98" t="str">
            <v>MARITZA VAZQUEZ G.</v>
          </cell>
          <cell r="I98" t="str">
            <v>MARITZA VAZQUEZ G.</v>
          </cell>
          <cell r="J98" t="str">
            <v>BAJA</v>
          </cell>
          <cell r="K98" t="str">
            <v/>
          </cell>
          <cell r="L98">
            <v>0</v>
          </cell>
          <cell r="M98">
            <v>99</v>
          </cell>
          <cell r="N98" t="str">
            <v>A</v>
          </cell>
          <cell r="O98">
            <v>40731</v>
          </cell>
          <cell r="P98" t="str">
            <v xml:space="preserve">    3</v>
          </cell>
          <cell r="Q98">
            <v>0</v>
          </cell>
          <cell r="R98">
            <v>0</v>
          </cell>
          <cell r="S98">
            <v>0</v>
          </cell>
          <cell r="T98">
            <v>1350</v>
          </cell>
          <cell r="U98">
            <v>0</v>
          </cell>
          <cell r="V98" t="str">
            <v>SAN CRISTOBAL CENTRO</v>
          </cell>
          <cell r="W98" t="str">
            <v/>
          </cell>
          <cell r="X98" t="str">
            <v/>
          </cell>
        </row>
        <row r="99">
          <cell r="A99">
            <v>1098</v>
          </cell>
          <cell r="B99" t="str">
            <v>AGRIPINA RODRIGUEZ ACURI (TECAMAC)</v>
          </cell>
          <cell r="C99" t="str">
            <v/>
          </cell>
          <cell r="D99" t="str">
            <v/>
          </cell>
          <cell r="E99" t="str">
            <v>TECAMAC, EDO. DE MEXICO</v>
          </cell>
          <cell r="F99" t="str">
            <v/>
          </cell>
          <cell r="G99" t="str">
            <v/>
          </cell>
          <cell r="H99" t="str">
            <v>AGRIPINA RODRIGUEZ A</v>
          </cell>
          <cell r="I99" t="str">
            <v>AGRIPINA RODRIGUEZ A</v>
          </cell>
          <cell r="J99" t="str">
            <v>BAJA</v>
          </cell>
          <cell r="K99" t="str">
            <v/>
          </cell>
          <cell r="L99">
            <v>0</v>
          </cell>
          <cell r="M99">
            <v>100</v>
          </cell>
          <cell r="N99" t="str">
            <v>S</v>
          </cell>
          <cell r="O99">
            <v>40829</v>
          </cell>
          <cell r="P99" t="str">
            <v xml:space="preserve">    3</v>
          </cell>
          <cell r="Q99">
            <v>0</v>
          </cell>
          <cell r="R99">
            <v>0</v>
          </cell>
          <cell r="S99">
            <v>0</v>
          </cell>
          <cell r="T99">
            <v>2500</v>
          </cell>
          <cell r="U99">
            <v>0</v>
          </cell>
          <cell r="V99" t="str">
            <v/>
          </cell>
          <cell r="W99" t="str">
            <v/>
          </cell>
          <cell r="X99" t="str">
            <v/>
          </cell>
        </row>
        <row r="100">
          <cell r="A100">
            <v>1099</v>
          </cell>
          <cell r="B100" t="str">
            <v>SUSANA FUENTES (COACALCO)</v>
          </cell>
          <cell r="C100" t="str">
            <v/>
          </cell>
          <cell r="D100" t="str">
            <v>AV. LOPEZ PORTILLO #37 LOCAL 22</v>
          </cell>
          <cell r="E100" t="str">
            <v>COACALCO, EDO. DE MEXICO</v>
          </cell>
          <cell r="F100" t="str">
            <v/>
          </cell>
          <cell r="G100" t="str">
            <v>(55) 1039-8746</v>
          </cell>
          <cell r="H100" t="str">
            <v>SUSANA FUENTES</v>
          </cell>
          <cell r="I100" t="str">
            <v>SUSANA FUENTES</v>
          </cell>
          <cell r="J100" t="str">
            <v>BAJA</v>
          </cell>
          <cell r="K100" t="str">
            <v/>
          </cell>
          <cell r="L100">
            <v>0</v>
          </cell>
          <cell r="M100">
            <v>101</v>
          </cell>
          <cell r="N100" t="str">
            <v>A</v>
          </cell>
          <cell r="O100">
            <v>40733</v>
          </cell>
          <cell r="P100" t="str">
            <v xml:space="preserve">    3</v>
          </cell>
          <cell r="Q100">
            <v>0</v>
          </cell>
          <cell r="R100">
            <v>0</v>
          </cell>
          <cell r="S100">
            <v>0</v>
          </cell>
          <cell r="T100">
            <v>489</v>
          </cell>
          <cell r="U100">
            <v>0</v>
          </cell>
          <cell r="V100" t="str">
            <v>MEGA COMERCIAL</v>
          </cell>
          <cell r="W100" t="str">
            <v/>
          </cell>
          <cell r="X100" t="str">
            <v/>
          </cell>
        </row>
        <row r="101">
          <cell r="A101">
            <v>2001</v>
          </cell>
          <cell r="B101" t="str">
            <v>CONSUELO LEYVA</v>
          </cell>
          <cell r="C101" t="str">
            <v/>
          </cell>
          <cell r="D101" t="str">
            <v>MANUEL J. CAMPOS No. 8</v>
          </cell>
          <cell r="E101" t="str">
            <v xml:space="preserve">SAN JUAN DEL RIO, QRO.        </v>
          </cell>
          <cell r="F101" t="str">
            <v/>
          </cell>
          <cell r="G101" t="str">
            <v>274-6706</v>
          </cell>
          <cell r="H101" t="str">
            <v>ESTELA ANDRADE B.</v>
          </cell>
          <cell r="I101" t="str">
            <v>ESTELA ANDRADE B.</v>
          </cell>
          <cell r="J101" t="str">
            <v>L01</v>
          </cell>
          <cell r="K101" t="str">
            <v/>
          </cell>
          <cell r="L101">
            <v>0</v>
          </cell>
          <cell r="M101">
            <v>102</v>
          </cell>
          <cell r="N101" t="str">
            <v>A</v>
          </cell>
          <cell r="O101">
            <v>42247</v>
          </cell>
          <cell r="P101" t="str">
            <v xml:space="preserve">    3</v>
          </cell>
          <cell r="Q101">
            <v>0</v>
          </cell>
          <cell r="R101">
            <v>0</v>
          </cell>
          <cell r="S101">
            <v>199</v>
          </cell>
          <cell r="T101">
            <v>3805</v>
          </cell>
          <cell r="U101">
            <v>0</v>
          </cell>
          <cell r="V101" t="str">
            <v>CENTRO</v>
          </cell>
          <cell r="W101" t="str">
            <v>044427-123-1147</v>
          </cell>
          <cell r="X101" t="str">
            <v/>
          </cell>
        </row>
        <row r="102">
          <cell r="A102">
            <v>2002</v>
          </cell>
          <cell r="B102" t="str">
            <v>ELIZABETH TREJO LEOS (TLALNEPANTLA)</v>
          </cell>
          <cell r="C102" t="str">
            <v/>
          </cell>
          <cell r="D102" t="str">
            <v/>
          </cell>
          <cell r="E102" t="str">
            <v>TLALNEPANTLA, EDO. DE MEXICO</v>
          </cell>
          <cell r="F102" t="str">
            <v/>
          </cell>
          <cell r="G102" t="str">
            <v>04455 3643-1244</v>
          </cell>
          <cell r="H102" t="str">
            <v>ELIZABETH TREJO LEOS</v>
          </cell>
          <cell r="I102" t="str">
            <v>ELIZABETH TREJO LEOS</v>
          </cell>
          <cell r="J102" t="str">
            <v>BAJA</v>
          </cell>
          <cell r="K102" t="str">
            <v/>
          </cell>
          <cell r="L102">
            <v>0</v>
          </cell>
          <cell r="M102">
            <v>103</v>
          </cell>
          <cell r="N102" t="str">
            <v>A</v>
          </cell>
          <cell r="O102">
            <v>40805</v>
          </cell>
          <cell r="P102" t="str">
            <v xml:space="preserve">    3</v>
          </cell>
          <cell r="Q102">
            <v>0</v>
          </cell>
          <cell r="R102">
            <v>0</v>
          </cell>
          <cell r="S102">
            <v>0</v>
          </cell>
          <cell r="T102">
            <v>9050</v>
          </cell>
          <cell r="U102">
            <v>0</v>
          </cell>
          <cell r="V102" t="str">
            <v/>
          </cell>
          <cell r="W102" t="str">
            <v/>
          </cell>
          <cell r="X102" t="str">
            <v/>
          </cell>
        </row>
        <row r="103">
          <cell r="A103">
            <v>2003</v>
          </cell>
          <cell r="B103" t="str">
            <v>NOVIAS LORENA  (QUERETARO)</v>
          </cell>
          <cell r="C103" t="str">
            <v>ROLL-651029-LK3</v>
          </cell>
          <cell r="D103" t="str">
            <v>16 DE SEPTIEMBRE # 21 PTE</v>
          </cell>
          <cell r="E103" t="str">
            <v>QUERETARO, QRO.</v>
          </cell>
          <cell r="F103" t="str">
            <v/>
          </cell>
          <cell r="G103" t="str">
            <v>(442) 212-2598</v>
          </cell>
          <cell r="H103" t="str">
            <v>LAURA ROBLES LUARCA</v>
          </cell>
          <cell r="I103" t="str">
            <v>LAURA ROBLES LUARCA</v>
          </cell>
          <cell r="J103" t="str">
            <v>L04</v>
          </cell>
          <cell r="K103" t="str">
            <v/>
          </cell>
          <cell r="L103">
            <v>0</v>
          </cell>
          <cell r="M103">
            <v>104</v>
          </cell>
          <cell r="N103" t="str">
            <v>A</v>
          </cell>
          <cell r="O103">
            <v>42228</v>
          </cell>
          <cell r="P103" t="str">
            <v xml:space="preserve">   97</v>
          </cell>
          <cell r="Q103">
            <v>0</v>
          </cell>
          <cell r="R103">
            <v>0</v>
          </cell>
          <cell r="S103">
            <v>0</v>
          </cell>
          <cell r="T103">
            <v>7272.1100000000006</v>
          </cell>
          <cell r="U103">
            <v>0</v>
          </cell>
          <cell r="V103" t="str">
            <v>CENTRO</v>
          </cell>
          <cell r="W103" t="str">
            <v/>
          </cell>
          <cell r="X103" t="str">
            <v>lauraerob@hotmail.com</v>
          </cell>
        </row>
        <row r="104">
          <cell r="A104">
            <v>2004</v>
          </cell>
          <cell r="B104" t="str">
            <v>ALICIA GONZALEZ (SAN JUAN)</v>
          </cell>
          <cell r="C104" t="str">
            <v/>
          </cell>
          <cell r="D104" t="str">
            <v>MERCADO LOC. 34</v>
          </cell>
          <cell r="E104" t="str">
            <v>SAN JUAN DEL RIO, QRO.</v>
          </cell>
          <cell r="F104" t="str">
            <v/>
          </cell>
          <cell r="G104" t="str">
            <v>(272) 274-2645</v>
          </cell>
          <cell r="H104" t="str">
            <v>ALICIA GONZALEZ</v>
          </cell>
          <cell r="I104" t="str">
            <v>ALICIA GONZALEZ</v>
          </cell>
          <cell r="J104" t="str">
            <v>BAJA</v>
          </cell>
          <cell r="K104" t="str">
            <v/>
          </cell>
          <cell r="L104">
            <v>0</v>
          </cell>
          <cell r="M104">
            <v>105</v>
          </cell>
          <cell r="N104" t="str">
            <v>A</v>
          </cell>
          <cell r="O104">
            <v>41121</v>
          </cell>
          <cell r="P104" t="str">
            <v xml:space="preserve">    1</v>
          </cell>
          <cell r="Q104">
            <v>0</v>
          </cell>
          <cell r="R104">
            <v>0</v>
          </cell>
          <cell r="S104">
            <v>0</v>
          </cell>
          <cell r="T104">
            <v>716</v>
          </cell>
          <cell r="U104">
            <v>0</v>
          </cell>
          <cell r="V104" t="str">
            <v/>
          </cell>
          <cell r="W104" t="str">
            <v>(427) 111-5286/132-3765 C</v>
          </cell>
          <cell r="X104" t="str">
            <v/>
          </cell>
        </row>
        <row r="105">
          <cell r="A105">
            <v>2005</v>
          </cell>
          <cell r="B105" t="str">
            <v>LIDIA SALINAS TREJO (ZUMPANGO)</v>
          </cell>
          <cell r="C105" t="str">
            <v/>
          </cell>
          <cell r="D105" t="str">
            <v>MERCADO MUNICIPAL DE ZUMPANGO LOCAL 67</v>
          </cell>
          <cell r="E105" t="str">
            <v>ZUMPANGO, EDO. DE MEXICO</v>
          </cell>
          <cell r="F105" t="str">
            <v/>
          </cell>
          <cell r="G105" t="str">
            <v/>
          </cell>
          <cell r="H105" t="str">
            <v/>
          </cell>
          <cell r="I105" t="str">
            <v/>
          </cell>
          <cell r="J105" t="str">
            <v>BAJA</v>
          </cell>
          <cell r="K105" t="str">
            <v/>
          </cell>
          <cell r="L105">
            <v>0</v>
          </cell>
          <cell r="M105">
            <v>106</v>
          </cell>
          <cell r="N105" t="str">
            <v>A</v>
          </cell>
          <cell r="O105">
            <v>41131</v>
          </cell>
          <cell r="P105" t="str">
            <v xml:space="preserve">    3</v>
          </cell>
          <cell r="Q105">
            <v>0</v>
          </cell>
          <cell r="R105">
            <v>0</v>
          </cell>
          <cell r="S105">
            <v>0</v>
          </cell>
          <cell r="T105">
            <v>11217</v>
          </cell>
          <cell r="U105">
            <v>0</v>
          </cell>
          <cell r="V105" t="str">
            <v>CENTRO</v>
          </cell>
          <cell r="W105" t="str">
            <v/>
          </cell>
          <cell r="X105" t="str">
            <v/>
          </cell>
        </row>
        <row r="106">
          <cell r="A106">
            <v>2006</v>
          </cell>
          <cell r="B106" t="str">
            <v>MA. EUGENIA GUTIERREZ MARTINEZ (JILOTEPEC)</v>
          </cell>
          <cell r="C106" t="str">
            <v/>
          </cell>
          <cell r="D106" t="str">
            <v>PORTAL AVILA CAMACHO #114</v>
          </cell>
          <cell r="E106" t="str">
            <v>JILOTEPEC, EDO. DE MEXICO</v>
          </cell>
          <cell r="F106" t="str">
            <v/>
          </cell>
          <cell r="G106" t="str">
            <v/>
          </cell>
          <cell r="H106" t="str">
            <v/>
          </cell>
          <cell r="I106" t="str">
            <v/>
          </cell>
          <cell r="J106" t="str">
            <v>BAJA</v>
          </cell>
          <cell r="K106" t="str">
            <v/>
          </cell>
          <cell r="L106">
            <v>0</v>
          </cell>
          <cell r="M106">
            <v>107</v>
          </cell>
          <cell r="N106" t="str">
            <v>A</v>
          </cell>
          <cell r="O106">
            <v>41302</v>
          </cell>
          <cell r="P106" t="str">
            <v xml:space="preserve">    1</v>
          </cell>
          <cell r="Q106">
            <v>0</v>
          </cell>
          <cell r="R106">
            <v>0</v>
          </cell>
          <cell r="S106">
            <v>0</v>
          </cell>
          <cell r="T106">
            <v>7944</v>
          </cell>
          <cell r="U106">
            <v>0</v>
          </cell>
          <cell r="V106" t="str">
            <v>CENTRO</v>
          </cell>
          <cell r="W106" t="str">
            <v/>
          </cell>
          <cell r="X106" t="str">
            <v/>
          </cell>
        </row>
        <row r="107">
          <cell r="A107">
            <v>2007</v>
          </cell>
          <cell r="B107" t="str">
            <v>ISABEL MANZANO ORTIZ (TLAXCOAPAN)</v>
          </cell>
          <cell r="C107" t="str">
            <v/>
          </cell>
          <cell r="D107" t="str">
            <v>FRANCISCO I. MADERO #2</v>
          </cell>
          <cell r="E107" t="str">
            <v>TLAXCOAPAN, HGO.</v>
          </cell>
          <cell r="F107" t="str">
            <v/>
          </cell>
          <cell r="G107" t="str">
            <v>(773) 737-0215</v>
          </cell>
          <cell r="H107" t="str">
            <v>ISABEL MANZANO</v>
          </cell>
          <cell r="I107" t="str">
            <v>ISABEL MANZANO</v>
          </cell>
          <cell r="J107" t="str">
            <v>BAJA</v>
          </cell>
          <cell r="K107" t="str">
            <v/>
          </cell>
          <cell r="L107">
            <v>0</v>
          </cell>
          <cell r="M107">
            <v>108</v>
          </cell>
          <cell r="N107" t="str">
            <v>A</v>
          </cell>
          <cell r="O107">
            <v>41438</v>
          </cell>
          <cell r="P107" t="str">
            <v xml:space="preserve">    1</v>
          </cell>
          <cell r="Q107">
            <v>0</v>
          </cell>
          <cell r="R107">
            <v>0</v>
          </cell>
          <cell r="S107">
            <v>0</v>
          </cell>
          <cell r="T107">
            <v>16027</v>
          </cell>
          <cell r="U107">
            <v>0</v>
          </cell>
          <cell r="V107" t="str">
            <v/>
          </cell>
          <cell r="W107" t="str">
            <v/>
          </cell>
          <cell r="X107" t="str">
            <v/>
          </cell>
        </row>
        <row r="108">
          <cell r="A108">
            <v>2008</v>
          </cell>
          <cell r="B108" t="str">
            <v>GRACIELA GALICIA GARCIA (VILLA)</v>
          </cell>
          <cell r="C108" t="str">
            <v/>
          </cell>
          <cell r="D108" t="str">
            <v>BLVD. COACALCO 414, LOCAL 69</v>
          </cell>
          <cell r="E108" t="str">
            <v>COACALCO, EDO. DE MEXICO</v>
          </cell>
          <cell r="F108" t="str">
            <v/>
          </cell>
          <cell r="G108" t="str">
            <v>(55) 5879-9988</v>
          </cell>
          <cell r="H108" t="str">
            <v/>
          </cell>
          <cell r="I108" t="str">
            <v/>
          </cell>
          <cell r="J108" t="str">
            <v>BAJA</v>
          </cell>
          <cell r="K108" t="str">
            <v/>
          </cell>
          <cell r="L108">
            <v>10</v>
          </cell>
          <cell r="M108">
            <v>109</v>
          </cell>
          <cell r="N108" t="str">
            <v>S</v>
          </cell>
          <cell r="O108">
            <v>41081</v>
          </cell>
          <cell r="P108" t="str">
            <v xml:space="preserve">    3</v>
          </cell>
          <cell r="Q108">
            <v>0</v>
          </cell>
          <cell r="R108">
            <v>0</v>
          </cell>
          <cell r="S108">
            <v>0</v>
          </cell>
          <cell r="T108">
            <v>7453</v>
          </cell>
          <cell r="U108">
            <v>0</v>
          </cell>
          <cell r="V108" t="str">
            <v>VILLA DE LAS FLORES</v>
          </cell>
          <cell r="W108" t="str">
            <v/>
          </cell>
          <cell r="X108" t="str">
            <v/>
          </cell>
        </row>
        <row r="109">
          <cell r="A109">
            <v>2009</v>
          </cell>
          <cell r="B109" t="str">
            <v>RAUL MUÑOZ (TEXCOCO)</v>
          </cell>
          <cell r="C109" t="str">
            <v/>
          </cell>
          <cell r="D109" t="str">
            <v>MERCADO SAN ANTONIO LOCAL 2,3 Y 4</v>
          </cell>
          <cell r="E109" t="str">
            <v>TEXCOCO, EDO. DE MEXICO</v>
          </cell>
          <cell r="F109" t="str">
            <v/>
          </cell>
          <cell r="G109" t="str">
            <v>953-1256</v>
          </cell>
          <cell r="H109" t="str">
            <v>RAUL MUÑOZ</v>
          </cell>
          <cell r="I109" t="str">
            <v>RAUL MUÑOZ</v>
          </cell>
          <cell r="J109" t="str">
            <v>BAJA</v>
          </cell>
          <cell r="K109" t="str">
            <v/>
          </cell>
          <cell r="L109">
            <v>0</v>
          </cell>
          <cell r="M109">
            <v>110</v>
          </cell>
          <cell r="N109" t="str">
            <v>A</v>
          </cell>
          <cell r="O109">
            <v>40742</v>
          </cell>
          <cell r="P109" t="str">
            <v xml:space="preserve">    3</v>
          </cell>
          <cell r="Q109">
            <v>0</v>
          </cell>
          <cell r="R109">
            <v>0</v>
          </cell>
          <cell r="S109">
            <v>0</v>
          </cell>
          <cell r="T109">
            <v>1339</v>
          </cell>
          <cell r="U109">
            <v>0</v>
          </cell>
          <cell r="V109" t="str">
            <v>CENTRO</v>
          </cell>
          <cell r="W109" t="str">
            <v/>
          </cell>
          <cell r="X109" t="str">
            <v/>
          </cell>
        </row>
        <row r="110">
          <cell r="A110">
            <v>2010</v>
          </cell>
          <cell r="B110" t="str">
            <v>MARGARITA SANCHEZ MARTINEZ (TEOLOYUCAN)</v>
          </cell>
          <cell r="C110" t="str">
            <v/>
          </cell>
          <cell r="D110" t="str">
            <v>AV. HIDALGO S/N</v>
          </cell>
          <cell r="E110" t="str">
            <v>TEOLOYUCAN, EDO. DE MEXICO</v>
          </cell>
          <cell r="F110" t="str">
            <v/>
          </cell>
          <cell r="G110" t="str">
            <v>(593) 914-1758</v>
          </cell>
          <cell r="H110" t="str">
            <v>MARGARITA SANCHEZ M.</v>
          </cell>
          <cell r="I110" t="str">
            <v>MARGARITA SANCHEZ M.</v>
          </cell>
          <cell r="J110" t="str">
            <v>BAJA</v>
          </cell>
          <cell r="K110" t="str">
            <v/>
          </cell>
          <cell r="L110">
            <v>0</v>
          </cell>
          <cell r="M110">
            <v>111</v>
          </cell>
          <cell r="N110" t="str">
            <v>A</v>
          </cell>
          <cell r="O110">
            <v>40805</v>
          </cell>
          <cell r="P110" t="str">
            <v xml:space="preserve">    3</v>
          </cell>
          <cell r="Q110">
            <v>0</v>
          </cell>
          <cell r="R110">
            <v>0</v>
          </cell>
          <cell r="S110">
            <v>0</v>
          </cell>
          <cell r="T110">
            <v>1118</v>
          </cell>
          <cell r="U110">
            <v>0</v>
          </cell>
          <cell r="V110" t="str">
            <v>CENTRO</v>
          </cell>
          <cell r="W110" t="str">
            <v/>
          </cell>
          <cell r="X110" t="str">
            <v/>
          </cell>
        </row>
        <row r="111">
          <cell r="A111">
            <v>2011</v>
          </cell>
          <cell r="B111" t="str">
            <v>ROCIO TREJO (HUICHAPAN)</v>
          </cell>
          <cell r="C111" t="str">
            <v/>
          </cell>
          <cell r="D111" t="str">
            <v>P UNION #5</v>
          </cell>
          <cell r="E111" t="str">
            <v>HUICHAPAN, HGO.</v>
          </cell>
          <cell r="F111" t="str">
            <v/>
          </cell>
          <cell r="G111" t="str">
            <v>(773) 125-3404 CEL</v>
          </cell>
          <cell r="H111" t="str">
            <v>ROCIO TREJO</v>
          </cell>
          <cell r="I111" t="str">
            <v>ROCIO TREJO</v>
          </cell>
          <cell r="J111" t="str">
            <v>BAJA</v>
          </cell>
          <cell r="K111" t="str">
            <v/>
          </cell>
          <cell r="L111">
            <v>0</v>
          </cell>
          <cell r="M111">
            <v>112</v>
          </cell>
          <cell r="N111" t="str">
            <v>A</v>
          </cell>
          <cell r="O111">
            <v>40835</v>
          </cell>
          <cell r="P111" t="str">
            <v xml:space="preserve">    6</v>
          </cell>
          <cell r="Q111">
            <v>0</v>
          </cell>
          <cell r="R111">
            <v>0</v>
          </cell>
          <cell r="S111">
            <v>0</v>
          </cell>
          <cell r="T111">
            <v>7567</v>
          </cell>
          <cell r="U111">
            <v>0</v>
          </cell>
          <cell r="V111" t="str">
            <v>CENTRO</v>
          </cell>
          <cell r="W111" t="str">
            <v/>
          </cell>
          <cell r="X111" t="str">
            <v/>
          </cell>
        </row>
        <row r="112">
          <cell r="A112">
            <v>2012</v>
          </cell>
          <cell r="B112" t="str">
            <v>JOSEFINA RIVERO HERNANDEZ (TIZAYUCA)</v>
          </cell>
          <cell r="C112" t="str">
            <v/>
          </cell>
          <cell r="D112" t="str">
            <v>AV. JUAREZ SUR #24</v>
          </cell>
          <cell r="E112" t="str">
            <v>TIZAYUCA, HGO.</v>
          </cell>
          <cell r="F112" t="str">
            <v/>
          </cell>
          <cell r="G112" t="str">
            <v/>
          </cell>
          <cell r="H112" t="str">
            <v>JOSEFINA RIVERO H.</v>
          </cell>
          <cell r="I112" t="str">
            <v>JOSEFINA RIVERO H.</v>
          </cell>
          <cell r="J112" t="str">
            <v>BAJA</v>
          </cell>
          <cell r="K112" t="str">
            <v/>
          </cell>
          <cell r="L112">
            <v>0</v>
          </cell>
          <cell r="M112">
            <v>113</v>
          </cell>
          <cell r="N112" t="str">
            <v>S</v>
          </cell>
          <cell r="O112">
            <v>40816</v>
          </cell>
          <cell r="P112" t="str">
            <v xml:space="preserve">    3</v>
          </cell>
          <cell r="Q112">
            <v>0</v>
          </cell>
          <cell r="R112">
            <v>0</v>
          </cell>
          <cell r="S112">
            <v>0</v>
          </cell>
          <cell r="T112">
            <v>4240</v>
          </cell>
          <cell r="U112">
            <v>0</v>
          </cell>
          <cell r="V112" t="str">
            <v>CENTRO</v>
          </cell>
          <cell r="W112" t="str">
            <v/>
          </cell>
          <cell r="X112" t="str">
            <v/>
          </cell>
        </row>
        <row r="113">
          <cell r="A113">
            <v>2013</v>
          </cell>
          <cell r="B113" t="str">
            <v>BLANCA ESTELA MARQUEZ PEREZ (ATITALAQUIA)</v>
          </cell>
          <cell r="C113" t="str">
            <v/>
          </cell>
          <cell r="D113" t="str">
            <v>MELCHOR OCAMPO #24</v>
          </cell>
          <cell r="E113" t="str">
            <v>ATITALAQUIA, HGO.</v>
          </cell>
          <cell r="F113" t="str">
            <v/>
          </cell>
          <cell r="G113" t="str">
            <v>(778) 737-3136</v>
          </cell>
          <cell r="H113" t="str">
            <v>BLANCA ESTELA MARQUE</v>
          </cell>
          <cell r="I113" t="str">
            <v>BLANCA ESTELA MARQUE</v>
          </cell>
          <cell r="J113" t="str">
            <v>BAJA</v>
          </cell>
          <cell r="K113" t="str">
            <v/>
          </cell>
          <cell r="L113">
            <v>0</v>
          </cell>
          <cell r="M113">
            <v>114</v>
          </cell>
          <cell r="N113" t="str">
            <v>S</v>
          </cell>
          <cell r="O113">
            <v>41036</v>
          </cell>
          <cell r="P113" t="str">
            <v xml:space="preserve">    1</v>
          </cell>
          <cell r="Q113">
            <v>0</v>
          </cell>
          <cell r="R113">
            <v>0</v>
          </cell>
          <cell r="S113">
            <v>0</v>
          </cell>
          <cell r="T113">
            <v>8292</v>
          </cell>
          <cell r="U113">
            <v>0</v>
          </cell>
          <cell r="V113" t="str">
            <v>CENTRO</v>
          </cell>
          <cell r="W113" t="str">
            <v/>
          </cell>
          <cell r="X113" t="str">
            <v/>
          </cell>
        </row>
        <row r="114">
          <cell r="A114">
            <v>2014</v>
          </cell>
          <cell r="B114" t="str">
            <v>ROSA MARIA FLORES (TEOLOYUCAN)</v>
          </cell>
          <cell r="C114" t="str">
            <v/>
          </cell>
          <cell r="D114" t="str">
            <v/>
          </cell>
          <cell r="E114" t="str">
            <v>TEOLOYUCAN, EDO. DE MEXICO</v>
          </cell>
          <cell r="F114" t="str">
            <v/>
          </cell>
          <cell r="G114" t="str">
            <v>(55) 1798-9277 CEL</v>
          </cell>
          <cell r="H114" t="str">
            <v>ROSA MARIA FLORES</v>
          </cell>
          <cell r="I114" t="str">
            <v>ROSA MARIA FLORES</v>
          </cell>
          <cell r="J114" t="str">
            <v>BAJA</v>
          </cell>
          <cell r="K114" t="str">
            <v/>
          </cell>
          <cell r="L114">
            <v>0</v>
          </cell>
          <cell r="M114">
            <v>115</v>
          </cell>
          <cell r="N114" t="str">
            <v>A</v>
          </cell>
          <cell r="O114">
            <v>40886</v>
          </cell>
          <cell r="P114" t="str">
            <v xml:space="preserve">    3</v>
          </cell>
          <cell r="Q114">
            <v>0</v>
          </cell>
          <cell r="R114">
            <v>0</v>
          </cell>
          <cell r="S114">
            <v>0</v>
          </cell>
          <cell r="T114">
            <v>4488</v>
          </cell>
          <cell r="U114">
            <v>0</v>
          </cell>
          <cell r="V114" t="str">
            <v/>
          </cell>
          <cell r="W114" t="str">
            <v/>
          </cell>
          <cell r="X114" t="str">
            <v/>
          </cell>
        </row>
        <row r="115">
          <cell r="A115">
            <v>2015</v>
          </cell>
          <cell r="B115" t="str">
            <v>MAYRA CHAVEZ SANTIAGO (APAXCO)</v>
          </cell>
          <cell r="C115" t="str">
            <v/>
          </cell>
          <cell r="D115" t="str">
            <v>DIVISION DEL NORTE #11</v>
          </cell>
          <cell r="E115" t="str">
            <v>APAXCO, EDO. DE MEXICO</v>
          </cell>
          <cell r="F115" t="str">
            <v/>
          </cell>
          <cell r="G115" t="str">
            <v/>
          </cell>
          <cell r="H115" t="str">
            <v>MAYRA CHAVEZ SANTIAG</v>
          </cell>
          <cell r="I115" t="str">
            <v>MAYRA CHAVEZ SANTIAG</v>
          </cell>
          <cell r="J115" t="str">
            <v>M04</v>
          </cell>
          <cell r="K115" t="str">
            <v/>
          </cell>
          <cell r="L115">
            <v>0</v>
          </cell>
          <cell r="M115">
            <v>116</v>
          </cell>
          <cell r="N115" t="str">
            <v>A</v>
          </cell>
          <cell r="O115">
            <v>42160</v>
          </cell>
          <cell r="P115" t="str">
            <v xml:space="preserve">    3</v>
          </cell>
          <cell r="Q115">
            <v>0</v>
          </cell>
          <cell r="R115">
            <v>0</v>
          </cell>
          <cell r="S115">
            <v>0</v>
          </cell>
          <cell r="T115">
            <v>4784</v>
          </cell>
          <cell r="U115">
            <v>0</v>
          </cell>
          <cell r="V115" t="str">
            <v>LOMA BONITA</v>
          </cell>
          <cell r="W115" t="str">
            <v/>
          </cell>
          <cell r="X115" t="str">
            <v/>
          </cell>
        </row>
        <row r="116">
          <cell r="A116">
            <v>2016</v>
          </cell>
          <cell r="B116" t="str">
            <v>KARINA SERRANO SANTIAGO (APAXCO)</v>
          </cell>
          <cell r="C116" t="str">
            <v/>
          </cell>
          <cell r="D116" t="str">
            <v>DIVISION DEL NORTE #11</v>
          </cell>
          <cell r="E116" t="str">
            <v>APAXCO, EDO. DE MEXICO</v>
          </cell>
          <cell r="F116" t="str">
            <v/>
          </cell>
          <cell r="G116" t="str">
            <v>(55) 9162-0612</v>
          </cell>
          <cell r="H116" t="str">
            <v>KARINA SERRANO SANTI</v>
          </cell>
          <cell r="I116" t="str">
            <v>KARINA SERRANO SANTI</v>
          </cell>
          <cell r="J116" t="str">
            <v>M04</v>
          </cell>
          <cell r="K116" t="str">
            <v/>
          </cell>
          <cell r="L116">
            <v>0</v>
          </cell>
          <cell r="M116">
            <v>117</v>
          </cell>
          <cell r="N116" t="str">
            <v>A</v>
          </cell>
          <cell r="O116">
            <v>42438</v>
          </cell>
          <cell r="P116" t="str">
            <v xml:space="preserve">    3</v>
          </cell>
          <cell r="Q116">
            <v>0</v>
          </cell>
          <cell r="R116">
            <v>0</v>
          </cell>
          <cell r="S116">
            <v>1540</v>
          </cell>
          <cell r="T116">
            <v>71090</v>
          </cell>
          <cell r="U116">
            <v>0</v>
          </cell>
          <cell r="V116" t="str">
            <v>LOMA BONITA</v>
          </cell>
          <cell r="W116" t="str">
            <v>(55) 3504-0814 CEL</v>
          </cell>
          <cell r="X116" t="str">
            <v/>
          </cell>
        </row>
        <row r="117">
          <cell r="A117">
            <v>2017</v>
          </cell>
          <cell r="B117" t="str">
            <v>MARICARMEN JUAREZ MICHE (APAXCO)</v>
          </cell>
          <cell r="C117" t="str">
            <v/>
          </cell>
          <cell r="D117" t="str">
            <v>AV. JUAREZ #75</v>
          </cell>
          <cell r="E117" t="str">
            <v>APAXCO, EDO. DE MEXICO</v>
          </cell>
          <cell r="F117" t="str">
            <v/>
          </cell>
          <cell r="G117" t="str">
            <v>(599) 998-0083</v>
          </cell>
          <cell r="H117" t="str">
            <v>MARICARMEN JUAREZ M.</v>
          </cell>
          <cell r="I117" t="str">
            <v>MARICARMEN JUAREZ M.</v>
          </cell>
          <cell r="J117" t="str">
            <v>BAJA</v>
          </cell>
          <cell r="K117" t="str">
            <v/>
          </cell>
          <cell r="L117">
            <v>0</v>
          </cell>
          <cell r="M117">
            <v>118</v>
          </cell>
          <cell r="N117" t="str">
            <v>A</v>
          </cell>
          <cell r="O117">
            <v>40754</v>
          </cell>
          <cell r="P117" t="str">
            <v xml:space="preserve">    3</v>
          </cell>
          <cell r="Q117">
            <v>0</v>
          </cell>
          <cell r="R117">
            <v>0</v>
          </cell>
          <cell r="S117">
            <v>0</v>
          </cell>
          <cell r="T117">
            <v>989</v>
          </cell>
          <cell r="U117">
            <v>0</v>
          </cell>
          <cell r="V117" t="str">
            <v>CENTRO</v>
          </cell>
          <cell r="W117" t="str">
            <v/>
          </cell>
          <cell r="X117" t="str">
            <v/>
          </cell>
        </row>
        <row r="118">
          <cell r="A118">
            <v>2018</v>
          </cell>
          <cell r="B118" t="str">
            <v>ROCIO RODRIGUEZ MARTINEZ (TULA)</v>
          </cell>
          <cell r="C118" t="str">
            <v/>
          </cell>
          <cell r="D118" t="str">
            <v xml:space="preserve"> </v>
          </cell>
          <cell r="E118" t="str">
            <v>TULA, HGO.</v>
          </cell>
          <cell r="F118" t="str">
            <v/>
          </cell>
          <cell r="G118" t="str">
            <v>(773) 732-6757</v>
          </cell>
          <cell r="H118" t="str">
            <v>ROCIO RODRIGUEZ M.</v>
          </cell>
          <cell r="I118" t="str">
            <v>ROCIO RODRIGUEZ M.</v>
          </cell>
          <cell r="J118" t="str">
            <v>BAJA</v>
          </cell>
          <cell r="K118" t="str">
            <v/>
          </cell>
          <cell r="L118">
            <v>0</v>
          </cell>
          <cell r="M118">
            <v>119</v>
          </cell>
          <cell r="N118" t="str">
            <v>A</v>
          </cell>
          <cell r="O118">
            <v>40947</v>
          </cell>
          <cell r="P118" t="str">
            <v xml:space="preserve">    1</v>
          </cell>
          <cell r="Q118">
            <v>0</v>
          </cell>
          <cell r="R118">
            <v>0</v>
          </cell>
          <cell r="S118">
            <v>0</v>
          </cell>
          <cell r="T118">
            <v>9624</v>
          </cell>
          <cell r="U118">
            <v>0</v>
          </cell>
          <cell r="V118" t="str">
            <v>CENTRO</v>
          </cell>
          <cell r="W118" t="str">
            <v/>
          </cell>
          <cell r="X118" t="str">
            <v/>
          </cell>
        </row>
        <row r="119">
          <cell r="A119">
            <v>2019</v>
          </cell>
          <cell r="B119" t="str">
            <v>MARIA ELENA CRUZ SAVEDRA (ATOTONILCO)</v>
          </cell>
          <cell r="C119" t="str">
            <v/>
          </cell>
          <cell r="D119" t="str">
            <v>1RA SECC. DE CONEJOS</v>
          </cell>
          <cell r="E119" t="str">
            <v>ATOTONILCO, HGO.</v>
          </cell>
          <cell r="F119" t="str">
            <v/>
          </cell>
          <cell r="G119" t="str">
            <v/>
          </cell>
          <cell r="H119" t="str">
            <v>M. ELENA CRUZ SAVEDR</v>
          </cell>
          <cell r="I119" t="str">
            <v>M. ELENA CRUZ SAVEDR</v>
          </cell>
          <cell r="J119" t="str">
            <v>BAJA</v>
          </cell>
          <cell r="K119" t="str">
            <v/>
          </cell>
          <cell r="L119">
            <v>0</v>
          </cell>
          <cell r="M119">
            <v>120</v>
          </cell>
          <cell r="N119" t="str">
            <v>A</v>
          </cell>
          <cell r="O119">
            <v>40756</v>
          </cell>
          <cell r="P119" t="str">
            <v xml:space="preserve">    1</v>
          </cell>
          <cell r="Q119">
            <v>0</v>
          </cell>
          <cell r="R119">
            <v>0</v>
          </cell>
          <cell r="S119">
            <v>0</v>
          </cell>
          <cell r="T119">
            <v>643</v>
          </cell>
          <cell r="U119">
            <v>0</v>
          </cell>
          <cell r="V119" t="str">
            <v>CARR. ATOTON-CONEJO</v>
          </cell>
          <cell r="W119" t="str">
            <v/>
          </cell>
          <cell r="X119" t="str">
            <v/>
          </cell>
        </row>
        <row r="120">
          <cell r="A120">
            <v>2020</v>
          </cell>
          <cell r="B120" t="str">
            <v>ELISA Y CARMEN (ATITALAQUIA)</v>
          </cell>
          <cell r="C120" t="str">
            <v/>
          </cell>
          <cell r="D120" t="str">
            <v>AV. 16 DE ENERO #1 "D"</v>
          </cell>
          <cell r="E120" t="str">
            <v>ATITALAQUIA, HGO.</v>
          </cell>
          <cell r="F120" t="str">
            <v/>
          </cell>
          <cell r="G120" t="str">
            <v/>
          </cell>
          <cell r="H120" t="str">
            <v>ELISA Y CARMEN</v>
          </cell>
          <cell r="I120" t="str">
            <v>ELISA Y CARMEN</v>
          </cell>
          <cell r="J120" t="str">
            <v>BAJA</v>
          </cell>
          <cell r="K120" t="str">
            <v/>
          </cell>
          <cell r="L120">
            <v>0</v>
          </cell>
          <cell r="M120">
            <v>121</v>
          </cell>
          <cell r="N120" t="str">
            <v>S</v>
          </cell>
          <cell r="O120">
            <v>40756</v>
          </cell>
          <cell r="P120" t="str">
            <v xml:space="preserve">    1</v>
          </cell>
          <cell r="Q120">
            <v>0</v>
          </cell>
          <cell r="R120">
            <v>0</v>
          </cell>
          <cell r="S120">
            <v>0</v>
          </cell>
          <cell r="T120">
            <v>172</v>
          </cell>
          <cell r="U120">
            <v>0</v>
          </cell>
          <cell r="V120" t="str">
            <v>CENTRO</v>
          </cell>
          <cell r="W120" t="str">
            <v/>
          </cell>
          <cell r="X120" t="str">
            <v/>
          </cell>
        </row>
        <row r="121">
          <cell r="A121">
            <v>2021</v>
          </cell>
          <cell r="B121" t="str">
            <v>MALENE LEON MARQUEZ (ATOTONILCO)</v>
          </cell>
          <cell r="C121" t="str">
            <v/>
          </cell>
          <cell r="D121" t="str">
            <v>REPUBLICA DE NICARAGUA #2</v>
          </cell>
          <cell r="E121" t="str">
            <v>ATOTONILCO, HGO.</v>
          </cell>
          <cell r="F121" t="str">
            <v/>
          </cell>
          <cell r="G121" t="str">
            <v>(778) 735-0489</v>
          </cell>
          <cell r="H121" t="str">
            <v>MALENE LEON MARQUEZ</v>
          </cell>
          <cell r="I121" t="str">
            <v>MALENE LEON MARQUEZ</v>
          </cell>
          <cell r="J121" t="str">
            <v>BAJA</v>
          </cell>
          <cell r="K121" t="str">
            <v/>
          </cell>
          <cell r="L121">
            <v>0</v>
          </cell>
          <cell r="M121">
            <v>122</v>
          </cell>
          <cell r="N121" t="str">
            <v>A</v>
          </cell>
          <cell r="O121">
            <v>40781</v>
          </cell>
          <cell r="P121" t="str">
            <v xml:space="preserve">    1</v>
          </cell>
          <cell r="Q121">
            <v>0</v>
          </cell>
          <cell r="R121">
            <v>0</v>
          </cell>
          <cell r="S121">
            <v>0</v>
          </cell>
          <cell r="T121">
            <v>1246</v>
          </cell>
          <cell r="U121">
            <v>0</v>
          </cell>
          <cell r="V121" t="str">
            <v>CENTRO</v>
          </cell>
          <cell r="W121" t="str">
            <v/>
          </cell>
          <cell r="X121" t="str">
            <v/>
          </cell>
        </row>
        <row r="122">
          <cell r="A122">
            <v>2022</v>
          </cell>
          <cell r="B122" t="str">
            <v>SILVIA ROQUE ESTRADA (ATOTONILCO)</v>
          </cell>
          <cell r="C122" t="str">
            <v/>
          </cell>
          <cell r="D122" t="str">
            <v>REPUBLICA DE CHILE #8</v>
          </cell>
          <cell r="E122" t="str">
            <v>ATOTONILCO, HGO.</v>
          </cell>
          <cell r="F122" t="str">
            <v/>
          </cell>
          <cell r="G122" t="str">
            <v/>
          </cell>
          <cell r="H122" t="str">
            <v>SILVIA ROQUE ESTRADA</v>
          </cell>
          <cell r="I122" t="str">
            <v>SILVIA ROQUE ESTRADA</v>
          </cell>
          <cell r="J122" t="str">
            <v>BAJA</v>
          </cell>
          <cell r="K122" t="str">
            <v/>
          </cell>
          <cell r="L122">
            <v>0</v>
          </cell>
          <cell r="M122">
            <v>123</v>
          </cell>
          <cell r="N122" t="str">
            <v>A</v>
          </cell>
          <cell r="O122">
            <v>40756</v>
          </cell>
          <cell r="P122" t="str">
            <v xml:space="preserve">    1</v>
          </cell>
          <cell r="Q122">
            <v>0</v>
          </cell>
          <cell r="R122">
            <v>0</v>
          </cell>
          <cell r="S122">
            <v>0</v>
          </cell>
          <cell r="T122">
            <v>344</v>
          </cell>
          <cell r="U122">
            <v>0</v>
          </cell>
          <cell r="V122" t="str">
            <v>CENTRO</v>
          </cell>
          <cell r="W122" t="str">
            <v/>
          </cell>
          <cell r="X122" t="str">
            <v/>
          </cell>
        </row>
        <row r="123">
          <cell r="A123">
            <v>2023</v>
          </cell>
          <cell r="B123" t="str">
            <v>MARIA EUGENIA RIVERA ESPINOSA (ATOTONILCO)</v>
          </cell>
          <cell r="C123" t="str">
            <v/>
          </cell>
          <cell r="D123" t="str">
            <v>NICARAGUA S/N</v>
          </cell>
          <cell r="E123" t="str">
            <v>ATOTONILCO, HGO.</v>
          </cell>
          <cell r="F123" t="str">
            <v/>
          </cell>
          <cell r="G123" t="str">
            <v>(773) 102-1277 CEL</v>
          </cell>
          <cell r="H123" t="str">
            <v>MA. EUGENIA RIVERA</v>
          </cell>
          <cell r="I123" t="str">
            <v>MA. EUGENIA RIVERA</v>
          </cell>
          <cell r="J123" t="str">
            <v>M04</v>
          </cell>
          <cell r="K123" t="str">
            <v/>
          </cell>
          <cell r="L123">
            <v>0</v>
          </cell>
          <cell r="M123">
            <v>124</v>
          </cell>
          <cell r="N123" t="str">
            <v>A</v>
          </cell>
          <cell r="O123">
            <v>41696</v>
          </cell>
          <cell r="P123" t="str">
            <v xml:space="preserve">    1</v>
          </cell>
          <cell r="Q123">
            <v>0</v>
          </cell>
          <cell r="R123">
            <v>0</v>
          </cell>
          <cell r="S123">
            <v>0</v>
          </cell>
          <cell r="T123">
            <v>53009</v>
          </cell>
          <cell r="U123">
            <v>0</v>
          </cell>
          <cell r="V123" t="str">
            <v>CENTRO</v>
          </cell>
          <cell r="W123" t="str">
            <v/>
          </cell>
          <cell r="X123" t="str">
            <v/>
          </cell>
        </row>
        <row r="124">
          <cell r="A124">
            <v>2024</v>
          </cell>
          <cell r="B124" t="str">
            <v>MA. DOLORES CABALLERO (AMEALCO)</v>
          </cell>
          <cell r="C124" t="str">
            <v/>
          </cell>
          <cell r="D124" t="str">
            <v>PINO SUAREZ #155 ESQ NIÑOS HEROES</v>
          </cell>
          <cell r="E124" t="str">
            <v>AMEALCO, QRO.</v>
          </cell>
          <cell r="F124" t="str">
            <v/>
          </cell>
          <cell r="G124" t="str">
            <v/>
          </cell>
          <cell r="H124" t="str">
            <v>DOLORES CABALLERO</v>
          </cell>
          <cell r="I124" t="str">
            <v>DOLORES CABALLERO</v>
          </cell>
          <cell r="J124" t="str">
            <v>BAJA</v>
          </cell>
          <cell r="K124" t="str">
            <v/>
          </cell>
          <cell r="L124">
            <v>0</v>
          </cell>
          <cell r="M124">
            <v>125</v>
          </cell>
          <cell r="N124" t="str">
            <v>A</v>
          </cell>
          <cell r="O124">
            <v>40758</v>
          </cell>
          <cell r="P124" t="str">
            <v xml:space="preserve">    3</v>
          </cell>
          <cell r="Q124">
            <v>0</v>
          </cell>
          <cell r="R124">
            <v>0</v>
          </cell>
          <cell r="S124">
            <v>0</v>
          </cell>
          <cell r="T124">
            <v>520</v>
          </cell>
          <cell r="U124">
            <v>0</v>
          </cell>
          <cell r="V124" t="str">
            <v>CENTRO</v>
          </cell>
          <cell r="W124" t="str">
            <v/>
          </cell>
          <cell r="X124" t="str">
            <v/>
          </cell>
        </row>
        <row r="125">
          <cell r="A125">
            <v>2025</v>
          </cell>
          <cell r="B125" t="str">
            <v xml:space="preserve">NORMA MIRANDA HERNANDEZ (ATLACOMULCO)                       </v>
          </cell>
          <cell r="C125" t="str">
            <v/>
          </cell>
          <cell r="D125" t="str">
            <v>MERCADO ALDOLFO LOPEZ MATEOS LOCAL 41</v>
          </cell>
          <cell r="E125" t="str">
            <v>ATLACOMULCO, EDO. DE MEXICO</v>
          </cell>
          <cell r="F125" t="str">
            <v/>
          </cell>
          <cell r="G125" t="str">
            <v>(712) 122-3559 / 289-6387</v>
          </cell>
          <cell r="H125" t="str">
            <v>DELIA MIRANDA HDZ.</v>
          </cell>
          <cell r="I125" t="str">
            <v>DELIA MIRANDA HDZ.</v>
          </cell>
          <cell r="J125" t="str">
            <v>L08</v>
          </cell>
          <cell r="K125" t="str">
            <v/>
          </cell>
          <cell r="L125">
            <v>0</v>
          </cell>
          <cell r="M125">
            <v>126</v>
          </cell>
          <cell r="N125" t="str">
            <v>A</v>
          </cell>
          <cell r="O125">
            <v>42429</v>
          </cell>
          <cell r="P125" t="str">
            <v xml:space="preserve">    1</v>
          </cell>
          <cell r="Q125">
            <v>0</v>
          </cell>
          <cell r="R125">
            <v>0</v>
          </cell>
          <cell r="S125">
            <v>7965</v>
          </cell>
          <cell r="T125">
            <v>122206</v>
          </cell>
          <cell r="U125">
            <v>0</v>
          </cell>
          <cell r="V125" t="str">
            <v/>
          </cell>
          <cell r="W125" t="str">
            <v>(712) 122-0598</v>
          </cell>
          <cell r="X125" t="str">
            <v/>
          </cell>
        </row>
        <row r="126">
          <cell r="A126">
            <v>2026</v>
          </cell>
          <cell r="B126" t="str">
            <v>MAGALI ORTEGA (SAN CRISTOBAL)</v>
          </cell>
          <cell r="C126" t="str">
            <v/>
          </cell>
          <cell r="D126" t="str">
            <v>MELCHOR OCAMPO Y VENUSTIANA CARRANZA 110</v>
          </cell>
          <cell r="E126" t="str">
            <v>ECATEPEC, EDO. DE MEXICO</v>
          </cell>
          <cell r="F126" t="str">
            <v/>
          </cell>
          <cell r="G126" t="str">
            <v>(55) 6302-7484 NXT</v>
          </cell>
          <cell r="H126" t="str">
            <v>MAGALI ORTEGA</v>
          </cell>
          <cell r="I126" t="str">
            <v>MAGALI ORTEGA</v>
          </cell>
          <cell r="J126" t="str">
            <v>M03</v>
          </cell>
          <cell r="K126" t="str">
            <v/>
          </cell>
          <cell r="L126">
            <v>0</v>
          </cell>
          <cell r="M126">
            <v>127</v>
          </cell>
          <cell r="N126" t="str">
            <v>A</v>
          </cell>
          <cell r="O126">
            <v>42518</v>
          </cell>
          <cell r="P126" t="str">
            <v xml:space="preserve">    7</v>
          </cell>
          <cell r="Q126">
            <v>0</v>
          </cell>
          <cell r="R126">
            <v>0</v>
          </cell>
          <cell r="S126">
            <v>15115</v>
          </cell>
          <cell r="T126">
            <v>143073.70000000001</v>
          </cell>
          <cell r="U126">
            <v>0</v>
          </cell>
          <cell r="V126" t="str">
            <v>SAN CRISTOBAL</v>
          </cell>
          <cell r="W126" t="str">
            <v>(55) 5746-5758 CASA</v>
          </cell>
          <cell r="X126" t="str">
            <v/>
          </cell>
        </row>
        <row r="127">
          <cell r="A127">
            <v>2027</v>
          </cell>
          <cell r="B127" t="str">
            <v>ALICIA HERRERA GUZMAN (ARROYO ZARCO)</v>
          </cell>
          <cell r="C127" t="str">
            <v/>
          </cell>
          <cell r="D127" t="str">
            <v>AV. HANK GONZALEZ S/N</v>
          </cell>
          <cell r="E127" t="str">
            <v>ARROYO ZARCO, EDO. DE MEXICO</v>
          </cell>
          <cell r="F127" t="str">
            <v/>
          </cell>
          <cell r="G127" t="str">
            <v/>
          </cell>
          <cell r="H127" t="str">
            <v>ALICIA HERRERA GUZMA</v>
          </cell>
          <cell r="I127" t="str">
            <v>ALICIA HERRERA GUZMA</v>
          </cell>
          <cell r="J127" t="str">
            <v>BAJA</v>
          </cell>
          <cell r="K127" t="str">
            <v/>
          </cell>
          <cell r="L127">
            <v>0</v>
          </cell>
          <cell r="M127">
            <v>128</v>
          </cell>
          <cell r="N127" t="str">
            <v>S</v>
          </cell>
          <cell r="O127">
            <v>40864</v>
          </cell>
          <cell r="P127" t="str">
            <v xml:space="preserve">    1</v>
          </cell>
          <cell r="Q127">
            <v>0</v>
          </cell>
          <cell r="R127">
            <v>0</v>
          </cell>
          <cell r="S127">
            <v>0</v>
          </cell>
          <cell r="T127">
            <v>2546</v>
          </cell>
          <cell r="U127">
            <v>0</v>
          </cell>
          <cell r="V127" t="str">
            <v>CENTRO</v>
          </cell>
          <cell r="W127" t="str">
            <v/>
          </cell>
          <cell r="X127" t="str">
            <v/>
          </cell>
        </row>
        <row r="128">
          <cell r="A128">
            <v>2028</v>
          </cell>
          <cell r="B128" t="str">
            <v>JUAN CRUZ BLAS (JILOTEPEC)</v>
          </cell>
          <cell r="C128" t="str">
            <v/>
          </cell>
          <cell r="D128" t="str">
            <v>ABEL HUITRON #122</v>
          </cell>
          <cell r="E128" t="str">
            <v>JILOTEPEC, EDO. DE MEXICO</v>
          </cell>
          <cell r="F128" t="str">
            <v/>
          </cell>
          <cell r="G128" t="str">
            <v>(761) 3102-3278</v>
          </cell>
          <cell r="H128" t="str">
            <v>JUAN CRUZ BLAS</v>
          </cell>
          <cell r="I128" t="str">
            <v>JUAN CRUZ BLAS</v>
          </cell>
          <cell r="J128" t="str">
            <v>R01</v>
          </cell>
          <cell r="K128" t="str">
            <v/>
          </cell>
          <cell r="L128">
            <v>0</v>
          </cell>
          <cell r="M128">
            <v>129</v>
          </cell>
          <cell r="N128" t="str">
            <v>A</v>
          </cell>
          <cell r="O128">
            <v>42087</v>
          </cell>
          <cell r="P128" t="str">
            <v xml:space="preserve">    1</v>
          </cell>
          <cell r="Q128">
            <v>0</v>
          </cell>
          <cell r="R128">
            <v>0</v>
          </cell>
          <cell r="S128">
            <v>835</v>
          </cell>
          <cell r="T128">
            <v>6290</v>
          </cell>
          <cell r="U128">
            <v>0</v>
          </cell>
          <cell r="V128" t="str">
            <v>CENTRO</v>
          </cell>
          <cell r="W128" t="str">
            <v/>
          </cell>
          <cell r="X128" t="str">
            <v/>
          </cell>
        </row>
        <row r="129">
          <cell r="A129">
            <v>2029</v>
          </cell>
          <cell r="B129" t="str">
            <v>EDITH ENRIQUEZ DE CASTILLO (TEPEJI)</v>
          </cell>
          <cell r="C129" t="str">
            <v/>
          </cell>
          <cell r="D129" t="str">
            <v>COMONFORT #3</v>
          </cell>
          <cell r="E129" t="str">
            <v>TEPEJI DEL RIO, HGO.</v>
          </cell>
          <cell r="F129" t="str">
            <v/>
          </cell>
          <cell r="G129" t="str">
            <v/>
          </cell>
          <cell r="H129" t="str">
            <v>EDITH ENRIQUEZ</v>
          </cell>
          <cell r="I129" t="str">
            <v>EDITH ENRIQUEZ</v>
          </cell>
          <cell r="J129" t="str">
            <v>M04</v>
          </cell>
          <cell r="K129" t="str">
            <v/>
          </cell>
          <cell r="L129">
            <v>0</v>
          </cell>
          <cell r="M129">
            <v>130</v>
          </cell>
          <cell r="N129" t="str">
            <v>A</v>
          </cell>
          <cell r="O129">
            <v>41795</v>
          </cell>
          <cell r="P129" t="str">
            <v xml:space="preserve">    1</v>
          </cell>
          <cell r="Q129">
            <v>0</v>
          </cell>
          <cell r="R129">
            <v>0</v>
          </cell>
          <cell r="S129">
            <v>0</v>
          </cell>
          <cell r="T129">
            <v>3435</v>
          </cell>
          <cell r="U129">
            <v>0</v>
          </cell>
          <cell r="V129" t="str">
            <v>CENTRO</v>
          </cell>
          <cell r="W129" t="str">
            <v/>
          </cell>
          <cell r="X129" t="str">
            <v/>
          </cell>
        </row>
        <row r="130">
          <cell r="A130">
            <v>2030</v>
          </cell>
          <cell r="B130" t="str">
            <v>AMELIA MARTINEZ (SAN JUAN)</v>
          </cell>
          <cell r="C130" t="str">
            <v/>
          </cell>
          <cell r="D130" t="str">
            <v>MANUEL J. CAMPOS #13</v>
          </cell>
          <cell r="E130" t="str">
            <v>SAN JUAN DEL RIO, QRO.</v>
          </cell>
          <cell r="F130" t="str">
            <v/>
          </cell>
          <cell r="G130" t="str">
            <v>(427) 126-5789</v>
          </cell>
          <cell r="H130" t="str">
            <v>AMELIA MARTINEZ</v>
          </cell>
          <cell r="I130" t="str">
            <v>AMELIA MARTINEZ</v>
          </cell>
          <cell r="J130" t="str">
            <v>BAJA</v>
          </cell>
          <cell r="K130" t="str">
            <v/>
          </cell>
          <cell r="L130">
            <v>0</v>
          </cell>
          <cell r="M130">
            <v>131</v>
          </cell>
          <cell r="N130" t="str">
            <v>A</v>
          </cell>
          <cell r="O130">
            <v>40863</v>
          </cell>
          <cell r="P130" t="str">
            <v xml:space="preserve">    6</v>
          </cell>
          <cell r="Q130">
            <v>0</v>
          </cell>
          <cell r="R130">
            <v>0</v>
          </cell>
          <cell r="S130">
            <v>0</v>
          </cell>
          <cell r="T130">
            <v>7702</v>
          </cell>
          <cell r="U130">
            <v>0</v>
          </cell>
          <cell r="V130" t="str">
            <v>CENTRO</v>
          </cell>
          <cell r="W130" t="str">
            <v/>
          </cell>
          <cell r="X130" t="str">
            <v/>
          </cell>
        </row>
        <row r="131">
          <cell r="A131">
            <v>2031</v>
          </cell>
          <cell r="B131" t="str">
            <v>REYNA OLVERA (SAN JUAN)</v>
          </cell>
          <cell r="C131" t="str">
            <v/>
          </cell>
          <cell r="D131" t="str">
            <v>MERCADO 5 DE MAYO LOC. 58</v>
          </cell>
          <cell r="E131" t="str">
            <v>SAN JUAN DEL RIO, QRO.</v>
          </cell>
          <cell r="F131" t="str">
            <v/>
          </cell>
          <cell r="G131" t="str">
            <v>(427) 289-9734 CEL</v>
          </cell>
          <cell r="H131" t="str">
            <v>REYNA OLVERA</v>
          </cell>
          <cell r="I131" t="str">
            <v>REYNA OLVERA</v>
          </cell>
          <cell r="J131" t="str">
            <v>BAJA</v>
          </cell>
          <cell r="K131" t="str">
            <v/>
          </cell>
          <cell r="L131">
            <v>0</v>
          </cell>
          <cell r="M131">
            <v>132</v>
          </cell>
          <cell r="N131" t="str">
            <v>A</v>
          </cell>
          <cell r="O131">
            <v>41537</v>
          </cell>
          <cell r="P131" t="str">
            <v xml:space="preserve">    6</v>
          </cell>
          <cell r="Q131">
            <v>0</v>
          </cell>
          <cell r="R131">
            <v>0</v>
          </cell>
          <cell r="S131">
            <v>0</v>
          </cell>
          <cell r="T131">
            <v>36777</v>
          </cell>
          <cell r="U131">
            <v>0</v>
          </cell>
          <cell r="V131" t="str">
            <v>CENTRO</v>
          </cell>
          <cell r="W131" t="str">
            <v>(427) 271-2518</v>
          </cell>
          <cell r="X131" t="str">
            <v/>
          </cell>
        </row>
        <row r="132">
          <cell r="A132">
            <v>2032</v>
          </cell>
          <cell r="B132" t="str">
            <v>ISABEL TRONCO PORTELA  (TEXCOCO)</v>
          </cell>
          <cell r="C132" t="str">
            <v/>
          </cell>
          <cell r="D132" t="str">
            <v>JUAREZ NORTE # 206</v>
          </cell>
          <cell r="E132" t="str">
            <v>TEXCOCO, EDO. DE MEXICO</v>
          </cell>
          <cell r="F132" t="str">
            <v/>
          </cell>
          <cell r="G132" t="str">
            <v>(595) 954-7591</v>
          </cell>
          <cell r="H132" t="str">
            <v>ISABEL TRONCO P.</v>
          </cell>
          <cell r="I132" t="str">
            <v>ISABEL TRONCO P.</v>
          </cell>
          <cell r="J132" t="str">
            <v>M03</v>
          </cell>
          <cell r="K132" t="str">
            <v/>
          </cell>
          <cell r="L132">
            <v>0</v>
          </cell>
          <cell r="M132">
            <v>133</v>
          </cell>
          <cell r="N132" t="str">
            <v>A</v>
          </cell>
          <cell r="O132">
            <v>42494</v>
          </cell>
          <cell r="P132" t="str">
            <v xml:space="preserve">    3</v>
          </cell>
          <cell r="Q132">
            <v>0</v>
          </cell>
          <cell r="R132">
            <v>0</v>
          </cell>
          <cell r="S132">
            <v>4995</v>
          </cell>
          <cell r="T132">
            <v>27149</v>
          </cell>
          <cell r="U132">
            <v>0</v>
          </cell>
          <cell r="V132" t="str">
            <v>CENTRO</v>
          </cell>
          <cell r="W132" t="str">
            <v/>
          </cell>
          <cell r="X132" t="str">
            <v/>
          </cell>
        </row>
        <row r="133">
          <cell r="A133">
            <v>2033</v>
          </cell>
          <cell r="B133" t="str">
            <v>HORTENCIA ALVAREZ PLAZA (APAXCO)</v>
          </cell>
          <cell r="C133" t="str">
            <v/>
          </cell>
          <cell r="D133" t="str">
            <v>ESTRELLA S/N</v>
          </cell>
          <cell r="E133" t="str">
            <v>APAXCO, EDO. DE MEXICO</v>
          </cell>
          <cell r="F133" t="str">
            <v/>
          </cell>
          <cell r="G133" t="str">
            <v>(599) 998-0942 CASA</v>
          </cell>
          <cell r="H133" t="str">
            <v>HORTENCIA ALVAREZ P.</v>
          </cell>
          <cell r="I133" t="str">
            <v>HORTENCIA ALVAREZ P.</v>
          </cell>
          <cell r="J133" t="str">
            <v>M04</v>
          </cell>
          <cell r="K133" t="str">
            <v/>
          </cell>
          <cell r="L133">
            <v>0</v>
          </cell>
          <cell r="M133">
            <v>134</v>
          </cell>
          <cell r="N133" t="str">
            <v>A</v>
          </cell>
          <cell r="O133">
            <v>42459</v>
          </cell>
          <cell r="P133" t="str">
            <v xml:space="preserve">    3</v>
          </cell>
          <cell r="Q133">
            <v>0</v>
          </cell>
          <cell r="R133">
            <v>0</v>
          </cell>
          <cell r="S133">
            <v>1807</v>
          </cell>
          <cell r="T133">
            <v>68708</v>
          </cell>
          <cell r="U133">
            <v>0</v>
          </cell>
          <cell r="V133" t="str">
            <v>CENTRO</v>
          </cell>
          <cell r="W133" t="str">
            <v/>
          </cell>
          <cell r="X133" t="str">
            <v/>
          </cell>
        </row>
        <row r="134">
          <cell r="A134">
            <v>2034</v>
          </cell>
          <cell r="B134" t="str">
            <v>ARTURO CHAVEZ BALDERAS (APAXCO)</v>
          </cell>
          <cell r="C134" t="str">
            <v/>
          </cell>
          <cell r="D134" t="str">
            <v>DIVISION DEL NORTE #11</v>
          </cell>
          <cell r="E134" t="str">
            <v>APAXCO, EDO. DE MEXICO</v>
          </cell>
          <cell r="F134" t="str">
            <v/>
          </cell>
          <cell r="G134" t="str">
            <v/>
          </cell>
          <cell r="H134" t="str">
            <v>ARTURO CHAVEZ B.</v>
          </cell>
          <cell r="I134" t="str">
            <v>ARTURO CHAVEZ B.</v>
          </cell>
          <cell r="J134" t="str">
            <v>BAJA</v>
          </cell>
          <cell r="K134" t="str">
            <v/>
          </cell>
          <cell r="L134">
            <v>0</v>
          </cell>
          <cell r="M134">
            <v>135</v>
          </cell>
          <cell r="N134" t="str">
            <v>A</v>
          </cell>
          <cell r="O134">
            <v>41563</v>
          </cell>
          <cell r="P134" t="str">
            <v xml:space="preserve">    3</v>
          </cell>
          <cell r="Q134">
            <v>0</v>
          </cell>
          <cell r="R134">
            <v>0</v>
          </cell>
          <cell r="S134">
            <v>0</v>
          </cell>
          <cell r="T134">
            <v>8968</v>
          </cell>
          <cell r="U134">
            <v>0</v>
          </cell>
          <cell r="V134" t="str">
            <v>LOMA BONITA</v>
          </cell>
          <cell r="W134" t="str">
            <v/>
          </cell>
          <cell r="X134" t="str">
            <v/>
          </cell>
        </row>
        <row r="135">
          <cell r="A135">
            <v>2035</v>
          </cell>
          <cell r="B135" t="str">
            <v>ROCIO GARCIA ALLENDE (COYOTEPEC)</v>
          </cell>
          <cell r="C135" t="str">
            <v/>
          </cell>
          <cell r="D135" t="str">
            <v>5 DE FEBRERO S/N</v>
          </cell>
          <cell r="E135" t="str">
            <v>COYOTEPEC, EDO. DE MEXICO</v>
          </cell>
          <cell r="F135" t="str">
            <v/>
          </cell>
          <cell r="G135" t="str">
            <v/>
          </cell>
          <cell r="H135" t="str">
            <v>ROCIO GARCIA ALLENDE</v>
          </cell>
          <cell r="I135" t="str">
            <v>ROCIO GARCIA ALLENDE</v>
          </cell>
          <cell r="J135" t="str">
            <v>BAJA</v>
          </cell>
          <cell r="K135" t="str">
            <v/>
          </cell>
          <cell r="L135">
            <v>0</v>
          </cell>
          <cell r="M135">
            <v>137</v>
          </cell>
          <cell r="N135" t="str">
            <v>A</v>
          </cell>
          <cell r="O135">
            <v>40893</v>
          </cell>
          <cell r="P135" t="str">
            <v xml:space="preserve">    7</v>
          </cell>
          <cell r="Q135">
            <v>0</v>
          </cell>
          <cell r="R135">
            <v>0</v>
          </cell>
          <cell r="S135">
            <v>0</v>
          </cell>
          <cell r="T135">
            <v>4283</v>
          </cell>
          <cell r="U135">
            <v>0</v>
          </cell>
          <cell r="V135" t="str">
            <v>BARRIO IZTAPALCALCO</v>
          </cell>
          <cell r="W135" t="str">
            <v/>
          </cell>
          <cell r="X135" t="str">
            <v/>
          </cell>
        </row>
        <row r="136">
          <cell r="A136">
            <v>2036</v>
          </cell>
          <cell r="B136" t="str">
            <v>VERONICA LOPEZ GUITIERREZ (ATIZAPAN)</v>
          </cell>
          <cell r="C136" t="str">
            <v/>
          </cell>
          <cell r="D136" t="str">
            <v>AV. RUIZ CORTINES #195</v>
          </cell>
          <cell r="E136" t="str">
            <v>ATIZAPAN, EDO. DE MEXICO</v>
          </cell>
          <cell r="F136" t="str">
            <v/>
          </cell>
          <cell r="G136" t="str">
            <v>(55) 58160475</v>
          </cell>
          <cell r="H136" t="str">
            <v>VERONICA LOPEZ G</v>
          </cell>
          <cell r="I136" t="str">
            <v>VERONICA LOPEZ G</v>
          </cell>
          <cell r="J136" t="str">
            <v>BAJA</v>
          </cell>
          <cell r="K136" t="str">
            <v/>
          </cell>
          <cell r="L136">
            <v>0</v>
          </cell>
          <cell r="M136">
            <v>138</v>
          </cell>
          <cell r="N136" t="str">
            <v>A</v>
          </cell>
          <cell r="O136">
            <v>40843</v>
          </cell>
          <cell r="P136" t="str">
            <v xml:space="preserve">    3</v>
          </cell>
          <cell r="Q136">
            <v>0</v>
          </cell>
          <cell r="R136">
            <v>0</v>
          </cell>
          <cell r="S136">
            <v>0</v>
          </cell>
          <cell r="T136">
            <v>11809</v>
          </cell>
          <cell r="U136">
            <v>0</v>
          </cell>
          <cell r="V136" t="str">
            <v>FRAC. LA CONDESA</v>
          </cell>
          <cell r="W136" t="str">
            <v>(55) 5365-2202</v>
          </cell>
          <cell r="X136" t="str">
            <v/>
          </cell>
        </row>
        <row r="137">
          <cell r="A137">
            <v>2037</v>
          </cell>
          <cell r="B137" t="str">
            <v>BETY LEYVA GOMEZ (CUAUTITLAN)</v>
          </cell>
          <cell r="C137" t="str">
            <v/>
          </cell>
          <cell r="D137" t="str">
            <v>MERCADO CUAUTITLAN LOC. 44</v>
          </cell>
          <cell r="E137" t="str">
            <v/>
          </cell>
          <cell r="F137" t="str">
            <v/>
          </cell>
          <cell r="G137" t="str">
            <v/>
          </cell>
          <cell r="H137" t="str">
            <v>BETTI LEYVA GOMEZ</v>
          </cell>
          <cell r="I137" t="str">
            <v>BETTI LEYVA GOMEZ</v>
          </cell>
          <cell r="J137" t="str">
            <v>BAJA</v>
          </cell>
          <cell r="K137" t="str">
            <v/>
          </cell>
          <cell r="L137">
            <v>0</v>
          </cell>
          <cell r="M137">
            <v>139</v>
          </cell>
          <cell r="N137" t="str">
            <v>S</v>
          </cell>
          <cell r="O137">
            <v>40900</v>
          </cell>
          <cell r="P137" t="str">
            <v xml:space="preserve">    3</v>
          </cell>
          <cell r="Q137">
            <v>0</v>
          </cell>
          <cell r="R137">
            <v>0</v>
          </cell>
          <cell r="S137">
            <v>0</v>
          </cell>
          <cell r="T137">
            <v>5724</v>
          </cell>
          <cell r="U137">
            <v>0</v>
          </cell>
          <cell r="V137" t="str">
            <v/>
          </cell>
          <cell r="W137" t="str">
            <v/>
          </cell>
          <cell r="X137" t="str">
            <v/>
          </cell>
        </row>
        <row r="138">
          <cell r="A138">
            <v>2038</v>
          </cell>
          <cell r="B138" t="str">
            <v>IRMA MALDONADO ENRIQUEZ (TEYEHUALCO)</v>
          </cell>
          <cell r="C138" t="str">
            <v/>
          </cell>
          <cell r="D138" t="str">
            <v>CONTINUACION DE GENERAL ANAYA S/N</v>
          </cell>
          <cell r="E138" t="str">
            <v>SANTIAGO TUYEHUALCO, EDO. MEX</v>
          </cell>
          <cell r="F138" t="str">
            <v/>
          </cell>
          <cell r="G138" t="str">
            <v>(55) 5885-4193</v>
          </cell>
          <cell r="H138" t="str">
            <v>IRMA MALDONADO E</v>
          </cell>
          <cell r="I138" t="str">
            <v>IRMA MALDONADO E</v>
          </cell>
          <cell r="J138" t="str">
            <v>BAJA</v>
          </cell>
          <cell r="K138" t="str">
            <v/>
          </cell>
          <cell r="L138">
            <v>0</v>
          </cell>
          <cell r="M138">
            <v>140</v>
          </cell>
          <cell r="N138" t="str">
            <v>S</v>
          </cell>
          <cell r="O138">
            <v>40792</v>
          </cell>
          <cell r="P138" t="str">
            <v xml:space="preserve">    3</v>
          </cell>
          <cell r="Q138">
            <v>0</v>
          </cell>
          <cell r="R138">
            <v>0</v>
          </cell>
          <cell r="S138">
            <v>0</v>
          </cell>
          <cell r="T138">
            <v>1696</v>
          </cell>
          <cell r="U138">
            <v>0</v>
          </cell>
          <cell r="V138" t="str">
            <v>TLAMIMINOLPAN</v>
          </cell>
          <cell r="W138" t="str">
            <v/>
          </cell>
          <cell r="X138" t="str">
            <v/>
          </cell>
        </row>
        <row r="139">
          <cell r="A139">
            <v>2039</v>
          </cell>
          <cell r="B139" t="str">
            <v>ALMA EDITH CARBAJAL (CADEREYTA)</v>
          </cell>
          <cell r="C139" t="str">
            <v/>
          </cell>
          <cell r="D139" t="str">
            <v/>
          </cell>
          <cell r="E139" t="str">
            <v>CADEREYTA, QRO.</v>
          </cell>
          <cell r="F139" t="str">
            <v/>
          </cell>
          <cell r="G139" t="str">
            <v>(441) 101-4449</v>
          </cell>
          <cell r="H139" t="str">
            <v>ALMA EDITH CARBAJAL</v>
          </cell>
          <cell r="I139" t="str">
            <v>ALMA EDITH CARBAJAL</v>
          </cell>
          <cell r="J139" t="str">
            <v>BAJA</v>
          </cell>
          <cell r="K139" t="str">
            <v/>
          </cell>
          <cell r="L139">
            <v>0</v>
          </cell>
          <cell r="M139">
            <v>141</v>
          </cell>
          <cell r="N139" t="str">
            <v>A</v>
          </cell>
          <cell r="O139">
            <v>40791</v>
          </cell>
          <cell r="P139" t="str">
            <v xml:space="preserve">    6</v>
          </cell>
          <cell r="Q139">
            <v>0</v>
          </cell>
          <cell r="R139">
            <v>0</v>
          </cell>
          <cell r="S139">
            <v>0</v>
          </cell>
          <cell r="T139">
            <v>130</v>
          </cell>
          <cell r="U139">
            <v>0</v>
          </cell>
          <cell r="V139" t="str">
            <v/>
          </cell>
          <cell r="W139" t="str">
            <v>(427) 276-1308</v>
          </cell>
          <cell r="X139" t="str">
            <v/>
          </cell>
        </row>
        <row r="140">
          <cell r="A140">
            <v>2040</v>
          </cell>
          <cell r="B140" t="str">
            <v>MARCELA LANDEROS TEJEDA (ESCOBEDO)</v>
          </cell>
          <cell r="C140" t="str">
            <v/>
          </cell>
          <cell r="D140" t="str">
            <v>PANAMERICANA #37</v>
          </cell>
          <cell r="E140" t="str">
            <v>PEDRO ESCOBEDO, QRO.</v>
          </cell>
          <cell r="F140" t="str">
            <v/>
          </cell>
          <cell r="G140" t="str">
            <v>(448) 102-1512 CEL</v>
          </cell>
          <cell r="H140" t="str">
            <v>MARCELA LANDEROS T</v>
          </cell>
          <cell r="I140" t="str">
            <v>MARCELA LANDEROS T</v>
          </cell>
          <cell r="J140" t="str">
            <v>J03</v>
          </cell>
          <cell r="K140" t="str">
            <v/>
          </cell>
          <cell r="L140">
            <v>0</v>
          </cell>
          <cell r="M140">
            <v>142</v>
          </cell>
          <cell r="N140" t="str">
            <v>A</v>
          </cell>
          <cell r="O140">
            <v>42361</v>
          </cell>
          <cell r="P140" t="str">
            <v xml:space="preserve">    1</v>
          </cell>
          <cell r="Q140">
            <v>0</v>
          </cell>
          <cell r="R140">
            <v>0</v>
          </cell>
          <cell r="S140">
            <v>12263</v>
          </cell>
          <cell r="T140">
            <v>126872.5</v>
          </cell>
          <cell r="U140">
            <v>0</v>
          </cell>
          <cell r="V140" t="str">
            <v>CENTRO</v>
          </cell>
          <cell r="W140" t="str">
            <v>(448) 108-4714 CEL</v>
          </cell>
          <cell r="X140" t="str">
            <v/>
          </cell>
        </row>
        <row r="141">
          <cell r="A141">
            <v>2041</v>
          </cell>
          <cell r="B141" t="str">
            <v>MARTA PATRICIA AGUILAR MARTINEZ (QUERETARO)</v>
          </cell>
          <cell r="C141" t="str">
            <v/>
          </cell>
          <cell r="D141" t="str">
            <v>EX. MERCADO ESCOBEDO LOC 43-44</v>
          </cell>
          <cell r="E141" t="str">
            <v>QUERETARO, QRO.</v>
          </cell>
          <cell r="F141" t="str">
            <v/>
          </cell>
          <cell r="G141" t="str">
            <v>(442) 168-0261</v>
          </cell>
          <cell r="H141" t="str">
            <v>MARTA PATRICIA A</v>
          </cell>
          <cell r="I141" t="str">
            <v>MARTA PATRICIA A</v>
          </cell>
          <cell r="J141" t="str">
            <v>L04</v>
          </cell>
          <cell r="K141" t="str">
            <v/>
          </cell>
          <cell r="L141">
            <v>0</v>
          </cell>
          <cell r="M141">
            <v>143</v>
          </cell>
          <cell r="N141" t="str">
            <v>A</v>
          </cell>
          <cell r="O141">
            <v>40792</v>
          </cell>
          <cell r="P141" t="str">
            <v xml:space="preserve">    6</v>
          </cell>
          <cell r="Q141">
            <v>0</v>
          </cell>
          <cell r="R141">
            <v>0</v>
          </cell>
          <cell r="S141">
            <v>0</v>
          </cell>
          <cell r="T141">
            <v>925</v>
          </cell>
          <cell r="U141">
            <v>0</v>
          </cell>
          <cell r="V141" t="str">
            <v>CENTRO</v>
          </cell>
          <cell r="W141" t="str">
            <v/>
          </cell>
          <cell r="X141" t="str">
            <v/>
          </cell>
        </row>
        <row r="142">
          <cell r="A142">
            <v>2042</v>
          </cell>
          <cell r="B142" t="str">
            <v>LOURDES MIGUES (QUERETARO)</v>
          </cell>
          <cell r="C142" t="str">
            <v/>
          </cell>
          <cell r="D142" t="str">
            <v>16 DE SEPTIEMBRE #3 INT. 7</v>
          </cell>
          <cell r="E142" t="str">
            <v>QUERETARO, QRO.</v>
          </cell>
          <cell r="F142" t="str">
            <v/>
          </cell>
          <cell r="G142" t="str">
            <v>(442) 274-5933</v>
          </cell>
          <cell r="H142" t="str">
            <v>LOURDES MIGUES</v>
          </cell>
          <cell r="I142" t="str">
            <v>LOURDES MIGUES</v>
          </cell>
          <cell r="J142" t="str">
            <v>BAJA</v>
          </cell>
          <cell r="K142" t="str">
            <v/>
          </cell>
          <cell r="L142">
            <v>0</v>
          </cell>
          <cell r="M142">
            <v>144</v>
          </cell>
          <cell r="N142" t="str">
            <v>A</v>
          </cell>
          <cell r="O142">
            <v>41096</v>
          </cell>
          <cell r="P142" t="str">
            <v xml:space="preserve">    6</v>
          </cell>
          <cell r="Q142">
            <v>0</v>
          </cell>
          <cell r="R142">
            <v>0</v>
          </cell>
          <cell r="S142">
            <v>0</v>
          </cell>
          <cell r="T142">
            <v>5000</v>
          </cell>
          <cell r="U142">
            <v>0</v>
          </cell>
          <cell r="V142" t="str">
            <v>CENTRO</v>
          </cell>
          <cell r="W142" t="str">
            <v/>
          </cell>
          <cell r="X142" t="str">
            <v/>
          </cell>
        </row>
        <row r="143">
          <cell r="A143">
            <v>2043</v>
          </cell>
          <cell r="B143" t="str">
            <v>VERONICA GUEVARA (QUERETARO)</v>
          </cell>
          <cell r="C143" t="str">
            <v/>
          </cell>
          <cell r="D143" t="str">
            <v>CORREGIDORA SUR #42</v>
          </cell>
          <cell r="E143" t="str">
            <v>QUERETARO, QRO.</v>
          </cell>
          <cell r="F143" t="str">
            <v/>
          </cell>
          <cell r="G143" t="str">
            <v>(442) 214-3896</v>
          </cell>
          <cell r="H143" t="str">
            <v>VERONICA GUEVARA</v>
          </cell>
          <cell r="I143" t="str">
            <v>VERONICA GUEVARA</v>
          </cell>
          <cell r="J143" t="str">
            <v>BAJA</v>
          </cell>
          <cell r="K143" t="str">
            <v/>
          </cell>
          <cell r="L143">
            <v>0</v>
          </cell>
          <cell r="M143">
            <v>145</v>
          </cell>
          <cell r="N143" t="str">
            <v>A</v>
          </cell>
          <cell r="O143">
            <v>40911</v>
          </cell>
          <cell r="P143" t="str">
            <v xml:space="preserve">    6</v>
          </cell>
          <cell r="Q143">
            <v>0</v>
          </cell>
          <cell r="R143">
            <v>0</v>
          </cell>
          <cell r="S143">
            <v>0</v>
          </cell>
          <cell r="T143">
            <v>1308</v>
          </cell>
          <cell r="U143">
            <v>0</v>
          </cell>
          <cell r="V143" t="str">
            <v>CENTRO</v>
          </cell>
          <cell r="W143" t="str">
            <v/>
          </cell>
          <cell r="X143" t="str">
            <v/>
          </cell>
        </row>
        <row r="144">
          <cell r="A144">
            <v>2044</v>
          </cell>
          <cell r="B144" t="str">
            <v>BOUTIQUE K-PRICHITO'S (IXMIQUILPAN)</v>
          </cell>
          <cell r="C144" t="str">
            <v/>
          </cell>
          <cell r="D144" t="str">
            <v>RAUL GUERRERO ESQ. AGUSTIN LARA</v>
          </cell>
          <cell r="E144" t="str">
            <v>IXMIQUILPAN, HGO.</v>
          </cell>
          <cell r="F144" t="str">
            <v/>
          </cell>
          <cell r="G144" t="str">
            <v>(772)126-9640</v>
          </cell>
          <cell r="H144" t="str">
            <v/>
          </cell>
          <cell r="I144" t="str">
            <v/>
          </cell>
          <cell r="J144" t="str">
            <v>BAJA</v>
          </cell>
          <cell r="K144" t="str">
            <v/>
          </cell>
          <cell r="L144">
            <v>0</v>
          </cell>
          <cell r="M144">
            <v>146</v>
          </cell>
          <cell r="N144" t="str">
            <v>A</v>
          </cell>
          <cell r="O144">
            <v>41451</v>
          </cell>
          <cell r="P144" t="str">
            <v xml:space="preserve">    6</v>
          </cell>
          <cell r="Q144">
            <v>0</v>
          </cell>
          <cell r="R144">
            <v>0</v>
          </cell>
          <cell r="S144">
            <v>0</v>
          </cell>
          <cell r="T144">
            <v>6666</v>
          </cell>
          <cell r="U144">
            <v>0</v>
          </cell>
          <cell r="V144" t="str">
            <v>SAN ANTONIO</v>
          </cell>
          <cell r="W144" t="str">
            <v/>
          </cell>
          <cell r="X144" t="str">
            <v>roussvanney@hotmail.com</v>
          </cell>
        </row>
        <row r="145">
          <cell r="A145">
            <v>2045</v>
          </cell>
          <cell r="B145" t="str">
            <v>MA. DEL ROCIO CABALLERO ALEGRIA (CUAUTITLAN)</v>
          </cell>
          <cell r="C145" t="str">
            <v/>
          </cell>
          <cell r="D145" t="str">
            <v>AMAPOLA #12</v>
          </cell>
          <cell r="E145" t="str">
            <v>CUAUTITLAN, EDO. DE MEXICO</v>
          </cell>
          <cell r="F145" t="str">
            <v>54870</v>
          </cell>
          <cell r="G145" t="str">
            <v>(55) 4270-1102 CEL.</v>
          </cell>
          <cell r="H145" t="str">
            <v>ROCIO CABALLERO</v>
          </cell>
          <cell r="I145" t="str">
            <v>ROCIO CABALLERO</v>
          </cell>
          <cell r="J145" t="str">
            <v>BAJA</v>
          </cell>
          <cell r="K145" t="str">
            <v/>
          </cell>
          <cell r="L145">
            <v>0</v>
          </cell>
          <cell r="M145">
            <v>147</v>
          </cell>
          <cell r="N145" t="str">
            <v>A</v>
          </cell>
          <cell r="O145">
            <v>41509</v>
          </cell>
          <cell r="P145" t="str">
            <v xml:space="preserve">    3</v>
          </cell>
          <cell r="Q145">
            <v>0</v>
          </cell>
          <cell r="R145">
            <v>0</v>
          </cell>
          <cell r="S145">
            <v>0</v>
          </cell>
          <cell r="T145">
            <v>43150.400000000001</v>
          </cell>
          <cell r="U145">
            <v>0</v>
          </cell>
          <cell r="V145" t="str">
            <v>SAN JOSE</v>
          </cell>
          <cell r="W145" t="str">
            <v/>
          </cell>
          <cell r="X145" t="str">
            <v/>
          </cell>
        </row>
        <row r="146">
          <cell r="A146">
            <v>2046</v>
          </cell>
          <cell r="B146" t="str">
            <v>SARA LETICIA RODRIGUEZ ALEGRIA (SAN JUAN)</v>
          </cell>
          <cell r="C146" t="str">
            <v/>
          </cell>
          <cell r="D146" t="str">
            <v>20 DE NOVIEMBRE #135-A y C</v>
          </cell>
          <cell r="E146" t="str">
            <v>SAN JUAN DEL RIO, QRO.</v>
          </cell>
          <cell r="F146" t="str">
            <v/>
          </cell>
          <cell r="G146" t="str">
            <v>(427) 272-9076</v>
          </cell>
          <cell r="H146" t="str">
            <v>SARA RODRIGUEZ</v>
          </cell>
          <cell r="I146" t="str">
            <v>SARA RODRIGUEZ</v>
          </cell>
          <cell r="J146" t="str">
            <v>L01</v>
          </cell>
          <cell r="K146" t="str">
            <v/>
          </cell>
          <cell r="L146">
            <v>0</v>
          </cell>
          <cell r="M146">
            <v>148</v>
          </cell>
          <cell r="N146" t="str">
            <v>A</v>
          </cell>
          <cell r="O146">
            <v>42511</v>
          </cell>
          <cell r="P146" t="str">
            <v xml:space="preserve">    6</v>
          </cell>
          <cell r="Q146">
            <v>0</v>
          </cell>
          <cell r="R146">
            <v>0</v>
          </cell>
          <cell r="S146">
            <v>8548</v>
          </cell>
          <cell r="T146">
            <v>181619</v>
          </cell>
          <cell r="U146">
            <v>0</v>
          </cell>
          <cell r="V146" t="str">
            <v>CENTRO</v>
          </cell>
          <cell r="W146" t="str">
            <v>92*843052*1</v>
          </cell>
          <cell r="X146" t="str">
            <v>saralet79@live.com.mx</v>
          </cell>
        </row>
        <row r="147">
          <cell r="A147">
            <v>2047</v>
          </cell>
          <cell r="B147" t="str">
            <v>HORTENCIA VELAZQUEZ (E. MONTES)</v>
          </cell>
          <cell r="C147" t="str">
            <v/>
          </cell>
          <cell r="D147" t="str">
            <v>BELISARIO DOMINGUEZ #128</v>
          </cell>
          <cell r="E147" t="str">
            <v>EZEQUIEL MONTES, QRO.</v>
          </cell>
          <cell r="F147" t="str">
            <v/>
          </cell>
          <cell r="G147" t="str">
            <v>(441) 276-7874</v>
          </cell>
          <cell r="H147" t="str">
            <v>HORTENCIA VAZQUEZ</v>
          </cell>
          <cell r="I147" t="str">
            <v>HORTENCIA VAZQUEZ</v>
          </cell>
          <cell r="J147" t="str">
            <v>BAJA</v>
          </cell>
          <cell r="K147" t="str">
            <v/>
          </cell>
          <cell r="L147">
            <v>0</v>
          </cell>
          <cell r="M147">
            <v>149</v>
          </cell>
          <cell r="N147" t="str">
            <v>A</v>
          </cell>
          <cell r="O147">
            <v>42417</v>
          </cell>
          <cell r="P147" t="str">
            <v xml:space="preserve">    6</v>
          </cell>
          <cell r="Q147">
            <v>0</v>
          </cell>
          <cell r="R147">
            <v>0</v>
          </cell>
          <cell r="S147">
            <v>0</v>
          </cell>
          <cell r="T147">
            <v>15968</v>
          </cell>
          <cell r="U147">
            <v>0</v>
          </cell>
          <cell r="V147" t="str">
            <v>CENTRO</v>
          </cell>
          <cell r="W147" t="str">
            <v/>
          </cell>
          <cell r="X147" t="str">
            <v/>
          </cell>
        </row>
        <row r="148">
          <cell r="A148">
            <v>2048</v>
          </cell>
          <cell r="B148" t="str">
            <v>ARACELI GOMEZ (TEQUISQUIAPAN)</v>
          </cell>
          <cell r="C148" t="str">
            <v/>
          </cell>
          <cell r="D148" t="str">
            <v>JUAREZ #26 Y 30</v>
          </cell>
          <cell r="E148" t="str">
            <v>TEQUISQUIAPAN, QRO.</v>
          </cell>
          <cell r="F148" t="str">
            <v/>
          </cell>
          <cell r="G148" t="str">
            <v>(414) 231-2068</v>
          </cell>
          <cell r="H148" t="str">
            <v>ARACELI GOMEZ</v>
          </cell>
          <cell r="I148" t="str">
            <v>ARACELI GOMEZ</v>
          </cell>
          <cell r="J148" t="str">
            <v>J02</v>
          </cell>
          <cell r="K148" t="str">
            <v/>
          </cell>
          <cell r="L148">
            <v>0</v>
          </cell>
          <cell r="M148">
            <v>150</v>
          </cell>
          <cell r="N148" t="str">
            <v>A</v>
          </cell>
          <cell r="O148">
            <v>42212</v>
          </cell>
          <cell r="P148" t="str">
            <v xml:space="preserve">    6</v>
          </cell>
          <cell r="Q148">
            <v>0</v>
          </cell>
          <cell r="R148">
            <v>0</v>
          </cell>
          <cell r="S148">
            <v>0</v>
          </cell>
          <cell r="T148">
            <v>2580</v>
          </cell>
          <cell r="U148">
            <v>0</v>
          </cell>
          <cell r="V148" t="str">
            <v>CENTRO</v>
          </cell>
          <cell r="W148" t="str">
            <v>(414) 280-4896</v>
          </cell>
          <cell r="X148" t="str">
            <v/>
          </cell>
        </row>
        <row r="149">
          <cell r="A149">
            <v>2049</v>
          </cell>
          <cell r="B149" t="str">
            <v>FERNANDO SERRANO (TEXCOCO)</v>
          </cell>
          <cell r="C149" t="str">
            <v/>
          </cell>
          <cell r="D149" t="str">
            <v>LOC. 181</v>
          </cell>
          <cell r="E149" t="str">
            <v>TEXCOCO, EDO. DE MEXICO</v>
          </cell>
          <cell r="F149" t="str">
            <v/>
          </cell>
          <cell r="G149" t="str">
            <v>(55) 9100-2743 CEL</v>
          </cell>
          <cell r="H149" t="str">
            <v>FERNANDO SERRANO</v>
          </cell>
          <cell r="I149" t="str">
            <v>FERNANDO SERRANO</v>
          </cell>
          <cell r="J149" t="str">
            <v>BAJA</v>
          </cell>
          <cell r="K149" t="str">
            <v/>
          </cell>
          <cell r="L149">
            <v>0</v>
          </cell>
          <cell r="M149">
            <v>151</v>
          </cell>
          <cell r="N149" t="str">
            <v>A</v>
          </cell>
          <cell r="O149">
            <v>40858</v>
          </cell>
          <cell r="P149" t="str">
            <v xml:space="preserve">    3</v>
          </cell>
          <cell r="Q149">
            <v>0</v>
          </cell>
          <cell r="R149">
            <v>0</v>
          </cell>
          <cell r="S149">
            <v>0</v>
          </cell>
          <cell r="T149">
            <v>2058</v>
          </cell>
          <cell r="U149">
            <v>0</v>
          </cell>
          <cell r="V149" t="str">
            <v>SAN ANTONIO</v>
          </cell>
          <cell r="W149" t="str">
            <v/>
          </cell>
          <cell r="X149" t="str">
            <v/>
          </cell>
        </row>
        <row r="150">
          <cell r="A150">
            <v>2050</v>
          </cell>
          <cell r="B150" t="str">
            <v>JUANA GALINDO FLORES (TEXCOCO)</v>
          </cell>
          <cell r="C150" t="str">
            <v/>
          </cell>
          <cell r="D150" t="str">
            <v>MERCADO TEXCOCO</v>
          </cell>
          <cell r="E150" t="str">
            <v>TEXCOCO, EDO. DE MEXICO</v>
          </cell>
          <cell r="F150" t="str">
            <v/>
          </cell>
          <cell r="G150" t="str">
            <v/>
          </cell>
          <cell r="H150" t="str">
            <v>JUANA GALINDO FLORES</v>
          </cell>
          <cell r="I150" t="str">
            <v>JUANA GALINDO FLORES</v>
          </cell>
          <cell r="J150" t="str">
            <v>BAJA</v>
          </cell>
          <cell r="K150" t="str">
            <v/>
          </cell>
          <cell r="L150">
            <v>0</v>
          </cell>
          <cell r="M150">
            <v>152</v>
          </cell>
          <cell r="N150" t="str">
            <v>A</v>
          </cell>
          <cell r="O150">
            <v>40795</v>
          </cell>
          <cell r="P150" t="str">
            <v xml:space="preserve">    3</v>
          </cell>
          <cell r="Q150">
            <v>0</v>
          </cell>
          <cell r="R150">
            <v>0</v>
          </cell>
          <cell r="S150">
            <v>0</v>
          </cell>
          <cell r="T150">
            <v>456</v>
          </cell>
          <cell r="U150">
            <v>0</v>
          </cell>
          <cell r="V150" t="str">
            <v>CENTRO</v>
          </cell>
          <cell r="W150" t="str">
            <v/>
          </cell>
          <cell r="X150" t="str">
            <v/>
          </cell>
        </row>
        <row r="151">
          <cell r="A151">
            <v>2051</v>
          </cell>
          <cell r="B151" t="str">
            <v>MARGARITA FERNANDEZ (ZACUAUTITLA)</v>
          </cell>
          <cell r="C151" t="str">
            <v/>
          </cell>
          <cell r="D151" t="str">
            <v>VENUSTIANO CARRANZA #42</v>
          </cell>
          <cell r="E151" t="str">
            <v>COACALCO, EDO. DE MEXICO</v>
          </cell>
          <cell r="F151" t="str">
            <v/>
          </cell>
          <cell r="G151" t="str">
            <v/>
          </cell>
          <cell r="H151" t="str">
            <v>MARGARITA FERNANDEZ</v>
          </cell>
          <cell r="I151" t="str">
            <v>MARGARITA FERNANDEZ</v>
          </cell>
          <cell r="J151" t="str">
            <v>BAJA</v>
          </cell>
          <cell r="K151" t="str">
            <v/>
          </cell>
          <cell r="L151">
            <v>0</v>
          </cell>
          <cell r="M151">
            <v>153</v>
          </cell>
          <cell r="N151" t="str">
            <v>A</v>
          </cell>
          <cell r="O151">
            <v>40805</v>
          </cell>
          <cell r="P151" t="str">
            <v xml:space="preserve">    3</v>
          </cell>
          <cell r="Q151">
            <v>0</v>
          </cell>
          <cell r="R151">
            <v>0</v>
          </cell>
          <cell r="S151">
            <v>0</v>
          </cell>
          <cell r="T151">
            <v>418</v>
          </cell>
          <cell r="U151">
            <v>0</v>
          </cell>
          <cell r="V151" t="str">
            <v>ZACUAUTITLA</v>
          </cell>
          <cell r="W151" t="str">
            <v/>
          </cell>
          <cell r="X151" t="str">
            <v/>
          </cell>
        </row>
        <row r="152">
          <cell r="A152">
            <v>2052</v>
          </cell>
          <cell r="B152" t="str">
            <v>EVA ANDRADE (PROGRESO)</v>
          </cell>
          <cell r="C152" t="str">
            <v/>
          </cell>
          <cell r="D152" t="str">
            <v>PLAZA DE LA CONSTITUCION #12</v>
          </cell>
          <cell r="E152" t="str">
            <v>PROGRESO, HGO.</v>
          </cell>
          <cell r="F152" t="str">
            <v/>
          </cell>
          <cell r="G152" t="str">
            <v>(738) 735-7814</v>
          </cell>
          <cell r="H152" t="str">
            <v>EVA ANDRADE</v>
          </cell>
          <cell r="I152" t="str">
            <v>EVA ANDRADE</v>
          </cell>
          <cell r="J152" t="str">
            <v>BAJA</v>
          </cell>
          <cell r="K152" t="str">
            <v/>
          </cell>
          <cell r="L152">
            <v>0</v>
          </cell>
          <cell r="M152">
            <v>154</v>
          </cell>
          <cell r="N152" t="str">
            <v>A</v>
          </cell>
          <cell r="O152">
            <v>40993</v>
          </cell>
          <cell r="P152" t="str">
            <v xml:space="preserve">    6</v>
          </cell>
          <cell r="Q152">
            <v>0</v>
          </cell>
          <cell r="R152">
            <v>0</v>
          </cell>
          <cell r="S152">
            <v>0</v>
          </cell>
          <cell r="T152">
            <v>2769</v>
          </cell>
          <cell r="U152">
            <v>0</v>
          </cell>
          <cell r="V152" t="str">
            <v>CENTRO</v>
          </cell>
          <cell r="W152" t="str">
            <v/>
          </cell>
          <cell r="X152" t="str">
            <v/>
          </cell>
        </row>
        <row r="153">
          <cell r="A153">
            <v>2053</v>
          </cell>
          <cell r="B153" t="str">
            <v>ROSA ELVIA MORAN J. (ACTOPAN)</v>
          </cell>
          <cell r="C153" t="str">
            <v/>
          </cell>
          <cell r="D153" t="str">
            <v>VICTORIA #6</v>
          </cell>
          <cell r="E153" t="str">
            <v>ACTOPAN, HGO.</v>
          </cell>
          <cell r="F153" t="str">
            <v/>
          </cell>
          <cell r="G153" t="str">
            <v>(772) 123-7290</v>
          </cell>
          <cell r="H153" t="str">
            <v>ROSA ELVIA MORAN J.</v>
          </cell>
          <cell r="I153" t="str">
            <v>ROSA ELVIA MORAN J.</v>
          </cell>
          <cell r="J153" t="str">
            <v>BAJA</v>
          </cell>
          <cell r="K153" t="str">
            <v/>
          </cell>
          <cell r="L153">
            <v>0</v>
          </cell>
          <cell r="M153">
            <v>155</v>
          </cell>
          <cell r="N153" t="str">
            <v>S</v>
          </cell>
          <cell r="O153">
            <v>40809</v>
          </cell>
          <cell r="P153" t="str">
            <v xml:space="preserve">    6</v>
          </cell>
          <cell r="Q153">
            <v>0</v>
          </cell>
          <cell r="R153">
            <v>0</v>
          </cell>
          <cell r="S153">
            <v>0</v>
          </cell>
          <cell r="T153">
            <v>488</v>
          </cell>
          <cell r="U153">
            <v>0</v>
          </cell>
          <cell r="V153" t="str">
            <v>CENTRO</v>
          </cell>
          <cell r="W153" t="str">
            <v/>
          </cell>
          <cell r="X153" t="str">
            <v>F02</v>
          </cell>
        </row>
        <row r="154">
          <cell r="A154">
            <v>2054</v>
          </cell>
          <cell r="B154" t="str">
            <v>MARIA ELENA SANCHEZ REYO (HUICHAPAN)</v>
          </cell>
          <cell r="C154" t="str">
            <v/>
          </cell>
          <cell r="D154" t="str">
            <v>JULIAN VILLAGRAN #12</v>
          </cell>
          <cell r="E154" t="str">
            <v>HUICHAPAN, HGO.</v>
          </cell>
          <cell r="F154" t="str">
            <v/>
          </cell>
          <cell r="G154" t="str">
            <v>(773) 128-3443</v>
          </cell>
          <cell r="H154" t="str">
            <v>ELENA SANCHEZ REYO</v>
          </cell>
          <cell r="I154" t="str">
            <v>ELENA SANCHEZ REYO</v>
          </cell>
          <cell r="J154" t="str">
            <v>BAJA</v>
          </cell>
          <cell r="K154" t="str">
            <v/>
          </cell>
          <cell r="L154">
            <v>0</v>
          </cell>
          <cell r="M154">
            <v>156</v>
          </cell>
          <cell r="N154" t="str">
            <v>A</v>
          </cell>
          <cell r="O154">
            <v>40890</v>
          </cell>
          <cell r="P154" t="str">
            <v xml:space="preserve">    6</v>
          </cell>
          <cell r="Q154">
            <v>0</v>
          </cell>
          <cell r="R154">
            <v>0</v>
          </cell>
          <cell r="S154">
            <v>0</v>
          </cell>
          <cell r="T154">
            <v>9606</v>
          </cell>
          <cell r="U154">
            <v>0</v>
          </cell>
          <cell r="V154" t="str">
            <v>CENTRO</v>
          </cell>
          <cell r="W154" t="str">
            <v/>
          </cell>
          <cell r="X154" t="str">
            <v/>
          </cell>
        </row>
        <row r="155">
          <cell r="A155">
            <v>2055</v>
          </cell>
          <cell r="B155" t="str">
            <v>LUZ ESTELA ROJO CORIA (HUICHAPAN)</v>
          </cell>
          <cell r="C155" t="str">
            <v/>
          </cell>
          <cell r="D155" t="str">
            <v>LEDESMA #3 LAS PALMAS</v>
          </cell>
          <cell r="E155" t="str">
            <v>HUICHAPAN, HGO.</v>
          </cell>
          <cell r="F155" t="str">
            <v/>
          </cell>
          <cell r="G155" t="str">
            <v>(773) 109-8824 CEL</v>
          </cell>
          <cell r="H155" t="str">
            <v>LUZ ESTELA ROJO C.</v>
          </cell>
          <cell r="I155" t="str">
            <v>LUZ ESTELA ROJO C.</v>
          </cell>
          <cell r="J155" t="str">
            <v>F02</v>
          </cell>
          <cell r="K155" t="str">
            <v/>
          </cell>
          <cell r="L155">
            <v>0</v>
          </cell>
          <cell r="M155">
            <v>157</v>
          </cell>
          <cell r="N155" t="str">
            <v>A</v>
          </cell>
          <cell r="O155">
            <v>42511</v>
          </cell>
          <cell r="P155" t="str">
            <v xml:space="preserve">    6</v>
          </cell>
          <cell r="Q155">
            <v>0</v>
          </cell>
          <cell r="R155">
            <v>0</v>
          </cell>
          <cell r="S155">
            <v>6728</v>
          </cell>
          <cell r="T155">
            <v>73816</v>
          </cell>
          <cell r="U155">
            <v>0</v>
          </cell>
          <cell r="V155" t="str">
            <v>CENTRO</v>
          </cell>
          <cell r="W155" t="str">
            <v>(773) 123-0550 CEL</v>
          </cell>
          <cell r="X155" t="str">
            <v/>
          </cell>
        </row>
        <row r="156">
          <cell r="A156">
            <v>2056</v>
          </cell>
          <cell r="B156" t="str">
            <v>SALVADOR MARTINEZ HERANDEZ (IXMIQUILPAN)</v>
          </cell>
          <cell r="C156" t="str">
            <v/>
          </cell>
          <cell r="D156" t="str">
            <v>AV. INSURGENTES OTE. #135</v>
          </cell>
          <cell r="E156" t="str">
            <v>IXMIQUILPAN, HGO.</v>
          </cell>
          <cell r="F156" t="str">
            <v/>
          </cell>
          <cell r="G156" t="str">
            <v>(759) 723-1743</v>
          </cell>
          <cell r="H156" t="str">
            <v>SALVADOR MARTINEZ H.</v>
          </cell>
          <cell r="I156" t="str">
            <v>SALVADOR MARTINEZ H.</v>
          </cell>
          <cell r="J156" t="str">
            <v>F02</v>
          </cell>
          <cell r="K156" t="str">
            <v/>
          </cell>
          <cell r="L156">
            <v>0</v>
          </cell>
          <cell r="M156">
            <v>158</v>
          </cell>
          <cell r="N156" t="str">
            <v>A</v>
          </cell>
          <cell r="O156">
            <v>41811</v>
          </cell>
          <cell r="P156" t="str">
            <v xml:space="preserve">    1</v>
          </cell>
          <cell r="Q156">
            <v>0</v>
          </cell>
          <cell r="R156">
            <v>0</v>
          </cell>
          <cell r="S156">
            <v>0</v>
          </cell>
          <cell r="T156">
            <v>4320</v>
          </cell>
          <cell r="U156">
            <v>0</v>
          </cell>
          <cell r="V156" t="str">
            <v>EL EFITHZI</v>
          </cell>
          <cell r="W156" t="str">
            <v/>
          </cell>
          <cell r="X156" t="str">
            <v/>
          </cell>
        </row>
        <row r="157">
          <cell r="A157">
            <v>2057</v>
          </cell>
          <cell r="B157" t="str">
            <v>NOVIAS FRIDA (IXMIQUILPAN)</v>
          </cell>
          <cell r="C157" t="str">
            <v/>
          </cell>
          <cell r="D157" t="str">
            <v>PEÑA Y RAMIREZ #6 INT 23</v>
          </cell>
          <cell r="E157" t="str">
            <v>IXMIQUILPAN, HGO.</v>
          </cell>
          <cell r="F157" t="str">
            <v/>
          </cell>
          <cell r="G157" t="str">
            <v>(759) 723-0066</v>
          </cell>
          <cell r="H157" t="str">
            <v>SRA. IRENE</v>
          </cell>
          <cell r="I157" t="str">
            <v>SRA. IRENE</v>
          </cell>
          <cell r="J157" t="str">
            <v>BAJA</v>
          </cell>
          <cell r="K157" t="str">
            <v/>
          </cell>
          <cell r="L157">
            <v>0</v>
          </cell>
          <cell r="M157">
            <v>159</v>
          </cell>
          <cell r="N157" t="str">
            <v>A</v>
          </cell>
          <cell r="O157">
            <v>41586</v>
          </cell>
          <cell r="P157" t="str">
            <v xml:space="preserve">    6</v>
          </cell>
          <cell r="Q157">
            <v>0</v>
          </cell>
          <cell r="R157">
            <v>0</v>
          </cell>
          <cell r="S157">
            <v>0</v>
          </cell>
          <cell r="T157">
            <v>13549</v>
          </cell>
          <cell r="U157">
            <v>0</v>
          </cell>
          <cell r="V157" t="str">
            <v>CENTRO</v>
          </cell>
          <cell r="W157" t="str">
            <v/>
          </cell>
          <cell r="X157" t="str">
            <v/>
          </cell>
        </row>
        <row r="158">
          <cell r="A158">
            <v>2058</v>
          </cell>
          <cell r="B158" t="str">
            <v>MIGUEL LOPEZ VALENCIA (TEXCOCO)</v>
          </cell>
          <cell r="C158" t="str">
            <v/>
          </cell>
          <cell r="D158" t="str">
            <v>PASAJE INDEPENDENCIA #6</v>
          </cell>
          <cell r="E158" t="str">
            <v>TEXCOCO, EDO. DE MEXICO</v>
          </cell>
          <cell r="F158" t="str">
            <v/>
          </cell>
          <cell r="G158" t="str">
            <v>(55) 1537-8071 CEL</v>
          </cell>
          <cell r="H158" t="str">
            <v>MIGUEL LOPEZ</v>
          </cell>
          <cell r="I158" t="str">
            <v>MIGUEL LOPEZ</v>
          </cell>
          <cell r="J158" t="str">
            <v>BAJA</v>
          </cell>
          <cell r="K158" t="str">
            <v/>
          </cell>
          <cell r="L158">
            <v>0</v>
          </cell>
          <cell r="M158">
            <v>160</v>
          </cell>
          <cell r="N158" t="str">
            <v>A</v>
          </cell>
          <cell r="O158">
            <v>40935</v>
          </cell>
          <cell r="P158" t="str">
            <v xml:space="preserve">    1</v>
          </cell>
          <cell r="Q158">
            <v>0</v>
          </cell>
          <cell r="R158">
            <v>0</v>
          </cell>
          <cell r="S158">
            <v>0</v>
          </cell>
          <cell r="T158">
            <v>7384</v>
          </cell>
          <cell r="U158">
            <v>0</v>
          </cell>
          <cell r="V158" t="str">
            <v>CENTRO</v>
          </cell>
          <cell r="W158" t="str">
            <v/>
          </cell>
          <cell r="X158" t="str">
            <v/>
          </cell>
        </row>
        <row r="159">
          <cell r="A159">
            <v>2059</v>
          </cell>
          <cell r="B159" t="str">
            <v>CLAUDIA MANCERA (SAN JUAN)</v>
          </cell>
          <cell r="C159" t="str">
            <v/>
          </cell>
          <cell r="D159" t="str">
            <v>16 DE SEPTIEMBRE #34</v>
          </cell>
          <cell r="E159" t="str">
            <v>SAN JUAN DEL RIO, QRO.</v>
          </cell>
          <cell r="F159" t="str">
            <v/>
          </cell>
          <cell r="G159" t="str">
            <v>(427) 272-8950</v>
          </cell>
          <cell r="H159" t="str">
            <v>CLAUDIA MANCERA</v>
          </cell>
          <cell r="I159" t="str">
            <v>CLAUDIA MANCERA</v>
          </cell>
          <cell r="J159" t="str">
            <v>BAJA</v>
          </cell>
          <cell r="K159" t="str">
            <v/>
          </cell>
          <cell r="L159">
            <v>0</v>
          </cell>
          <cell r="M159">
            <v>161</v>
          </cell>
          <cell r="N159" t="str">
            <v>A</v>
          </cell>
          <cell r="O159">
            <v>40815</v>
          </cell>
          <cell r="P159" t="str">
            <v xml:space="preserve">    6</v>
          </cell>
          <cell r="Q159">
            <v>0</v>
          </cell>
          <cell r="R159">
            <v>0</v>
          </cell>
          <cell r="S159">
            <v>0</v>
          </cell>
          <cell r="T159">
            <v>1708</v>
          </cell>
          <cell r="U159">
            <v>0</v>
          </cell>
          <cell r="V159" t="str">
            <v>CENTRO</v>
          </cell>
          <cell r="W159" t="str">
            <v/>
          </cell>
          <cell r="X159" t="str">
            <v/>
          </cell>
        </row>
        <row r="160">
          <cell r="A160">
            <v>2060</v>
          </cell>
          <cell r="B160" t="str">
            <v>JULIO CESAR ACEVEDO (CELAYA)</v>
          </cell>
          <cell r="C160" t="str">
            <v/>
          </cell>
          <cell r="D160" t="str">
            <v>LIBERTAD #129</v>
          </cell>
          <cell r="E160" t="str">
            <v>CELAYA, GTO.</v>
          </cell>
          <cell r="F160" t="str">
            <v/>
          </cell>
          <cell r="G160" t="str">
            <v>92*13*41409</v>
          </cell>
          <cell r="H160" t="str">
            <v>JULIO CESAR ACEVEDO</v>
          </cell>
          <cell r="I160" t="str">
            <v>JULIO CESAR ACEVEDO</v>
          </cell>
          <cell r="J160" t="str">
            <v>BAJA</v>
          </cell>
          <cell r="K160" t="str">
            <v/>
          </cell>
          <cell r="L160">
            <v>0</v>
          </cell>
          <cell r="M160">
            <v>162</v>
          </cell>
          <cell r="N160" t="str">
            <v>A</v>
          </cell>
          <cell r="O160">
            <v>40815</v>
          </cell>
          <cell r="P160" t="str">
            <v xml:space="preserve">    6</v>
          </cell>
          <cell r="Q160">
            <v>0</v>
          </cell>
          <cell r="R160">
            <v>0</v>
          </cell>
          <cell r="S160">
            <v>0</v>
          </cell>
          <cell r="T160">
            <v>1032</v>
          </cell>
          <cell r="U160">
            <v>0</v>
          </cell>
          <cell r="V160" t="str">
            <v>CENTRO</v>
          </cell>
          <cell r="W160" t="str">
            <v/>
          </cell>
          <cell r="X160" t="str">
            <v/>
          </cell>
        </row>
        <row r="161">
          <cell r="A161">
            <v>2061</v>
          </cell>
          <cell r="B161" t="str">
            <v>MARGARITA PEREZ (ACAMBAY)</v>
          </cell>
          <cell r="C161" t="str">
            <v/>
          </cell>
          <cell r="D161" t="str">
            <v/>
          </cell>
          <cell r="E161" t="str">
            <v>ACAMBAY, EDO. DE MEXICO</v>
          </cell>
          <cell r="F161" t="str">
            <v/>
          </cell>
          <cell r="G161" t="str">
            <v/>
          </cell>
          <cell r="H161" t="str">
            <v>MARGARITA PEREZ</v>
          </cell>
          <cell r="I161" t="str">
            <v>MARGARITA PEREZ</v>
          </cell>
          <cell r="J161" t="str">
            <v>BAJA</v>
          </cell>
          <cell r="K161" t="str">
            <v/>
          </cell>
          <cell r="L161">
            <v>0</v>
          </cell>
          <cell r="M161">
            <v>163</v>
          </cell>
          <cell r="N161" t="str">
            <v>A</v>
          </cell>
          <cell r="O161">
            <v>40819</v>
          </cell>
          <cell r="P161" t="str">
            <v xml:space="preserve">    1</v>
          </cell>
          <cell r="Q161">
            <v>0</v>
          </cell>
          <cell r="R161">
            <v>0</v>
          </cell>
          <cell r="S161">
            <v>0</v>
          </cell>
          <cell r="T161">
            <v>422</v>
          </cell>
          <cell r="U161">
            <v>0</v>
          </cell>
          <cell r="V161" t="str">
            <v/>
          </cell>
          <cell r="W161" t="str">
            <v/>
          </cell>
          <cell r="X161" t="str">
            <v/>
          </cell>
        </row>
        <row r="162">
          <cell r="A162">
            <v>2062</v>
          </cell>
          <cell r="B162" t="str">
            <v>IRENE GARCIA (ACAMBAY)</v>
          </cell>
          <cell r="C162" t="str">
            <v/>
          </cell>
          <cell r="D162" t="str">
            <v>CONSTITUCION #13</v>
          </cell>
          <cell r="E162" t="str">
            <v>ACAMBAY, EDO. DE MEXICO</v>
          </cell>
          <cell r="F162" t="str">
            <v/>
          </cell>
          <cell r="G162" t="str">
            <v/>
          </cell>
          <cell r="H162" t="str">
            <v>IRENE GARCIA</v>
          </cell>
          <cell r="I162" t="str">
            <v>IRENE GARCIA</v>
          </cell>
          <cell r="J162" t="str">
            <v>BAJA</v>
          </cell>
          <cell r="K162" t="str">
            <v/>
          </cell>
          <cell r="L162">
            <v>0</v>
          </cell>
          <cell r="M162">
            <v>164</v>
          </cell>
          <cell r="N162" t="str">
            <v>A</v>
          </cell>
          <cell r="O162">
            <v>40891</v>
          </cell>
          <cell r="P162" t="str">
            <v xml:space="preserve">    8</v>
          </cell>
          <cell r="Q162">
            <v>0</v>
          </cell>
          <cell r="R162">
            <v>0</v>
          </cell>
          <cell r="S162">
            <v>0</v>
          </cell>
          <cell r="T162">
            <v>3900</v>
          </cell>
          <cell r="U162">
            <v>0</v>
          </cell>
          <cell r="V162" t="str">
            <v>CENTRO</v>
          </cell>
          <cell r="W162" t="str">
            <v/>
          </cell>
          <cell r="X162" t="str">
            <v/>
          </cell>
        </row>
        <row r="163">
          <cell r="A163">
            <v>2063</v>
          </cell>
          <cell r="B163" t="str">
            <v>ESTER FLORES PEREZ (TEOLOYUCAN)</v>
          </cell>
          <cell r="C163" t="str">
            <v/>
          </cell>
          <cell r="D163" t="str">
            <v>HIDALGO S/N</v>
          </cell>
          <cell r="E163" t="str">
            <v>TEOLOYUCAN, EDO. DE MEXICO</v>
          </cell>
          <cell r="F163" t="str">
            <v/>
          </cell>
          <cell r="G163" t="str">
            <v>(55) 1248-4988 CEL</v>
          </cell>
          <cell r="H163" t="str">
            <v>ESTER FLORES PEREZ</v>
          </cell>
          <cell r="I163" t="str">
            <v>ESTER FLORES PEREZ</v>
          </cell>
          <cell r="J163" t="str">
            <v>BAJA</v>
          </cell>
          <cell r="K163" t="str">
            <v/>
          </cell>
          <cell r="L163">
            <v>0</v>
          </cell>
          <cell r="M163">
            <v>165</v>
          </cell>
          <cell r="N163" t="str">
            <v>A</v>
          </cell>
          <cell r="O163">
            <v>40852</v>
          </cell>
          <cell r="P163" t="str">
            <v xml:space="preserve">    2</v>
          </cell>
          <cell r="Q163">
            <v>0</v>
          </cell>
          <cell r="R163">
            <v>0</v>
          </cell>
          <cell r="S163">
            <v>0</v>
          </cell>
          <cell r="T163">
            <v>1287</v>
          </cell>
          <cell r="U163">
            <v>0</v>
          </cell>
          <cell r="V163" t="str">
            <v>BARRIO TEPALQUIAHUAC</v>
          </cell>
          <cell r="W163" t="str">
            <v/>
          </cell>
          <cell r="X163" t="str">
            <v/>
          </cell>
        </row>
        <row r="164">
          <cell r="A164">
            <v>2064</v>
          </cell>
          <cell r="B164" t="str">
            <v>OFELIA MAYA PAREDES (TEOLOYUCAN)</v>
          </cell>
          <cell r="C164" t="str">
            <v/>
          </cell>
          <cell r="D164" t="str">
            <v>REFORMA ESQ. PINO S/N</v>
          </cell>
          <cell r="E164" t="str">
            <v>TEOLOYUCAN, EDO. DE MEXICO</v>
          </cell>
          <cell r="F164" t="str">
            <v/>
          </cell>
          <cell r="G164" t="str">
            <v>(55) 3694-7591</v>
          </cell>
          <cell r="H164" t="str">
            <v>OFELIA MAYA PAREDES</v>
          </cell>
          <cell r="I164" t="str">
            <v>OFELIA MAYA PAREDES</v>
          </cell>
          <cell r="J164" t="str">
            <v>M01</v>
          </cell>
          <cell r="K164" t="str">
            <v/>
          </cell>
          <cell r="L164">
            <v>0</v>
          </cell>
          <cell r="M164">
            <v>166</v>
          </cell>
          <cell r="N164" t="str">
            <v>A</v>
          </cell>
          <cell r="O164">
            <v>41993</v>
          </cell>
          <cell r="P164" t="str">
            <v xml:space="preserve">    2</v>
          </cell>
          <cell r="Q164">
            <v>0</v>
          </cell>
          <cell r="R164">
            <v>0</v>
          </cell>
          <cell r="S164">
            <v>0</v>
          </cell>
          <cell r="T164">
            <v>43520.75</v>
          </cell>
          <cell r="U164">
            <v>0</v>
          </cell>
          <cell r="V164" t="str">
            <v>CENTRO</v>
          </cell>
          <cell r="W164" t="str">
            <v/>
          </cell>
          <cell r="X164" t="str">
            <v/>
          </cell>
        </row>
        <row r="165">
          <cell r="A165">
            <v>2065</v>
          </cell>
          <cell r="B165" t="str">
            <v>NOEMI AGUILAR TORREZ (MELCHOR OCAMPO)</v>
          </cell>
          <cell r="C165" t="str">
            <v/>
          </cell>
          <cell r="D165" t="str">
            <v>CORREGIDORA S/N</v>
          </cell>
          <cell r="E165" t="str">
            <v>MELCHOR OCAMPO, EDO. DE MEXICO</v>
          </cell>
          <cell r="F165" t="str">
            <v/>
          </cell>
          <cell r="G165" t="str">
            <v/>
          </cell>
          <cell r="H165" t="str">
            <v>NOEMI AGUILAR TORREZ</v>
          </cell>
          <cell r="I165" t="str">
            <v>NOEMI AGUILAR TORREZ</v>
          </cell>
          <cell r="J165" t="str">
            <v>BAJA</v>
          </cell>
          <cell r="K165" t="str">
            <v/>
          </cell>
          <cell r="L165">
            <v>0</v>
          </cell>
          <cell r="M165">
            <v>167</v>
          </cell>
          <cell r="N165" t="str">
            <v>A</v>
          </cell>
          <cell r="O165">
            <v>40819</v>
          </cell>
          <cell r="P165" t="str">
            <v xml:space="preserve">    2</v>
          </cell>
          <cell r="Q165">
            <v>0</v>
          </cell>
          <cell r="R165">
            <v>0</v>
          </cell>
          <cell r="S165">
            <v>0</v>
          </cell>
          <cell r="T165">
            <v>87</v>
          </cell>
          <cell r="U165">
            <v>0</v>
          </cell>
          <cell r="V165" t="str">
            <v>VISITACION</v>
          </cell>
          <cell r="W165" t="str">
            <v/>
          </cell>
          <cell r="X165" t="str">
            <v/>
          </cell>
        </row>
        <row r="166">
          <cell r="A166">
            <v>2066</v>
          </cell>
          <cell r="B166" t="str">
            <v>NELLY ALCANTARA (SAN FRANCISCO)</v>
          </cell>
          <cell r="C166" t="str">
            <v/>
          </cell>
          <cell r="D166" t="str">
            <v/>
          </cell>
          <cell r="E166" t="str">
            <v>SAN FRANCISCO, EDO. MEXICO</v>
          </cell>
          <cell r="F166" t="str">
            <v/>
          </cell>
          <cell r="G166" t="str">
            <v/>
          </cell>
          <cell r="H166" t="str">
            <v>MELLY ALCANTARA</v>
          </cell>
          <cell r="I166" t="str">
            <v>MELLY ALCANTARA</v>
          </cell>
          <cell r="J166" t="str">
            <v>BAJA</v>
          </cell>
          <cell r="K166" t="str">
            <v/>
          </cell>
          <cell r="L166">
            <v>0</v>
          </cell>
          <cell r="M166">
            <v>168</v>
          </cell>
          <cell r="N166" t="str">
            <v>S</v>
          </cell>
          <cell r="O166">
            <v>40874</v>
          </cell>
          <cell r="P166" t="str">
            <v xml:space="preserve">    1</v>
          </cell>
          <cell r="Q166">
            <v>0</v>
          </cell>
          <cell r="R166">
            <v>0</v>
          </cell>
          <cell r="S166">
            <v>0</v>
          </cell>
          <cell r="T166">
            <v>1973</v>
          </cell>
          <cell r="U166">
            <v>0</v>
          </cell>
          <cell r="V166" t="str">
            <v/>
          </cell>
          <cell r="W166" t="str">
            <v/>
          </cell>
          <cell r="X166" t="str">
            <v/>
          </cell>
        </row>
        <row r="167">
          <cell r="A167">
            <v>2067</v>
          </cell>
          <cell r="B167" t="str">
            <v>BENITO ALCANTA SANCHEZ (JILOTEPEC)</v>
          </cell>
          <cell r="C167" t="str">
            <v/>
          </cell>
          <cell r="D167" t="str">
            <v>AV. JUAREZ #102</v>
          </cell>
          <cell r="E167" t="str">
            <v>JILOTEPEC, EDO. DE MEXICO</v>
          </cell>
          <cell r="F167" t="str">
            <v/>
          </cell>
          <cell r="G167" t="str">
            <v>(761) 734-1951</v>
          </cell>
          <cell r="H167" t="str">
            <v>MA. DEL PILAR</v>
          </cell>
          <cell r="I167" t="str">
            <v>BENITO ALCANTA S.</v>
          </cell>
          <cell r="J167" t="str">
            <v>BAJA</v>
          </cell>
          <cell r="K167" t="str">
            <v/>
          </cell>
          <cell r="L167">
            <v>0</v>
          </cell>
          <cell r="M167">
            <v>169</v>
          </cell>
          <cell r="N167" t="str">
            <v>A</v>
          </cell>
          <cell r="O167">
            <v>41107</v>
          </cell>
          <cell r="P167" t="str">
            <v xml:space="preserve">    1</v>
          </cell>
          <cell r="Q167">
            <v>0</v>
          </cell>
          <cell r="R167">
            <v>0</v>
          </cell>
          <cell r="S167">
            <v>0</v>
          </cell>
          <cell r="T167">
            <v>13556</v>
          </cell>
          <cell r="U167">
            <v>0</v>
          </cell>
          <cell r="V167" t="str">
            <v>CENTRO</v>
          </cell>
          <cell r="W167" t="str">
            <v/>
          </cell>
          <cell r="X167" t="str">
            <v/>
          </cell>
        </row>
        <row r="168">
          <cell r="A168">
            <v>2068</v>
          </cell>
          <cell r="B168" t="str">
            <v>MARIBEL GAVINO DIAZ (SAN LORENZO)</v>
          </cell>
          <cell r="C168" t="str">
            <v/>
          </cell>
          <cell r="D168" t="str">
            <v>INDEPENCIA #8</v>
          </cell>
          <cell r="E168" t="str">
            <v>COACALCO, EDO. DE MEXICO</v>
          </cell>
          <cell r="F168" t="str">
            <v/>
          </cell>
          <cell r="G168" t="str">
            <v/>
          </cell>
          <cell r="H168" t="str">
            <v>MARIBEL GAVINO DIAZ</v>
          </cell>
          <cell r="I168" t="str">
            <v>MARIBEL GAVINO DIAZ</v>
          </cell>
          <cell r="J168" t="str">
            <v>BAJA</v>
          </cell>
          <cell r="K168" t="str">
            <v/>
          </cell>
          <cell r="L168">
            <v>0</v>
          </cell>
          <cell r="M168">
            <v>170</v>
          </cell>
          <cell r="N168" t="str">
            <v>A</v>
          </cell>
          <cell r="O168">
            <v>40826</v>
          </cell>
          <cell r="P168" t="str">
            <v xml:space="preserve">    2</v>
          </cell>
          <cell r="Q168">
            <v>0</v>
          </cell>
          <cell r="R168">
            <v>0</v>
          </cell>
          <cell r="S168">
            <v>0</v>
          </cell>
          <cell r="T168">
            <v>800</v>
          </cell>
          <cell r="U168">
            <v>0</v>
          </cell>
          <cell r="V168" t="str">
            <v>SAN LORENZO</v>
          </cell>
          <cell r="W168" t="str">
            <v/>
          </cell>
          <cell r="X168" t="str">
            <v/>
          </cell>
        </row>
        <row r="169">
          <cell r="A169">
            <v>2069</v>
          </cell>
          <cell r="B169" t="str">
            <v>MA. LUISA RODRIGUEZ (SAN CRISTOBAL)</v>
          </cell>
          <cell r="C169" t="str">
            <v/>
          </cell>
          <cell r="D169" t="str">
            <v>MERCADO DE SAN CRISTOBAL LOC. 125</v>
          </cell>
          <cell r="E169" t="str">
            <v>ECATEPEC, EDO. DE MEXICO</v>
          </cell>
          <cell r="F169" t="str">
            <v/>
          </cell>
          <cell r="G169" t="str">
            <v/>
          </cell>
          <cell r="H169" t="str">
            <v>MA. LUISA RODRIGUEZ</v>
          </cell>
          <cell r="I169" t="str">
            <v>MA. LUISA RODRIGUEZ</v>
          </cell>
          <cell r="J169" t="str">
            <v>BAJA</v>
          </cell>
          <cell r="K169" t="str">
            <v/>
          </cell>
          <cell r="L169">
            <v>0</v>
          </cell>
          <cell r="M169">
            <v>171</v>
          </cell>
          <cell r="N169" t="str">
            <v>A</v>
          </cell>
          <cell r="O169">
            <v>41365</v>
          </cell>
          <cell r="P169" t="str">
            <v xml:space="preserve">    2</v>
          </cell>
          <cell r="Q169">
            <v>0</v>
          </cell>
          <cell r="R169">
            <v>0</v>
          </cell>
          <cell r="S169">
            <v>0</v>
          </cell>
          <cell r="T169">
            <v>5799</v>
          </cell>
          <cell r="U169">
            <v>0</v>
          </cell>
          <cell r="V169" t="str">
            <v>SAN CRISTOBAL</v>
          </cell>
          <cell r="W169" t="str">
            <v/>
          </cell>
          <cell r="X169" t="str">
            <v/>
          </cell>
        </row>
        <row r="170">
          <cell r="A170">
            <v>2070</v>
          </cell>
          <cell r="B170" t="str">
            <v>MARTHA HERNANDEZ MAYA (COYOTEPEC)</v>
          </cell>
          <cell r="C170" t="str">
            <v/>
          </cell>
          <cell r="D170" t="str">
            <v>DOMINGO CASTRO #5</v>
          </cell>
          <cell r="E170" t="str">
            <v>COYOTEPEC, EDO. DE MEXICO</v>
          </cell>
          <cell r="F170" t="str">
            <v/>
          </cell>
          <cell r="G170" t="str">
            <v>(593) 915-2090</v>
          </cell>
          <cell r="H170" t="str">
            <v>MARTHA HERNANDEZ</v>
          </cell>
          <cell r="I170" t="str">
            <v>MARTHA HERNANDEZ</v>
          </cell>
          <cell r="J170" t="str">
            <v>BAJA</v>
          </cell>
          <cell r="K170" t="str">
            <v/>
          </cell>
          <cell r="L170">
            <v>0</v>
          </cell>
          <cell r="M170">
            <v>172</v>
          </cell>
          <cell r="N170" t="str">
            <v>A</v>
          </cell>
          <cell r="O170">
            <v>41040</v>
          </cell>
          <cell r="P170" t="str">
            <v xml:space="preserve">    2</v>
          </cell>
          <cell r="Q170">
            <v>0</v>
          </cell>
          <cell r="R170">
            <v>0</v>
          </cell>
          <cell r="S170">
            <v>0</v>
          </cell>
          <cell r="T170">
            <v>14373</v>
          </cell>
          <cell r="U170">
            <v>0</v>
          </cell>
          <cell r="V170" t="str">
            <v>BARRIO SAN JUAN</v>
          </cell>
          <cell r="W170" t="str">
            <v/>
          </cell>
          <cell r="X170" t="str">
            <v/>
          </cell>
        </row>
        <row r="171">
          <cell r="A171">
            <v>2071</v>
          </cell>
          <cell r="B171" t="str">
            <v>VIANET FERNANDEZ HUAMAN (TEZONTEPEC)</v>
          </cell>
          <cell r="C171" t="str">
            <v/>
          </cell>
          <cell r="D171" t="str">
            <v>AV. JUAN ALDAMA S/N</v>
          </cell>
          <cell r="E171" t="str">
            <v>TEZONTEPEC, HGO.</v>
          </cell>
          <cell r="F171" t="str">
            <v/>
          </cell>
          <cell r="G171" t="str">
            <v>(763) 737-5203</v>
          </cell>
          <cell r="H171" t="str">
            <v>VIANET FERNANDEZ H</v>
          </cell>
          <cell r="I171" t="str">
            <v>VIANET FERNANDEZ H</v>
          </cell>
          <cell r="J171" t="str">
            <v>BAJA</v>
          </cell>
          <cell r="K171" t="str">
            <v/>
          </cell>
          <cell r="L171">
            <v>0</v>
          </cell>
          <cell r="M171">
            <v>173</v>
          </cell>
          <cell r="N171" t="str">
            <v>A</v>
          </cell>
          <cell r="O171">
            <v>41503</v>
          </cell>
          <cell r="P171" t="str">
            <v xml:space="preserve">    3</v>
          </cell>
          <cell r="Q171">
            <v>0</v>
          </cell>
          <cell r="R171">
            <v>0</v>
          </cell>
          <cell r="S171">
            <v>0</v>
          </cell>
          <cell r="T171">
            <v>20506</v>
          </cell>
          <cell r="U171">
            <v>0</v>
          </cell>
          <cell r="V171" t="str">
            <v>CENTRO</v>
          </cell>
          <cell r="W171" t="str">
            <v/>
          </cell>
          <cell r="X171" t="str">
            <v/>
          </cell>
        </row>
        <row r="172">
          <cell r="A172">
            <v>2072</v>
          </cell>
          <cell r="B172" t="str">
            <v>ISABEL RUIZ SOTO  (SAN JUAN)</v>
          </cell>
          <cell r="C172" t="str">
            <v/>
          </cell>
          <cell r="D172" t="str">
            <v>AV. DE LOS GANZOS #45</v>
          </cell>
          <cell r="E172" t="str">
            <v>SAN JUAN DEL RIO, QRO.</v>
          </cell>
          <cell r="F172" t="str">
            <v/>
          </cell>
          <cell r="G172" t="str">
            <v>135-1268 CASA</v>
          </cell>
          <cell r="H172" t="str">
            <v>ISABEL RUIZ SOTO</v>
          </cell>
          <cell r="I172" t="str">
            <v>ISABEL RUIZ SOTO</v>
          </cell>
          <cell r="J172" t="str">
            <v>L01</v>
          </cell>
          <cell r="K172" t="str">
            <v/>
          </cell>
          <cell r="L172">
            <v>0</v>
          </cell>
          <cell r="M172">
            <v>174</v>
          </cell>
          <cell r="N172" t="str">
            <v>A</v>
          </cell>
          <cell r="O172">
            <v>42457</v>
          </cell>
          <cell r="P172" t="str">
            <v xml:space="preserve">    6</v>
          </cell>
          <cell r="Q172">
            <v>0</v>
          </cell>
          <cell r="R172">
            <v>0</v>
          </cell>
          <cell r="S172">
            <v>2173</v>
          </cell>
          <cell r="T172">
            <v>170310</v>
          </cell>
          <cell r="U172">
            <v>0</v>
          </cell>
          <cell r="V172" t="str">
            <v>INDECO</v>
          </cell>
          <cell r="W172" t="str">
            <v>(427) 110-4647 CEL</v>
          </cell>
          <cell r="X172" t="str">
            <v/>
          </cell>
        </row>
        <row r="173">
          <cell r="A173">
            <v>2073</v>
          </cell>
          <cell r="B173" t="str">
            <v>GLORIA GONZALEZ (ESCOBEDO)</v>
          </cell>
          <cell r="C173" t="str">
            <v/>
          </cell>
          <cell r="D173" t="str">
            <v>BVLD. LAZARO CARDENAS #1</v>
          </cell>
          <cell r="E173" t="str">
            <v>PEDRO ESCOBEDO, QRO.</v>
          </cell>
          <cell r="F173" t="str">
            <v/>
          </cell>
          <cell r="G173" t="str">
            <v>(448) 275-1853</v>
          </cell>
          <cell r="H173" t="str">
            <v>GLORIA GONZALEZ</v>
          </cell>
          <cell r="I173" t="str">
            <v>GLORIA GONZALEZ</v>
          </cell>
          <cell r="J173" t="str">
            <v>BAJA</v>
          </cell>
          <cell r="K173" t="str">
            <v/>
          </cell>
          <cell r="L173">
            <v>0</v>
          </cell>
          <cell r="M173">
            <v>175</v>
          </cell>
          <cell r="N173" t="str">
            <v>A</v>
          </cell>
          <cell r="O173">
            <v>41482</v>
          </cell>
          <cell r="P173" t="str">
            <v xml:space="preserve">    3</v>
          </cell>
          <cell r="Q173">
            <v>0</v>
          </cell>
          <cell r="R173">
            <v>0</v>
          </cell>
          <cell r="S173">
            <v>0</v>
          </cell>
          <cell r="T173">
            <v>8471</v>
          </cell>
          <cell r="U173">
            <v>0</v>
          </cell>
          <cell r="V173" t="str">
            <v/>
          </cell>
          <cell r="W173" t="str">
            <v/>
          </cell>
          <cell r="X173" t="str">
            <v/>
          </cell>
        </row>
        <row r="174">
          <cell r="A174">
            <v>2074</v>
          </cell>
          <cell r="B174" t="str">
            <v>CHIQUILLOS Y CHIQUILLAS (QUERETARO)</v>
          </cell>
          <cell r="C174" t="str">
            <v/>
          </cell>
          <cell r="D174" t="str">
            <v>16 DE SEPTIEMBRE #25 PTE.</v>
          </cell>
          <cell r="E174" t="str">
            <v>QUERETARO, QRO.</v>
          </cell>
          <cell r="F174" t="str">
            <v/>
          </cell>
          <cell r="G174" t="str">
            <v/>
          </cell>
          <cell r="H174" t="str">
            <v/>
          </cell>
          <cell r="I174" t="str">
            <v/>
          </cell>
          <cell r="J174" t="str">
            <v>BAJA</v>
          </cell>
          <cell r="K174" t="str">
            <v/>
          </cell>
          <cell r="L174">
            <v>0</v>
          </cell>
          <cell r="M174">
            <v>176</v>
          </cell>
          <cell r="N174" t="str">
            <v>A</v>
          </cell>
          <cell r="O174">
            <v>40827</v>
          </cell>
          <cell r="P174" t="str">
            <v xml:space="preserve">    6</v>
          </cell>
          <cell r="Q174">
            <v>0</v>
          </cell>
          <cell r="R174">
            <v>0</v>
          </cell>
          <cell r="S174">
            <v>0</v>
          </cell>
          <cell r="T174">
            <v>694</v>
          </cell>
          <cell r="U174">
            <v>0</v>
          </cell>
          <cell r="V174" t="str">
            <v>CENTRO</v>
          </cell>
          <cell r="W174" t="str">
            <v/>
          </cell>
          <cell r="X174" t="str">
            <v/>
          </cell>
        </row>
        <row r="175">
          <cell r="A175">
            <v>2075</v>
          </cell>
          <cell r="B175" t="str">
            <v>PAZ ROJAS MONTES (TULTITLAN)</v>
          </cell>
          <cell r="C175" t="str">
            <v/>
          </cell>
          <cell r="D175" t="str">
            <v>AV. 11 JULIO #50</v>
          </cell>
          <cell r="E175" t="str">
            <v>TULTITLAN, EDO. DE MEXICO</v>
          </cell>
          <cell r="F175" t="str">
            <v/>
          </cell>
          <cell r="G175" t="str">
            <v>(55) 5884-5410</v>
          </cell>
          <cell r="H175" t="str">
            <v>PAZ ROJAS MONTES</v>
          </cell>
          <cell r="I175" t="str">
            <v>PAZ ROJAS MONTES</v>
          </cell>
          <cell r="J175" t="str">
            <v>BAJA</v>
          </cell>
          <cell r="K175" t="str">
            <v/>
          </cell>
          <cell r="L175">
            <v>0</v>
          </cell>
          <cell r="M175">
            <v>177</v>
          </cell>
          <cell r="N175" t="str">
            <v>A</v>
          </cell>
          <cell r="O175">
            <v>41272</v>
          </cell>
          <cell r="P175" t="str">
            <v xml:space="preserve">    2</v>
          </cell>
          <cell r="Q175">
            <v>0</v>
          </cell>
          <cell r="R175">
            <v>0</v>
          </cell>
          <cell r="S175">
            <v>0</v>
          </cell>
          <cell r="T175">
            <v>17415</v>
          </cell>
          <cell r="U175">
            <v>0</v>
          </cell>
          <cell r="V175" t="str">
            <v>SAN FCO. CHILPAN</v>
          </cell>
          <cell r="W175" t="str">
            <v/>
          </cell>
          <cell r="X175" t="str">
            <v/>
          </cell>
        </row>
        <row r="176">
          <cell r="A176">
            <v>2076</v>
          </cell>
          <cell r="B176" t="str">
            <v>VICTORIA MARTINEZ (EL COLORADO)</v>
          </cell>
          <cell r="C176" t="str">
            <v/>
          </cell>
          <cell r="D176" t="str">
            <v>ADOLFO LOPEZ MATEOS #30</v>
          </cell>
          <cell r="E176" t="str">
            <v>QUERETARO, QRO.</v>
          </cell>
          <cell r="F176" t="str">
            <v/>
          </cell>
          <cell r="G176" t="str">
            <v/>
          </cell>
          <cell r="H176" t="str">
            <v>VICTORIA MARTINEZ</v>
          </cell>
          <cell r="I176" t="str">
            <v>VICTORIA MARTINEZ</v>
          </cell>
          <cell r="J176" t="str">
            <v>BAJA</v>
          </cell>
          <cell r="K176" t="str">
            <v/>
          </cell>
          <cell r="L176">
            <v>0</v>
          </cell>
          <cell r="M176">
            <v>178</v>
          </cell>
          <cell r="N176" t="str">
            <v>A</v>
          </cell>
          <cell r="O176">
            <v>40849</v>
          </cell>
          <cell r="P176" t="str">
            <v xml:space="preserve">    6</v>
          </cell>
          <cell r="Q176">
            <v>0</v>
          </cell>
          <cell r="R176">
            <v>0</v>
          </cell>
          <cell r="S176">
            <v>0</v>
          </cell>
          <cell r="T176">
            <v>3116</v>
          </cell>
          <cell r="U176">
            <v>0</v>
          </cell>
          <cell r="V176" t="str">
            <v>EL COLORADO</v>
          </cell>
          <cell r="W176" t="str">
            <v/>
          </cell>
          <cell r="X176" t="str">
            <v/>
          </cell>
        </row>
        <row r="177">
          <cell r="A177">
            <v>2077</v>
          </cell>
          <cell r="B177" t="str">
            <v>TOPE BORREGO (QUERETARO)</v>
          </cell>
          <cell r="C177" t="str">
            <v/>
          </cell>
          <cell r="D177" t="str">
            <v>GARIBALDI 2-D ESQ. GUTIERREZ NAJERA</v>
          </cell>
          <cell r="E177" t="str">
            <v>QUERETARO, QRO.</v>
          </cell>
          <cell r="F177" t="str">
            <v/>
          </cell>
          <cell r="G177" t="str">
            <v>(442) 384-0075</v>
          </cell>
          <cell r="H177" t="str">
            <v>ALICIA RODRIGUEZ</v>
          </cell>
          <cell r="I177" t="str">
            <v>FRANCO FARANELI</v>
          </cell>
          <cell r="J177" t="str">
            <v>BAJA</v>
          </cell>
          <cell r="K177" t="str">
            <v/>
          </cell>
          <cell r="L177">
            <v>0</v>
          </cell>
          <cell r="M177">
            <v>179</v>
          </cell>
          <cell r="N177" t="str">
            <v>A</v>
          </cell>
          <cell r="O177">
            <v>40828</v>
          </cell>
          <cell r="P177" t="str">
            <v xml:space="preserve">    6</v>
          </cell>
          <cell r="Q177">
            <v>0</v>
          </cell>
          <cell r="R177">
            <v>0</v>
          </cell>
          <cell r="S177">
            <v>0</v>
          </cell>
          <cell r="T177">
            <v>2466</v>
          </cell>
          <cell r="U177">
            <v>0</v>
          </cell>
          <cell r="V177" t="str">
            <v>MERCADO DE LA CRUZ</v>
          </cell>
          <cell r="W177" t="str">
            <v/>
          </cell>
          <cell r="X177" t="str">
            <v>tpborrego@gmail.com</v>
          </cell>
        </row>
        <row r="178">
          <cell r="A178">
            <v>2078</v>
          </cell>
          <cell r="B178" t="str">
            <v>MA. PUEBLITO ARIAS RESENDIZ (QUERETARO)</v>
          </cell>
          <cell r="C178" t="str">
            <v/>
          </cell>
          <cell r="D178" t="str">
            <v>AV. PIEDRA #902</v>
          </cell>
          <cell r="E178" t="str">
            <v>QUERETARO, QRO.</v>
          </cell>
          <cell r="F178" t="str">
            <v/>
          </cell>
          <cell r="G178" t="str">
            <v>(442) 375-2531</v>
          </cell>
          <cell r="H178" t="str">
            <v>MARIA PUEBLITO ARIAS</v>
          </cell>
          <cell r="I178" t="str">
            <v>MARIA PUEBLITO ARIAS</v>
          </cell>
          <cell r="J178" t="str">
            <v>L04</v>
          </cell>
          <cell r="K178" t="str">
            <v/>
          </cell>
          <cell r="L178">
            <v>0</v>
          </cell>
          <cell r="M178">
            <v>180</v>
          </cell>
          <cell r="N178" t="str">
            <v>A</v>
          </cell>
          <cell r="O178">
            <v>42473</v>
          </cell>
          <cell r="P178" t="str">
            <v xml:space="preserve">    6</v>
          </cell>
          <cell r="Q178">
            <v>0</v>
          </cell>
          <cell r="R178">
            <v>0</v>
          </cell>
          <cell r="S178">
            <v>3222</v>
          </cell>
          <cell r="T178">
            <v>29491</v>
          </cell>
          <cell r="U178">
            <v>0</v>
          </cell>
          <cell r="V178" t="str">
            <v>SATELITE</v>
          </cell>
          <cell r="W178" t="str">
            <v/>
          </cell>
          <cell r="X178" t="str">
            <v/>
          </cell>
        </row>
        <row r="179">
          <cell r="A179">
            <v>2079</v>
          </cell>
          <cell r="B179" t="str">
            <v>CLAUDIA MARTINEZ SANCHEZ (COYOTEPEC)</v>
          </cell>
          <cell r="C179" t="str">
            <v/>
          </cell>
          <cell r="D179" t="str">
            <v>ATRAS DEL MERCADO</v>
          </cell>
          <cell r="E179" t="str">
            <v>COYOTEPEC, EDO. DE MEXICO</v>
          </cell>
          <cell r="F179" t="str">
            <v/>
          </cell>
          <cell r="G179" t="str">
            <v/>
          </cell>
          <cell r="H179" t="str">
            <v>CLAUDIA MARTINEZ S.</v>
          </cell>
          <cell r="I179" t="str">
            <v>CLAUDIA MARTINEZ S.</v>
          </cell>
          <cell r="J179" t="str">
            <v>BAJA</v>
          </cell>
          <cell r="K179" t="str">
            <v/>
          </cell>
          <cell r="L179">
            <v>0</v>
          </cell>
          <cell r="M179">
            <v>181</v>
          </cell>
          <cell r="N179" t="str">
            <v>A</v>
          </cell>
          <cell r="O179">
            <v>40831</v>
          </cell>
          <cell r="P179" t="str">
            <v xml:space="preserve">    2</v>
          </cell>
          <cell r="Q179">
            <v>0</v>
          </cell>
          <cell r="R179">
            <v>0</v>
          </cell>
          <cell r="S179">
            <v>0</v>
          </cell>
          <cell r="T179">
            <v>368</v>
          </cell>
          <cell r="U179">
            <v>0</v>
          </cell>
          <cell r="V179" t="str">
            <v/>
          </cell>
          <cell r="W179" t="str">
            <v/>
          </cell>
          <cell r="X179" t="str">
            <v/>
          </cell>
        </row>
        <row r="180">
          <cell r="A180">
            <v>2080</v>
          </cell>
          <cell r="B180" t="str">
            <v>JUAN RODRIGUEZ (SANTA ROSA)</v>
          </cell>
          <cell r="C180" t="str">
            <v/>
          </cell>
          <cell r="D180" t="str">
            <v>INDEPENDENCIA #5</v>
          </cell>
          <cell r="E180" t="str">
            <v>SANTA ROSA JAUREGUI, QRO.</v>
          </cell>
          <cell r="F180" t="str">
            <v/>
          </cell>
          <cell r="G180" t="str">
            <v/>
          </cell>
          <cell r="H180" t="str">
            <v>JUAN RODRIGUEZ</v>
          </cell>
          <cell r="I180" t="str">
            <v>JUAN RODRIGUEZ</v>
          </cell>
          <cell r="J180" t="str">
            <v>BAJA</v>
          </cell>
          <cell r="K180" t="str">
            <v/>
          </cell>
          <cell r="L180">
            <v>0</v>
          </cell>
          <cell r="M180">
            <v>182</v>
          </cell>
          <cell r="N180" t="str">
            <v>A</v>
          </cell>
          <cell r="O180">
            <v>40833</v>
          </cell>
          <cell r="P180" t="str">
            <v xml:space="preserve">    6</v>
          </cell>
          <cell r="Q180">
            <v>0</v>
          </cell>
          <cell r="R180">
            <v>0</v>
          </cell>
          <cell r="S180">
            <v>0</v>
          </cell>
          <cell r="T180">
            <v>1164</v>
          </cell>
          <cell r="U180">
            <v>0</v>
          </cell>
          <cell r="V180" t="str">
            <v/>
          </cell>
          <cell r="W180" t="str">
            <v/>
          </cell>
          <cell r="X180" t="str">
            <v/>
          </cell>
        </row>
        <row r="181">
          <cell r="A181">
            <v>2081</v>
          </cell>
          <cell r="B181" t="str">
            <v>ARACELI NAVARRETE RIVERA (ATLACOMULCO)</v>
          </cell>
          <cell r="C181" t="str">
            <v/>
          </cell>
          <cell r="D181" t="str">
            <v>AV. MORELOS ESQ. CALLEJON LIBERTAD</v>
          </cell>
          <cell r="E181" t="str">
            <v>ATLACOMULCO, EDO. DE MEXICO</v>
          </cell>
          <cell r="F181" t="str">
            <v/>
          </cell>
          <cell r="G181" t="str">
            <v>(712) 103-6773</v>
          </cell>
          <cell r="H181" t="str">
            <v>ARTEMIO SALDIVAR</v>
          </cell>
          <cell r="I181" t="str">
            <v>ARTEMIO SALDIVAR</v>
          </cell>
          <cell r="J181" t="str">
            <v>L08</v>
          </cell>
          <cell r="K181" t="str">
            <v/>
          </cell>
          <cell r="L181">
            <v>0</v>
          </cell>
          <cell r="M181">
            <v>183</v>
          </cell>
          <cell r="N181" t="str">
            <v>A</v>
          </cell>
          <cell r="O181">
            <v>42415</v>
          </cell>
          <cell r="P181" t="str">
            <v xml:space="preserve">    6</v>
          </cell>
          <cell r="Q181">
            <v>0</v>
          </cell>
          <cell r="R181">
            <v>0</v>
          </cell>
          <cell r="S181">
            <v>17021</v>
          </cell>
          <cell r="T181">
            <v>352551</v>
          </cell>
          <cell r="U181">
            <v>0</v>
          </cell>
          <cell r="V181" t="str">
            <v/>
          </cell>
          <cell r="W181" t="str">
            <v/>
          </cell>
          <cell r="X181" t="str">
            <v/>
          </cell>
        </row>
        <row r="182">
          <cell r="A182">
            <v>2082</v>
          </cell>
          <cell r="B182" t="str">
            <v>MA . DEL CARMEN HERNANDEZ GALINDO (HUICHAPAN)</v>
          </cell>
          <cell r="C182" t="str">
            <v/>
          </cell>
          <cell r="D182" t="str">
            <v>LAS PALMAS S/N</v>
          </cell>
          <cell r="E182" t="str">
            <v>HUICHAPAN, HGO.</v>
          </cell>
          <cell r="F182" t="str">
            <v/>
          </cell>
          <cell r="G182" t="str">
            <v>(761) 782-1209</v>
          </cell>
          <cell r="H182" t="str">
            <v>CARMEN HERNANDEZ</v>
          </cell>
          <cell r="I182" t="str">
            <v>CARMEN HERNANDEZ</v>
          </cell>
          <cell r="J182" t="str">
            <v>BAJA</v>
          </cell>
          <cell r="K182" t="str">
            <v/>
          </cell>
          <cell r="L182">
            <v>0</v>
          </cell>
          <cell r="M182">
            <v>184</v>
          </cell>
          <cell r="N182" t="str">
            <v>A</v>
          </cell>
          <cell r="O182">
            <v>40870</v>
          </cell>
          <cell r="P182" t="str">
            <v xml:space="preserve">    6</v>
          </cell>
          <cell r="Q182">
            <v>0</v>
          </cell>
          <cell r="R182">
            <v>0</v>
          </cell>
          <cell r="S182">
            <v>0</v>
          </cell>
          <cell r="T182">
            <v>3894</v>
          </cell>
          <cell r="U182">
            <v>0</v>
          </cell>
          <cell r="V182" t="str">
            <v>CENTRO</v>
          </cell>
          <cell r="W182" t="str">
            <v/>
          </cell>
          <cell r="X182" t="str">
            <v/>
          </cell>
        </row>
        <row r="183">
          <cell r="A183">
            <v>2083</v>
          </cell>
          <cell r="B183" t="str">
            <v>MARGARITA LABRA PALMA (IXMIQUILPAN)</v>
          </cell>
          <cell r="C183" t="str">
            <v/>
          </cell>
          <cell r="D183" t="str">
            <v>MERCADO MORELOS #196</v>
          </cell>
          <cell r="E183" t="str">
            <v>IXMIQUILPAN, HGO.</v>
          </cell>
          <cell r="F183" t="str">
            <v/>
          </cell>
          <cell r="G183" t="str">
            <v>(55) 489-0355 / (772) 132</v>
          </cell>
          <cell r="H183" t="str">
            <v>MARGARITA LABRA P.</v>
          </cell>
          <cell r="I183" t="str">
            <v>MARGARITA LABRA P.</v>
          </cell>
          <cell r="J183" t="str">
            <v>F02</v>
          </cell>
          <cell r="K183" t="str">
            <v/>
          </cell>
          <cell r="L183">
            <v>0</v>
          </cell>
          <cell r="M183">
            <v>185</v>
          </cell>
          <cell r="N183" t="str">
            <v>A</v>
          </cell>
          <cell r="O183">
            <v>42315</v>
          </cell>
          <cell r="P183" t="str">
            <v xml:space="preserve">    1</v>
          </cell>
          <cell r="Q183">
            <v>0</v>
          </cell>
          <cell r="R183">
            <v>0</v>
          </cell>
          <cell r="S183">
            <v>14696</v>
          </cell>
          <cell r="T183">
            <v>142304</v>
          </cell>
          <cell r="U183">
            <v>0</v>
          </cell>
          <cell r="V183" t="str">
            <v>CENTRO</v>
          </cell>
          <cell r="W183" t="str">
            <v>(759) 723-4660 CASA</v>
          </cell>
          <cell r="X183" t="str">
            <v>107-9305</v>
          </cell>
        </row>
        <row r="184">
          <cell r="A184">
            <v>2084</v>
          </cell>
          <cell r="B184" t="str">
            <v>NICOLASA SAGUILAN (TEXCOCO)</v>
          </cell>
          <cell r="C184" t="str">
            <v/>
          </cell>
          <cell r="D184" t="str">
            <v>MERCADO TEXCOCO</v>
          </cell>
          <cell r="E184" t="str">
            <v>TEXCOCO, EDO. DE MEXICO</v>
          </cell>
          <cell r="F184" t="str">
            <v/>
          </cell>
          <cell r="G184" t="str">
            <v>(595) 954-6909</v>
          </cell>
          <cell r="H184" t="str">
            <v>NICOLASA SAGUILAN</v>
          </cell>
          <cell r="I184" t="str">
            <v>NICOLASA SAGUILAN</v>
          </cell>
          <cell r="J184" t="str">
            <v>BAJA</v>
          </cell>
          <cell r="K184" t="str">
            <v/>
          </cell>
          <cell r="L184">
            <v>0</v>
          </cell>
          <cell r="M184">
            <v>186</v>
          </cell>
          <cell r="N184" t="str">
            <v>A</v>
          </cell>
          <cell r="O184">
            <v>40835</v>
          </cell>
          <cell r="P184" t="str">
            <v xml:space="preserve">    2</v>
          </cell>
          <cell r="Q184">
            <v>0</v>
          </cell>
          <cell r="R184">
            <v>0</v>
          </cell>
          <cell r="S184">
            <v>0</v>
          </cell>
          <cell r="T184">
            <v>1839</v>
          </cell>
          <cell r="U184">
            <v>0</v>
          </cell>
          <cell r="V184" t="str">
            <v>CENTRO</v>
          </cell>
          <cell r="W184" t="str">
            <v/>
          </cell>
          <cell r="X184" t="str">
            <v/>
          </cell>
        </row>
        <row r="185">
          <cell r="A185">
            <v>2085</v>
          </cell>
          <cell r="B185" t="str">
            <v>NAZARIA (TEXCOCO)</v>
          </cell>
          <cell r="C185" t="str">
            <v/>
          </cell>
          <cell r="D185" t="str">
            <v>MERCADO TEXCOCO</v>
          </cell>
          <cell r="E185" t="str">
            <v>TEXCOCO, EDO. DE MEXICO</v>
          </cell>
          <cell r="F185" t="str">
            <v/>
          </cell>
          <cell r="G185" t="str">
            <v/>
          </cell>
          <cell r="H185" t="str">
            <v>NAZARIA</v>
          </cell>
          <cell r="I185" t="str">
            <v>NAZARIA</v>
          </cell>
          <cell r="J185" t="str">
            <v>BAJA</v>
          </cell>
          <cell r="K185" t="str">
            <v/>
          </cell>
          <cell r="L185">
            <v>0</v>
          </cell>
          <cell r="M185">
            <v>187</v>
          </cell>
          <cell r="N185" t="str">
            <v>A</v>
          </cell>
          <cell r="O185">
            <v>40858</v>
          </cell>
          <cell r="P185" t="str">
            <v xml:space="preserve">    2</v>
          </cell>
          <cell r="Q185">
            <v>0</v>
          </cell>
          <cell r="R185">
            <v>0</v>
          </cell>
          <cell r="S185">
            <v>0</v>
          </cell>
          <cell r="T185">
            <v>478</v>
          </cell>
          <cell r="U185">
            <v>0</v>
          </cell>
          <cell r="V185" t="str">
            <v>CENTRO</v>
          </cell>
          <cell r="W185" t="str">
            <v/>
          </cell>
          <cell r="X185" t="str">
            <v/>
          </cell>
        </row>
        <row r="186">
          <cell r="A186">
            <v>2086</v>
          </cell>
          <cell r="B186" t="str">
            <v>KARLA LOPEZ  (TEQUISQUIAPAN)</v>
          </cell>
          <cell r="C186" t="str">
            <v/>
          </cell>
          <cell r="D186" t="str">
            <v>CARRIZAL #19</v>
          </cell>
          <cell r="E186" t="str">
            <v>TEQUISQUIAPAN, QRO.</v>
          </cell>
          <cell r="F186" t="str">
            <v/>
          </cell>
          <cell r="G186" t="str">
            <v>(414) 231-9800 CEL</v>
          </cell>
          <cell r="H186" t="str">
            <v>KARINA LOPEZ</v>
          </cell>
          <cell r="I186" t="str">
            <v>KARINA LOPEZ</v>
          </cell>
          <cell r="J186" t="str">
            <v>BAJA</v>
          </cell>
          <cell r="K186" t="str">
            <v/>
          </cell>
          <cell r="L186">
            <v>0</v>
          </cell>
          <cell r="M186">
            <v>188</v>
          </cell>
          <cell r="N186" t="str">
            <v>A</v>
          </cell>
          <cell r="O186">
            <v>41552</v>
          </cell>
          <cell r="P186" t="str">
            <v xml:space="preserve">    6</v>
          </cell>
          <cell r="Q186">
            <v>0</v>
          </cell>
          <cell r="R186">
            <v>0</v>
          </cell>
          <cell r="S186">
            <v>0</v>
          </cell>
          <cell r="T186">
            <v>43659</v>
          </cell>
          <cell r="U186">
            <v>0</v>
          </cell>
          <cell r="V186" t="str">
            <v>CENTRO</v>
          </cell>
          <cell r="W186" t="str">
            <v/>
          </cell>
          <cell r="X186" t="str">
            <v/>
          </cell>
        </row>
        <row r="187">
          <cell r="A187">
            <v>2087</v>
          </cell>
          <cell r="B187" t="str">
            <v>NOVEDADES LUPITA (ROMERO)</v>
          </cell>
          <cell r="C187" t="str">
            <v/>
          </cell>
          <cell r="D187" t="str">
            <v>MERCADO ROMERO RUBIO</v>
          </cell>
          <cell r="E187" t="str">
            <v>CUAUTITLAN, EDO. DE MEXICO</v>
          </cell>
          <cell r="F187" t="str">
            <v/>
          </cell>
          <cell r="G187" t="str">
            <v/>
          </cell>
          <cell r="H187" t="str">
            <v/>
          </cell>
          <cell r="I187" t="str">
            <v/>
          </cell>
          <cell r="J187" t="str">
            <v>BAJA</v>
          </cell>
          <cell r="K187" t="str">
            <v/>
          </cell>
          <cell r="L187">
            <v>0</v>
          </cell>
          <cell r="M187">
            <v>189</v>
          </cell>
          <cell r="N187" t="str">
            <v>A</v>
          </cell>
          <cell r="O187">
            <v>40842</v>
          </cell>
          <cell r="P187" t="str">
            <v xml:space="preserve">    2</v>
          </cell>
          <cell r="Q187">
            <v>0</v>
          </cell>
          <cell r="R187">
            <v>0</v>
          </cell>
          <cell r="S187">
            <v>0</v>
          </cell>
          <cell r="T187">
            <v>324</v>
          </cell>
          <cell r="U187">
            <v>0</v>
          </cell>
          <cell r="V187" t="str">
            <v>ROMERO RUBIO</v>
          </cell>
          <cell r="W187" t="str">
            <v/>
          </cell>
          <cell r="X187" t="str">
            <v/>
          </cell>
        </row>
        <row r="188">
          <cell r="A188">
            <v>2088</v>
          </cell>
          <cell r="B188" t="str">
            <v>RUTH RODRIGUEZ GARCIA (AMEALCO)</v>
          </cell>
          <cell r="C188" t="str">
            <v/>
          </cell>
          <cell r="D188" t="str">
            <v>VICENTE GUERRERO  #105</v>
          </cell>
          <cell r="E188" t="str">
            <v>AMEALCO, QRO.</v>
          </cell>
          <cell r="F188" t="str">
            <v/>
          </cell>
          <cell r="G188" t="str">
            <v>(448) 101-3097 CEL</v>
          </cell>
          <cell r="H188" t="str">
            <v>RUTH RODRIGUEZ G.</v>
          </cell>
          <cell r="I188" t="str">
            <v>RUTH RODRIGUEZ G.</v>
          </cell>
          <cell r="J188" t="str">
            <v>BAJA</v>
          </cell>
          <cell r="K188" t="str">
            <v/>
          </cell>
          <cell r="L188">
            <v>0</v>
          </cell>
          <cell r="M188">
            <v>190</v>
          </cell>
          <cell r="N188" t="str">
            <v>A</v>
          </cell>
          <cell r="O188">
            <v>41526</v>
          </cell>
          <cell r="P188" t="str">
            <v xml:space="preserve">    1</v>
          </cell>
          <cell r="Q188">
            <v>0</v>
          </cell>
          <cell r="R188">
            <v>0</v>
          </cell>
          <cell r="S188">
            <v>0</v>
          </cell>
          <cell r="T188">
            <v>7467</v>
          </cell>
          <cell r="U188">
            <v>0</v>
          </cell>
          <cell r="V188" t="str">
            <v>CENTRO</v>
          </cell>
          <cell r="W188" t="str">
            <v/>
          </cell>
          <cell r="X188" t="str">
            <v/>
          </cell>
        </row>
        <row r="189">
          <cell r="A189">
            <v>2089</v>
          </cell>
          <cell r="B189" t="str">
            <v>GUADALUPE ZAVALA LOPEZ (SALVATIERRA)</v>
          </cell>
          <cell r="C189" t="str">
            <v/>
          </cell>
          <cell r="D189" t="str">
            <v>ARTEAGA #202</v>
          </cell>
          <cell r="E189" t="str">
            <v>SALVATIERRA, GTO.</v>
          </cell>
          <cell r="F189" t="str">
            <v/>
          </cell>
          <cell r="G189" t="str">
            <v/>
          </cell>
          <cell r="H189" t="str">
            <v>GUADALUPE ZAVALA L</v>
          </cell>
          <cell r="I189" t="str">
            <v>GUADALUPE ZAVALA L</v>
          </cell>
          <cell r="J189" t="str">
            <v>BAJA</v>
          </cell>
          <cell r="K189" t="str">
            <v/>
          </cell>
          <cell r="L189">
            <v>0</v>
          </cell>
          <cell r="M189">
            <v>191</v>
          </cell>
          <cell r="N189" t="str">
            <v>A</v>
          </cell>
          <cell r="O189">
            <v>40865</v>
          </cell>
          <cell r="P189" t="str">
            <v xml:space="preserve">    1</v>
          </cell>
          <cell r="Q189">
            <v>0</v>
          </cell>
          <cell r="R189">
            <v>0</v>
          </cell>
          <cell r="S189">
            <v>0</v>
          </cell>
          <cell r="T189">
            <v>534</v>
          </cell>
          <cell r="U189">
            <v>0</v>
          </cell>
          <cell r="V189" t="str">
            <v>CENTRO</v>
          </cell>
          <cell r="W189" t="str">
            <v/>
          </cell>
          <cell r="X189" t="str">
            <v/>
          </cell>
        </row>
        <row r="190">
          <cell r="A190">
            <v>2090</v>
          </cell>
          <cell r="B190" t="str">
            <v>ENEDINA RAMIREZ MONROY (TEPEJI)</v>
          </cell>
          <cell r="C190" t="str">
            <v/>
          </cell>
          <cell r="D190" t="str">
            <v>IGNACIO COMONFORT S/N</v>
          </cell>
          <cell r="E190" t="str">
            <v>TEPEJI DEL RIO, HGO.</v>
          </cell>
          <cell r="F190" t="str">
            <v/>
          </cell>
          <cell r="G190" t="str">
            <v>(773) 121-7176 CEL</v>
          </cell>
          <cell r="H190" t="str">
            <v>ENEDINA RAMIREZ M.</v>
          </cell>
          <cell r="I190" t="str">
            <v>ENEDINA RAMIREZ M.</v>
          </cell>
          <cell r="J190" t="str">
            <v>BAJA</v>
          </cell>
          <cell r="K190" t="str">
            <v/>
          </cell>
          <cell r="L190">
            <v>0</v>
          </cell>
          <cell r="M190">
            <v>192</v>
          </cell>
          <cell r="N190" t="str">
            <v>A</v>
          </cell>
          <cell r="O190">
            <v>41144</v>
          </cell>
          <cell r="P190" t="str">
            <v xml:space="preserve">    1</v>
          </cell>
          <cell r="Q190">
            <v>0</v>
          </cell>
          <cell r="R190">
            <v>0</v>
          </cell>
          <cell r="S190">
            <v>0</v>
          </cell>
          <cell r="T190">
            <v>9078</v>
          </cell>
          <cell r="U190">
            <v>3</v>
          </cell>
          <cell r="V190" t="str">
            <v>CENTRO</v>
          </cell>
          <cell r="W190" t="str">
            <v/>
          </cell>
          <cell r="X190" t="str">
            <v/>
          </cell>
        </row>
        <row r="191">
          <cell r="A191">
            <v>2091</v>
          </cell>
          <cell r="B191" t="str">
            <v>CARLOS BARRERA CRUZ (TEZONTEPEC)</v>
          </cell>
          <cell r="C191" t="str">
            <v/>
          </cell>
          <cell r="D191" t="str">
            <v>AV. INSURGENTES #2</v>
          </cell>
          <cell r="E191" t="str">
            <v>TEZONTEPEC, HGO.</v>
          </cell>
          <cell r="F191" t="str">
            <v/>
          </cell>
          <cell r="G191" t="str">
            <v>(771) 267-4418</v>
          </cell>
          <cell r="H191" t="str">
            <v>CARLOS BARRERA CRUZ</v>
          </cell>
          <cell r="I191" t="str">
            <v>CARLOS BARRERA CRUZ</v>
          </cell>
          <cell r="J191" t="str">
            <v>F02</v>
          </cell>
          <cell r="K191" t="str">
            <v/>
          </cell>
          <cell r="L191">
            <v>0</v>
          </cell>
          <cell r="M191">
            <v>193</v>
          </cell>
          <cell r="N191" t="str">
            <v>S</v>
          </cell>
          <cell r="O191">
            <v>41729</v>
          </cell>
          <cell r="P191" t="str">
            <v xml:space="preserve">    8</v>
          </cell>
          <cell r="Q191">
            <v>0</v>
          </cell>
          <cell r="R191">
            <v>0</v>
          </cell>
          <cell r="S191">
            <v>0</v>
          </cell>
          <cell r="T191">
            <v>34148</v>
          </cell>
          <cell r="U191">
            <v>0</v>
          </cell>
          <cell r="V191" t="str">
            <v>CENTRO</v>
          </cell>
          <cell r="W191" t="str">
            <v>(773) 133-1436 CEL</v>
          </cell>
          <cell r="X191" t="str">
            <v/>
          </cell>
        </row>
        <row r="192">
          <cell r="A192">
            <v>2092</v>
          </cell>
          <cell r="B192" t="str">
            <v>IRENE PEREZ RIOS (TEZONTEPEC)</v>
          </cell>
          <cell r="C192" t="str">
            <v/>
          </cell>
          <cell r="D192" t="str">
            <v>JUAN ALDAMA S/N</v>
          </cell>
          <cell r="E192" t="str">
            <v>TEZONTEPEC, HGO.</v>
          </cell>
          <cell r="F192" t="str">
            <v/>
          </cell>
          <cell r="G192" t="str">
            <v>(761) 733-5252</v>
          </cell>
          <cell r="H192" t="str">
            <v>IRENE PEREZ</v>
          </cell>
          <cell r="I192" t="str">
            <v>IRENE PEREZ</v>
          </cell>
          <cell r="J192" t="str">
            <v>F02</v>
          </cell>
          <cell r="K192" t="str">
            <v/>
          </cell>
          <cell r="L192">
            <v>0</v>
          </cell>
          <cell r="M192">
            <v>194</v>
          </cell>
          <cell r="N192" t="str">
            <v>A</v>
          </cell>
          <cell r="O192">
            <v>42244</v>
          </cell>
          <cell r="P192" t="str">
            <v xml:space="preserve">    8</v>
          </cell>
          <cell r="Q192">
            <v>0</v>
          </cell>
          <cell r="R192">
            <v>0</v>
          </cell>
          <cell r="S192">
            <v>0</v>
          </cell>
          <cell r="T192">
            <v>79657</v>
          </cell>
          <cell r="U192">
            <v>0</v>
          </cell>
          <cell r="V192" t="str">
            <v>CENTRO</v>
          </cell>
          <cell r="W192" t="str">
            <v>(773) 137-3822 CEL</v>
          </cell>
          <cell r="X192" t="str">
            <v/>
          </cell>
        </row>
        <row r="193">
          <cell r="A193">
            <v>2093</v>
          </cell>
          <cell r="B193" t="str">
            <v>MIGUEL TAPIA REYES (IXTLAHUACA)</v>
          </cell>
          <cell r="C193" t="str">
            <v/>
          </cell>
          <cell r="D193" t="str">
            <v>ALLENDE S/N</v>
          </cell>
          <cell r="E193" t="str">
            <v>IXTLAHUACA, EDO. DE MEXICO</v>
          </cell>
          <cell r="F193" t="str">
            <v/>
          </cell>
          <cell r="G193" t="str">
            <v>(712) 100-7308</v>
          </cell>
          <cell r="H193" t="str">
            <v>MIGUEL TAPIA REYES</v>
          </cell>
          <cell r="I193" t="str">
            <v>MIGUEL TAPIA REYES</v>
          </cell>
          <cell r="J193" t="str">
            <v>BAJA</v>
          </cell>
          <cell r="K193" t="str">
            <v/>
          </cell>
          <cell r="L193">
            <v>0</v>
          </cell>
          <cell r="M193">
            <v>195</v>
          </cell>
          <cell r="N193" t="str">
            <v>A</v>
          </cell>
          <cell r="O193">
            <v>42429</v>
          </cell>
          <cell r="P193" t="str">
            <v xml:space="preserve">    6</v>
          </cell>
          <cell r="Q193">
            <v>0</v>
          </cell>
          <cell r="R193">
            <v>0</v>
          </cell>
          <cell r="S193">
            <v>0</v>
          </cell>
          <cell r="T193">
            <v>27825.8</v>
          </cell>
          <cell r="U193">
            <v>0</v>
          </cell>
          <cell r="V193" t="str">
            <v>CENTRO</v>
          </cell>
          <cell r="W193" t="str">
            <v/>
          </cell>
          <cell r="X193" t="str">
            <v/>
          </cell>
        </row>
        <row r="194">
          <cell r="A194">
            <v>2094</v>
          </cell>
          <cell r="B194" t="str">
            <v>HECTOR GRANADOS COPCA (TECAMAC)</v>
          </cell>
          <cell r="C194" t="str">
            <v/>
          </cell>
          <cell r="D194" t="str">
            <v>AV. 5 DE MAYO</v>
          </cell>
          <cell r="E194" t="str">
            <v>TECAMAC, EDO. DE MEXICO</v>
          </cell>
          <cell r="F194" t="str">
            <v>55740</v>
          </cell>
          <cell r="G194" t="str">
            <v>(55) 5934-3840</v>
          </cell>
          <cell r="H194" t="str">
            <v>HECTOR GRANADOS</v>
          </cell>
          <cell r="I194" t="str">
            <v>HECTOR GRANADOS</v>
          </cell>
          <cell r="J194" t="str">
            <v>BAJA</v>
          </cell>
          <cell r="K194" t="str">
            <v/>
          </cell>
          <cell r="L194">
            <v>0</v>
          </cell>
          <cell r="M194">
            <v>196</v>
          </cell>
          <cell r="N194" t="str">
            <v>S</v>
          </cell>
          <cell r="O194">
            <v>40866</v>
          </cell>
          <cell r="P194" t="str">
            <v xml:space="preserve">    3</v>
          </cell>
          <cell r="Q194">
            <v>0</v>
          </cell>
          <cell r="R194">
            <v>0</v>
          </cell>
          <cell r="S194">
            <v>0</v>
          </cell>
          <cell r="T194">
            <v>2915</v>
          </cell>
          <cell r="U194">
            <v>0</v>
          </cell>
          <cell r="V194" t="str">
            <v>CENTRO</v>
          </cell>
          <cell r="W194" t="str">
            <v/>
          </cell>
          <cell r="X194" t="str">
            <v/>
          </cell>
        </row>
        <row r="195">
          <cell r="A195">
            <v>2095</v>
          </cell>
          <cell r="B195" t="str">
            <v>ELIZABETH DAVILA (TECAMAC)</v>
          </cell>
          <cell r="C195" t="str">
            <v/>
          </cell>
          <cell r="D195" t="str">
            <v/>
          </cell>
          <cell r="E195" t="str">
            <v>TECAMAC, EDO. DE MEXICO</v>
          </cell>
          <cell r="F195" t="str">
            <v/>
          </cell>
          <cell r="G195" t="str">
            <v/>
          </cell>
          <cell r="H195" t="str">
            <v>ELIZABETH DAVILA</v>
          </cell>
          <cell r="I195" t="str">
            <v>ELIZABETH DAVILA</v>
          </cell>
          <cell r="J195" t="str">
            <v>BAJA</v>
          </cell>
          <cell r="K195" t="str">
            <v/>
          </cell>
          <cell r="L195">
            <v>0</v>
          </cell>
          <cell r="M195">
            <v>197</v>
          </cell>
          <cell r="N195" t="str">
            <v>S</v>
          </cell>
          <cell r="O195">
            <v>40851</v>
          </cell>
          <cell r="P195" t="str">
            <v xml:space="preserve">    2</v>
          </cell>
          <cell r="Q195">
            <v>0</v>
          </cell>
          <cell r="R195">
            <v>0</v>
          </cell>
          <cell r="S195">
            <v>0</v>
          </cell>
          <cell r="T195">
            <v>184</v>
          </cell>
          <cell r="U195">
            <v>0</v>
          </cell>
          <cell r="V195" t="str">
            <v/>
          </cell>
          <cell r="W195" t="str">
            <v/>
          </cell>
          <cell r="X195" t="str">
            <v/>
          </cell>
        </row>
        <row r="196">
          <cell r="A196">
            <v>2096</v>
          </cell>
          <cell r="B196" t="str">
            <v>LETICIA PEREZ (SAN JUAN)</v>
          </cell>
          <cell r="C196" t="str">
            <v/>
          </cell>
          <cell r="D196" t="str">
            <v>FRANCISCO PEREZ R. # 168</v>
          </cell>
          <cell r="E196" t="str">
            <v>SAN JUAN DEL RIO, QRO.</v>
          </cell>
          <cell r="F196" t="str">
            <v/>
          </cell>
          <cell r="G196" t="str">
            <v>(427) 274-6921</v>
          </cell>
          <cell r="H196" t="str">
            <v>LETICIA PEREZ</v>
          </cell>
          <cell r="I196" t="str">
            <v>LETICIA PEREZ</v>
          </cell>
          <cell r="J196" t="str">
            <v>BAJA</v>
          </cell>
          <cell r="K196" t="str">
            <v/>
          </cell>
          <cell r="L196">
            <v>0</v>
          </cell>
          <cell r="M196">
            <v>198</v>
          </cell>
          <cell r="N196" t="str">
            <v>A</v>
          </cell>
          <cell r="O196">
            <v>40928</v>
          </cell>
          <cell r="P196" t="str">
            <v xml:space="preserve">    6</v>
          </cell>
          <cell r="Q196">
            <v>0</v>
          </cell>
          <cell r="R196">
            <v>0</v>
          </cell>
          <cell r="S196">
            <v>0</v>
          </cell>
          <cell r="T196">
            <v>2981</v>
          </cell>
          <cell r="U196">
            <v>0</v>
          </cell>
          <cell r="V196" t="str">
            <v>INFONAVIT</v>
          </cell>
          <cell r="W196" t="str">
            <v/>
          </cell>
          <cell r="X196" t="str">
            <v/>
          </cell>
        </row>
        <row r="197">
          <cell r="A197">
            <v>2097</v>
          </cell>
          <cell r="B197" t="str">
            <v>ESTELA GARCIA SANCHEZ (ROMERO)</v>
          </cell>
          <cell r="C197" t="str">
            <v/>
          </cell>
          <cell r="D197" t="str">
            <v>MERCADO ROMERO L.31 ZONA 1</v>
          </cell>
          <cell r="E197" t="str">
            <v>CUAUTITLAN, EDO. DE MEXICO</v>
          </cell>
          <cell r="F197" t="str">
            <v/>
          </cell>
          <cell r="G197" t="str">
            <v>(55) 5872-4095</v>
          </cell>
          <cell r="H197" t="str">
            <v>ESTELA GARCIA S.</v>
          </cell>
          <cell r="I197" t="str">
            <v>ESTELA GARCIA S.</v>
          </cell>
          <cell r="J197" t="str">
            <v>BAJA</v>
          </cell>
          <cell r="K197" t="str">
            <v/>
          </cell>
          <cell r="L197">
            <v>0</v>
          </cell>
          <cell r="M197">
            <v>199</v>
          </cell>
          <cell r="N197" t="str">
            <v>A</v>
          </cell>
          <cell r="O197">
            <v>40856</v>
          </cell>
          <cell r="P197" t="str">
            <v xml:space="preserve">    2</v>
          </cell>
          <cell r="Q197">
            <v>0</v>
          </cell>
          <cell r="R197">
            <v>0</v>
          </cell>
          <cell r="S197">
            <v>0</v>
          </cell>
          <cell r="T197">
            <v>206</v>
          </cell>
          <cell r="U197">
            <v>0</v>
          </cell>
          <cell r="V197" t="str">
            <v>ROMERO RUBIO</v>
          </cell>
          <cell r="W197" t="str">
            <v/>
          </cell>
          <cell r="X197" t="str">
            <v/>
          </cell>
        </row>
        <row r="198">
          <cell r="A198">
            <v>2098</v>
          </cell>
          <cell r="B198" t="str">
            <v>CARMEN GONZALEZ CRUZ (TECAMAC)</v>
          </cell>
          <cell r="C198" t="str">
            <v/>
          </cell>
          <cell r="D198" t="str">
            <v>MERCADO DE STA. CRUZ LOC. 18</v>
          </cell>
          <cell r="E198" t="str">
            <v>TECAMAC, EDO. DE MEXICO</v>
          </cell>
          <cell r="F198" t="str">
            <v/>
          </cell>
          <cell r="G198" t="str">
            <v/>
          </cell>
          <cell r="H198" t="str">
            <v>CARMEN GONZALEZ CRUZ</v>
          </cell>
          <cell r="I198" t="str">
            <v>CARMEN GONZALEZ CRUZ</v>
          </cell>
          <cell r="J198" t="str">
            <v>BAJA</v>
          </cell>
          <cell r="K198" t="str">
            <v/>
          </cell>
          <cell r="L198">
            <v>0</v>
          </cell>
          <cell r="M198">
            <v>200</v>
          </cell>
          <cell r="N198" t="str">
            <v>S</v>
          </cell>
          <cell r="O198">
            <v>40856</v>
          </cell>
          <cell r="P198" t="str">
            <v xml:space="preserve">    2</v>
          </cell>
          <cell r="Q198">
            <v>0</v>
          </cell>
          <cell r="R198">
            <v>0</v>
          </cell>
          <cell r="S198">
            <v>0</v>
          </cell>
          <cell r="T198">
            <v>308</v>
          </cell>
          <cell r="U198">
            <v>0</v>
          </cell>
          <cell r="V198" t="str">
            <v/>
          </cell>
          <cell r="W198" t="str">
            <v/>
          </cell>
          <cell r="X198" t="str">
            <v/>
          </cell>
        </row>
        <row r="199">
          <cell r="A199">
            <v>2099</v>
          </cell>
          <cell r="B199" t="str">
            <v>OTILIA NIEVES ZAMORA (TEOTIHUACAN)</v>
          </cell>
          <cell r="C199" t="str">
            <v/>
          </cell>
          <cell r="D199" t="str">
            <v/>
          </cell>
          <cell r="E199" t="str">
            <v>TEOTIHUACAN, EDO. DE MEXICO</v>
          </cell>
          <cell r="F199" t="str">
            <v/>
          </cell>
          <cell r="G199" t="str">
            <v>(594) 956-3826</v>
          </cell>
          <cell r="H199" t="str">
            <v>OTILIA NIEVAS ZAMORA</v>
          </cell>
          <cell r="I199" t="str">
            <v>OTILIA NIEVAS ZAMORA</v>
          </cell>
          <cell r="J199" t="str">
            <v>M03</v>
          </cell>
          <cell r="K199" t="str">
            <v/>
          </cell>
          <cell r="L199">
            <v>0</v>
          </cell>
          <cell r="M199">
            <v>201</v>
          </cell>
          <cell r="N199" t="str">
            <v>A</v>
          </cell>
          <cell r="O199">
            <v>41733</v>
          </cell>
          <cell r="P199" t="str">
            <v xml:space="preserve">    2</v>
          </cell>
          <cell r="Q199">
            <v>0</v>
          </cell>
          <cell r="R199">
            <v>0</v>
          </cell>
          <cell r="S199">
            <v>0</v>
          </cell>
          <cell r="T199">
            <v>34002</v>
          </cell>
          <cell r="U199">
            <v>0</v>
          </cell>
          <cell r="V199" t="str">
            <v/>
          </cell>
          <cell r="W199" t="str">
            <v>(55) 2666-5508</v>
          </cell>
          <cell r="X199" t="str">
            <v/>
          </cell>
        </row>
        <row r="200">
          <cell r="A200">
            <v>2100</v>
          </cell>
          <cell r="B200" t="str">
            <v>ROBERTO PIÑA ZAMUDIO (SALVATIERRA)</v>
          </cell>
          <cell r="C200" t="str">
            <v/>
          </cell>
          <cell r="D200" t="str">
            <v>JUAREZ #125</v>
          </cell>
          <cell r="E200" t="str">
            <v>SALVATIERRA, GTO.</v>
          </cell>
          <cell r="F200" t="str">
            <v/>
          </cell>
          <cell r="G200" t="str">
            <v>(466) 161-2281</v>
          </cell>
          <cell r="H200" t="str">
            <v>ROBERTO PIÑA ZAMUDIO</v>
          </cell>
          <cell r="I200" t="str">
            <v>ROBERTO PIÑA ZAMUDIO</v>
          </cell>
          <cell r="J200" t="str">
            <v>J06</v>
          </cell>
          <cell r="K200" t="str">
            <v/>
          </cell>
          <cell r="L200">
            <v>0</v>
          </cell>
          <cell r="M200">
            <v>202</v>
          </cell>
          <cell r="N200" t="str">
            <v>A</v>
          </cell>
          <cell r="O200">
            <v>42490</v>
          </cell>
          <cell r="P200" t="str">
            <v xml:space="preserve">    1</v>
          </cell>
          <cell r="Q200">
            <v>0</v>
          </cell>
          <cell r="R200">
            <v>0</v>
          </cell>
          <cell r="S200">
            <v>0</v>
          </cell>
          <cell r="T200">
            <v>53551</v>
          </cell>
          <cell r="U200">
            <v>0</v>
          </cell>
          <cell r="V200" t="str">
            <v>CENTRO</v>
          </cell>
          <cell r="W200" t="str">
            <v/>
          </cell>
          <cell r="X200" t="str">
            <v/>
          </cell>
        </row>
        <row r="201">
          <cell r="A201">
            <v>2101</v>
          </cell>
          <cell r="B201" t="str">
            <v>YADIRA ROJAS VALDEZ (ACAMBARO)</v>
          </cell>
          <cell r="C201" t="str">
            <v/>
          </cell>
          <cell r="D201" t="str">
            <v>MORELOS #555-A</v>
          </cell>
          <cell r="E201" t="str">
            <v>ACAMBARO, GTO.</v>
          </cell>
          <cell r="F201" t="str">
            <v/>
          </cell>
          <cell r="G201" t="str">
            <v>(417) 177-1463</v>
          </cell>
          <cell r="H201" t="str">
            <v>YADIRA ROJAS VALDEZ</v>
          </cell>
          <cell r="I201" t="str">
            <v>YADIRA ROJAS VALDEZ</v>
          </cell>
          <cell r="J201" t="str">
            <v>BAJA</v>
          </cell>
          <cell r="K201" t="str">
            <v/>
          </cell>
          <cell r="L201">
            <v>0</v>
          </cell>
          <cell r="M201">
            <v>203</v>
          </cell>
          <cell r="N201" t="str">
            <v>A</v>
          </cell>
          <cell r="O201">
            <v>41316</v>
          </cell>
          <cell r="P201" t="str">
            <v xml:space="preserve">    1</v>
          </cell>
          <cell r="Q201">
            <v>0</v>
          </cell>
          <cell r="R201">
            <v>0</v>
          </cell>
          <cell r="S201">
            <v>0</v>
          </cell>
          <cell r="T201">
            <v>6002</v>
          </cell>
          <cell r="U201">
            <v>0</v>
          </cell>
          <cell r="V201" t="str">
            <v>CENTRO</v>
          </cell>
          <cell r="W201" t="str">
            <v/>
          </cell>
          <cell r="X201" t="str">
            <v/>
          </cell>
        </row>
        <row r="202">
          <cell r="A202">
            <v>2102</v>
          </cell>
          <cell r="B202" t="str">
            <v>JUANA RAMIREZ VALENZUELA (SAN MIGUEL)</v>
          </cell>
          <cell r="C202" t="str">
            <v/>
          </cell>
          <cell r="D202" t="str">
            <v>PLAZA GUADALUPE LOC. 46</v>
          </cell>
          <cell r="E202" t="str">
            <v>SAN MIGUEL DE ALLENDE, GTO.</v>
          </cell>
          <cell r="G202" t="str">
            <v>(415) 101-5619</v>
          </cell>
          <cell r="H202" t="str">
            <v>JUANA RAMIREZ V.</v>
          </cell>
          <cell r="I202" t="str">
            <v>JUANA RAMIREZ V.</v>
          </cell>
          <cell r="J202" t="str">
            <v>BAJA</v>
          </cell>
          <cell r="K202" t="str">
            <v/>
          </cell>
          <cell r="L202">
            <v>0</v>
          </cell>
          <cell r="M202">
            <v>204</v>
          </cell>
          <cell r="N202" t="str">
            <v>S</v>
          </cell>
          <cell r="O202">
            <v>40966</v>
          </cell>
          <cell r="P202" t="str">
            <v xml:space="preserve">    9</v>
          </cell>
          <cell r="Q202">
            <v>0</v>
          </cell>
          <cell r="R202">
            <v>0</v>
          </cell>
          <cell r="S202">
            <v>0</v>
          </cell>
          <cell r="T202">
            <v>2284.5</v>
          </cell>
          <cell r="U202">
            <v>0</v>
          </cell>
          <cell r="V202" t="str">
            <v/>
          </cell>
          <cell r="W202" t="str">
            <v/>
          </cell>
          <cell r="X202" t="str">
            <v/>
          </cell>
        </row>
        <row r="203">
          <cell r="A203">
            <v>2103</v>
          </cell>
          <cell r="B203" t="str">
            <v>NORMA HERNANDEZ (SAN JUAN)</v>
          </cell>
          <cell r="C203" t="str">
            <v/>
          </cell>
          <cell r="D203" t="str">
            <v>MERCADO LOC. 26 Y 27</v>
          </cell>
          <cell r="E203" t="str">
            <v>SAN JUAN DEL RIO, QRO.</v>
          </cell>
          <cell r="F203" t="str">
            <v/>
          </cell>
          <cell r="G203" t="str">
            <v/>
          </cell>
          <cell r="H203" t="str">
            <v>NORMA HERNANDEZ</v>
          </cell>
          <cell r="I203" t="str">
            <v>NORMA HERNANDEZ</v>
          </cell>
          <cell r="J203" t="str">
            <v>BAJA</v>
          </cell>
          <cell r="K203" t="str">
            <v/>
          </cell>
          <cell r="L203">
            <v>0</v>
          </cell>
          <cell r="M203">
            <v>205</v>
          </cell>
          <cell r="N203" t="str">
            <v>A</v>
          </cell>
          <cell r="O203">
            <v>41081</v>
          </cell>
          <cell r="P203" t="str">
            <v xml:space="preserve">    1</v>
          </cell>
          <cell r="Q203">
            <v>0</v>
          </cell>
          <cell r="R203">
            <v>0</v>
          </cell>
          <cell r="S203">
            <v>0</v>
          </cell>
          <cell r="T203">
            <v>651</v>
          </cell>
          <cell r="U203">
            <v>0</v>
          </cell>
          <cell r="V203" t="str">
            <v/>
          </cell>
          <cell r="W203" t="str">
            <v/>
          </cell>
          <cell r="X203" t="str">
            <v/>
          </cell>
        </row>
        <row r="204">
          <cell r="A204">
            <v>2104</v>
          </cell>
          <cell r="B204" t="str">
            <v>ANA MARIA VEGA FERNANDEZ (CADEREYTA)</v>
          </cell>
          <cell r="C204" t="str">
            <v/>
          </cell>
          <cell r="D204" t="str">
            <v>MADERO #43</v>
          </cell>
          <cell r="E204" t="str">
            <v>CADEREYTA, QRO.</v>
          </cell>
          <cell r="F204" t="str">
            <v/>
          </cell>
          <cell r="G204" t="str">
            <v>(441) 276-0473</v>
          </cell>
          <cell r="H204" t="str">
            <v>ANA MARIA VEGA F</v>
          </cell>
          <cell r="I204" t="str">
            <v>ANA MARIA VEGA F</v>
          </cell>
          <cell r="J204" t="str">
            <v>BAJA</v>
          </cell>
          <cell r="K204" t="str">
            <v/>
          </cell>
          <cell r="L204">
            <v>0</v>
          </cell>
          <cell r="M204">
            <v>206</v>
          </cell>
          <cell r="N204" t="str">
            <v>A</v>
          </cell>
          <cell r="O204">
            <v>40859</v>
          </cell>
          <cell r="P204" t="str">
            <v xml:space="preserve">    6</v>
          </cell>
          <cell r="Q204">
            <v>0</v>
          </cell>
          <cell r="R204">
            <v>0</v>
          </cell>
          <cell r="S204">
            <v>0</v>
          </cell>
          <cell r="T204">
            <v>3036</v>
          </cell>
          <cell r="U204">
            <v>0</v>
          </cell>
          <cell r="V204" t="str">
            <v>CENTRO</v>
          </cell>
          <cell r="W204" t="str">
            <v/>
          </cell>
          <cell r="X204" t="str">
            <v/>
          </cell>
        </row>
        <row r="205">
          <cell r="A205">
            <v>2105</v>
          </cell>
          <cell r="B205" t="str">
            <v>SALVADOR GARCIA SERRATO (STA. ROSA)</v>
          </cell>
          <cell r="C205" t="str">
            <v/>
          </cell>
          <cell r="D205" t="str">
            <v>INDEPENDENCIA #12-D</v>
          </cell>
          <cell r="E205" t="str">
            <v>SANTA ROSA JAUREGUI, QRO.</v>
          </cell>
          <cell r="F205" t="str">
            <v/>
          </cell>
          <cell r="G205" t="str">
            <v>(442) 291-1031</v>
          </cell>
          <cell r="H205" t="str">
            <v>SALVADOR GARCIA S.</v>
          </cell>
          <cell r="I205" t="str">
            <v>SALVADOR GARCIA S.</v>
          </cell>
          <cell r="J205" t="str">
            <v>BAJA</v>
          </cell>
          <cell r="K205" t="str">
            <v/>
          </cell>
          <cell r="L205">
            <v>0</v>
          </cell>
          <cell r="M205">
            <v>207</v>
          </cell>
          <cell r="N205" t="str">
            <v>A</v>
          </cell>
          <cell r="O205">
            <v>40862</v>
          </cell>
          <cell r="P205" t="str">
            <v xml:space="preserve">    6</v>
          </cell>
          <cell r="Q205">
            <v>0</v>
          </cell>
          <cell r="R205">
            <v>0</v>
          </cell>
          <cell r="S205">
            <v>0</v>
          </cell>
          <cell r="T205">
            <v>1693</v>
          </cell>
          <cell r="U205">
            <v>0</v>
          </cell>
          <cell r="V205" t="str">
            <v>CENTRO</v>
          </cell>
          <cell r="W205" t="str">
            <v/>
          </cell>
          <cell r="X205" t="str">
            <v/>
          </cell>
        </row>
        <row r="206">
          <cell r="A206">
            <v>2106</v>
          </cell>
          <cell r="B206" t="str">
            <v>JOSE ANTONIO LEDESMA (QUERETARO)</v>
          </cell>
          <cell r="C206" t="str">
            <v/>
          </cell>
          <cell r="D206" t="str">
            <v>PRIV. GUERRERO #30</v>
          </cell>
          <cell r="E206" t="str">
            <v>QUERETARO, QRO.</v>
          </cell>
          <cell r="F206" t="str">
            <v/>
          </cell>
          <cell r="G206" t="str">
            <v>(442) 212-3358</v>
          </cell>
          <cell r="H206" t="str">
            <v>JOSE ANTONIO LEDESMA</v>
          </cell>
          <cell r="I206" t="str">
            <v>JOSE ANTONIO LEDESMA</v>
          </cell>
          <cell r="J206" t="str">
            <v>BAJA</v>
          </cell>
          <cell r="K206" t="str">
            <v/>
          </cell>
          <cell r="L206">
            <v>0</v>
          </cell>
          <cell r="M206">
            <v>208</v>
          </cell>
          <cell r="N206" t="str">
            <v>A</v>
          </cell>
          <cell r="O206">
            <v>40862</v>
          </cell>
          <cell r="P206" t="str">
            <v xml:space="preserve">    6</v>
          </cell>
          <cell r="Q206">
            <v>0</v>
          </cell>
          <cell r="R206">
            <v>0</v>
          </cell>
          <cell r="S206">
            <v>0</v>
          </cell>
          <cell r="T206">
            <v>2344</v>
          </cell>
          <cell r="U206">
            <v>0</v>
          </cell>
          <cell r="V206" t="str">
            <v>CENTRO</v>
          </cell>
          <cell r="W206" t="str">
            <v/>
          </cell>
          <cell r="X206" t="str">
            <v/>
          </cell>
        </row>
        <row r="207">
          <cell r="A207">
            <v>2107</v>
          </cell>
          <cell r="B207" t="str">
            <v>PERLA CRUZ (TECOZAHUTLA)</v>
          </cell>
          <cell r="C207" t="str">
            <v/>
          </cell>
          <cell r="D207" t="str">
            <v>CALZ. DE GUADALUPE S/N</v>
          </cell>
          <cell r="E207" t="str">
            <v>TECOZAHUTLA, HGO.</v>
          </cell>
          <cell r="F207" t="str">
            <v/>
          </cell>
          <cell r="G207" t="str">
            <v/>
          </cell>
          <cell r="H207" t="str">
            <v>PERLA CRUZ</v>
          </cell>
          <cell r="I207" t="str">
            <v>PERLA CRUZ</v>
          </cell>
          <cell r="J207" t="str">
            <v>BAJA</v>
          </cell>
          <cell r="K207" t="str">
            <v/>
          </cell>
          <cell r="L207">
            <v>0</v>
          </cell>
          <cell r="M207">
            <v>209</v>
          </cell>
          <cell r="N207" t="str">
            <v>A</v>
          </cell>
          <cell r="O207">
            <v>40864</v>
          </cell>
          <cell r="P207" t="str">
            <v xml:space="preserve">    6</v>
          </cell>
          <cell r="Q207">
            <v>0</v>
          </cell>
          <cell r="R207">
            <v>0</v>
          </cell>
          <cell r="S207">
            <v>0</v>
          </cell>
          <cell r="T207">
            <v>6252</v>
          </cell>
          <cell r="U207">
            <v>0</v>
          </cell>
          <cell r="V207" t="str">
            <v>CENTRO</v>
          </cell>
          <cell r="W207" t="str">
            <v/>
          </cell>
          <cell r="X207" t="str">
            <v/>
          </cell>
        </row>
        <row r="208">
          <cell r="A208">
            <v>2108</v>
          </cell>
          <cell r="B208" t="str">
            <v>ISABEL ARRIAGA RESENDIZ (CADEREYTA)</v>
          </cell>
          <cell r="C208" t="str">
            <v/>
          </cell>
          <cell r="D208" t="str">
            <v>MADERO # 99 LOCAL 4</v>
          </cell>
          <cell r="E208" t="str">
            <v>CADEREYTA, QRO.</v>
          </cell>
          <cell r="F208" t="str">
            <v/>
          </cell>
          <cell r="G208" t="str">
            <v>045441-107-1354</v>
          </cell>
          <cell r="H208" t="str">
            <v>MARIA DE LA LUZ LARA</v>
          </cell>
          <cell r="I208" t="str">
            <v>MARIA DE LA LUZ LARA</v>
          </cell>
          <cell r="J208" t="str">
            <v>J02</v>
          </cell>
          <cell r="K208" t="str">
            <v/>
          </cell>
          <cell r="L208">
            <v>0</v>
          </cell>
          <cell r="M208">
            <v>210</v>
          </cell>
          <cell r="N208" t="str">
            <v>A</v>
          </cell>
          <cell r="O208">
            <v>42227</v>
          </cell>
          <cell r="P208" t="str">
            <v xml:space="preserve">    6</v>
          </cell>
          <cell r="Q208">
            <v>0</v>
          </cell>
          <cell r="R208">
            <v>0</v>
          </cell>
          <cell r="S208">
            <v>0</v>
          </cell>
          <cell r="T208">
            <v>5606</v>
          </cell>
          <cell r="U208">
            <v>0</v>
          </cell>
          <cell r="V208" t="str">
            <v>CENTRO</v>
          </cell>
          <cell r="W208" t="str">
            <v/>
          </cell>
          <cell r="X208" t="str">
            <v/>
          </cell>
        </row>
        <row r="209">
          <cell r="A209">
            <v>2109</v>
          </cell>
          <cell r="B209" t="str">
            <v>VICTOR TAPIA TRUJILLO (TLAHUELILPAN)</v>
          </cell>
          <cell r="C209" t="str">
            <v/>
          </cell>
          <cell r="D209" t="str">
            <v>NICOLAS BRAVO ESQ. SILVESTRE PADILLA</v>
          </cell>
          <cell r="E209" t="str">
            <v>TLAHUELILPAN, HGO.</v>
          </cell>
          <cell r="F209" t="str">
            <v/>
          </cell>
          <cell r="G209" t="str">
            <v>(763) 786-1237</v>
          </cell>
          <cell r="H209" t="str">
            <v>MAYRA GABRIELA TAPIA</v>
          </cell>
          <cell r="I209" t="str">
            <v>MAYRA GABRIELA TAPIA</v>
          </cell>
          <cell r="J209" t="str">
            <v>M04</v>
          </cell>
          <cell r="K209" t="str">
            <v/>
          </cell>
          <cell r="L209">
            <v>0</v>
          </cell>
          <cell r="M209">
            <v>211</v>
          </cell>
          <cell r="N209" t="str">
            <v>A</v>
          </cell>
          <cell r="O209">
            <v>42525</v>
          </cell>
          <cell r="P209" t="str">
            <v xml:space="preserve">    1</v>
          </cell>
          <cell r="Q209">
            <v>0</v>
          </cell>
          <cell r="R209">
            <v>0</v>
          </cell>
          <cell r="S209">
            <v>71798</v>
          </cell>
          <cell r="T209">
            <v>318258</v>
          </cell>
          <cell r="U209">
            <v>5</v>
          </cell>
          <cell r="V209" t="str">
            <v>CENTRO</v>
          </cell>
          <cell r="W209" t="str">
            <v>(773) 101-7232 CEL</v>
          </cell>
          <cell r="X209" t="str">
            <v/>
          </cell>
        </row>
        <row r="210">
          <cell r="A210">
            <v>2110</v>
          </cell>
          <cell r="B210" t="str">
            <v>DELIA CASTILLO VEGA (TULA)</v>
          </cell>
          <cell r="C210" t="str">
            <v/>
          </cell>
          <cell r="D210" t="str">
            <v>MANUEL ROJO DEL RIO #2</v>
          </cell>
          <cell r="E210" t="str">
            <v>TULA, HGO.</v>
          </cell>
          <cell r="F210" t="str">
            <v/>
          </cell>
          <cell r="G210" t="str">
            <v>(773) 732-0745</v>
          </cell>
          <cell r="H210" t="str">
            <v>DELIA CASTILLO VEGA</v>
          </cell>
          <cell r="I210" t="str">
            <v>DELIA CASTILLO VEGA</v>
          </cell>
          <cell r="J210" t="str">
            <v>F02</v>
          </cell>
          <cell r="K210" t="str">
            <v/>
          </cell>
          <cell r="L210">
            <v>0</v>
          </cell>
          <cell r="M210">
            <v>212</v>
          </cell>
          <cell r="N210" t="str">
            <v>A</v>
          </cell>
          <cell r="O210">
            <v>42327</v>
          </cell>
          <cell r="P210" t="str">
            <v xml:space="preserve">    1</v>
          </cell>
          <cell r="Q210">
            <v>0</v>
          </cell>
          <cell r="R210">
            <v>0</v>
          </cell>
          <cell r="S210">
            <v>0</v>
          </cell>
          <cell r="T210">
            <v>177351</v>
          </cell>
          <cell r="U210">
            <v>0</v>
          </cell>
          <cell r="V210" t="str">
            <v/>
          </cell>
          <cell r="W210" t="str">
            <v/>
          </cell>
          <cell r="X210" t="str">
            <v/>
          </cell>
        </row>
        <row r="211">
          <cell r="A211">
            <v>2111</v>
          </cell>
          <cell r="B211" t="str">
            <v>CRISTINA CID GARCIA (JILOTEPEC)</v>
          </cell>
          <cell r="C211" t="str">
            <v/>
          </cell>
          <cell r="D211" t="str">
            <v>JUAREZ #108</v>
          </cell>
          <cell r="E211" t="str">
            <v>JILOTEPEC, EDO. DE MEXICO</v>
          </cell>
          <cell r="F211" t="str">
            <v/>
          </cell>
          <cell r="G211" t="str">
            <v/>
          </cell>
          <cell r="H211" t="str">
            <v>CRISTINA CID GARCIA</v>
          </cell>
          <cell r="I211" t="str">
            <v>CRISTINA CID GARCIA</v>
          </cell>
          <cell r="J211" t="str">
            <v>R01</v>
          </cell>
          <cell r="K211" t="str">
            <v/>
          </cell>
          <cell r="L211">
            <v>0</v>
          </cell>
          <cell r="M211">
            <v>213</v>
          </cell>
          <cell r="N211" t="str">
            <v>A</v>
          </cell>
          <cell r="O211">
            <v>41356</v>
          </cell>
          <cell r="P211" t="str">
            <v xml:space="preserve">    1</v>
          </cell>
          <cell r="Q211">
            <v>0</v>
          </cell>
          <cell r="R211">
            <v>0</v>
          </cell>
          <cell r="S211">
            <v>66</v>
          </cell>
          <cell r="T211">
            <v>9793</v>
          </cell>
          <cell r="U211">
            <v>0</v>
          </cell>
          <cell r="V211" t="str">
            <v>CENTRO</v>
          </cell>
          <cell r="W211" t="str">
            <v/>
          </cell>
          <cell r="X211" t="str">
            <v/>
          </cell>
        </row>
        <row r="212">
          <cell r="A212">
            <v>2112</v>
          </cell>
          <cell r="B212" t="str">
            <v>JESUS RUIZ</v>
          </cell>
          <cell r="C212" t="str">
            <v/>
          </cell>
          <cell r="D212" t="str">
            <v/>
          </cell>
          <cell r="E212" t="str">
            <v/>
          </cell>
          <cell r="F212" t="str">
            <v/>
          </cell>
          <cell r="G212" t="str">
            <v/>
          </cell>
          <cell r="H212" t="str">
            <v>JESUS RUIZ</v>
          </cell>
          <cell r="I212" t="str">
            <v>JESUS RUIZ</v>
          </cell>
          <cell r="J212" t="str">
            <v>BAJA</v>
          </cell>
          <cell r="K212" t="str">
            <v/>
          </cell>
          <cell r="L212">
            <v>0</v>
          </cell>
          <cell r="M212">
            <v>214</v>
          </cell>
          <cell r="N212" t="str">
            <v>S</v>
          </cell>
          <cell r="P212" t="str">
            <v xml:space="preserve">    1</v>
          </cell>
          <cell r="Q212">
            <v>0</v>
          </cell>
          <cell r="R212">
            <v>0</v>
          </cell>
          <cell r="S212">
            <v>0</v>
          </cell>
          <cell r="T212">
            <v>0</v>
          </cell>
          <cell r="U212">
            <v>0</v>
          </cell>
          <cell r="V212" t="str">
            <v/>
          </cell>
          <cell r="W212" t="str">
            <v/>
          </cell>
          <cell r="X212" t="str">
            <v/>
          </cell>
        </row>
        <row r="213">
          <cell r="A213">
            <v>2113</v>
          </cell>
          <cell r="B213" t="str">
            <v>RAUL ALEJANDRO PEREZ (TLAXCOAPAN)</v>
          </cell>
          <cell r="C213" t="str">
            <v/>
          </cell>
          <cell r="D213" t="str">
            <v>PLAZA MA. LUISA</v>
          </cell>
          <cell r="E213" t="str">
            <v>TLAXCOAPAN, HGO.</v>
          </cell>
          <cell r="F213" t="str">
            <v/>
          </cell>
          <cell r="G213" t="str">
            <v>(773) 144-3005 CEL</v>
          </cell>
          <cell r="H213" t="str">
            <v>RAUL ALEJANDRO PEREZ</v>
          </cell>
          <cell r="I213" t="str">
            <v>RAUL ALEJANDRO PEREZ</v>
          </cell>
          <cell r="J213" t="str">
            <v>M04</v>
          </cell>
          <cell r="K213" t="str">
            <v/>
          </cell>
          <cell r="L213">
            <v>0</v>
          </cell>
          <cell r="M213">
            <v>215</v>
          </cell>
          <cell r="N213" t="str">
            <v>A</v>
          </cell>
          <cell r="O213">
            <v>42367</v>
          </cell>
          <cell r="P213" t="str">
            <v xml:space="preserve">    9</v>
          </cell>
          <cell r="Q213">
            <v>0</v>
          </cell>
          <cell r="R213">
            <v>0</v>
          </cell>
          <cell r="S213">
            <v>2586</v>
          </cell>
          <cell r="T213">
            <v>47699</v>
          </cell>
          <cell r="U213">
            <v>0</v>
          </cell>
          <cell r="V213" t="str">
            <v/>
          </cell>
          <cell r="W213" t="str">
            <v/>
          </cell>
          <cell r="X213" t="str">
            <v/>
          </cell>
        </row>
        <row r="214">
          <cell r="A214">
            <v>2114</v>
          </cell>
          <cell r="B214" t="str">
            <v>CONCEPCION SERRANO MEDINA (SAN JUAN)</v>
          </cell>
          <cell r="C214" t="str">
            <v/>
          </cell>
          <cell r="D214" t="str">
            <v>MERCADO JUAREZ LOC. 34</v>
          </cell>
          <cell r="E214" t="str">
            <v>SAN JUAN DEL RIO, QRO.</v>
          </cell>
          <cell r="F214" t="str">
            <v/>
          </cell>
          <cell r="G214" t="str">
            <v>(427) 119-7580 CEL</v>
          </cell>
          <cell r="H214" t="str">
            <v>CONCEPCION SERRANO M</v>
          </cell>
          <cell r="I214" t="str">
            <v>CONCEPCION SERRANO M</v>
          </cell>
          <cell r="J214" t="str">
            <v>BAJA</v>
          </cell>
          <cell r="K214" t="str">
            <v/>
          </cell>
          <cell r="L214">
            <v>0</v>
          </cell>
          <cell r="M214">
            <v>216</v>
          </cell>
          <cell r="N214" t="str">
            <v>A</v>
          </cell>
          <cell r="O214">
            <v>41081</v>
          </cell>
          <cell r="P214" t="str">
            <v xml:space="preserve">    1</v>
          </cell>
          <cell r="Q214">
            <v>0</v>
          </cell>
          <cell r="R214">
            <v>0</v>
          </cell>
          <cell r="S214">
            <v>0</v>
          </cell>
          <cell r="T214">
            <v>6829</v>
          </cell>
          <cell r="U214">
            <v>0</v>
          </cell>
          <cell r="V214" t="str">
            <v>CENTRO</v>
          </cell>
          <cell r="W214" t="str">
            <v/>
          </cell>
          <cell r="X214" t="str">
            <v/>
          </cell>
        </row>
        <row r="215">
          <cell r="A215">
            <v>2115</v>
          </cell>
          <cell r="B215" t="str">
            <v>JULIO SAUCEDO PINEDA (ACAMBARO)</v>
          </cell>
          <cell r="C215" t="str">
            <v/>
          </cell>
          <cell r="D215" t="str">
            <v>MATAMOROS #4</v>
          </cell>
          <cell r="E215" t="str">
            <v>ACAMBARO, GTO.</v>
          </cell>
          <cell r="F215" t="str">
            <v/>
          </cell>
          <cell r="G215" t="str">
            <v>(417) 104-3681</v>
          </cell>
          <cell r="H215" t="str">
            <v>JULIO SAUCEDO PINEDA</v>
          </cell>
          <cell r="I215" t="str">
            <v>JULIO SAUCEDO PINEDA</v>
          </cell>
          <cell r="J215" t="str">
            <v>BAJA</v>
          </cell>
          <cell r="K215" t="str">
            <v/>
          </cell>
          <cell r="L215">
            <v>0</v>
          </cell>
          <cell r="M215">
            <v>217</v>
          </cell>
          <cell r="N215" t="str">
            <v>A</v>
          </cell>
          <cell r="O215">
            <v>40869</v>
          </cell>
          <cell r="P215" t="str">
            <v xml:space="preserve">    1</v>
          </cell>
          <cell r="Q215">
            <v>0</v>
          </cell>
          <cell r="R215">
            <v>0</v>
          </cell>
          <cell r="S215">
            <v>0</v>
          </cell>
          <cell r="T215">
            <v>0</v>
          </cell>
          <cell r="U215">
            <v>0</v>
          </cell>
          <cell r="V215" t="str">
            <v>CENTRO</v>
          </cell>
          <cell r="W215" t="str">
            <v/>
          </cell>
          <cell r="X215" t="str">
            <v/>
          </cell>
        </row>
        <row r="216">
          <cell r="A216">
            <v>2116</v>
          </cell>
          <cell r="B216" t="str">
            <v>PATRICIA FERNANDEZ BRAVO (PROGRESO)</v>
          </cell>
          <cell r="C216" t="str">
            <v/>
          </cell>
          <cell r="D216" t="str">
            <v>JAVIER HERNANDEZ #1</v>
          </cell>
          <cell r="E216" t="str">
            <v>PROGRESO, HGO.</v>
          </cell>
          <cell r="F216" t="str">
            <v/>
          </cell>
          <cell r="G216" t="str">
            <v>(738) 725-2144</v>
          </cell>
          <cell r="H216" t="str">
            <v>PATRICIA FERNANDEZ B</v>
          </cell>
          <cell r="I216" t="str">
            <v>PATRICIA FERNANDEZ B</v>
          </cell>
          <cell r="J216" t="str">
            <v>BAJA</v>
          </cell>
          <cell r="K216" t="str">
            <v/>
          </cell>
          <cell r="L216">
            <v>0</v>
          </cell>
          <cell r="M216">
            <v>218</v>
          </cell>
          <cell r="N216" t="str">
            <v>A</v>
          </cell>
          <cell r="O216">
            <v>40993</v>
          </cell>
          <cell r="P216" t="str">
            <v xml:space="preserve">    6</v>
          </cell>
          <cell r="Q216">
            <v>0</v>
          </cell>
          <cell r="R216">
            <v>0</v>
          </cell>
          <cell r="S216">
            <v>0</v>
          </cell>
          <cell r="T216">
            <v>6410</v>
          </cell>
          <cell r="U216">
            <v>0</v>
          </cell>
          <cell r="V216" t="str">
            <v>CENTRO</v>
          </cell>
          <cell r="W216" t="str">
            <v/>
          </cell>
          <cell r="X216" t="str">
            <v/>
          </cell>
        </row>
        <row r="217">
          <cell r="A217">
            <v>2117</v>
          </cell>
          <cell r="B217" t="str">
            <v>MARGARITA UGALDE (QUERETARO)</v>
          </cell>
          <cell r="C217" t="str">
            <v/>
          </cell>
          <cell r="D217" t="str">
            <v>MERCADO ESCOBEDO LOC. 53 Y 54</v>
          </cell>
          <cell r="E217" t="str">
            <v>QUERETARO, QRO.</v>
          </cell>
          <cell r="F217" t="str">
            <v/>
          </cell>
          <cell r="G217" t="str">
            <v>(442) 212-3565</v>
          </cell>
          <cell r="H217" t="str">
            <v>MARHARITA UGALDE</v>
          </cell>
          <cell r="I217" t="str">
            <v>MARHARITA UGALDE (QU</v>
          </cell>
          <cell r="J217" t="str">
            <v>L04</v>
          </cell>
          <cell r="K217" t="str">
            <v/>
          </cell>
          <cell r="L217">
            <v>0</v>
          </cell>
          <cell r="M217">
            <v>219</v>
          </cell>
          <cell r="N217" t="str">
            <v>A</v>
          </cell>
          <cell r="O217">
            <v>42464</v>
          </cell>
          <cell r="P217" t="str">
            <v xml:space="preserve">    6</v>
          </cell>
          <cell r="Q217">
            <v>0</v>
          </cell>
          <cell r="R217">
            <v>0</v>
          </cell>
          <cell r="S217">
            <v>3538</v>
          </cell>
          <cell r="T217">
            <v>82416</v>
          </cell>
          <cell r="U217">
            <v>0</v>
          </cell>
          <cell r="V217" t="str">
            <v>CENTRO</v>
          </cell>
          <cell r="W217" t="str">
            <v/>
          </cell>
          <cell r="X217" t="str">
            <v/>
          </cell>
        </row>
        <row r="218">
          <cell r="A218">
            <v>2118</v>
          </cell>
          <cell r="B218" t="str">
            <v>MARIA RIOS PEÑA (ACAMBAY)</v>
          </cell>
          <cell r="C218" t="str">
            <v/>
          </cell>
          <cell r="D218" t="str">
            <v>CONSTITUCION #58</v>
          </cell>
          <cell r="E218" t="str">
            <v>ACAMBAY, EDO. DE MEXICO</v>
          </cell>
          <cell r="F218" t="str">
            <v/>
          </cell>
          <cell r="G218" t="str">
            <v>(712) 143-4693 CEL / (712</v>
          </cell>
          <cell r="H218" t="str">
            <v>MARIA RIOS PEÑA</v>
          </cell>
          <cell r="I218" t="str">
            <v>MARIA RIOS PEÑA</v>
          </cell>
          <cell r="J218" t="str">
            <v>L08</v>
          </cell>
          <cell r="K218" t="str">
            <v/>
          </cell>
          <cell r="L218">
            <v>0</v>
          </cell>
          <cell r="M218">
            <v>220</v>
          </cell>
          <cell r="N218" t="str">
            <v>A</v>
          </cell>
          <cell r="O218">
            <v>42485</v>
          </cell>
          <cell r="P218" t="str">
            <v xml:space="preserve">    6</v>
          </cell>
          <cell r="Q218">
            <v>0</v>
          </cell>
          <cell r="R218">
            <v>0</v>
          </cell>
          <cell r="S218">
            <v>36556</v>
          </cell>
          <cell r="T218">
            <v>346719</v>
          </cell>
          <cell r="U218">
            <v>11</v>
          </cell>
          <cell r="V218" t="str">
            <v>CENTRO</v>
          </cell>
          <cell r="W218" t="str">
            <v>(718) 127-1338</v>
          </cell>
          <cell r="X218" t="str">
            <v>FERRETERIA (718) 127-0175</v>
          </cell>
        </row>
        <row r="219">
          <cell r="A219">
            <v>2119</v>
          </cell>
          <cell r="B219" t="str">
            <v>MARIA MERCEDES SANCHEZ (VILLAGRAN)</v>
          </cell>
          <cell r="C219" t="str">
            <v/>
          </cell>
          <cell r="D219" t="str">
            <v>HIDALGO #416</v>
          </cell>
          <cell r="E219" t="str">
            <v>VILLAGRAN, GTO.</v>
          </cell>
          <cell r="F219" t="str">
            <v/>
          </cell>
          <cell r="G219" t="str">
            <v>(416) 165-0140</v>
          </cell>
          <cell r="H219" t="str">
            <v>MARIA MERCEDES S</v>
          </cell>
          <cell r="I219" t="str">
            <v>MARIA MERCEDES SANCH</v>
          </cell>
          <cell r="J219" t="str">
            <v>BAJA</v>
          </cell>
          <cell r="K219" t="str">
            <v/>
          </cell>
          <cell r="L219">
            <v>0</v>
          </cell>
          <cell r="M219">
            <v>221</v>
          </cell>
          <cell r="N219" t="str">
            <v>A</v>
          </cell>
          <cell r="O219">
            <v>40877</v>
          </cell>
          <cell r="P219" t="str">
            <v xml:space="preserve">    9</v>
          </cell>
          <cell r="Q219">
            <v>0</v>
          </cell>
          <cell r="R219">
            <v>0</v>
          </cell>
          <cell r="S219">
            <v>0</v>
          </cell>
          <cell r="T219">
            <v>772</v>
          </cell>
          <cell r="U219">
            <v>0</v>
          </cell>
          <cell r="V219" t="str">
            <v>CENTRO</v>
          </cell>
          <cell r="W219" t="str">
            <v/>
          </cell>
          <cell r="X219" t="str">
            <v/>
          </cell>
        </row>
        <row r="220">
          <cell r="A220">
            <v>2120</v>
          </cell>
          <cell r="B220" t="str">
            <v>MARIANA BECERRIL</v>
          </cell>
          <cell r="C220" t="str">
            <v/>
          </cell>
          <cell r="D220" t="str">
            <v>HIDALGO # 31</v>
          </cell>
          <cell r="E220" t="str">
            <v>ATLACOMULCO, EDO. DE MEXICO</v>
          </cell>
          <cell r="F220" t="str">
            <v/>
          </cell>
          <cell r="G220" t="str">
            <v/>
          </cell>
          <cell r="H220" t="str">
            <v>HECTOR ISLAS CRUZ</v>
          </cell>
          <cell r="I220" t="str">
            <v>HECTOR ISLAS CRUZ</v>
          </cell>
          <cell r="J220" t="str">
            <v>L08</v>
          </cell>
          <cell r="K220" t="str">
            <v/>
          </cell>
          <cell r="L220">
            <v>0</v>
          </cell>
          <cell r="M220">
            <v>222</v>
          </cell>
          <cell r="N220" t="str">
            <v>A</v>
          </cell>
          <cell r="O220">
            <v>42207</v>
          </cell>
          <cell r="P220" t="str">
            <v xml:space="preserve">    3</v>
          </cell>
          <cell r="Q220">
            <v>0</v>
          </cell>
          <cell r="R220">
            <v>0</v>
          </cell>
          <cell r="S220">
            <v>0</v>
          </cell>
          <cell r="T220">
            <v>680</v>
          </cell>
          <cell r="U220">
            <v>0</v>
          </cell>
          <cell r="V220" t="str">
            <v>CENTRO</v>
          </cell>
          <cell r="W220" t="str">
            <v>712-139-0953</v>
          </cell>
          <cell r="X220" t="str">
            <v/>
          </cell>
        </row>
        <row r="221">
          <cell r="A221">
            <v>2121</v>
          </cell>
          <cell r="B221" t="str">
            <v>JOSE RUIZ (JILOTEPEC|)</v>
          </cell>
          <cell r="C221" t="str">
            <v/>
          </cell>
          <cell r="D221" t="str">
            <v/>
          </cell>
          <cell r="E221" t="str">
            <v>JILOTEPEC, EDO. DE MEXICO</v>
          </cell>
          <cell r="F221" t="str">
            <v/>
          </cell>
          <cell r="G221" t="str">
            <v/>
          </cell>
          <cell r="H221" t="str">
            <v>JOSE RUIZ</v>
          </cell>
          <cell r="I221" t="str">
            <v>JOSE RUIZ</v>
          </cell>
          <cell r="J221" t="str">
            <v>BAJA</v>
          </cell>
          <cell r="K221" t="str">
            <v/>
          </cell>
          <cell r="L221">
            <v>0</v>
          </cell>
          <cell r="M221">
            <v>223</v>
          </cell>
          <cell r="N221" t="str">
            <v>A</v>
          </cell>
          <cell r="O221">
            <v>40864</v>
          </cell>
          <cell r="P221" t="str">
            <v xml:space="preserve">    1</v>
          </cell>
          <cell r="Q221">
            <v>0</v>
          </cell>
          <cell r="R221">
            <v>0</v>
          </cell>
          <cell r="S221">
            <v>0</v>
          </cell>
          <cell r="T221">
            <v>520</v>
          </cell>
          <cell r="U221">
            <v>0</v>
          </cell>
          <cell r="V221" t="str">
            <v/>
          </cell>
          <cell r="W221" t="str">
            <v/>
          </cell>
          <cell r="X221" t="str">
            <v/>
          </cell>
        </row>
        <row r="222">
          <cell r="A222">
            <v>2122</v>
          </cell>
          <cell r="B222" t="str">
            <v>SUSANA PAZ NAVARRO (APAXCO)</v>
          </cell>
          <cell r="C222" t="str">
            <v/>
          </cell>
          <cell r="D222" t="str">
            <v>ALLENDE #81</v>
          </cell>
          <cell r="E222" t="str">
            <v>APAXCO, EDO. DE MEXICO</v>
          </cell>
          <cell r="F222" t="str">
            <v/>
          </cell>
          <cell r="G222" t="str">
            <v>(599) 998-4062 CASA 55-48</v>
          </cell>
          <cell r="H222" t="str">
            <v>SUSANA PAZ NAVARRO</v>
          </cell>
          <cell r="I222" t="str">
            <v>SUSANA PAZ NAVARRO</v>
          </cell>
          <cell r="J222" t="str">
            <v>M04</v>
          </cell>
          <cell r="K222" t="str">
            <v/>
          </cell>
          <cell r="L222">
            <v>0</v>
          </cell>
          <cell r="M222">
            <v>224</v>
          </cell>
          <cell r="N222" t="str">
            <v>A</v>
          </cell>
          <cell r="O222">
            <v>42244</v>
          </cell>
          <cell r="P222" t="str">
            <v xml:space="preserve">    1</v>
          </cell>
          <cell r="Q222">
            <v>0</v>
          </cell>
          <cell r="R222">
            <v>0</v>
          </cell>
          <cell r="S222">
            <v>0</v>
          </cell>
          <cell r="T222">
            <v>39047</v>
          </cell>
          <cell r="U222">
            <v>0</v>
          </cell>
          <cell r="V222" t="str">
            <v>CENTRO</v>
          </cell>
          <cell r="W222" t="str">
            <v>0445517009398</v>
          </cell>
          <cell r="X222" t="str">
            <v/>
          </cell>
        </row>
        <row r="223">
          <cell r="A223">
            <v>2123</v>
          </cell>
          <cell r="B223" t="str">
            <v>JUANA RODRIGUEZ RODRIGUEZ (ATOTONILCO)</v>
          </cell>
          <cell r="C223" t="str">
            <v/>
          </cell>
          <cell r="D223" t="str">
            <v>REPUBLICA DEL SALVADOR #25-B</v>
          </cell>
          <cell r="E223" t="str">
            <v>ATOTONILCO, HGO.</v>
          </cell>
          <cell r="F223" t="str">
            <v/>
          </cell>
          <cell r="G223" t="str">
            <v>(55) 1491-7770 CEL</v>
          </cell>
          <cell r="H223" t="str">
            <v>JUANA RODRIGUEZ R.</v>
          </cell>
          <cell r="I223" t="str">
            <v>JUANA RODRIGUEZ R.</v>
          </cell>
          <cell r="J223" t="str">
            <v>M04</v>
          </cell>
          <cell r="K223" t="str">
            <v/>
          </cell>
          <cell r="L223">
            <v>0</v>
          </cell>
          <cell r="M223">
            <v>225</v>
          </cell>
          <cell r="N223" t="str">
            <v>A</v>
          </cell>
          <cell r="O223">
            <v>42326</v>
          </cell>
          <cell r="P223" t="str">
            <v xml:space="preserve">    1</v>
          </cell>
          <cell r="Q223">
            <v>0</v>
          </cell>
          <cell r="R223">
            <v>0</v>
          </cell>
          <cell r="S223">
            <v>3588</v>
          </cell>
          <cell r="T223">
            <v>127937.88</v>
          </cell>
          <cell r="U223">
            <v>0</v>
          </cell>
          <cell r="V223" t="str">
            <v>CENTRO</v>
          </cell>
          <cell r="W223" t="str">
            <v>(778) 735-0127 CASA</v>
          </cell>
          <cell r="X223" t="str">
            <v/>
          </cell>
        </row>
        <row r="224">
          <cell r="A224">
            <v>2124</v>
          </cell>
          <cell r="B224" t="str">
            <v>MARCIAL SOLANO AGUILAR (TULTEPEC)</v>
          </cell>
          <cell r="C224" t="str">
            <v/>
          </cell>
          <cell r="D224" t="str">
            <v>ALLENDE #7</v>
          </cell>
          <cell r="E224" t="str">
            <v>TULTEPEC, EDO. DE MEXICO</v>
          </cell>
          <cell r="F224" t="str">
            <v/>
          </cell>
          <cell r="G224" t="str">
            <v/>
          </cell>
          <cell r="H224" t="str">
            <v>MARCIAL SOLANO A</v>
          </cell>
          <cell r="I224" t="str">
            <v>MARCIAL SOLANO A</v>
          </cell>
          <cell r="J224" t="str">
            <v>BAJA</v>
          </cell>
          <cell r="K224" t="str">
            <v/>
          </cell>
          <cell r="L224">
            <v>0</v>
          </cell>
          <cell r="M224">
            <v>226</v>
          </cell>
          <cell r="N224" t="str">
            <v>A</v>
          </cell>
          <cell r="O224">
            <v>40864</v>
          </cell>
          <cell r="P224" t="str">
            <v xml:space="preserve">    2</v>
          </cell>
          <cell r="Q224">
            <v>0</v>
          </cell>
          <cell r="R224">
            <v>0</v>
          </cell>
          <cell r="S224">
            <v>0</v>
          </cell>
          <cell r="T224">
            <v>406</v>
          </cell>
          <cell r="U224">
            <v>0</v>
          </cell>
          <cell r="V224" t="str">
            <v>CENTRO</v>
          </cell>
          <cell r="W224" t="str">
            <v/>
          </cell>
          <cell r="X224" t="str">
            <v/>
          </cell>
        </row>
        <row r="225">
          <cell r="A225">
            <v>2125</v>
          </cell>
          <cell r="B225" t="str">
            <v>ROSYBELL CRUZ (ROMERO RUBIO)</v>
          </cell>
          <cell r="C225" t="str">
            <v/>
          </cell>
          <cell r="D225" t="str">
            <v>LOCAL 64 PASILLO 3</v>
          </cell>
          <cell r="E225" t="str">
            <v>CUAUTITLAN, EDO. DE MEXICO</v>
          </cell>
          <cell r="F225" t="str">
            <v/>
          </cell>
          <cell r="G225" t="str">
            <v>044 55-4250-4538</v>
          </cell>
          <cell r="H225" t="str">
            <v>ROSYBELL CRUZ</v>
          </cell>
          <cell r="I225" t="str">
            <v>ROSYBELL CRUZ</v>
          </cell>
          <cell r="J225" t="str">
            <v>M01</v>
          </cell>
          <cell r="K225" t="str">
            <v/>
          </cell>
          <cell r="L225">
            <v>0</v>
          </cell>
          <cell r="M225">
            <v>227</v>
          </cell>
          <cell r="N225" t="str">
            <v>A</v>
          </cell>
          <cell r="O225">
            <v>42520</v>
          </cell>
          <cell r="P225" t="str">
            <v xml:space="preserve">    2</v>
          </cell>
          <cell r="Q225">
            <v>0</v>
          </cell>
          <cell r="R225">
            <v>0</v>
          </cell>
          <cell r="S225">
            <v>13092</v>
          </cell>
          <cell r="T225">
            <v>38506</v>
          </cell>
          <cell r="U225">
            <v>0</v>
          </cell>
          <cell r="V225" t="str">
            <v>ROMERO RUBIO</v>
          </cell>
          <cell r="W225" t="str">
            <v/>
          </cell>
          <cell r="X225" t="str">
            <v/>
          </cell>
        </row>
        <row r="226">
          <cell r="A226">
            <v>2126</v>
          </cell>
          <cell r="B226" t="str">
            <v>EVA FRANCO MEJIA (AMEALCO)</v>
          </cell>
          <cell r="C226" t="str">
            <v/>
          </cell>
          <cell r="D226" t="str">
            <v>5 DE FEBRERO LOC. 4</v>
          </cell>
          <cell r="E226" t="str">
            <v>AMEALCO, QRO.</v>
          </cell>
          <cell r="F226" t="str">
            <v/>
          </cell>
          <cell r="G226" t="str">
            <v>(448) 278-0745</v>
          </cell>
          <cell r="H226" t="str">
            <v>EVA FRANCO MEJIA</v>
          </cell>
          <cell r="I226" t="str">
            <v>EVA FRANCO MEJIA</v>
          </cell>
          <cell r="J226" t="str">
            <v>BAJA</v>
          </cell>
          <cell r="K226" t="str">
            <v/>
          </cell>
          <cell r="L226">
            <v>0</v>
          </cell>
          <cell r="M226">
            <v>228</v>
          </cell>
          <cell r="N226" t="str">
            <v>A</v>
          </cell>
          <cell r="O226">
            <v>40956</v>
          </cell>
          <cell r="P226" t="str">
            <v xml:space="preserve">    1</v>
          </cell>
          <cell r="Q226">
            <v>0</v>
          </cell>
          <cell r="R226">
            <v>0</v>
          </cell>
          <cell r="S226">
            <v>0</v>
          </cell>
          <cell r="T226">
            <v>6336</v>
          </cell>
          <cell r="U226">
            <v>0</v>
          </cell>
          <cell r="V226" t="str">
            <v>CENTRO</v>
          </cell>
          <cell r="W226" t="str">
            <v/>
          </cell>
          <cell r="X226" t="str">
            <v/>
          </cell>
        </row>
        <row r="227">
          <cell r="A227">
            <v>2127</v>
          </cell>
          <cell r="B227" t="str">
            <v>JOSE VIEYRA HERRERA (APASEO EL ALTO)</v>
          </cell>
          <cell r="C227" t="str">
            <v/>
          </cell>
          <cell r="D227" t="str">
            <v>5 DE MAYO #201</v>
          </cell>
          <cell r="E227" t="str">
            <v>APASEO EL ALTO, GTO.</v>
          </cell>
          <cell r="F227" t="str">
            <v/>
          </cell>
          <cell r="G227" t="str">
            <v>(413) 100-1815 CEL SRA. L</v>
          </cell>
          <cell r="H227" t="str">
            <v>JOSE VIEYRA HERRERA</v>
          </cell>
          <cell r="I227" t="str">
            <v>JOSE VIEYRA HERRERA</v>
          </cell>
          <cell r="J227" t="str">
            <v>BAJA</v>
          </cell>
          <cell r="K227" t="str">
            <v/>
          </cell>
          <cell r="L227">
            <v>0</v>
          </cell>
          <cell r="M227">
            <v>229</v>
          </cell>
          <cell r="N227" t="str">
            <v>A</v>
          </cell>
          <cell r="O227">
            <v>40947</v>
          </cell>
          <cell r="P227" t="str">
            <v xml:space="preserve">    1</v>
          </cell>
          <cell r="Q227">
            <v>0</v>
          </cell>
          <cell r="R227">
            <v>0</v>
          </cell>
          <cell r="S227">
            <v>0</v>
          </cell>
          <cell r="T227">
            <v>10005</v>
          </cell>
          <cell r="U227">
            <v>0</v>
          </cell>
          <cell r="V227" t="str">
            <v>CENTRO</v>
          </cell>
          <cell r="W227" t="str">
            <v>(413) 166-2283 CEL</v>
          </cell>
          <cell r="X227" t="str">
            <v/>
          </cell>
        </row>
        <row r="228">
          <cell r="A228">
            <v>2128</v>
          </cell>
          <cell r="B228" t="str">
            <v>RUBEN PEREZ SANCHEZ (TEZONTEPEC)</v>
          </cell>
          <cell r="C228" t="str">
            <v/>
          </cell>
          <cell r="D228" t="str">
            <v>JUAN ALDAMA #9</v>
          </cell>
          <cell r="E228" t="str">
            <v>TEZONTEPEC, HGO.</v>
          </cell>
          <cell r="F228" t="str">
            <v/>
          </cell>
          <cell r="G228" t="str">
            <v>(763) 737-5203</v>
          </cell>
          <cell r="H228" t="str">
            <v>RUBEN PEREZ SANCHEZ</v>
          </cell>
          <cell r="I228" t="str">
            <v>RUBEN PEREZ SANCHEZ</v>
          </cell>
          <cell r="J228" t="str">
            <v>F02</v>
          </cell>
          <cell r="K228" t="str">
            <v/>
          </cell>
          <cell r="L228">
            <v>0</v>
          </cell>
          <cell r="M228">
            <v>230</v>
          </cell>
          <cell r="N228" t="str">
            <v>A</v>
          </cell>
          <cell r="O228">
            <v>42525</v>
          </cell>
          <cell r="P228" t="str">
            <v xml:space="preserve">    1</v>
          </cell>
          <cell r="Q228">
            <v>0</v>
          </cell>
          <cell r="R228">
            <v>0</v>
          </cell>
          <cell r="S228">
            <v>2992</v>
          </cell>
          <cell r="T228">
            <v>550103.4</v>
          </cell>
          <cell r="U228">
            <v>0</v>
          </cell>
          <cell r="V228" t="str">
            <v>CENTRO</v>
          </cell>
          <cell r="W228" t="str">
            <v>( 773) 153-3516 CEL</v>
          </cell>
          <cell r="X228" t="str">
            <v>(773) 129-1491 CEL RUBEN</v>
          </cell>
        </row>
        <row r="229">
          <cell r="A229">
            <v>2129</v>
          </cell>
          <cell r="B229" t="str">
            <v>ROSALINDA SANCHEZ BARRERA (TASQUILLO)</v>
          </cell>
          <cell r="C229" t="str">
            <v/>
          </cell>
          <cell r="D229" t="str">
            <v>BRAVO #4</v>
          </cell>
          <cell r="E229" t="str">
            <v>TASQUILLO, HGO.</v>
          </cell>
          <cell r="F229" t="str">
            <v/>
          </cell>
          <cell r="G229" t="str">
            <v>(759) 723-5008</v>
          </cell>
          <cell r="H229" t="str">
            <v>ROSALINDA SANCHEZ B.</v>
          </cell>
          <cell r="I229" t="str">
            <v>ROSALINDA SANCHEZ B.</v>
          </cell>
          <cell r="J229" t="str">
            <v>BAJA</v>
          </cell>
          <cell r="K229" t="str">
            <v/>
          </cell>
          <cell r="L229">
            <v>0</v>
          </cell>
          <cell r="M229">
            <v>231</v>
          </cell>
          <cell r="N229" t="str">
            <v>S</v>
          </cell>
          <cell r="O229">
            <v>40954</v>
          </cell>
          <cell r="P229" t="str">
            <v xml:space="preserve">    8</v>
          </cell>
          <cell r="Q229">
            <v>0</v>
          </cell>
          <cell r="R229">
            <v>0</v>
          </cell>
          <cell r="S229">
            <v>0</v>
          </cell>
          <cell r="T229">
            <v>4229</v>
          </cell>
          <cell r="U229">
            <v>0</v>
          </cell>
          <cell r="V229" t="str">
            <v>CENTRO</v>
          </cell>
          <cell r="W229" t="str">
            <v/>
          </cell>
          <cell r="X229" t="str">
            <v/>
          </cell>
        </row>
        <row r="230">
          <cell r="A230">
            <v>2130</v>
          </cell>
          <cell r="B230" t="str">
            <v>ELVIA CHAVEZ ARTEAGA (ZIMAPAN)</v>
          </cell>
          <cell r="C230" t="str">
            <v/>
          </cell>
          <cell r="D230" t="str">
            <v>JESUS GARCIA #2</v>
          </cell>
          <cell r="E230" t="str">
            <v>ZIMAPAN, HGO.</v>
          </cell>
          <cell r="F230" t="str">
            <v/>
          </cell>
          <cell r="G230" t="str">
            <v>(759) 728-3011</v>
          </cell>
          <cell r="H230" t="str">
            <v>ELVIA CHAVEZ ARTEAGA</v>
          </cell>
          <cell r="I230" t="str">
            <v>ELVIA CHAVEZ ARTEAGA</v>
          </cell>
          <cell r="J230" t="str">
            <v>BAJA</v>
          </cell>
          <cell r="K230" t="str">
            <v/>
          </cell>
          <cell r="L230">
            <v>0</v>
          </cell>
          <cell r="M230">
            <v>232</v>
          </cell>
          <cell r="N230" t="str">
            <v>A</v>
          </cell>
          <cell r="O230">
            <v>41586</v>
          </cell>
          <cell r="P230" t="str">
            <v xml:space="preserve">    8</v>
          </cell>
          <cell r="Q230">
            <v>0</v>
          </cell>
          <cell r="R230">
            <v>0</v>
          </cell>
          <cell r="S230">
            <v>0</v>
          </cell>
          <cell r="T230">
            <v>8514</v>
          </cell>
          <cell r="U230">
            <v>0</v>
          </cell>
          <cell r="V230" t="str">
            <v>CENTRO</v>
          </cell>
          <cell r="W230" t="str">
            <v>(769) 728-2335</v>
          </cell>
          <cell r="X230" t="str">
            <v/>
          </cell>
        </row>
        <row r="231">
          <cell r="A231">
            <v>2131</v>
          </cell>
          <cell r="B231" t="str">
            <v>BERNARDA JUAREZ MALO (ATITALAQUIA)</v>
          </cell>
          <cell r="C231" t="str">
            <v/>
          </cell>
          <cell r="D231" t="str">
            <v>SANTOS DEGOLLADOS #2</v>
          </cell>
          <cell r="E231" t="str">
            <v>ATITALAQUIA, HGO.</v>
          </cell>
          <cell r="F231" t="str">
            <v/>
          </cell>
          <cell r="G231" t="str">
            <v>(773) 129-4497 CEL</v>
          </cell>
          <cell r="H231" t="str">
            <v>BERNARDA JUAREZ MALO</v>
          </cell>
          <cell r="I231" t="str">
            <v>BERNARDA JUAREZ MALO</v>
          </cell>
          <cell r="J231" t="str">
            <v>BAJA</v>
          </cell>
          <cell r="K231" t="str">
            <v/>
          </cell>
          <cell r="L231">
            <v>0</v>
          </cell>
          <cell r="M231">
            <v>233</v>
          </cell>
          <cell r="N231" t="str">
            <v>S</v>
          </cell>
          <cell r="O231">
            <v>40947</v>
          </cell>
          <cell r="P231" t="str">
            <v xml:space="preserve">    1</v>
          </cell>
          <cell r="Q231">
            <v>0</v>
          </cell>
          <cell r="R231">
            <v>0</v>
          </cell>
          <cell r="S231">
            <v>0</v>
          </cell>
          <cell r="T231">
            <v>3832</v>
          </cell>
          <cell r="U231">
            <v>0</v>
          </cell>
          <cell r="V231" t="str">
            <v>CENTRO</v>
          </cell>
          <cell r="W231" t="str">
            <v>(773) 138-3945 CEL</v>
          </cell>
          <cell r="X231" t="str">
            <v/>
          </cell>
        </row>
        <row r="232">
          <cell r="A232">
            <v>2132</v>
          </cell>
          <cell r="B232" t="str">
            <v>MARGARITA SANTOS (COACALCO)</v>
          </cell>
          <cell r="C232" t="str">
            <v/>
          </cell>
          <cell r="D232" t="str">
            <v/>
          </cell>
          <cell r="E232" t="str">
            <v>COACALCO, EDO. DE MEXICO</v>
          </cell>
          <cell r="F232" t="str">
            <v/>
          </cell>
          <cell r="G232" t="str">
            <v/>
          </cell>
          <cell r="H232" t="str">
            <v>MARGARITA SANTOS</v>
          </cell>
          <cell r="I232" t="str">
            <v>MARGARITA SANTOS</v>
          </cell>
          <cell r="J232" t="str">
            <v>M01</v>
          </cell>
          <cell r="K232" t="str">
            <v/>
          </cell>
          <cell r="L232">
            <v>0</v>
          </cell>
          <cell r="M232">
            <v>234</v>
          </cell>
          <cell r="N232" t="str">
            <v>A</v>
          </cell>
          <cell r="O232">
            <v>41937</v>
          </cell>
          <cell r="P232" t="str">
            <v xml:space="preserve">    2</v>
          </cell>
          <cell r="Q232">
            <v>0</v>
          </cell>
          <cell r="R232">
            <v>0</v>
          </cell>
          <cell r="S232">
            <v>0</v>
          </cell>
          <cell r="T232">
            <v>6321</v>
          </cell>
          <cell r="U232">
            <v>0</v>
          </cell>
          <cell r="V232" t="str">
            <v/>
          </cell>
          <cell r="W232" t="str">
            <v/>
          </cell>
          <cell r="X232" t="str">
            <v/>
          </cell>
        </row>
        <row r="233">
          <cell r="A233">
            <v>2133</v>
          </cell>
          <cell r="B233" t="str">
            <v>EDITH LUNA (TEOLOYUCAN)</v>
          </cell>
          <cell r="C233" t="str">
            <v/>
          </cell>
          <cell r="D233" t="str">
            <v/>
          </cell>
          <cell r="E233" t="str">
            <v>TEOLOYUCAN, EDO. DE MEXICO</v>
          </cell>
          <cell r="F233" t="str">
            <v/>
          </cell>
          <cell r="G233" t="str">
            <v>(593) 914-1817</v>
          </cell>
          <cell r="H233" t="str">
            <v>EDITH LUNA</v>
          </cell>
          <cell r="I233" t="str">
            <v>EDITH LUNA</v>
          </cell>
          <cell r="J233" t="str">
            <v>M01</v>
          </cell>
          <cell r="K233" t="str">
            <v/>
          </cell>
          <cell r="L233">
            <v>0</v>
          </cell>
          <cell r="M233">
            <v>235</v>
          </cell>
          <cell r="N233" t="str">
            <v>A</v>
          </cell>
          <cell r="O233">
            <v>42478</v>
          </cell>
          <cell r="P233" t="str">
            <v xml:space="preserve">    2</v>
          </cell>
          <cell r="Q233">
            <v>0</v>
          </cell>
          <cell r="R233">
            <v>0</v>
          </cell>
          <cell r="S233">
            <v>120</v>
          </cell>
          <cell r="T233">
            <v>32496</v>
          </cell>
          <cell r="U233">
            <v>0</v>
          </cell>
          <cell r="V233" t="str">
            <v/>
          </cell>
          <cell r="W233" t="str">
            <v/>
          </cell>
          <cell r="X233" t="str">
            <v/>
          </cell>
        </row>
        <row r="234">
          <cell r="A234">
            <v>2134</v>
          </cell>
          <cell r="B234" t="str">
            <v>NOEMI SANCHEZ (TULA)</v>
          </cell>
          <cell r="C234" t="str">
            <v/>
          </cell>
          <cell r="D234" t="str">
            <v>MERCADO DE TULA LOC. 2</v>
          </cell>
          <cell r="E234" t="str">
            <v>TULA, HGO.</v>
          </cell>
          <cell r="F234" t="str">
            <v/>
          </cell>
          <cell r="G234" t="str">
            <v>(773) 732-0146</v>
          </cell>
          <cell r="H234" t="str">
            <v>NOEMI SANCHEZ</v>
          </cell>
          <cell r="I234" t="str">
            <v>NOEMI SANCHEZ</v>
          </cell>
          <cell r="J234" t="str">
            <v>BAJA</v>
          </cell>
          <cell r="K234" t="str">
            <v/>
          </cell>
          <cell r="L234">
            <v>0</v>
          </cell>
          <cell r="M234">
            <v>236</v>
          </cell>
          <cell r="N234" t="str">
            <v>A</v>
          </cell>
          <cell r="O234">
            <v>41100</v>
          </cell>
          <cell r="P234" t="str">
            <v xml:space="preserve">    1</v>
          </cell>
          <cell r="Q234">
            <v>0</v>
          </cell>
          <cell r="R234">
            <v>0</v>
          </cell>
          <cell r="S234">
            <v>0</v>
          </cell>
          <cell r="T234">
            <v>1262</v>
          </cell>
          <cell r="U234">
            <v>0</v>
          </cell>
          <cell r="V234" t="str">
            <v>CENTRO</v>
          </cell>
          <cell r="W234" t="str">
            <v/>
          </cell>
          <cell r="X234" t="str">
            <v/>
          </cell>
        </row>
        <row r="235">
          <cell r="A235">
            <v>2135</v>
          </cell>
          <cell r="B235" t="str">
            <v>MA. DE LOURDES GONZALEZ LEAL (TULA)</v>
          </cell>
          <cell r="C235" t="str">
            <v/>
          </cell>
          <cell r="D235" t="str">
            <v>CIRCUITO ZARAGOZA #19-A</v>
          </cell>
          <cell r="E235" t="str">
            <v>TULA, HGO.</v>
          </cell>
          <cell r="F235" t="str">
            <v/>
          </cell>
          <cell r="G235" t="str">
            <v>(773) 127-9891 CEL</v>
          </cell>
          <cell r="H235" t="str">
            <v>LOURDES GONZALEZ</v>
          </cell>
          <cell r="I235" t="str">
            <v>LOURDES GONZALEZ</v>
          </cell>
          <cell r="J235" t="str">
            <v>BAJA</v>
          </cell>
          <cell r="K235" t="str">
            <v/>
          </cell>
          <cell r="L235">
            <v>0</v>
          </cell>
          <cell r="M235">
            <v>237</v>
          </cell>
          <cell r="N235" t="str">
            <v>A</v>
          </cell>
          <cell r="O235">
            <v>41550</v>
          </cell>
          <cell r="P235" t="str">
            <v xml:space="preserve">    1</v>
          </cell>
          <cell r="Q235">
            <v>0</v>
          </cell>
          <cell r="R235">
            <v>0</v>
          </cell>
          <cell r="S235">
            <v>0</v>
          </cell>
          <cell r="T235">
            <v>10827</v>
          </cell>
          <cell r="U235">
            <v>4</v>
          </cell>
          <cell r="V235" t="str">
            <v>CENTRO</v>
          </cell>
          <cell r="W235" t="str">
            <v>(773) 100-3637</v>
          </cell>
          <cell r="X235" t="str">
            <v/>
          </cell>
        </row>
        <row r="236">
          <cell r="A236">
            <v>2136</v>
          </cell>
          <cell r="B236" t="str">
            <v>ALICIA LOPEZ (TULA)</v>
          </cell>
          <cell r="C236" t="str">
            <v/>
          </cell>
          <cell r="D236" t="str">
            <v>MERCADO DE TULA</v>
          </cell>
          <cell r="E236" t="str">
            <v>TULA, HGO.</v>
          </cell>
          <cell r="F236" t="str">
            <v/>
          </cell>
          <cell r="G236" t="str">
            <v/>
          </cell>
          <cell r="H236" t="str">
            <v>ALICIA LOPEZ</v>
          </cell>
          <cell r="I236" t="str">
            <v>ALICIA LOPEZ</v>
          </cell>
          <cell r="J236" t="str">
            <v>BAJA</v>
          </cell>
          <cell r="K236" t="str">
            <v/>
          </cell>
          <cell r="L236">
            <v>0</v>
          </cell>
          <cell r="M236">
            <v>238</v>
          </cell>
          <cell r="N236" t="str">
            <v>A</v>
          </cell>
          <cell r="O236">
            <v>40907</v>
          </cell>
          <cell r="P236" t="str">
            <v xml:space="preserve">    1</v>
          </cell>
          <cell r="Q236">
            <v>0</v>
          </cell>
          <cell r="R236">
            <v>0</v>
          </cell>
          <cell r="S236">
            <v>0</v>
          </cell>
          <cell r="T236">
            <v>203</v>
          </cell>
          <cell r="U236">
            <v>0</v>
          </cell>
          <cell r="V236" t="str">
            <v>CENTRO</v>
          </cell>
          <cell r="W236" t="str">
            <v/>
          </cell>
          <cell r="X236" t="str">
            <v/>
          </cell>
        </row>
        <row r="237">
          <cell r="A237">
            <v>2137</v>
          </cell>
          <cell r="B237" t="str">
            <v>ELENA QUINTANAR MONTIEL (APAXCO)</v>
          </cell>
          <cell r="C237" t="str">
            <v/>
          </cell>
          <cell r="D237" t="str">
            <v>CAMPO MARTE #47</v>
          </cell>
          <cell r="E237" t="str">
            <v>APAXCO, EDO. DE MEXICO</v>
          </cell>
          <cell r="F237" t="str">
            <v/>
          </cell>
          <cell r="G237" t="str">
            <v>(599) 998-0435</v>
          </cell>
          <cell r="H237" t="str">
            <v>ELENA QUINTANAR M.</v>
          </cell>
          <cell r="I237" t="str">
            <v>ELENA QUINTANAR M.</v>
          </cell>
          <cell r="J237" t="str">
            <v>M04</v>
          </cell>
          <cell r="K237" t="str">
            <v/>
          </cell>
          <cell r="L237">
            <v>45</v>
          </cell>
          <cell r="M237">
            <v>240</v>
          </cell>
          <cell r="N237" t="str">
            <v>A</v>
          </cell>
          <cell r="O237">
            <v>42293</v>
          </cell>
          <cell r="P237" t="str">
            <v xml:space="preserve">    1</v>
          </cell>
          <cell r="Q237">
            <v>0</v>
          </cell>
          <cell r="R237">
            <v>0</v>
          </cell>
          <cell r="S237">
            <v>0</v>
          </cell>
          <cell r="T237">
            <v>109378</v>
          </cell>
          <cell r="U237">
            <v>6</v>
          </cell>
          <cell r="V237" t="str">
            <v/>
          </cell>
          <cell r="W237" t="str">
            <v>(599) 998-3893 MARISOL</v>
          </cell>
          <cell r="X237" t="str">
            <v>(55) 23123406 CEL  MARISOL</v>
          </cell>
        </row>
        <row r="238">
          <cell r="A238">
            <v>2138</v>
          </cell>
          <cell r="B238" t="str">
            <v>ARTURO HERRERA SANCHEZ (TLAXCOAPAN)</v>
          </cell>
          <cell r="C238" t="str">
            <v/>
          </cell>
          <cell r="D238" t="str">
            <v>PASEO MA. LUISA</v>
          </cell>
          <cell r="E238" t="str">
            <v>TLAXCOAPAN, HGO.</v>
          </cell>
          <cell r="F238" t="str">
            <v/>
          </cell>
          <cell r="G238" t="str">
            <v>(771) 566-8388 CEL</v>
          </cell>
          <cell r="H238" t="str">
            <v>ARTURO HERRERA S.</v>
          </cell>
          <cell r="I238" t="str">
            <v>ARTURO HERRERA S.</v>
          </cell>
          <cell r="J238" t="str">
            <v>M04</v>
          </cell>
          <cell r="K238" t="str">
            <v/>
          </cell>
          <cell r="L238">
            <v>0</v>
          </cell>
          <cell r="M238">
            <v>241</v>
          </cell>
          <cell r="N238" t="str">
            <v>A</v>
          </cell>
          <cell r="O238">
            <v>42271</v>
          </cell>
          <cell r="P238" t="str">
            <v xml:space="preserve">    2</v>
          </cell>
          <cell r="Q238">
            <v>0</v>
          </cell>
          <cell r="R238">
            <v>0</v>
          </cell>
          <cell r="S238">
            <v>0</v>
          </cell>
          <cell r="T238">
            <v>27991</v>
          </cell>
          <cell r="U238">
            <v>0</v>
          </cell>
          <cell r="V238" t="str">
            <v>CENTRO</v>
          </cell>
          <cell r="W238" t="str">
            <v/>
          </cell>
          <cell r="X238" t="str">
            <v/>
          </cell>
        </row>
        <row r="239">
          <cell r="A239">
            <v>2139</v>
          </cell>
          <cell r="B239" t="str">
            <v>MERCEDES GARCIA MORA (MARAVATIO)</v>
          </cell>
          <cell r="C239" t="str">
            <v/>
          </cell>
          <cell r="D239" t="str">
            <v>ALVARO OBREGON #26</v>
          </cell>
          <cell r="E239" t="str">
            <v>MARAVATIO, MICH.</v>
          </cell>
          <cell r="F239" t="str">
            <v/>
          </cell>
          <cell r="G239" t="str">
            <v>(447) 478-2360</v>
          </cell>
          <cell r="H239" t="str">
            <v>MERCEDES GARCIA MORA</v>
          </cell>
          <cell r="I239" t="str">
            <v>MERCEDES GARCIA MORA</v>
          </cell>
          <cell r="J239" t="str">
            <v>BAJA</v>
          </cell>
          <cell r="K239" t="str">
            <v/>
          </cell>
          <cell r="L239">
            <v>0</v>
          </cell>
          <cell r="M239">
            <v>242</v>
          </cell>
          <cell r="N239" t="str">
            <v>A</v>
          </cell>
          <cell r="O239">
            <v>40926</v>
          </cell>
          <cell r="P239" t="str">
            <v xml:space="preserve">    9</v>
          </cell>
          <cell r="Q239">
            <v>0</v>
          </cell>
          <cell r="R239">
            <v>0</v>
          </cell>
          <cell r="S239">
            <v>0</v>
          </cell>
          <cell r="T239">
            <v>847</v>
          </cell>
          <cell r="U239">
            <v>0</v>
          </cell>
          <cell r="V239" t="str">
            <v>CENTRO</v>
          </cell>
          <cell r="W239" t="str">
            <v/>
          </cell>
          <cell r="X239" t="str">
            <v/>
          </cell>
        </row>
        <row r="240">
          <cell r="A240">
            <v>2140</v>
          </cell>
          <cell r="B240" t="str">
            <v>MARIA DOLORES MARTINEZ (TEPEJI)</v>
          </cell>
          <cell r="C240" t="str">
            <v/>
          </cell>
          <cell r="D240" t="str">
            <v>GARDENIA #24</v>
          </cell>
          <cell r="E240" t="str">
            <v>TEPEJI DEL RIO, HGO.</v>
          </cell>
          <cell r="F240" t="str">
            <v/>
          </cell>
          <cell r="G240" t="str">
            <v>(773) 733-0216</v>
          </cell>
          <cell r="H240" t="str">
            <v>MARIA DOLORES M.</v>
          </cell>
          <cell r="I240" t="str">
            <v>MARIA DOLORES M.</v>
          </cell>
          <cell r="J240" t="str">
            <v>BAJA</v>
          </cell>
          <cell r="K240" t="str">
            <v/>
          </cell>
          <cell r="L240">
            <v>0</v>
          </cell>
          <cell r="M240">
            <v>243</v>
          </cell>
          <cell r="N240" t="str">
            <v>A</v>
          </cell>
          <cell r="O240">
            <v>40928</v>
          </cell>
          <cell r="P240" t="str">
            <v xml:space="preserve">    1</v>
          </cell>
          <cell r="Q240">
            <v>0</v>
          </cell>
          <cell r="R240">
            <v>0</v>
          </cell>
          <cell r="S240">
            <v>0</v>
          </cell>
          <cell r="T240">
            <v>627</v>
          </cell>
          <cell r="U240">
            <v>0</v>
          </cell>
          <cell r="V240" t="str">
            <v>EL EDEN</v>
          </cell>
          <cell r="W240" t="str">
            <v/>
          </cell>
          <cell r="X240" t="str">
            <v/>
          </cell>
        </row>
        <row r="241">
          <cell r="A241">
            <v>2141</v>
          </cell>
          <cell r="B241" t="str">
            <v>ARTURO CHAVARRIA MARTINEZ (TEPEJI)</v>
          </cell>
          <cell r="C241" t="str">
            <v/>
          </cell>
          <cell r="D241" t="str">
            <v>ENSEÑANZA TECNICA #2</v>
          </cell>
          <cell r="E241" t="str">
            <v>TEPEJI DEL RIO, HGO.</v>
          </cell>
          <cell r="F241" t="str">
            <v/>
          </cell>
          <cell r="G241" t="str">
            <v>(773) 733-8972</v>
          </cell>
          <cell r="H241" t="str">
            <v>ARTURO CHAVARRIA M.</v>
          </cell>
          <cell r="I241" t="str">
            <v>ARTURO CHAVARRIA M.</v>
          </cell>
          <cell r="J241" t="str">
            <v>BAJA</v>
          </cell>
          <cell r="K241" t="str">
            <v/>
          </cell>
          <cell r="L241">
            <v>0</v>
          </cell>
          <cell r="M241">
            <v>244</v>
          </cell>
          <cell r="N241" t="str">
            <v>A</v>
          </cell>
          <cell r="O241">
            <v>40928</v>
          </cell>
          <cell r="P241" t="str">
            <v xml:space="preserve">    1</v>
          </cell>
          <cell r="Q241">
            <v>0</v>
          </cell>
          <cell r="R241">
            <v>0</v>
          </cell>
          <cell r="S241">
            <v>0</v>
          </cell>
          <cell r="T241">
            <v>482</v>
          </cell>
          <cell r="U241">
            <v>0</v>
          </cell>
          <cell r="V241" t="str">
            <v>EL EDEN</v>
          </cell>
          <cell r="W241" t="str">
            <v/>
          </cell>
          <cell r="X241" t="str">
            <v/>
          </cell>
        </row>
        <row r="242">
          <cell r="A242">
            <v>2142</v>
          </cell>
          <cell r="B242" t="str">
            <v>BERTHA GUERRERO GONZALEZ (QUERETARO)</v>
          </cell>
          <cell r="C242" t="str">
            <v/>
          </cell>
          <cell r="D242" t="str">
            <v>MERCADO ESCOBEDO LOC. 73-74</v>
          </cell>
          <cell r="E242" t="str">
            <v>QUERETARO, QRO.</v>
          </cell>
          <cell r="F242" t="str">
            <v/>
          </cell>
          <cell r="G242" t="str">
            <v>(442) 274-6351 CEL</v>
          </cell>
          <cell r="H242" t="str">
            <v>BERTHA GUERRERO G.</v>
          </cell>
          <cell r="I242" t="str">
            <v>BERTHA GUERRERO G.</v>
          </cell>
          <cell r="J242" t="str">
            <v>BAJA</v>
          </cell>
          <cell r="K242" t="str">
            <v/>
          </cell>
          <cell r="L242">
            <v>0</v>
          </cell>
          <cell r="M242">
            <v>245</v>
          </cell>
          <cell r="N242" t="str">
            <v>A</v>
          </cell>
          <cell r="O242">
            <v>40928</v>
          </cell>
          <cell r="P242" t="str">
            <v xml:space="preserve">    1</v>
          </cell>
          <cell r="Q242">
            <v>0</v>
          </cell>
          <cell r="R242">
            <v>0</v>
          </cell>
          <cell r="S242">
            <v>0</v>
          </cell>
          <cell r="T242">
            <v>3025</v>
          </cell>
          <cell r="U242">
            <v>0</v>
          </cell>
          <cell r="V242" t="str">
            <v>CENTRO</v>
          </cell>
          <cell r="W242" t="str">
            <v>(442) 217-0107 CASA</v>
          </cell>
          <cell r="X242" t="str">
            <v/>
          </cell>
        </row>
        <row r="243">
          <cell r="A243">
            <v>2143</v>
          </cell>
          <cell r="B243" t="str">
            <v>JOSEFINA MARTINEZ ARTEAGA (E. MONTES)</v>
          </cell>
          <cell r="C243" t="str">
            <v>MAAJ-560310-AG7</v>
          </cell>
          <cell r="D243" t="str">
            <v>CONSTITUCION #124</v>
          </cell>
          <cell r="E243" t="str">
            <v>EZEQUIEL MONTES, QRO.</v>
          </cell>
          <cell r="F243" t="str">
            <v>76650</v>
          </cell>
          <cell r="G243" t="str">
            <v>(441) 108-2563 CEL</v>
          </cell>
          <cell r="H243" t="str">
            <v>JOSEFINA MARTINEZ A.</v>
          </cell>
          <cell r="I243" t="str">
            <v>JOSEFINA MARTINEZ A.</v>
          </cell>
          <cell r="J243" t="str">
            <v>J02</v>
          </cell>
          <cell r="K243" t="str">
            <v/>
          </cell>
          <cell r="L243">
            <v>0</v>
          </cell>
          <cell r="M243">
            <v>246</v>
          </cell>
          <cell r="N243" t="str">
            <v>A</v>
          </cell>
          <cell r="O243">
            <v>42397</v>
          </cell>
          <cell r="P243" t="str">
            <v xml:space="preserve">    6</v>
          </cell>
          <cell r="Q243">
            <v>0</v>
          </cell>
          <cell r="R243">
            <v>0</v>
          </cell>
          <cell r="S243">
            <v>0</v>
          </cell>
          <cell r="T243">
            <v>84661</v>
          </cell>
          <cell r="U243">
            <v>0</v>
          </cell>
          <cell r="V243" t="str">
            <v>CENTRO</v>
          </cell>
          <cell r="W243" t="str">
            <v>(441) 277-1736 CASA</v>
          </cell>
          <cell r="X243" t="str">
            <v>vvega@calidra.com.mx</v>
          </cell>
        </row>
        <row r="244">
          <cell r="A244">
            <v>2144</v>
          </cell>
          <cell r="B244" t="str">
            <v>CAROLINA RESENDIZ MIRANDA (CORONEO)</v>
          </cell>
          <cell r="C244" t="str">
            <v/>
          </cell>
          <cell r="D244" t="str">
            <v>LOCAL A-6</v>
          </cell>
          <cell r="E244" t="str">
            <v>CORONEO, GTO.</v>
          </cell>
          <cell r="F244" t="str">
            <v/>
          </cell>
          <cell r="G244" t="str">
            <v>(421) 102-6699 CEL.</v>
          </cell>
          <cell r="H244" t="str">
            <v>CAROLINA RESENDIZ M.</v>
          </cell>
          <cell r="I244" t="str">
            <v>CAROLINA RESENDIZ M.</v>
          </cell>
          <cell r="J244" t="str">
            <v>BAJA</v>
          </cell>
          <cell r="K244" t="str">
            <v/>
          </cell>
          <cell r="L244">
            <v>0</v>
          </cell>
          <cell r="M244">
            <v>247</v>
          </cell>
          <cell r="N244" t="str">
            <v>A</v>
          </cell>
          <cell r="O244">
            <v>40929</v>
          </cell>
          <cell r="P244" t="str">
            <v xml:space="preserve">    1</v>
          </cell>
          <cell r="Q244">
            <v>0</v>
          </cell>
          <cell r="R244">
            <v>0</v>
          </cell>
          <cell r="S244">
            <v>0</v>
          </cell>
          <cell r="T244">
            <v>275</v>
          </cell>
          <cell r="U244">
            <v>0</v>
          </cell>
          <cell r="V244" t="str">
            <v>CENTRO</v>
          </cell>
          <cell r="W244" t="str">
            <v/>
          </cell>
          <cell r="X244" t="str">
            <v/>
          </cell>
        </row>
        <row r="245">
          <cell r="A245">
            <v>2145</v>
          </cell>
          <cell r="B245" t="str">
            <v>RAQUEL CAMPOS CASTRO (ACAMBARO)</v>
          </cell>
          <cell r="C245" t="str">
            <v/>
          </cell>
          <cell r="D245" t="str">
            <v>MATAMOROS #151</v>
          </cell>
          <cell r="E245" t="str">
            <v>ACAMBARO, GTO.</v>
          </cell>
          <cell r="F245" t="str">
            <v/>
          </cell>
          <cell r="G245" t="str">
            <v>(417) 117-5531 CEL</v>
          </cell>
          <cell r="H245" t="str">
            <v>RAQUEL CAMPOS CASTRO</v>
          </cell>
          <cell r="I245" t="str">
            <v>RAQUEL CAMPOS CASTRO</v>
          </cell>
          <cell r="J245" t="str">
            <v>J06</v>
          </cell>
          <cell r="K245" t="str">
            <v/>
          </cell>
          <cell r="L245">
            <v>0</v>
          </cell>
          <cell r="M245">
            <v>248</v>
          </cell>
          <cell r="N245" t="str">
            <v>A</v>
          </cell>
          <cell r="O245">
            <v>41738</v>
          </cell>
          <cell r="P245" t="str">
            <v xml:space="preserve">    1</v>
          </cell>
          <cell r="Q245">
            <v>0</v>
          </cell>
          <cell r="R245">
            <v>0</v>
          </cell>
          <cell r="S245">
            <v>0</v>
          </cell>
          <cell r="T245">
            <v>2791</v>
          </cell>
          <cell r="U245">
            <v>0</v>
          </cell>
          <cell r="V245" t="str">
            <v>CENTRO</v>
          </cell>
          <cell r="W245" t="str">
            <v/>
          </cell>
          <cell r="X245" t="str">
            <v/>
          </cell>
        </row>
        <row r="246">
          <cell r="A246">
            <v>2146</v>
          </cell>
          <cell r="B246" t="str">
            <v>NOVEDADES CHUCHITA</v>
          </cell>
          <cell r="C246" t="str">
            <v/>
          </cell>
          <cell r="D246" t="str">
            <v>CERCADO DE CUAUTITLAN</v>
          </cell>
          <cell r="E246" t="str">
            <v>CUAUTITLAN, EDO. DE MEXICO</v>
          </cell>
          <cell r="F246" t="str">
            <v/>
          </cell>
          <cell r="G246" t="str">
            <v/>
          </cell>
          <cell r="H246" t="str">
            <v/>
          </cell>
          <cell r="I246" t="str">
            <v/>
          </cell>
          <cell r="J246" t="str">
            <v>BAJA</v>
          </cell>
          <cell r="K246" t="str">
            <v/>
          </cell>
          <cell r="L246">
            <v>0</v>
          </cell>
          <cell r="M246">
            <v>249</v>
          </cell>
          <cell r="N246" t="str">
            <v>A</v>
          </cell>
          <cell r="O246">
            <v>40941</v>
          </cell>
          <cell r="P246" t="str">
            <v xml:space="preserve">    2</v>
          </cell>
          <cell r="Q246">
            <v>0</v>
          </cell>
          <cell r="R246">
            <v>0</v>
          </cell>
          <cell r="S246">
            <v>0</v>
          </cell>
          <cell r="T246">
            <v>600</v>
          </cell>
          <cell r="U246">
            <v>0</v>
          </cell>
          <cell r="V246" t="str">
            <v>CENTRO</v>
          </cell>
          <cell r="W246" t="str">
            <v/>
          </cell>
          <cell r="X246" t="str">
            <v/>
          </cell>
        </row>
        <row r="247">
          <cell r="A247">
            <v>2147</v>
          </cell>
          <cell r="B247" t="str">
            <v>SAUL SOTO (QUERETARO)</v>
          </cell>
          <cell r="C247" t="str">
            <v/>
          </cell>
          <cell r="D247" t="str">
            <v>MERCADO ESCOBEDO LOC. 215</v>
          </cell>
          <cell r="E247" t="str">
            <v>QUERETARO, QRO.</v>
          </cell>
          <cell r="F247" t="str">
            <v/>
          </cell>
          <cell r="G247" t="str">
            <v>(442) 212-5506</v>
          </cell>
          <cell r="H247" t="str">
            <v>SAUL SOTO</v>
          </cell>
          <cell r="I247" t="str">
            <v>SAUL SOTO</v>
          </cell>
          <cell r="J247" t="str">
            <v>L04</v>
          </cell>
          <cell r="K247" t="str">
            <v/>
          </cell>
          <cell r="L247">
            <v>0</v>
          </cell>
          <cell r="M247">
            <v>250</v>
          </cell>
          <cell r="N247" t="str">
            <v>A</v>
          </cell>
          <cell r="O247">
            <v>42251</v>
          </cell>
          <cell r="P247" t="str">
            <v xml:space="preserve">    6</v>
          </cell>
          <cell r="Q247">
            <v>0</v>
          </cell>
          <cell r="R247">
            <v>0</v>
          </cell>
          <cell r="S247">
            <v>0</v>
          </cell>
          <cell r="T247">
            <v>96430</v>
          </cell>
          <cell r="U247">
            <v>0</v>
          </cell>
          <cell r="V247" t="str">
            <v>CENTRO</v>
          </cell>
          <cell r="W247" t="str">
            <v/>
          </cell>
          <cell r="X247" t="str">
            <v/>
          </cell>
        </row>
        <row r="248">
          <cell r="A248">
            <v>2148</v>
          </cell>
          <cell r="B248" t="str">
            <v>JENNY BOUTIQUE (ESCOBEDO)</v>
          </cell>
          <cell r="C248" t="str">
            <v/>
          </cell>
          <cell r="D248" t="str">
            <v>PANAMERICANA #20</v>
          </cell>
          <cell r="E248" t="str">
            <v>PEDRO ESCOBEDO, QRO.</v>
          </cell>
          <cell r="F248" t="str">
            <v/>
          </cell>
          <cell r="G248" t="str">
            <v>(442) 149-1991 CEL</v>
          </cell>
          <cell r="H248" t="str">
            <v/>
          </cell>
          <cell r="I248" t="str">
            <v/>
          </cell>
          <cell r="J248" t="str">
            <v>J03</v>
          </cell>
          <cell r="K248" t="str">
            <v/>
          </cell>
          <cell r="L248">
            <v>0</v>
          </cell>
          <cell r="M248">
            <v>251</v>
          </cell>
          <cell r="N248" t="str">
            <v>A</v>
          </cell>
          <cell r="O248">
            <v>41680</v>
          </cell>
          <cell r="P248" t="str">
            <v xml:space="preserve">    6</v>
          </cell>
          <cell r="Q248">
            <v>0</v>
          </cell>
          <cell r="R248">
            <v>0</v>
          </cell>
          <cell r="S248">
            <v>2336</v>
          </cell>
          <cell r="T248">
            <v>68050</v>
          </cell>
          <cell r="U248">
            <v>0</v>
          </cell>
          <cell r="V248" t="str">
            <v>CENTRO</v>
          </cell>
          <cell r="W248" t="str">
            <v/>
          </cell>
          <cell r="X248" t="str">
            <v/>
          </cell>
        </row>
        <row r="249">
          <cell r="A249">
            <v>2149</v>
          </cell>
          <cell r="B249" t="str">
            <v>JOSE LUIS FARFAN (TEMAZCALCINGO)</v>
          </cell>
          <cell r="C249" t="str">
            <v/>
          </cell>
          <cell r="D249" t="str">
            <v>AV. ALFRESO MAZO S/N</v>
          </cell>
          <cell r="E249" t="str">
            <v>TEMAZCALCINGO, HGO.</v>
          </cell>
          <cell r="F249" t="str">
            <v/>
          </cell>
          <cell r="G249" t="str">
            <v>(718) 126-0653</v>
          </cell>
          <cell r="H249" t="str">
            <v>JOSE LUIS FARFAN</v>
          </cell>
          <cell r="I249" t="str">
            <v>JOSE LUIS FARFAN</v>
          </cell>
          <cell r="J249" t="str">
            <v>BAJA</v>
          </cell>
          <cell r="K249" t="str">
            <v/>
          </cell>
          <cell r="L249">
            <v>0</v>
          </cell>
          <cell r="M249">
            <v>252</v>
          </cell>
          <cell r="N249" t="str">
            <v>A</v>
          </cell>
          <cell r="O249">
            <v>40946</v>
          </cell>
          <cell r="P249" t="str">
            <v xml:space="preserve">    6</v>
          </cell>
          <cell r="Q249">
            <v>0</v>
          </cell>
          <cell r="R249">
            <v>0</v>
          </cell>
          <cell r="S249">
            <v>0</v>
          </cell>
          <cell r="T249">
            <v>215</v>
          </cell>
          <cell r="U249">
            <v>0</v>
          </cell>
          <cell r="V249" t="str">
            <v>CENTRO</v>
          </cell>
          <cell r="W249" t="str">
            <v/>
          </cell>
          <cell r="X249" t="str">
            <v/>
          </cell>
        </row>
        <row r="250">
          <cell r="A250">
            <v>2150</v>
          </cell>
          <cell r="B250" t="str">
            <v>GRACIELA GALVAN GUERRERO (APASEO)</v>
          </cell>
          <cell r="C250" t="str">
            <v/>
          </cell>
          <cell r="D250" t="str">
            <v>PIPILA #202</v>
          </cell>
          <cell r="E250" t="str">
            <v>APASEO EL ALTO, GTO.</v>
          </cell>
          <cell r="F250" t="str">
            <v/>
          </cell>
          <cell r="G250" t="str">
            <v>(413) 166-2131</v>
          </cell>
          <cell r="H250" t="str">
            <v>GRACIELA GALVAN G.</v>
          </cell>
          <cell r="I250" t="str">
            <v>GRACIELA GALVAN G.</v>
          </cell>
          <cell r="J250" t="str">
            <v>BAJA</v>
          </cell>
          <cell r="K250" t="str">
            <v/>
          </cell>
          <cell r="L250">
            <v>0</v>
          </cell>
          <cell r="M250">
            <v>253</v>
          </cell>
          <cell r="N250" t="str">
            <v>A</v>
          </cell>
          <cell r="O250">
            <v>40947</v>
          </cell>
          <cell r="P250" t="str">
            <v xml:space="preserve">    1</v>
          </cell>
          <cell r="Q250">
            <v>0</v>
          </cell>
          <cell r="R250">
            <v>0</v>
          </cell>
          <cell r="S250">
            <v>0</v>
          </cell>
          <cell r="T250">
            <v>452</v>
          </cell>
          <cell r="U250">
            <v>0</v>
          </cell>
          <cell r="V250" t="str">
            <v>CENTRO</v>
          </cell>
          <cell r="W250" t="str">
            <v/>
          </cell>
          <cell r="X250" t="str">
            <v/>
          </cell>
        </row>
        <row r="251">
          <cell r="A251">
            <v>2151</v>
          </cell>
          <cell r="B251" t="str">
            <v>MARCELA HERNANDEZ (ZIMAPAN)</v>
          </cell>
          <cell r="C251" t="str">
            <v/>
          </cell>
          <cell r="D251" t="str">
            <v>COLEGIO MILITAR #25</v>
          </cell>
          <cell r="E251" t="str">
            <v>ZIMAPAN, HGO.</v>
          </cell>
          <cell r="F251" t="str">
            <v/>
          </cell>
          <cell r="G251" t="str">
            <v>(759) 728-3949</v>
          </cell>
          <cell r="H251" t="str">
            <v>MARCELA HERNANDEZ</v>
          </cell>
          <cell r="I251" t="str">
            <v>MARCELA HERNANDEZ</v>
          </cell>
          <cell r="J251" t="str">
            <v>BAJA</v>
          </cell>
          <cell r="K251" t="str">
            <v/>
          </cell>
          <cell r="L251">
            <v>0</v>
          </cell>
          <cell r="M251">
            <v>254</v>
          </cell>
          <cell r="N251" t="str">
            <v>A</v>
          </cell>
          <cell r="O251">
            <v>41516</v>
          </cell>
          <cell r="P251" t="str">
            <v xml:space="preserve">    6</v>
          </cell>
          <cell r="Q251">
            <v>0</v>
          </cell>
          <cell r="R251">
            <v>0</v>
          </cell>
          <cell r="S251">
            <v>0</v>
          </cell>
          <cell r="T251">
            <v>2512</v>
          </cell>
          <cell r="U251">
            <v>0</v>
          </cell>
          <cell r="V251" t="str">
            <v>CENTRO</v>
          </cell>
          <cell r="W251" t="str">
            <v>(772) 128-1193</v>
          </cell>
          <cell r="X251" t="str">
            <v/>
          </cell>
        </row>
        <row r="252">
          <cell r="A252">
            <v>2152</v>
          </cell>
          <cell r="B252" t="str">
            <v>MARIA DE JESUS MEJIA SANCHEZ (TEPEJI)</v>
          </cell>
          <cell r="C252" t="str">
            <v/>
          </cell>
          <cell r="D252" t="str">
            <v>NERDO #19</v>
          </cell>
          <cell r="E252" t="str">
            <v>TEPEJI DEL RIO, HGO.</v>
          </cell>
          <cell r="F252" t="str">
            <v/>
          </cell>
          <cell r="G252" t="str">
            <v>(773) 137-2162 CEL</v>
          </cell>
          <cell r="H252" t="str">
            <v>MARIA DE JESUS MEJIA</v>
          </cell>
          <cell r="I252" t="str">
            <v>MARIA DE JESUS MEJIA</v>
          </cell>
          <cell r="J252" t="str">
            <v>M04</v>
          </cell>
          <cell r="K252" t="str">
            <v/>
          </cell>
          <cell r="L252">
            <v>0</v>
          </cell>
          <cell r="M252">
            <v>255</v>
          </cell>
          <cell r="N252" t="str">
            <v>A</v>
          </cell>
          <cell r="O252">
            <v>42432</v>
          </cell>
          <cell r="P252" t="str">
            <v xml:space="preserve">    1</v>
          </cell>
          <cell r="Q252">
            <v>0</v>
          </cell>
          <cell r="R252">
            <v>0</v>
          </cell>
          <cell r="S252">
            <v>7364</v>
          </cell>
          <cell r="T252">
            <v>81111</v>
          </cell>
          <cell r="U252">
            <v>0</v>
          </cell>
          <cell r="V252" t="str">
            <v>CENTRO</v>
          </cell>
          <cell r="W252" t="str">
            <v/>
          </cell>
          <cell r="X252" t="str">
            <v/>
          </cell>
        </row>
        <row r="253">
          <cell r="A253">
            <v>2153</v>
          </cell>
          <cell r="B253" t="str">
            <v>MARISOL NAVARRETE QUINTANAR (APAXCO)</v>
          </cell>
          <cell r="C253" t="str">
            <v/>
          </cell>
          <cell r="D253" t="str">
            <v>MARTE #47</v>
          </cell>
          <cell r="E253" t="str">
            <v>APAXCO, EDO. DE MEXICO</v>
          </cell>
          <cell r="F253" t="str">
            <v/>
          </cell>
          <cell r="G253" t="str">
            <v>(599) 998-3893</v>
          </cell>
          <cell r="H253" t="str">
            <v>MARISOL NAVARRETE Q.</v>
          </cell>
          <cell r="I253" t="str">
            <v>MARISOL NAVARRETE Q.</v>
          </cell>
          <cell r="J253" t="str">
            <v>M04</v>
          </cell>
          <cell r="K253" t="str">
            <v/>
          </cell>
          <cell r="L253">
            <v>0</v>
          </cell>
          <cell r="M253">
            <v>256</v>
          </cell>
          <cell r="N253" t="str">
            <v>A</v>
          </cell>
          <cell r="O253">
            <v>42459</v>
          </cell>
          <cell r="P253" t="str">
            <v xml:space="preserve">    1</v>
          </cell>
          <cell r="Q253">
            <v>0</v>
          </cell>
          <cell r="R253">
            <v>0</v>
          </cell>
          <cell r="S253">
            <v>565</v>
          </cell>
          <cell r="T253">
            <v>60836</v>
          </cell>
          <cell r="U253">
            <v>0</v>
          </cell>
          <cell r="V253" t="str">
            <v>CENTRO</v>
          </cell>
          <cell r="W253" t="str">
            <v>(55) 23123406 CEL</v>
          </cell>
          <cell r="X253" t="str">
            <v/>
          </cell>
        </row>
        <row r="254">
          <cell r="A254">
            <v>2154</v>
          </cell>
          <cell r="B254" t="str">
            <v>ELADIA RODRIGUEZ MONTOYA (AMEALCO)</v>
          </cell>
          <cell r="C254" t="str">
            <v/>
          </cell>
          <cell r="D254" t="str">
            <v>16 DE SEPTIEMPBRE LOC. 1</v>
          </cell>
          <cell r="E254" t="str">
            <v>AMEALCO, QRO.</v>
          </cell>
          <cell r="F254" t="str">
            <v/>
          </cell>
          <cell r="G254" t="str">
            <v>(448) 103-7025 CEL</v>
          </cell>
          <cell r="H254" t="str">
            <v>ELADIA RODRIGUEZ M.</v>
          </cell>
          <cell r="I254" t="str">
            <v>ELADIA RODRIGUEZ M.</v>
          </cell>
          <cell r="J254" t="str">
            <v>L06</v>
          </cell>
          <cell r="K254" t="str">
            <v/>
          </cell>
          <cell r="L254">
            <v>0</v>
          </cell>
          <cell r="M254">
            <v>257</v>
          </cell>
          <cell r="N254" t="str">
            <v>A</v>
          </cell>
          <cell r="O254">
            <v>42487</v>
          </cell>
          <cell r="P254" t="str">
            <v xml:space="preserve">    1</v>
          </cell>
          <cell r="Q254">
            <v>0</v>
          </cell>
          <cell r="R254">
            <v>0</v>
          </cell>
          <cell r="S254">
            <v>17496</v>
          </cell>
          <cell r="T254">
            <v>284216</v>
          </cell>
          <cell r="U254">
            <v>0</v>
          </cell>
          <cell r="V254" t="str">
            <v>CENTRO</v>
          </cell>
          <cell r="W254" t="str">
            <v/>
          </cell>
          <cell r="X254" t="str">
            <v/>
          </cell>
        </row>
        <row r="255">
          <cell r="A255">
            <v>2155</v>
          </cell>
          <cell r="B255" t="str">
            <v>ANDREA MOSQUEDA (JUVENTINO)</v>
          </cell>
          <cell r="C255" t="str">
            <v/>
          </cell>
          <cell r="E255" t="str">
            <v>JUVENTINO ROSAS, GTO.</v>
          </cell>
          <cell r="F255" t="str">
            <v/>
          </cell>
          <cell r="J255" t="str">
            <v>F04</v>
          </cell>
          <cell r="K255" t="str">
            <v/>
          </cell>
          <cell r="L255">
            <v>0</v>
          </cell>
          <cell r="M255">
            <v>258</v>
          </cell>
          <cell r="N255" t="str">
            <v>S</v>
          </cell>
          <cell r="O255">
            <v>42424</v>
          </cell>
          <cell r="P255" t="str">
            <v xml:space="preserve">    1</v>
          </cell>
          <cell r="Q255">
            <v>0</v>
          </cell>
          <cell r="R255">
            <v>0</v>
          </cell>
          <cell r="S255">
            <v>0</v>
          </cell>
          <cell r="T255">
            <v>14537</v>
          </cell>
          <cell r="U255">
            <v>0</v>
          </cell>
          <cell r="W255" t="str">
            <v/>
          </cell>
          <cell r="X255" t="str">
            <v/>
          </cell>
        </row>
        <row r="256">
          <cell r="A256">
            <v>2156</v>
          </cell>
          <cell r="B256" t="str">
            <v>MA. GUADALUPE LOPEZ CORREA (ACAMBARO)</v>
          </cell>
          <cell r="C256" t="str">
            <v/>
          </cell>
          <cell r="D256" t="str">
            <v>ALLENDE #24-C</v>
          </cell>
          <cell r="E256" t="str">
            <v>ACAMBARO, GTO.</v>
          </cell>
          <cell r="F256" t="str">
            <v/>
          </cell>
          <cell r="G256" t="str">
            <v>(417) 117-6666 CEL</v>
          </cell>
          <cell r="H256" t="str">
            <v>MA. GUADALUPE LOPEZ</v>
          </cell>
          <cell r="I256" t="str">
            <v>MA. GUADALUPE LOPEZ</v>
          </cell>
          <cell r="J256" t="str">
            <v>BAJA</v>
          </cell>
          <cell r="K256" t="str">
            <v/>
          </cell>
          <cell r="L256">
            <v>0</v>
          </cell>
          <cell r="M256">
            <v>259</v>
          </cell>
          <cell r="N256" t="str">
            <v>A</v>
          </cell>
          <cell r="O256">
            <v>41339</v>
          </cell>
          <cell r="P256" t="str">
            <v xml:space="preserve">    1</v>
          </cell>
          <cell r="Q256">
            <v>0</v>
          </cell>
          <cell r="R256">
            <v>0</v>
          </cell>
          <cell r="S256">
            <v>0</v>
          </cell>
          <cell r="T256">
            <v>11515</v>
          </cell>
          <cell r="U256">
            <v>0</v>
          </cell>
          <cell r="V256" t="str">
            <v>CENTRO</v>
          </cell>
          <cell r="W256" t="str">
            <v/>
          </cell>
          <cell r="X256" t="str">
            <v/>
          </cell>
        </row>
        <row r="257">
          <cell r="A257">
            <v>2157</v>
          </cell>
          <cell r="B257" t="str">
            <v>JUAN PABLO MARTINEZ ALVISU (SALVATIERRA)</v>
          </cell>
          <cell r="C257" t="str">
            <v/>
          </cell>
          <cell r="D257" t="str">
            <v>CARR. SALVATIERRA-YURIIRIA #23-D</v>
          </cell>
          <cell r="E257" t="str">
            <v>SALVATIERRA, GTO.</v>
          </cell>
          <cell r="F257" t="str">
            <v/>
          </cell>
          <cell r="G257" t="str">
            <v>62*12*26888</v>
          </cell>
          <cell r="H257" t="str">
            <v>JUAN PABLO MARTINEZ</v>
          </cell>
          <cell r="I257" t="str">
            <v>JUAN PABLO MARTINEZ</v>
          </cell>
          <cell r="J257" t="str">
            <v>BAJA</v>
          </cell>
          <cell r="K257" t="str">
            <v/>
          </cell>
          <cell r="L257">
            <v>0</v>
          </cell>
          <cell r="M257">
            <v>260</v>
          </cell>
          <cell r="N257" t="str">
            <v>A</v>
          </cell>
          <cell r="O257">
            <v>40975</v>
          </cell>
          <cell r="P257" t="str">
            <v xml:space="preserve">    1</v>
          </cell>
          <cell r="Q257">
            <v>0</v>
          </cell>
          <cell r="R257">
            <v>0</v>
          </cell>
          <cell r="S257">
            <v>0</v>
          </cell>
          <cell r="T257">
            <v>1753</v>
          </cell>
          <cell r="U257">
            <v>0</v>
          </cell>
          <cell r="V257" t="str">
            <v>SAN PEDRO DE LOS NAR</v>
          </cell>
          <cell r="W257" t="str">
            <v/>
          </cell>
          <cell r="X257" t="str">
            <v/>
          </cell>
        </row>
        <row r="258">
          <cell r="A258">
            <v>2158</v>
          </cell>
          <cell r="B258" t="str">
            <v>MONICA SILVA CAMPOS (ACAMBARO)</v>
          </cell>
          <cell r="C258" t="str">
            <v/>
          </cell>
          <cell r="D258" t="str">
            <v/>
          </cell>
          <cell r="E258" t="str">
            <v>ACAMBARO, GTO.</v>
          </cell>
          <cell r="F258" t="str">
            <v/>
          </cell>
          <cell r="G258" t="str">
            <v>(417) 117-5531 CEL</v>
          </cell>
          <cell r="H258" t="str">
            <v>ENCARNACION SILVA</v>
          </cell>
          <cell r="I258" t="str">
            <v>ENCARNACION SILVA</v>
          </cell>
          <cell r="J258" t="str">
            <v>J06</v>
          </cell>
          <cell r="K258" t="str">
            <v/>
          </cell>
          <cell r="L258">
            <v>0</v>
          </cell>
          <cell r="M258">
            <v>261</v>
          </cell>
          <cell r="N258" t="str">
            <v>A</v>
          </cell>
          <cell r="O258">
            <v>41832</v>
          </cell>
          <cell r="P258" t="str">
            <v xml:space="preserve">    1</v>
          </cell>
          <cell r="Q258">
            <v>0</v>
          </cell>
          <cell r="R258">
            <v>0</v>
          </cell>
          <cell r="S258">
            <v>0</v>
          </cell>
          <cell r="T258">
            <v>6076</v>
          </cell>
          <cell r="U258">
            <v>10</v>
          </cell>
          <cell r="V258" t="str">
            <v/>
          </cell>
          <cell r="W258" t="str">
            <v/>
          </cell>
          <cell r="X258" t="str">
            <v/>
          </cell>
        </row>
        <row r="259">
          <cell r="A259">
            <v>2159</v>
          </cell>
          <cell r="B259" t="str">
            <v>FRANCISCO OLVERA RESENDIZ (CADEREYTA)</v>
          </cell>
          <cell r="C259" t="str">
            <v/>
          </cell>
          <cell r="D259" t="str">
            <v>LOC. 26 Y 27 MERCADO DE CADEREYTA</v>
          </cell>
          <cell r="E259" t="str">
            <v>CADEREYTA, QRO.</v>
          </cell>
          <cell r="F259" t="str">
            <v/>
          </cell>
          <cell r="G259" t="str">
            <v>(441) 276-1661</v>
          </cell>
          <cell r="H259" t="str">
            <v>FRANCISCO OLVERA RES</v>
          </cell>
          <cell r="I259" t="str">
            <v>FRANCISCO OLVERA RES</v>
          </cell>
          <cell r="J259" t="str">
            <v>BAJA</v>
          </cell>
          <cell r="K259" t="str">
            <v/>
          </cell>
          <cell r="L259">
            <v>0</v>
          </cell>
          <cell r="M259">
            <v>262</v>
          </cell>
          <cell r="N259" t="str">
            <v>A</v>
          </cell>
          <cell r="O259">
            <v>41389</v>
          </cell>
          <cell r="P259" t="str">
            <v xml:space="preserve">    6</v>
          </cell>
          <cell r="Q259">
            <v>0</v>
          </cell>
          <cell r="R259">
            <v>0</v>
          </cell>
          <cell r="S259">
            <v>0</v>
          </cell>
          <cell r="T259">
            <v>10563</v>
          </cell>
          <cell r="U259">
            <v>0</v>
          </cell>
          <cell r="V259" t="str">
            <v>CENTRO</v>
          </cell>
          <cell r="W259" t="str">
            <v/>
          </cell>
          <cell r="X259" t="str">
            <v/>
          </cell>
        </row>
        <row r="260">
          <cell r="A260">
            <v>2160</v>
          </cell>
          <cell r="B260" t="str">
            <v>INES ALLENDE SALAS (TEOLOYUCAN)</v>
          </cell>
          <cell r="C260" t="str">
            <v/>
          </cell>
          <cell r="D260" t="str">
            <v/>
          </cell>
          <cell r="E260" t="str">
            <v>TEOLOYUCAN, EDO. DE MEXICO</v>
          </cell>
          <cell r="F260" t="str">
            <v/>
          </cell>
          <cell r="G260" t="str">
            <v/>
          </cell>
          <cell r="H260" t="str">
            <v>INES ALLENDE SALAS</v>
          </cell>
          <cell r="I260" t="str">
            <v>INES ALLENDE SALAS</v>
          </cell>
          <cell r="J260" t="str">
            <v>M01</v>
          </cell>
          <cell r="K260" t="str">
            <v/>
          </cell>
          <cell r="L260">
            <v>0</v>
          </cell>
          <cell r="M260">
            <v>263</v>
          </cell>
          <cell r="N260" t="str">
            <v>A</v>
          </cell>
          <cell r="O260">
            <v>42044</v>
          </cell>
          <cell r="P260" t="str">
            <v xml:space="preserve">    3</v>
          </cell>
          <cell r="Q260">
            <v>0</v>
          </cell>
          <cell r="R260">
            <v>0</v>
          </cell>
          <cell r="S260">
            <v>0</v>
          </cell>
          <cell r="T260">
            <v>13458</v>
          </cell>
          <cell r="U260">
            <v>0</v>
          </cell>
          <cell r="V260" t="str">
            <v/>
          </cell>
          <cell r="W260" t="str">
            <v/>
          </cell>
          <cell r="X260" t="str">
            <v/>
          </cell>
        </row>
        <row r="261">
          <cell r="A261">
            <v>2161</v>
          </cell>
          <cell r="B261" t="str">
            <v>VIANEY CRUZ (IXMIQUILPAN)</v>
          </cell>
          <cell r="C261" t="str">
            <v/>
          </cell>
          <cell r="D261" t="str">
            <v/>
          </cell>
          <cell r="E261" t="str">
            <v>IXMIQUILPAN, HGO.</v>
          </cell>
          <cell r="F261" t="str">
            <v/>
          </cell>
          <cell r="G261" t="str">
            <v/>
          </cell>
          <cell r="H261" t="str">
            <v>VIANEY CRUZ</v>
          </cell>
          <cell r="I261" t="str">
            <v>VIANEY CRUZ</v>
          </cell>
          <cell r="J261" t="str">
            <v>BAJA</v>
          </cell>
          <cell r="K261" t="str">
            <v/>
          </cell>
          <cell r="L261">
            <v>0</v>
          </cell>
          <cell r="M261">
            <v>264</v>
          </cell>
          <cell r="N261" t="str">
            <v>A</v>
          </cell>
          <cell r="O261">
            <v>41367</v>
          </cell>
          <cell r="P261" t="str">
            <v xml:space="preserve">    1</v>
          </cell>
          <cell r="Q261">
            <v>0</v>
          </cell>
          <cell r="R261">
            <v>0</v>
          </cell>
          <cell r="S261">
            <v>0</v>
          </cell>
          <cell r="T261">
            <v>1932</v>
          </cell>
          <cell r="U261">
            <v>0</v>
          </cell>
          <cell r="V261" t="str">
            <v/>
          </cell>
          <cell r="W261" t="str">
            <v/>
          </cell>
          <cell r="X261" t="str">
            <v/>
          </cell>
        </row>
        <row r="262">
          <cell r="A262">
            <v>2162</v>
          </cell>
          <cell r="B262" t="str">
            <v>ROSARIO DIEGO VELAZQUEZ (VILLA)</v>
          </cell>
          <cell r="C262" t="str">
            <v/>
          </cell>
          <cell r="D262" t="str">
            <v>JENGIBRE #168</v>
          </cell>
          <cell r="E262" t="str">
            <v>COACALCO, EDO. DE MEXICO</v>
          </cell>
          <cell r="F262" t="str">
            <v/>
          </cell>
          <cell r="G262" t="str">
            <v/>
          </cell>
          <cell r="H262" t="str">
            <v>ROSARIO DIEGO V.</v>
          </cell>
          <cell r="I262" t="str">
            <v>ROSARIO DIEGO V.</v>
          </cell>
          <cell r="J262" t="str">
            <v>BAJA</v>
          </cell>
          <cell r="K262" t="str">
            <v/>
          </cell>
          <cell r="L262">
            <v>0</v>
          </cell>
          <cell r="M262">
            <v>265</v>
          </cell>
          <cell r="N262" t="str">
            <v>S</v>
          </cell>
          <cell r="O262">
            <v>40999</v>
          </cell>
          <cell r="P262" t="str">
            <v xml:space="preserve">   18</v>
          </cell>
          <cell r="Q262">
            <v>0</v>
          </cell>
          <cell r="R262">
            <v>0</v>
          </cell>
          <cell r="S262">
            <v>0</v>
          </cell>
          <cell r="T262">
            <v>850</v>
          </cell>
          <cell r="U262">
            <v>0</v>
          </cell>
          <cell r="V262" t="str">
            <v>VILLA DE LAS FLORES</v>
          </cell>
          <cell r="W262" t="str">
            <v/>
          </cell>
          <cell r="X262" t="str">
            <v>M01</v>
          </cell>
        </row>
        <row r="263">
          <cell r="A263">
            <v>2163</v>
          </cell>
          <cell r="B263" t="str">
            <v>JOEL SANCHEZ (TULA)</v>
          </cell>
          <cell r="C263" t="str">
            <v/>
          </cell>
          <cell r="D263" t="str">
            <v>MERCADO MUNICIPAL INT. 2</v>
          </cell>
          <cell r="E263" t="str">
            <v>TULA, HGO.</v>
          </cell>
          <cell r="F263" t="str">
            <v/>
          </cell>
          <cell r="G263" t="str">
            <v/>
          </cell>
          <cell r="H263" t="str">
            <v>JOEL SANCHEZ</v>
          </cell>
          <cell r="I263" t="str">
            <v>JOEL SANCHEZ</v>
          </cell>
          <cell r="J263" t="str">
            <v>BAJA</v>
          </cell>
          <cell r="K263" t="str">
            <v/>
          </cell>
          <cell r="L263">
            <v>0</v>
          </cell>
          <cell r="M263">
            <v>266</v>
          </cell>
          <cell r="N263" t="str">
            <v>A</v>
          </cell>
          <cell r="O263">
            <v>41563</v>
          </cell>
          <cell r="P263" t="str">
            <v xml:space="preserve">    1</v>
          </cell>
          <cell r="Q263">
            <v>0</v>
          </cell>
          <cell r="R263">
            <v>0</v>
          </cell>
          <cell r="S263">
            <v>0</v>
          </cell>
          <cell r="T263">
            <v>1129</v>
          </cell>
          <cell r="U263">
            <v>0</v>
          </cell>
          <cell r="V263" t="str">
            <v>CENTRO</v>
          </cell>
          <cell r="W263" t="str">
            <v/>
          </cell>
          <cell r="X263" t="str">
            <v/>
          </cell>
        </row>
        <row r="264">
          <cell r="A264">
            <v>2164</v>
          </cell>
          <cell r="B264" t="str">
            <v>REGALOS ANA-MEL (ACTOPAN)</v>
          </cell>
          <cell r="C264" t="str">
            <v/>
          </cell>
          <cell r="D264" t="str">
            <v>MINA #8</v>
          </cell>
          <cell r="E264" t="str">
            <v>ACTOPAN, HGO.</v>
          </cell>
          <cell r="F264" t="str">
            <v/>
          </cell>
          <cell r="G264" t="str">
            <v/>
          </cell>
          <cell r="H264" t="str">
            <v/>
          </cell>
          <cell r="I264" t="str">
            <v/>
          </cell>
          <cell r="J264" t="str">
            <v>BAJA</v>
          </cell>
          <cell r="K264" t="str">
            <v/>
          </cell>
          <cell r="L264">
            <v>0</v>
          </cell>
          <cell r="M264">
            <v>267</v>
          </cell>
          <cell r="N264" t="str">
            <v>A</v>
          </cell>
          <cell r="O264">
            <v>41313</v>
          </cell>
          <cell r="P264" t="str">
            <v xml:space="preserve">    9</v>
          </cell>
          <cell r="Q264">
            <v>0</v>
          </cell>
          <cell r="R264">
            <v>0</v>
          </cell>
          <cell r="S264">
            <v>0</v>
          </cell>
          <cell r="T264">
            <v>2048</v>
          </cell>
          <cell r="U264">
            <v>0</v>
          </cell>
          <cell r="V264" t="str">
            <v>CENTRO</v>
          </cell>
          <cell r="W264" t="str">
            <v/>
          </cell>
          <cell r="X264" t="str">
            <v/>
          </cell>
        </row>
        <row r="265">
          <cell r="A265">
            <v>2165</v>
          </cell>
          <cell r="B265" t="str">
            <v>CASA PINCA (TEOTIHUACAN)</v>
          </cell>
          <cell r="C265" t="str">
            <v/>
          </cell>
          <cell r="D265" t="str">
            <v>BRAVO #4</v>
          </cell>
          <cell r="E265" t="str">
            <v>TEOTIHUACAN, EDO. DE MEXICO</v>
          </cell>
          <cell r="F265" t="str">
            <v/>
          </cell>
          <cell r="G265" t="str">
            <v>(594) 956-0331</v>
          </cell>
          <cell r="H265" t="str">
            <v/>
          </cell>
          <cell r="I265" t="str">
            <v/>
          </cell>
          <cell r="J265" t="str">
            <v>BAJA</v>
          </cell>
          <cell r="K265" t="str">
            <v/>
          </cell>
          <cell r="L265">
            <v>0</v>
          </cell>
          <cell r="M265">
            <v>269</v>
          </cell>
          <cell r="N265" t="str">
            <v>A</v>
          </cell>
          <cell r="O265">
            <v>41011</v>
          </cell>
          <cell r="P265" t="str">
            <v xml:space="preserve">    1</v>
          </cell>
          <cell r="Q265">
            <v>0</v>
          </cell>
          <cell r="R265">
            <v>0</v>
          </cell>
          <cell r="S265">
            <v>0</v>
          </cell>
          <cell r="T265">
            <v>338</v>
          </cell>
          <cell r="U265">
            <v>0</v>
          </cell>
          <cell r="V265" t="str">
            <v>CENTRO</v>
          </cell>
          <cell r="W265" t="str">
            <v/>
          </cell>
          <cell r="X265" t="str">
            <v/>
          </cell>
        </row>
        <row r="266">
          <cell r="A266">
            <v>2166</v>
          </cell>
          <cell r="B266" t="str">
            <v>INES PINEDA MANZANO (TEOLOYUCAN)</v>
          </cell>
          <cell r="C266" t="str">
            <v/>
          </cell>
          <cell r="D266" t="str">
            <v>DOLORES #41</v>
          </cell>
          <cell r="E266" t="str">
            <v>TEOLOYUCAN, EDO. DE MEXICO</v>
          </cell>
          <cell r="F266" t="str">
            <v/>
          </cell>
          <cell r="G266" t="str">
            <v>(55) 2403-9137</v>
          </cell>
          <cell r="H266" t="str">
            <v>INES PINEDA AMPA</v>
          </cell>
          <cell r="I266" t="str">
            <v>INES PINEDA AMPA</v>
          </cell>
          <cell r="J266" t="str">
            <v>M01</v>
          </cell>
          <cell r="K266" t="str">
            <v/>
          </cell>
          <cell r="L266">
            <v>0</v>
          </cell>
          <cell r="M266">
            <v>270</v>
          </cell>
          <cell r="N266" t="str">
            <v>A</v>
          </cell>
          <cell r="O266">
            <v>41823</v>
          </cell>
          <cell r="P266" t="str">
            <v xml:space="preserve">    1</v>
          </cell>
          <cell r="Q266">
            <v>0</v>
          </cell>
          <cell r="R266">
            <v>0</v>
          </cell>
          <cell r="S266">
            <v>0</v>
          </cell>
          <cell r="T266">
            <v>9256</v>
          </cell>
          <cell r="U266">
            <v>0</v>
          </cell>
          <cell r="V266" t="str">
            <v>TLALILCO</v>
          </cell>
          <cell r="W266" t="str">
            <v/>
          </cell>
          <cell r="X266" t="str">
            <v/>
          </cell>
        </row>
        <row r="267">
          <cell r="A267">
            <v>2167</v>
          </cell>
          <cell r="B267" t="str">
            <v>LUISA CORTES HERNANDEZ (TEXCOCO)</v>
          </cell>
          <cell r="C267" t="str">
            <v/>
          </cell>
          <cell r="D267" t="str">
            <v/>
          </cell>
          <cell r="E267" t="str">
            <v>TEXCOCO, EDO. DE MEXICO</v>
          </cell>
          <cell r="F267" t="str">
            <v/>
          </cell>
          <cell r="G267" t="str">
            <v>(591) 911-3448</v>
          </cell>
          <cell r="H267" t="str">
            <v>LUISA CORTES H.</v>
          </cell>
          <cell r="I267" t="str">
            <v>LUISA CORTES H.</v>
          </cell>
          <cell r="J267" t="str">
            <v>BAJA</v>
          </cell>
          <cell r="K267" t="str">
            <v/>
          </cell>
          <cell r="L267">
            <v>0</v>
          </cell>
          <cell r="M267">
            <v>271</v>
          </cell>
          <cell r="N267" t="str">
            <v>A</v>
          </cell>
          <cell r="O267">
            <v>41013</v>
          </cell>
          <cell r="P267" t="str">
            <v xml:space="preserve">    1</v>
          </cell>
          <cell r="Q267">
            <v>0</v>
          </cell>
          <cell r="R267">
            <v>0</v>
          </cell>
          <cell r="S267">
            <v>0</v>
          </cell>
          <cell r="T267">
            <v>226</v>
          </cell>
          <cell r="U267">
            <v>0</v>
          </cell>
          <cell r="V267" t="str">
            <v/>
          </cell>
          <cell r="W267" t="str">
            <v/>
          </cell>
          <cell r="X267" t="str">
            <v/>
          </cell>
        </row>
        <row r="268">
          <cell r="A268">
            <v>2168</v>
          </cell>
          <cell r="B268" t="str">
            <v>FLAVIA RAMIREZ CASTRO (APAXCO)</v>
          </cell>
          <cell r="C268" t="str">
            <v/>
          </cell>
          <cell r="D268" t="str">
            <v>MARTE ESQ. CENTRAL DE ABASTOS</v>
          </cell>
          <cell r="E268" t="str">
            <v>APAXCO, EDO. DE MEXICO</v>
          </cell>
          <cell r="F268" t="str">
            <v/>
          </cell>
          <cell r="G268" t="str">
            <v>(599)998-4028</v>
          </cell>
          <cell r="H268" t="str">
            <v>FLAVIA RAMIREZ C.</v>
          </cell>
          <cell r="I268" t="str">
            <v>FLAVIA RAMIREZ C.</v>
          </cell>
          <cell r="J268" t="str">
            <v>BAJA</v>
          </cell>
          <cell r="K268" t="str">
            <v/>
          </cell>
          <cell r="L268">
            <v>0</v>
          </cell>
          <cell r="M268">
            <v>272</v>
          </cell>
          <cell r="N268" t="str">
            <v>A</v>
          </cell>
          <cell r="O268">
            <v>41128</v>
          </cell>
          <cell r="P268" t="str">
            <v xml:space="preserve">    1</v>
          </cell>
          <cell r="Q268">
            <v>0</v>
          </cell>
          <cell r="R268">
            <v>0</v>
          </cell>
          <cell r="S268">
            <v>0</v>
          </cell>
          <cell r="T268">
            <v>5439</v>
          </cell>
          <cell r="U268">
            <v>0</v>
          </cell>
          <cell r="V268" t="str">
            <v>CENTRO</v>
          </cell>
          <cell r="W268" t="str">
            <v>(55) 3975-4428</v>
          </cell>
          <cell r="X268" t="str">
            <v/>
          </cell>
        </row>
        <row r="269">
          <cell r="A269">
            <v>2169</v>
          </cell>
          <cell r="B269" t="str">
            <v>EL FRESNO (TULTEPEC)</v>
          </cell>
          <cell r="C269" t="str">
            <v/>
          </cell>
          <cell r="D269" t="str">
            <v>JOAQUIN MONTE NEGRO #36</v>
          </cell>
          <cell r="E269" t="str">
            <v>TULTEPEC, EDO. DE MEXICO</v>
          </cell>
          <cell r="F269" t="str">
            <v/>
          </cell>
          <cell r="G269" t="str">
            <v/>
          </cell>
          <cell r="H269" t="str">
            <v/>
          </cell>
          <cell r="I269" t="str">
            <v/>
          </cell>
          <cell r="J269" t="str">
            <v>M01</v>
          </cell>
          <cell r="K269" t="str">
            <v/>
          </cell>
          <cell r="L269">
            <v>0</v>
          </cell>
          <cell r="M269">
            <v>273</v>
          </cell>
          <cell r="N269" t="str">
            <v>A</v>
          </cell>
          <cell r="O269">
            <v>42409</v>
          </cell>
          <cell r="P269" t="str">
            <v xml:space="preserve">    1</v>
          </cell>
          <cell r="Q269">
            <v>0</v>
          </cell>
          <cell r="R269">
            <v>0</v>
          </cell>
          <cell r="S269">
            <v>0</v>
          </cell>
          <cell r="T269">
            <v>38940</v>
          </cell>
          <cell r="U269">
            <v>0</v>
          </cell>
          <cell r="V269" t="str">
            <v/>
          </cell>
          <cell r="W269" t="str">
            <v/>
          </cell>
          <cell r="X269" t="str">
            <v/>
          </cell>
        </row>
        <row r="270">
          <cell r="A270">
            <v>2170</v>
          </cell>
          <cell r="B270" t="str">
            <v>SOLEDAD CRUZ RUEDA (ATIZAPAN)</v>
          </cell>
          <cell r="C270" t="str">
            <v/>
          </cell>
          <cell r="D270" t="str">
            <v>PASEO SAN FRANCISCO #</v>
          </cell>
          <cell r="E270" t="str">
            <v>ATIZAPAN, EDO. DE MEXICO</v>
          </cell>
          <cell r="F270" t="str">
            <v/>
          </cell>
          <cell r="G270" t="str">
            <v>(55) 5379-3884 CASA</v>
          </cell>
          <cell r="H270" t="str">
            <v>SOL CRUZ RUEDA</v>
          </cell>
          <cell r="I270" t="str">
            <v>SOL CRUZ RUEDA</v>
          </cell>
          <cell r="J270" t="str">
            <v>BAJA</v>
          </cell>
          <cell r="K270" t="str">
            <v/>
          </cell>
          <cell r="L270">
            <v>0</v>
          </cell>
          <cell r="M270">
            <v>274</v>
          </cell>
          <cell r="N270" t="str">
            <v>A</v>
          </cell>
          <cell r="O270">
            <v>41253</v>
          </cell>
          <cell r="P270" t="str">
            <v xml:space="preserve">    1</v>
          </cell>
          <cell r="Q270">
            <v>0</v>
          </cell>
          <cell r="R270">
            <v>0</v>
          </cell>
          <cell r="S270">
            <v>0</v>
          </cell>
          <cell r="T270">
            <v>28037.65</v>
          </cell>
          <cell r="U270">
            <v>0</v>
          </cell>
          <cell r="V270" t="str">
            <v>PASEO DE ATIZAPAN</v>
          </cell>
          <cell r="W270" t="str">
            <v xml:space="preserve"> (55) 3334-9263 CEL</v>
          </cell>
          <cell r="X270" t="str">
            <v/>
          </cell>
        </row>
        <row r="271">
          <cell r="A271">
            <v>2171</v>
          </cell>
          <cell r="B271" t="str">
            <v>MARIA LUISA DIAZ VALDEZ (PROGRESO)</v>
          </cell>
          <cell r="C271" t="str">
            <v/>
          </cell>
          <cell r="D271" t="str">
            <v>MERCADO PROGRESO LOC. 72</v>
          </cell>
          <cell r="E271" t="str">
            <v>PROGRESO, HGO.</v>
          </cell>
          <cell r="F271" t="str">
            <v/>
          </cell>
          <cell r="G271" t="str">
            <v>(772) 101-9328 CEL</v>
          </cell>
          <cell r="H271" t="str">
            <v>MARIA LUISA DIAZ V.</v>
          </cell>
          <cell r="I271" t="str">
            <v>MARIA LUISA DIAZ V.</v>
          </cell>
          <cell r="J271" t="str">
            <v>F02</v>
          </cell>
          <cell r="K271" t="str">
            <v/>
          </cell>
          <cell r="L271">
            <v>0</v>
          </cell>
          <cell r="M271">
            <v>275</v>
          </cell>
          <cell r="N271" t="str">
            <v>A</v>
          </cell>
          <cell r="O271">
            <v>42525</v>
          </cell>
          <cell r="P271" t="str">
            <v xml:space="preserve">    1</v>
          </cell>
          <cell r="Q271">
            <v>0</v>
          </cell>
          <cell r="R271">
            <v>0</v>
          </cell>
          <cell r="S271">
            <v>9923</v>
          </cell>
          <cell r="T271">
            <v>283300.95</v>
          </cell>
          <cell r="U271">
            <v>0</v>
          </cell>
          <cell r="V271" t="str">
            <v>CENTRO</v>
          </cell>
          <cell r="W271" t="str">
            <v/>
          </cell>
          <cell r="X271" t="str">
            <v/>
          </cell>
        </row>
        <row r="272">
          <cell r="A272">
            <v>2172</v>
          </cell>
          <cell r="B272" t="str">
            <v>MARIA DE LA LUZ ALFARO (PROGRESO)</v>
          </cell>
          <cell r="C272" t="str">
            <v/>
          </cell>
          <cell r="D272" t="str">
            <v>MATAMOROS #46</v>
          </cell>
          <cell r="E272" t="str">
            <v>PROGRESO, HGO.</v>
          </cell>
          <cell r="F272" t="str">
            <v/>
          </cell>
          <cell r="G272" t="str">
            <v>(738) 725-0393</v>
          </cell>
          <cell r="H272" t="str">
            <v>MA. DE LA LUZ ALFARO</v>
          </cell>
          <cell r="I272" t="str">
            <v>MA. DE LA LUZ ALFARO</v>
          </cell>
          <cell r="J272" t="str">
            <v>BAJA</v>
          </cell>
          <cell r="K272" t="str">
            <v/>
          </cell>
          <cell r="L272">
            <v>0</v>
          </cell>
          <cell r="M272">
            <v>276</v>
          </cell>
          <cell r="N272" t="str">
            <v>A</v>
          </cell>
          <cell r="O272">
            <v>41088</v>
          </cell>
          <cell r="P272" t="str">
            <v xml:space="preserve">    1</v>
          </cell>
          <cell r="Q272">
            <v>0</v>
          </cell>
          <cell r="R272">
            <v>0</v>
          </cell>
          <cell r="S272">
            <v>0</v>
          </cell>
          <cell r="T272">
            <v>3896</v>
          </cell>
          <cell r="U272">
            <v>0</v>
          </cell>
          <cell r="V272" t="str">
            <v>CENTRO</v>
          </cell>
          <cell r="W272" t="str">
            <v/>
          </cell>
          <cell r="X272" t="str">
            <v/>
          </cell>
        </row>
        <row r="273">
          <cell r="A273">
            <v>2173</v>
          </cell>
          <cell r="B273" t="str">
            <v>YANIN PEREZ (ZUMPANGO)</v>
          </cell>
          <cell r="C273" t="str">
            <v/>
          </cell>
          <cell r="D273" t="str">
            <v>JESUS CARRANZA</v>
          </cell>
          <cell r="E273" t="str">
            <v>ZUMPANGO, EDO. DE MEXICO</v>
          </cell>
          <cell r="F273" t="str">
            <v/>
          </cell>
          <cell r="G273" t="str">
            <v/>
          </cell>
          <cell r="H273" t="str">
            <v>YANIN PEREZ</v>
          </cell>
          <cell r="I273" t="str">
            <v>YANIN PEREZ</v>
          </cell>
          <cell r="J273" t="str">
            <v>BAJA</v>
          </cell>
          <cell r="K273" t="str">
            <v/>
          </cell>
          <cell r="L273">
            <v>0</v>
          </cell>
          <cell r="M273">
            <v>277</v>
          </cell>
          <cell r="N273" t="str">
            <v>A</v>
          </cell>
          <cell r="O273">
            <v>41034</v>
          </cell>
          <cell r="P273" t="str">
            <v xml:space="preserve">   18</v>
          </cell>
          <cell r="Q273">
            <v>0</v>
          </cell>
          <cell r="R273">
            <v>0</v>
          </cell>
          <cell r="S273">
            <v>0</v>
          </cell>
          <cell r="T273">
            <v>308</v>
          </cell>
          <cell r="U273">
            <v>0</v>
          </cell>
          <cell r="V273" t="str">
            <v>CENTRO</v>
          </cell>
          <cell r="W273" t="str">
            <v/>
          </cell>
          <cell r="X273" t="str">
            <v/>
          </cell>
        </row>
        <row r="274">
          <cell r="A274">
            <v>2174</v>
          </cell>
          <cell r="B274" t="str">
            <v>ISABEL PEREZ (E. MONTES)</v>
          </cell>
          <cell r="C274" t="str">
            <v/>
          </cell>
          <cell r="D274" t="str">
            <v>AV. CONSTITUCION</v>
          </cell>
          <cell r="E274" t="str">
            <v>EZEQUIEL MONTES, QRO.</v>
          </cell>
          <cell r="F274" t="str">
            <v/>
          </cell>
          <cell r="G274" t="str">
            <v>(441) 277-2928</v>
          </cell>
          <cell r="H274" t="str">
            <v>ISABEL PEREZ</v>
          </cell>
          <cell r="I274" t="str">
            <v>ISABEL PEREZ</v>
          </cell>
          <cell r="J274" t="str">
            <v>BAJA</v>
          </cell>
          <cell r="K274" t="str">
            <v/>
          </cell>
          <cell r="L274">
            <v>0</v>
          </cell>
          <cell r="M274">
            <v>278</v>
          </cell>
          <cell r="N274" t="str">
            <v>A</v>
          </cell>
          <cell r="O274">
            <v>41039</v>
          </cell>
          <cell r="P274" t="str">
            <v xml:space="preserve">    3</v>
          </cell>
          <cell r="Q274">
            <v>0</v>
          </cell>
          <cell r="R274">
            <v>0</v>
          </cell>
          <cell r="S274">
            <v>0</v>
          </cell>
          <cell r="T274">
            <v>5744</v>
          </cell>
          <cell r="U274">
            <v>0</v>
          </cell>
          <cell r="V274" t="str">
            <v>CENTRO</v>
          </cell>
          <cell r="W274" t="str">
            <v>(441) 117-3657 CEL</v>
          </cell>
          <cell r="X274" t="str">
            <v/>
          </cell>
        </row>
        <row r="275">
          <cell r="A275">
            <v>2175</v>
          </cell>
          <cell r="B275" t="str">
            <v>JUVENTINO SOTO (QUERETARO)</v>
          </cell>
          <cell r="C275" t="str">
            <v/>
          </cell>
          <cell r="D275" t="str">
            <v>MERCADO ESCOBEDO LOC. 51 Y 52</v>
          </cell>
          <cell r="E275" t="str">
            <v>QUERETARO, QRO.</v>
          </cell>
          <cell r="F275" t="str">
            <v/>
          </cell>
          <cell r="G275" t="str">
            <v>(442) 212-4066</v>
          </cell>
          <cell r="H275" t="str">
            <v>JUVENTINO SOTO</v>
          </cell>
          <cell r="I275" t="str">
            <v>JUVENTINO SOTO</v>
          </cell>
          <cell r="J275" t="str">
            <v>L04</v>
          </cell>
          <cell r="K275" t="str">
            <v/>
          </cell>
          <cell r="L275">
            <v>0</v>
          </cell>
          <cell r="M275">
            <v>279</v>
          </cell>
          <cell r="N275" t="str">
            <v>A</v>
          </cell>
          <cell r="O275">
            <v>42486</v>
          </cell>
          <cell r="P275" t="str">
            <v xml:space="preserve">    3</v>
          </cell>
          <cell r="Q275">
            <v>0</v>
          </cell>
          <cell r="R275">
            <v>0</v>
          </cell>
          <cell r="S275">
            <v>0</v>
          </cell>
          <cell r="T275">
            <v>431289</v>
          </cell>
          <cell r="U275">
            <v>0</v>
          </cell>
          <cell r="V275" t="str">
            <v>CENTRO</v>
          </cell>
          <cell r="W275" t="str">
            <v/>
          </cell>
          <cell r="X275" t="str">
            <v/>
          </cell>
        </row>
        <row r="276">
          <cell r="A276">
            <v>2176</v>
          </cell>
          <cell r="B276" t="str">
            <v>ANA BERTHA SANTOYO MELO (PACHUCA)</v>
          </cell>
          <cell r="C276" t="str">
            <v/>
          </cell>
          <cell r="D276" t="str">
            <v>ZARAGOZA #119-D</v>
          </cell>
          <cell r="E276" t="str">
            <v>PACHUCA, HGO.</v>
          </cell>
          <cell r="F276" t="str">
            <v/>
          </cell>
          <cell r="G276" t="str">
            <v>(771) 715-2827</v>
          </cell>
          <cell r="H276" t="str">
            <v>ANA BERTHA SANTOYO M</v>
          </cell>
          <cell r="I276" t="str">
            <v>ANA BERTHA SANTOYO M</v>
          </cell>
          <cell r="J276" t="str">
            <v>BAJA</v>
          </cell>
          <cell r="K276" t="str">
            <v/>
          </cell>
          <cell r="L276">
            <v>0</v>
          </cell>
          <cell r="M276">
            <v>280</v>
          </cell>
          <cell r="N276" t="str">
            <v>S</v>
          </cell>
          <cell r="O276">
            <v>41041</v>
          </cell>
          <cell r="P276" t="str">
            <v xml:space="preserve">    1</v>
          </cell>
          <cell r="Q276">
            <v>0</v>
          </cell>
          <cell r="R276">
            <v>0</v>
          </cell>
          <cell r="S276">
            <v>0</v>
          </cell>
          <cell r="T276">
            <v>7346</v>
          </cell>
          <cell r="U276">
            <v>0</v>
          </cell>
          <cell r="V276" t="str">
            <v>CENTRO</v>
          </cell>
          <cell r="W276" t="str">
            <v/>
          </cell>
          <cell r="X276" t="str">
            <v/>
          </cell>
        </row>
        <row r="277">
          <cell r="A277">
            <v>2177</v>
          </cell>
          <cell r="B277" t="str">
            <v>ESTER GAMEZ (POTRERO)</v>
          </cell>
          <cell r="C277" t="str">
            <v/>
          </cell>
          <cell r="D277" t="str">
            <v/>
          </cell>
          <cell r="E277" t="str">
            <v>COACALCO, EDO. DE MEXICO</v>
          </cell>
          <cell r="F277" t="str">
            <v/>
          </cell>
          <cell r="G277" t="str">
            <v/>
          </cell>
          <cell r="H277" t="str">
            <v>ESTER GAMEZ</v>
          </cell>
          <cell r="I277" t="str">
            <v>ESTER GAMEZ</v>
          </cell>
          <cell r="J277" t="str">
            <v>BAJA</v>
          </cell>
          <cell r="K277" t="str">
            <v/>
          </cell>
          <cell r="L277">
            <v>0</v>
          </cell>
          <cell r="M277">
            <v>281</v>
          </cell>
          <cell r="N277" t="str">
            <v>A</v>
          </cell>
          <cell r="O277">
            <v>42383</v>
          </cell>
          <cell r="P277" t="str">
            <v xml:space="preserve">   18</v>
          </cell>
          <cell r="Q277">
            <v>0</v>
          </cell>
          <cell r="R277">
            <v>0</v>
          </cell>
          <cell r="S277">
            <v>917</v>
          </cell>
          <cell r="T277">
            <v>1311</v>
          </cell>
          <cell r="U277">
            <v>0</v>
          </cell>
          <cell r="V277" t="str">
            <v>POTRERO LA LAGUNA</v>
          </cell>
          <cell r="W277" t="str">
            <v/>
          </cell>
          <cell r="X277" t="str">
            <v/>
          </cell>
        </row>
        <row r="278">
          <cell r="A278">
            <v>2178</v>
          </cell>
          <cell r="B278" t="str">
            <v>MIGUEL VELAZQUEZ (TLALNEPANTLA)</v>
          </cell>
          <cell r="C278" t="str">
            <v/>
          </cell>
          <cell r="D278" t="str">
            <v/>
          </cell>
          <cell r="E278" t="str">
            <v>TLALNEPANTLA, EDO. DE MEXICO</v>
          </cell>
          <cell r="F278" t="str">
            <v/>
          </cell>
          <cell r="G278" t="str">
            <v>(55) 4480-0287 CEL</v>
          </cell>
          <cell r="H278" t="str">
            <v>MIGUEL VELAZQUEZ</v>
          </cell>
          <cell r="I278" t="str">
            <v>MIGUEL VELAZQUEZ</v>
          </cell>
          <cell r="J278" t="str">
            <v>M02</v>
          </cell>
          <cell r="K278" t="str">
            <v/>
          </cell>
          <cell r="L278">
            <v>0</v>
          </cell>
          <cell r="M278">
            <v>282</v>
          </cell>
          <cell r="N278" t="str">
            <v>A</v>
          </cell>
          <cell r="O278">
            <v>41886</v>
          </cell>
          <cell r="P278" t="str">
            <v xml:space="preserve">   18</v>
          </cell>
          <cell r="Q278">
            <v>0</v>
          </cell>
          <cell r="R278">
            <v>0</v>
          </cell>
          <cell r="S278">
            <v>374</v>
          </cell>
          <cell r="T278">
            <v>124813</v>
          </cell>
          <cell r="U278">
            <v>0</v>
          </cell>
          <cell r="V278" t="str">
            <v/>
          </cell>
          <cell r="W278" t="str">
            <v>(55) 3673-0811</v>
          </cell>
          <cell r="X278" t="str">
            <v/>
          </cell>
        </row>
        <row r="279">
          <cell r="A279">
            <v>2179</v>
          </cell>
          <cell r="B279" t="str">
            <v>JENIFER PORTILLO BAÑUELOS (TEXCOCO)</v>
          </cell>
          <cell r="C279" t="str">
            <v/>
          </cell>
          <cell r="D279" t="str">
            <v>FRAY PEDRO DE GANTE ESQ. COLON #18E</v>
          </cell>
          <cell r="E279" t="str">
            <v>TEXCOCO, EDO. DE MEXICO</v>
          </cell>
          <cell r="F279" t="str">
            <v/>
          </cell>
          <cell r="G279" t="str">
            <v>(55) 3505-3971 CEL</v>
          </cell>
          <cell r="H279" t="str">
            <v>JENY PORTILLO B.</v>
          </cell>
          <cell r="I279" t="str">
            <v>JENY PORTILLO B.</v>
          </cell>
          <cell r="J279" t="str">
            <v>BAJA</v>
          </cell>
          <cell r="K279" t="str">
            <v/>
          </cell>
          <cell r="L279">
            <v>0</v>
          </cell>
          <cell r="M279">
            <v>283</v>
          </cell>
          <cell r="N279" t="str">
            <v>A</v>
          </cell>
          <cell r="O279">
            <v>41255</v>
          </cell>
          <cell r="P279" t="str">
            <v xml:space="preserve">   18</v>
          </cell>
          <cell r="Q279">
            <v>0</v>
          </cell>
          <cell r="R279">
            <v>0</v>
          </cell>
          <cell r="S279">
            <v>0</v>
          </cell>
          <cell r="T279">
            <v>71313</v>
          </cell>
          <cell r="U279">
            <v>0</v>
          </cell>
          <cell r="V279" t="str">
            <v>CENTRO</v>
          </cell>
          <cell r="W279" t="str">
            <v/>
          </cell>
          <cell r="X279" t="str">
            <v/>
          </cell>
        </row>
        <row r="280">
          <cell r="A280">
            <v>2180</v>
          </cell>
          <cell r="B280" t="str">
            <v>MAXIMILIANO ROMERO FLORES (TULANCINGO)</v>
          </cell>
          <cell r="C280" t="str">
            <v/>
          </cell>
          <cell r="D280" t="str">
            <v>1º DE MAYO PASAJE MERCADO INT. 5</v>
          </cell>
          <cell r="E280" t="str">
            <v>TULANCINGO, HGO.</v>
          </cell>
          <cell r="F280" t="str">
            <v/>
          </cell>
          <cell r="G280" t="str">
            <v>(775) 135-7319</v>
          </cell>
          <cell r="H280" t="str">
            <v>MAXIMILIANO ROMERO</v>
          </cell>
          <cell r="I280" t="str">
            <v>MAXIMILIANO ROMERO</v>
          </cell>
          <cell r="J280" t="str">
            <v>M03</v>
          </cell>
          <cell r="K280" t="str">
            <v/>
          </cell>
          <cell r="L280">
            <v>0</v>
          </cell>
          <cell r="M280">
            <v>284</v>
          </cell>
          <cell r="N280" t="str">
            <v>A</v>
          </cell>
          <cell r="O280">
            <v>42472</v>
          </cell>
          <cell r="P280" t="str">
            <v xml:space="preserve">    1</v>
          </cell>
          <cell r="Q280">
            <v>0</v>
          </cell>
          <cell r="R280">
            <v>0</v>
          </cell>
          <cell r="S280">
            <v>0</v>
          </cell>
          <cell r="T280">
            <v>37322.35</v>
          </cell>
          <cell r="U280">
            <v>0</v>
          </cell>
          <cell r="V280" t="str">
            <v>CENTRO</v>
          </cell>
          <cell r="W280" t="str">
            <v/>
          </cell>
          <cell r="X280" t="str">
            <v/>
          </cell>
        </row>
        <row r="281">
          <cell r="A281">
            <v>2181</v>
          </cell>
          <cell r="B281" t="str">
            <v>ALEJANDRO ROMERO FLORES (TULANCINGO)</v>
          </cell>
          <cell r="C281" t="str">
            <v/>
          </cell>
          <cell r="D281" t="str">
            <v>MANUEL FERNANDO SOTO #201 LOC. B</v>
          </cell>
          <cell r="E281" t="str">
            <v>TULANCINGO, HGO.</v>
          </cell>
          <cell r="F281" t="str">
            <v/>
          </cell>
          <cell r="G281" t="str">
            <v>(775) 145-7983 CEL</v>
          </cell>
          <cell r="H281" t="str">
            <v>ALEJANDRO ROMERO F</v>
          </cell>
          <cell r="I281" t="str">
            <v>ALEJANDRO ROMERO F</v>
          </cell>
          <cell r="J281" t="str">
            <v>M03</v>
          </cell>
          <cell r="K281" t="str">
            <v/>
          </cell>
          <cell r="L281">
            <v>0</v>
          </cell>
          <cell r="M281">
            <v>285</v>
          </cell>
          <cell r="N281" t="str">
            <v>A</v>
          </cell>
          <cell r="O281">
            <v>42088</v>
          </cell>
          <cell r="P281" t="str">
            <v xml:space="preserve">    1</v>
          </cell>
          <cell r="Q281">
            <v>0</v>
          </cell>
          <cell r="R281">
            <v>0</v>
          </cell>
          <cell r="S281">
            <v>0</v>
          </cell>
          <cell r="T281">
            <v>47896</v>
          </cell>
          <cell r="U281">
            <v>0</v>
          </cell>
          <cell r="V281" t="str">
            <v>CENTRO</v>
          </cell>
          <cell r="W281" t="str">
            <v/>
          </cell>
          <cell r="X281" t="str">
            <v/>
          </cell>
        </row>
        <row r="282">
          <cell r="A282">
            <v>2182</v>
          </cell>
          <cell r="B282" t="str">
            <v>JUAN ROMERO FLORES (TULANCINGO)</v>
          </cell>
          <cell r="C282" t="str">
            <v/>
          </cell>
          <cell r="D282" t="str">
            <v>1º DE MAYO PASAJE MERCADO LOC. 2</v>
          </cell>
          <cell r="E282" t="str">
            <v>TULANCINGO, HGO.</v>
          </cell>
          <cell r="F282" t="str">
            <v/>
          </cell>
          <cell r="G282" t="str">
            <v>(775) 129-1211</v>
          </cell>
          <cell r="H282" t="str">
            <v>JUAN ROMERO FLORES</v>
          </cell>
          <cell r="I282" t="str">
            <v>JUAN ROMERO FLORES</v>
          </cell>
          <cell r="J282" t="str">
            <v>M03</v>
          </cell>
          <cell r="K282" t="str">
            <v/>
          </cell>
          <cell r="L282">
            <v>0</v>
          </cell>
          <cell r="M282">
            <v>286</v>
          </cell>
          <cell r="N282" t="str">
            <v>A</v>
          </cell>
          <cell r="O282">
            <v>41722</v>
          </cell>
          <cell r="P282" t="str">
            <v xml:space="preserve">    1</v>
          </cell>
          <cell r="Q282">
            <v>0</v>
          </cell>
          <cell r="R282">
            <v>0</v>
          </cell>
          <cell r="S282">
            <v>0</v>
          </cell>
          <cell r="T282">
            <v>16746</v>
          </cell>
          <cell r="U282">
            <v>0</v>
          </cell>
          <cell r="V282" t="str">
            <v>CENTRO</v>
          </cell>
          <cell r="W282" t="str">
            <v/>
          </cell>
          <cell r="X282" t="str">
            <v/>
          </cell>
        </row>
        <row r="283">
          <cell r="A283">
            <v>2183</v>
          </cell>
          <cell r="B283" t="str">
            <v>NAYELI PERALTA LICONA (TULTEPEC)</v>
          </cell>
          <cell r="C283" t="str">
            <v/>
          </cell>
          <cell r="D283" t="str">
            <v>GALEANA S/N</v>
          </cell>
          <cell r="E283" t="str">
            <v>TULTEPEC, EDO. DE MEXICO</v>
          </cell>
          <cell r="F283" t="str">
            <v/>
          </cell>
          <cell r="G283" t="str">
            <v/>
          </cell>
          <cell r="H283" t="str">
            <v>NAYELI PERALTA L</v>
          </cell>
          <cell r="I283" t="str">
            <v>NAYELI PERALTA L</v>
          </cell>
          <cell r="J283" t="str">
            <v>BAJA</v>
          </cell>
          <cell r="K283" t="str">
            <v/>
          </cell>
          <cell r="L283">
            <v>0</v>
          </cell>
          <cell r="M283">
            <v>287</v>
          </cell>
          <cell r="N283" t="str">
            <v>A</v>
          </cell>
          <cell r="O283">
            <v>41048</v>
          </cell>
          <cell r="P283" t="str">
            <v xml:space="preserve">   18</v>
          </cell>
          <cell r="Q283">
            <v>0</v>
          </cell>
          <cell r="R283">
            <v>0</v>
          </cell>
          <cell r="S283">
            <v>0</v>
          </cell>
          <cell r="T283">
            <v>969</v>
          </cell>
          <cell r="U283">
            <v>0</v>
          </cell>
          <cell r="V283" t="str">
            <v>ENIQUEA</v>
          </cell>
          <cell r="W283" t="str">
            <v/>
          </cell>
          <cell r="X283" t="str">
            <v/>
          </cell>
        </row>
        <row r="284">
          <cell r="A284">
            <v>2184</v>
          </cell>
          <cell r="B284" t="str">
            <v>VALENTIN RAMIREZ GONZALEZ (PROGRESO)</v>
          </cell>
          <cell r="C284" t="str">
            <v/>
          </cell>
          <cell r="D284" t="str">
            <v>MERCADO PROGRESO LOC. 113</v>
          </cell>
          <cell r="E284" t="str">
            <v>PROGRESO, HGO.</v>
          </cell>
          <cell r="F284" t="str">
            <v/>
          </cell>
          <cell r="G284" t="str">
            <v>(772) 133-3512</v>
          </cell>
          <cell r="H284" t="str">
            <v>VALENTIN RAMIREZ G.</v>
          </cell>
          <cell r="I284" t="str">
            <v>VALENTIN RAMIREZ G.</v>
          </cell>
          <cell r="J284" t="str">
            <v>F02</v>
          </cell>
          <cell r="K284" t="str">
            <v/>
          </cell>
          <cell r="L284">
            <v>0</v>
          </cell>
          <cell r="M284">
            <v>288</v>
          </cell>
          <cell r="N284" t="str">
            <v>A</v>
          </cell>
          <cell r="O284">
            <v>42231</v>
          </cell>
          <cell r="P284" t="str">
            <v xml:space="preserve">    1</v>
          </cell>
          <cell r="Q284">
            <v>0</v>
          </cell>
          <cell r="R284">
            <v>0</v>
          </cell>
          <cell r="S284">
            <v>0</v>
          </cell>
          <cell r="T284">
            <v>5579</v>
          </cell>
          <cell r="U284">
            <v>0</v>
          </cell>
          <cell r="V284" t="str">
            <v>CENTRO</v>
          </cell>
          <cell r="W284" t="str">
            <v/>
          </cell>
          <cell r="X284" t="str">
            <v/>
          </cell>
        </row>
        <row r="285">
          <cell r="A285">
            <v>2185</v>
          </cell>
          <cell r="B285" t="str">
            <v>ROSAURA SERRANO AGUILAR (TEPATEPEC)</v>
          </cell>
          <cell r="C285" t="str">
            <v/>
          </cell>
          <cell r="D285" t="str">
            <v>PLAZA 31 DE MAYO LOC. 15-B</v>
          </cell>
          <cell r="E285" t="str">
            <v>TEPATEPEC, HGO.</v>
          </cell>
          <cell r="F285" t="str">
            <v/>
          </cell>
          <cell r="G285" t="str">
            <v>(738) 724-0237</v>
          </cell>
          <cell r="H285" t="str">
            <v>ROSAURA SERRANO A.</v>
          </cell>
          <cell r="I285" t="str">
            <v>ROSAURA SERRANO A.</v>
          </cell>
          <cell r="J285" t="str">
            <v>BAJA</v>
          </cell>
          <cell r="K285" t="str">
            <v/>
          </cell>
          <cell r="L285">
            <v>0</v>
          </cell>
          <cell r="M285">
            <v>289</v>
          </cell>
          <cell r="N285" t="str">
            <v>S</v>
          </cell>
          <cell r="O285">
            <v>41139</v>
          </cell>
          <cell r="P285" t="str">
            <v xml:space="preserve">    1</v>
          </cell>
          <cell r="Q285">
            <v>0</v>
          </cell>
          <cell r="R285">
            <v>0</v>
          </cell>
          <cell r="S285">
            <v>0</v>
          </cell>
          <cell r="T285">
            <v>18063</v>
          </cell>
          <cell r="U285">
            <v>0</v>
          </cell>
          <cell r="V285" t="str">
            <v>CENTRO</v>
          </cell>
          <cell r="W285" t="str">
            <v>(771) 144-5052</v>
          </cell>
          <cell r="X285" t="str">
            <v/>
          </cell>
        </row>
        <row r="286">
          <cell r="A286">
            <v>2186</v>
          </cell>
          <cell r="B286" t="str">
            <v>VERONICA DIAZ URVANO (PROGRESO)</v>
          </cell>
          <cell r="C286" t="str">
            <v/>
          </cell>
          <cell r="D286" t="str">
            <v>IGNACIO DE LA LLAVE #1</v>
          </cell>
          <cell r="E286" t="str">
            <v>PROGRESO, HGO.</v>
          </cell>
          <cell r="F286" t="str">
            <v>42730</v>
          </cell>
          <cell r="G286" t="str">
            <v>(772) 736-3503 CEL</v>
          </cell>
          <cell r="H286" t="str">
            <v>VERONICA DIAZ URVANO</v>
          </cell>
          <cell r="I286" t="str">
            <v>VERONICA DIAZ URVANO</v>
          </cell>
          <cell r="J286" t="str">
            <v>BAJA</v>
          </cell>
          <cell r="K286" t="str">
            <v/>
          </cell>
          <cell r="L286">
            <v>0</v>
          </cell>
          <cell r="M286">
            <v>290</v>
          </cell>
          <cell r="N286" t="str">
            <v>A</v>
          </cell>
          <cell r="O286">
            <v>41088</v>
          </cell>
          <cell r="P286" t="str">
            <v xml:space="preserve">    1</v>
          </cell>
          <cell r="Q286">
            <v>0</v>
          </cell>
          <cell r="R286">
            <v>0</v>
          </cell>
          <cell r="S286">
            <v>0</v>
          </cell>
          <cell r="T286">
            <v>7275</v>
          </cell>
          <cell r="U286">
            <v>0</v>
          </cell>
          <cell r="V286" t="str">
            <v>CENTRO</v>
          </cell>
          <cell r="W286" t="str">
            <v/>
          </cell>
          <cell r="X286" t="str">
            <v/>
          </cell>
        </row>
        <row r="287">
          <cell r="A287">
            <v>2187</v>
          </cell>
          <cell r="B287" t="str">
            <v>BEATRIZ SILVA HERNANDEZ (TULTEPEC)</v>
          </cell>
          <cell r="C287" t="str">
            <v/>
          </cell>
          <cell r="D287" t="str">
            <v>AV. MORELOS #100</v>
          </cell>
          <cell r="E287" t="str">
            <v>TULTEPEC, EDO. DE MEXICO</v>
          </cell>
          <cell r="F287" t="str">
            <v/>
          </cell>
          <cell r="G287" t="str">
            <v/>
          </cell>
          <cell r="H287" t="str">
            <v>BEATRIZ SILVA H.</v>
          </cell>
          <cell r="I287" t="str">
            <v>BEATRIZ SILVA H.</v>
          </cell>
          <cell r="J287" t="str">
            <v>M01</v>
          </cell>
          <cell r="K287" t="str">
            <v/>
          </cell>
          <cell r="L287">
            <v>0</v>
          </cell>
          <cell r="M287">
            <v>291</v>
          </cell>
          <cell r="N287" t="str">
            <v>A</v>
          </cell>
          <cell r="O287">
            <v>42338</v>
          </cell>
          <cell r="P287" t="str">
            <v xml:space="preserve">   18</v>
          </cell>
          <cell r="Q287">
            <v>0</v>
          </cell>
          <cell r="R287">
            <v>0</v>
          </cell>
          <cell r="S287">
            <v>0</v>
          </cell>
          <cell r="T287">
            <v>3594</v>
          </cell>
          <cell r="U287">
            <v>0</v>
          </cell>
          <cell r="V287" t="str">
            <v>BARRIO SAN RAFAEL</v>
          </cell>
          <cell r="W287" t="str">
            <v/>
          </cell>
          <cell r="X287" t="str">
            <v/>
          </cell>
        </row>
        <row r="288">
          <cell r="A288">
            <v>2188</v>
          </cell>
          <cell r="B288" t="str">
            <v>SERGIO MENDOZA (JILOTEPEC)</v>
          </cell>
          <cell r="C288" t="str">
            <v/>
          </cell>
          <cell r="D288" t="str">
            <v>HIDALGO #112</v>
          </cell>
          <cell r="E288" t="str">
            <v>JILOTEPEC, EDO. DE MEXICO</v>
          </cell>
          <cell r="F288" t="str">
            <v/>
          </cell>
          <cell r="G288" t="str">
            <v>734-0010</v>
          </cell>
          <cell r="H288" t="str">
            <v>SERGIO MENDOZA</v>
          </cell>
          <cell r="I288" t="str">
            <v>SERGIO MENDOZA</v>
          </cell>
          <cell r="J288" t="str">
            <v>BAJA</v>
          </cell>
          <cell r="K288" t="str">
            <v/>
          </cell>
          <cell r="L288">
            <v>0</v>
          </cell>
          <cell r="M288">
            <v>292</v>
          </cell>
          <cell r="N288" t="str">
            <v>A</v>
          </cell>
          <cell r="O288">
            <v>41065</v>
          </cell>
          <cell r="P288" t="str">
            <v xml:space="preserve">    1</v>
          </cell>
          <cell r="Q288">
            <v>0</v>
          </cell>
          <cell r="R288">
            <v>0</v>
          </cell>
          <cell r="S288">
            <v>0</v>
          </cell>
          <cell r="T288">
            <v>541</v>
          </cell>
          <cell r="U288">
            <v>0</v>
          </cell>
          <cell r="V288" t="str">
            <v>CENTRO</v>
          </cell>
          <cell r="W288" t="str">
            <v/>
          </cell>
          <cell r="X288" t="str">
            <v/>
          </cell>
        </row>
        <row r="289">
          <cell r="A289">
            <v>2189</v>
          </cell>
          <cell r="B289" t="str">
            <v>CARLOS ESTEVES FLORES (TOLUCA)</v>
          </cell>
          <cell r="C289" t="str">
            <v/>
          </cell>
          <cell r="D289" t="str">
            <v>MERCADO BENITO JUAREZ L. 987</v>
          </cell>
          <cell r="E289" t="str">
            <v>TOLUCA, EDO. DE MEXICO</v>
          </cell>
          <cell r="F289" t="str">
            <v/>
          </cell>
          <cell r="G289" t="str">
            <v/>
          </cell>
          <cell r="H289" t="str">
            <v>CARLOS ESTEVES F.</v>
          </cell>
          <cell r="I289" t="str">
            <v>CARLOS ESTEVES F.</v>
          </cell>
          <cell r="J289" t="str">
            <v>BAJA</v>
          </cell>
          <cell r="K289" t="str">
            <v/>
          </cell>
          <cell r="L289">
            <v>0</v>
          </cell>
          <cell r="M289">
            <v>293</v>
          </cell>
          <cell r="N289" t="str">
            <v>S</v>
          </cell>
          <cell r="O289">
            <v>41147</v>
          </cell>
          <cell r="P289" t="str">
            <v xml:space="preserve">    1</v>
          </cell>
          <cell r="Q289">
            <v>0</v>
          </cell>
          <cell r="R289">
            <v>0</v>
          </cell>
          <cell r="S289">
            <v>0</v>
          </cell>
          <cell r="T289">
            <v>52745</v>
          </cell>
          <cell r="U289">
            <v>0</v>
          </cell>
          <cell r="V289" t="str">
            <v>CENTRO</v>
          </cell>
          <cell r="W289" t="str">
            <v/>
          </cell>
          <cell r="X289" t="str">
            <v/>
          </cell>
        </row>
        <row r="290">
          <cell r="A290">
            <v>2190</v>
          </cell>
          <cell r="B290" t="str">
            <v>ROSA MARIA RIVERA FERNANDEZ (TECAMAC)</v>
          </cell>
          <cell r="C290" t="str">
            <v/>
          </cell>
          <cell r="D290" t="str">
            <v>AV. 5 DE MAYO #12</v>
          </cell>
          <cell r="E290" t="str">
            <v>TECAMAC, EDO. DE MEXICO</v>
          </cell>
          <cell r="F290" t="str">
            <v/>
          </cell>
          <cell r="G290" t="str">
            <v>(55) 5934-6268</v>
          </cell>
          <cell r="H290" t="str">
            <v>ROSA MARIA RIVERA F.</v>
          </cell>
          <cell r="I290" t="str">
            <v>ROSA MARIA RIVERA F.</v>
          </cell>
          <cell r="J290" t="str">
            <v>BAJA</v>
          </cell>
          <cell r="K290" t="str">
            <v/>
          </cell>
          <cell r="L290">
            <v>0</v>
          </cell>
          <cell r="M290">
            <v>294</v>
          </cell>
          <cell r="N290" t="str">
            <v>S</v>
          </cell>
          <cell r="O290">
            <v>41143</v>
          </cell>
          <cell r="P290" t="str">
            <v xml:space="preserve">   18</v>
          </cell>
          <cell r="Q290">
            <v>0</v>
          </cell>
          <cell r="R290">
            <v>0</v>
          </cell>
          <cell r="S290">
            <v>0</v>
          </cell>
          <cell r="T290">
            <v>21858.7</v>
          </cell>
          <cell r="U290">
            <v>0</v>
          </cell>
          <cell r="V290" t="str">
            <v>CENTRO</v>
          </cell>
          <cell r="W290" t="str">
            <v/>
          </cell>
          <cell r="X290" t="str">
            <v/>
          </cell>
        </row>
        <row r="291">
          <cell r="A291">
            <v>2191</v>
          </cell>
          <cell r="B291" t="str">
            <v>BEATRIZ CORREA (ZINAPECUARO)</v>
          </cell>
          <cell r="C291" t="str">
            <v/>
          </cell>
          <cell r="D291" t="str">
            <v>MORELOS #5</v>
          </cell>
          <cell r="E291" t="str">
            <v>ZINAPECUARO, MICH.</v>
          </cell>
          <cell r="F291" t="str">
            <v/>
          </cell>
          <cell r="G291" t="str">
            <v>(451) 355-2787 LOCAL</v>
          </cell>
          <cell r="H291" t="str">
            <v>BEATRIZ CORREA</v>
          </cell>
          <cell r="I291" t="str">
            <v>BEATRIZ CORREA</v>
          </cell>
          <cell r="J291" t="str">
            <v>J06</v>
          </cell>
          <cell r="K291" t="str">
            <v/>
          </cell>
          <cell r="L291">
            <v>0</v>
          </cell>
          <cell r="M291">
            <v>295</v>
          </cell>
          <cell r="N291" t="str">
            <v>A</v>
          </cell>
          <cell r="O291">
            <v>42511</v>
          </cell>
          <cell r="P291" t="str">
            <v xml:space="preserve">    1</v>
          </cell>
          <cell r="Q291">
            <v>0</v>
          </cell>
          <cell r="R291">
            <v>0</v>
          </cell>
          <cell r="S291">
            <v>1597</v>
          </cell>
          <cell r="T291">
            <v>91320</v>
          </cell>
          <cell r="U291">
            <v>0</v>
          </cell>
          <cell r="V291" t="str">
            <v>CENTRO</v>
          </cell>
          <cell r="W291" t="str">
            <v/>
          </cell>
          <cell r="X291" t="str">
            <v/>
          </cell>
        </row>
        <row r="292">
          <cell r="A292">
            <v>2192</v>
          </cell>
          <cell r="B292" t="str">
            <v>CARMEN HERRERA (TENANGO)</v>
          </cell>
          <cell r="C292" t="str">
            <v/>
          </cell>
          <cell r="D292" t="str">
            <v>HIDALGO #214</v>
          </cell>
          <cell r="E292" t="str">
            <v>TENANGO DEL VALLE, EDO. MEXICO</v>
          </cell>
          <cell r="F292" t="str">
            <v/>
          </cell>
          <cell r="G292" t="str">
            <v/>
          </cell>
          <cell r="H292" t="str">
            <v>CARMEN HERRERA</v>
          </cell>
          <cell r="I292" t="str">
            <v>CARMEN HERRERA</v>
          </cell>
          <cell r="J292" t="str">
            <v>BAJA</v>
          </cell>
          <cell r="K292" t="str">
            <v/>
          </cell>
          <cell r="L292">
            <v>0</v>
          </cell>
          <cell r="M292">
            <v>296</v>
          </cell>
          <cell r="N292" t="str">
            <v>A</v>
          </cell>
          <cell r="O292">
            <v>41079</v>
          </cell>
          <cell r="P292" t="str">
            <v xml:space="preserve">    9</v>
          </cell>
          <cell r="Q292">
            <v>0</v>
          </cell>
          <cell r="R292">
            <v>0</v>
          </cell>
          <cell r="S292">
            <v>0</v>
          </cell>
          <cell r="T292">
            <v>1528</v>
          </cell>
          <cell r="U292">
            <v>0</v>
          </cell>
          <cell r="V292" t="str">
            <v>CENTRO</v>
          </cell>
          <cell r="W292" t="str">
            <v/>
          </cell>
          <cell r="X292" t="str">
            <v/>
          </cell>
        </row>
        <row r="293">
          <cell r="A293">
            <v>2193</v>
          </cell>
          <cell r="B293" t="str">
            <v>AURORA SALINAS MERCADO (TOLUCA)</v>
          </cell>
          <cell r="C293" t="str">
            <v/>
          </cell>
          <cell r="D293" t="str">
            <v>16 DE SEPTIEMBRE LOCAL 9-11</v>
          </cell>
          <cell r="E293" t="str">
            <v>TOLUCA, EDO. DE MEXICO</v>
          </cell>
          <cell r="F293" t="str">
            <v/>
          </cell>
          <cell r="G293" t="str">
            <v>(722) 213-9468</v>
          </cell>
          <cell r="H293" t="str">
            <v>AURORA SALINAS M.</v>
          </cell>
          <cell r="I293" t="str">
            <v>AURORA SALINAS M.</v>
          </cell>
          <cell r="J293" t="str">
            <v>BAJA</v>
          </cell>
          <cell r="K293" t="str">
            <v/>
          </cell>
          <cell r="L293">
            <v>20</v>
          </cell>
          <cell r="M293">
            <v>297</v>
          </cell>
          <cell r="N293" t="str">
            <v>S</v>
          </cell>
          <cell r="O293">
            <v>41164</v>
          </cell>
          <cell r="P293" t="str">
            <v xml:space="preserve">    9</v>
          </cell>
          <cell r="Q293">
            <v>0</v>
          </cell>
          <cell r="R293">
            <v>0</v>
          </cell>
          <cell r="S293">
            <v>0</v>
          </cell>
          <cell r="T293">
            <v>4624</v>
          </cell>
          <cell r="U293">
            <v>0</v>
          </cell>
          <cell r="V293" t="str">
            <v>SANTA CLARA</v>
          </cell>
          <cell r="W293" t="str">
            <v>(722) 378-8336 CEL</v>
          </cell>
          <cell r="X293" t="str">
            <v/>
          </cell>
        </row>
        <row r="294">
          <cell r="A294">
            <v>2194</v>
          </cell>
          <cell r="B294" t="str">
            <v>MA. DEL CARMEN REYES PEREZ (ROMERO)</v>
          </cell>
          <cell r="C294" t="str">
            <v>REPC-780716-PB7</v>
          </cell>
          <cell r="D294" t="str">
            <v>EXP. MERCADO MUNICIPAL LOC. 50,47,45 Z-2</v>
          </cell>
          <cell r="E294" t="str">
            <v>CUAUTITLAN, EDO. DE MEXICO</v>
          </cell>
          <cell r="F294" t="str">
            <v>54800</v>
          </cell>
          <cell r="G294" t="str">
            <v>(55) 5870-2792</v>
          </cell>
          <cell r="H294" t="str">
            <v>CARMEN REYES</v>
          </cell>
          <cell r="I294" t="str">
            <v>CARMEN REYES</v>
          </cell>
          <cell r="J294" t="str">
            <v>M01</v>
          </cell>
          <cell r="K294" t="str">
            <v/>
          </cell>
          <cell r="L294">
            <v>0</v>
          </cell>
          <cell r="M294">
            <v>298</v>
          </cell>
          <cell r="N294" t="str">
            <v>A</v>
          </cell>
          <cell r="O294">
            <v>42513</v>
          </cell>
          <cell r="P294" t="str">
            <v xml:space="preserve">    9</v>
          </cell>
          <cell r="Q294">
            <v>0</v>
          </cell>
          <cell r="R294">
            <v>0</v>
          </cell>
          <cell r="S294">
            <v>8001</v>
          </cell>
          <cell r="T294">
            <v>278226</v>
          </cell>
          <cell r="U294">
            <v>0</v>
          </cell>
          <cell r="V294" t="str">
            <v>CENTRO</v>
          </cell>
          <cell r="W294" t="str">
            <v/>
          </cell>
          <cell r="X294" t="str">
            <v/>
          </cell>
        </row>
        <row r="295">
          <cell r="A295">
            <v>2195</v>
          </cell>
          <cell r="B295" t="str">
            <v>MARIA MORA SAN JUAN (PACHUCA)</v>
          </cell>
          <cell r="C295" t="str">
            <v/>
          </cell>
          <cell r="D295" t="str">
            <v>GUERRERO #620</v>
          </cell>
          <cell r="E295" t="str">
            <v>PACHUCA, HGO.</v>
          </cell>
          <cell r="F295" t="str">
            <v/>
          </cell>
          <cell r="G295" t="str">
            <v>(771) 715-1483</v>
          </cell>
          <cell r="H295" t="str">
            <v>MARIA MORA SAN JUAN</v>
          </cell>
          <cell r="I295" t="str">
            <v>MARIA MORA SAN JUAN</v>
          </cell>
          <cell r="J295" t="str">
            <v>BAJA</v>
          </cell>
          <cell r="K295" t="str">
            <v/>
          </cell>
          <cell r="L295">
            <v>0</v>
          </cell>
          <cell r="M295">
            <v>299</v>
          </cell>
          <cell r="N295" t="str">
            <v>S</v>
          </cell>
          <cell r="O295">
            <v>41090</v>
          </cell>
          <cell r="P295" t="str">
            <v xml:space="preserve">    9</v>
          </cell>
          <cell r="Q295">
            <v>0</v>
          </cell>
          <cell r="R295">
            <v>0</v>
          </cell>
          <cell r="S295">
            <v>0</v>
          </cell>
          <cell r="T295">
            <v>5232</v>
          </cell>
          <cell r="U295">
            <v>0</v>
          </cell>
          <cell r="V295" t="str">
            <v>CENTRO</v>
          </cell>
          <cell r="W295" t="str">
            <v/>
          </cell>
          <cell r="X295" t="str">
            <v/>
          </cell>
        </row>
        <row r="296">
          <cell r="A296">
            <v>2196</v>
          </cell>
          <cell r="B296" t="str">
            <v>ERIKA CAMPOS MORAN (TULANCINGO)</v>
          </cell>
          <cell r="C296" t="str">
            <v/>
          </cell>
          <cell r="D296" t="str">
            <v>LUIS PONCE #411 SUR</v>
          </cell>
          <cell r="E296" t="str">
            <v>TULANCINGO, HGO.</v>
          </cell>
          <cell r="F296" t="str">
            <v/>
          </cell>
          <cell r="G296" t="str">
            <v>(775) 108-4635 CEL</v>
          </cell>
          <cell r="H296" t="str">
            <v>ERIKA CAMPOS MORAN</v>
          </cell>
          <cell r="I296" t="str">
            <v>ERIKA CAMPOS MORAN</v>
          </cell>
          <cell r="J296" t="str">
            <v>M03</v>
          </cell>
          <cell r="K296" t="str">
            <v/>
          </cell>
          <cell r="L296">
            <v>0</v>
          </cell>
          <cell r="M296">
            <v>300</v>
          </cell>
          <cell r="N296" t="str">
            <v>A</v>
          </cell>
          <cell r="O296">
            <v>41977</v>
          </cell>
          <cell r="P296" t="str">
            <v xml:space="preserve">    9</v>
          </cell>
          <cell r="Q296">
            <v>0</v>
          </cell>
          <cell r="R296">
            <v>0</v>
          </cell>
          <cell r="S296">
            <v>0</v>
          </cell>
          <cell r="T296">
            <v>62771</v>
          </cell>
          <cell r="U296">
            <v>0</v>
          </cell>
          <cell r="V296" t="str">
            <v>CENTRO</v>
          </cell>
          <cell r="W296" t="str">
            <v>(775) 755-3228 RECADOS</v>
          </cell>
          <cell r="X296" t="str">
            <v/>
          </cell>
        </row>
        <row r="297">
          <cell r="A297">
            <v>2197</v>
          </cell>
          <cell r="B297" t="str">
            <v>GUADALUPE NUÑEZ (TEMAZCALCINGO)</v>
          </cell>
          <cell r="C297" t="str">
            <v/>
          </cell>
          <cell r="D297" t="str">
            <v>CARR. ACAMBAY-TEMAZCALCINGO</v>
          </cell>
          <cell r="E297" t="str">
            <v>TEMAZCALCINGO, HGO.</v>
          </cell>
          <cell r="F297" t="str">
            <v/>
          </cell>
          <cell r="G297" t="str">
            <v>(718) 127-8538</v>
          </cell>
          <cell r="H297" t="e">
            <v>#VALUE!</v>
          </cell>
          <cell r="I297" t="str">
            <v>GUADALUPE NUÑEZ</v>
          </cell>
          <cell r="J297" t="str">
            <v>BAJA</v>
          </cell>
          <cell r="K297" t="str">
            <v/>
          </cell>
          <cell r="L297">
            <v>0</v>
          </cell>
          <cell r="M297">
            <v>301</v>
          </cell>
          <cell r="N297" t="str">
            <v>A</v>
          </cell>
          <cell r="O297">
            <v>41325</v>
          </cell>
          <cell r="P297" t="str">
            <v xml:space="preserve">    3</v>
          </cell>
          <cell r="Q297">
            <v>0</v>
          </cell>
          <cell r="R297">
            <v>0</v>
          </cell>
          <cell r="S297">
            <v>0</v>
          </cell>
          <cell r="T297">
            <v>9323</v>
          </cell>
          <cell r="U297">
            <v>0</v>
          </cell>
          <cell r="V297" t="str">
            <v>LA MAGDALENA</v>
          </cell>
          <cell r="W297" t="str">
            <v/>
          </cell>
          <cell r="X297" t="str">
            <v/>
          </cell>
        </row>
        <row r="298">
          <cell r="A298">
            <v>2198</v>
          </cell>
          <cell r="B298" t="str">
            <v>JULIAN VALDEZ (PROGRESO)</v>
          </cell>
          <cell r="C298" t="str">
            <v/>
          </cell>
          <cell r="D298" t="str">
            <v>MATAMOROS</v>
          </cell>
          <cell r="E298" t="str">
            <v>PROGRESO, HGO.</v>
          </cell>
          <cell r="F298" t="str">
            <v/>
          </cell>
          <cell r="G298" t="str">
            <v/>
          </cell>
          <cell r="H298" t="str">
            <v>JULIAN VALDEZ</v>
          </cell>
          <cell r="I298" t="str">
            <v>JULIAN VALDEZ</v>
          </cell>
          <cell r="J298" t="str">
            <v>BAJA</v>
          </cell>
          <cell r="K298" t="str">
            <v/>
          </cell>
          <cell r="L298">
            <v>0</v>
          </cell>
          <cell r="M298">
            <v>302</v>
          </cell>
          <cell r="N298" t="str">
            <v>A</v>
          </cell>
          <cell r="O298">
            <v>41100</v>
          </cell>
          <cell r="P298" t="str">
            <v xml:space="preserve">    1</v>
          </cell>
          <cell r="Q298">
            <v>0</v>
          </cell>
          <cell r="R298">
            <v>0</v>
          </cell>
          <cell r="S298">
            <v>0</v>
          </cell>
          <cell r="T298">
            <v>1922</v>
          </cell>
          <cell r="U298">
            <v>0</v>
          </cell>
          <cell r="V298" t="str">
            <v>CENTRO</v>
          </cell>
          <cell r="W298" t="str">
            <v/>
          </cell>
          <cell r="X298" t="str">
            <v/>
          </cell>
        </row>
        <row r="299">
          <cell r="A299">
            <v>2199</v>
          </cell>
          <cell r="B299" t="str">
            <v>NORMA BEATRIZ LARA CONTRERAS (TOLUCA)</v>
          </cell>
          <cell r="C299" t="str">
            <v/>
          </cell>
          <cell r="D299" t="str">
            <v>MERCADO JUAREZ LOC. 780</v>
          </cell>
          <cell r="E299" t="str">
            <v>TOLUCA, EDO. DE MEXICO</v>
          </cell>
          <cell r="F299" t="str">
            <v/>
          </cell>
          <cell r="G299" t="str">
            <v>(722) 410-3086</v>
          </cell>
          <cell r="H299" t="str">
            <v>NORMA LARA CONTRERAS</v>
          </cell>
          <cell r="I299" t="str">
            <v>NORMA LARA CONTRERAS</v>
          </cell>
          <cell r="J299" t="str">
            <v>BAJA</v>
          </cell>
          <cell r="K299" t="str">
            <v/>
          </cell>
          <cell r="L299">
            <v>0</v>
          </cell>
          <cell r="M299">
            <v>303</v>
          </cell>
          <cell r="N299" t="str">
            <v>S</v>
          </cell>
          <cell r="O299">
            <v>41102</v>
          </cell>
          <cell r="P299" t="str">
            <v xml:space="preserve">    1</v>
          </cell>
          <cell r="Q299">
            <v>0</v>
          </cell>
          <cell r="R299">
            <v>0</v>
          </cell>
          <cell r="S299">
            <v>0</v>
          </cell>
          <cell r="T299">
            <v>1246</v>
          </cell>
          <cell r="U299">
            <v>0</v>
          </cell>
          <cell r="V299" t="str">
            <v>CENTRO</v>
          </cell>
          <cell r="W299" t="str">
            <v/>
          </cell>
          <cell r="X299" t="str">
            <v/>
          </cell>
        </row>
        <row r="300">
          <cell r="A300">
            <v>2200</v>
          </cell>
          <cell r="B300" t="str">
            <v>ERICKA SALCEDO BADILLO (IXMIQUILPAN)</v>
          </cell>
          <cell r="C300" t="str">
            <v/>
          </cell>
          <cell r="D300" t="str">
            <v>INSURGENTES #128</v>
          </cell>
          <cell r="E300" t="str">
            <v>IXMIQUILPAN, HGO.</v>
          </cell>
          <cell r="F300" t="str">
            <v/>
          </cell>
          <cell r="G300" t="str">
            <v>(772) 111-4191</v>
          </cell>
          <cell r="J300" t="str">
            <v>F01</v>
          </cell>
          <cell r="K300" t="str">
            <v/>
          </cell>
          <cell r="L300">
            <v>0</v>
          </cell>
          <cell r="M300">
            <v>304</v>
          </cell>
          <cell r="N300" t="str">
            <v>A</v>
          </cell>
          <cell r="O300">
            <v>41111</v>
          </cell>
          <cell r="P300" t="str">
            <v xml:space="preserve">    1</v>
          </cell>
          <cell r="Q300">
            <v>0</v>
          </cell>
          <cell r="R300">
            <v>0</v>
          </cell>
          <cell r="S300">
            <v>0</v>
          </cell>
          <cell r="T300">
            <v>906</v>
          </cell>
          <cell r="U300">
            <v>0</v>
          </cell>
          <cell r="V300" t="str">
            <v>CENTRO</v>
          </cell>
          <cell r="X300" t="str">
            <v/>
          </cell>
        </row>
        <row r="301">
          <cell r="A301">
            <v>2201</v>
          </cell>
          <cell r="B301" t="str">
            <v>DULCE UGALDE (SAN JUAN)</v>
          </cell>
          <cell r="C301" t="str">
            <v/>
          </cell>
          <cell r="D301" t="str">
            <v/>
          </cell>
          <cell r="E301" t="str">
            <v>SAN JUAN DEL RIO, QRO.</v>
          </cell>
          <cell r="F301" t="str">
            <v/>
          </cell>
          <cell r="H301" t="str">
            <v>DILCE OLGUIN</v>
          </cell>
          <cell r="I301" t="str">
            <v>DILCE OLGUIN</v>
          </cell>
          <cell r="J301" t="str">
            <v>BAJA</v>
          </cell>
          <cell r="K301" t="str">
            <v/>
          </cell>
          <cell r="L301">
            <v>0</v>
          </cell>
          <cell r="M301">
            <v>305</v>
          </cell>
          <cell r="N301" t="str">
            <v>A</v>
          </cell>
          <cell r="O301">
            <v>41111</v>
          </cell>
          <cell r="P301" t="str">
            <v xml:space="preserve">   97</v>
          </cell>
          <cell r="Q301">
            <v>0</v>
          </cell>
          <cell r="R301">
            <v>0</v>
          </cell>
          <cell r="S301">
            <v>0</v>
          </cell>
          <cell r="T301">
            <v>592</v>
          </cell>
          <cell r="U301">
            <v>0</v>
          </cell>
          <cell r="V301" t="str">
            <v>CENTRO</v>
          </cell>
          <cell r="W301" t="str">
            <v/>
          </cell>
          <cell r="X301" t="str">
            <v/>
          </cell>
        </row>
        <row r="302">
          <cell r="A302">
            <v>2203</v>
          </cell>
          <cell r="B302" t="str">
            <v>MARIA DEL ROSARIO OLVERA PEREZ (SAN JUAN)</v>
          </cell>
          <cell r="C302" t="str">
            <v>OEPR-590927-GF7</v>
          </cell>
          <cell r="D302" t="str">
            <v>HIDALGO NTE. #65-A</v>
          </cell>
          <cell r="E302" t="str">
            <v>SAN JUAN DEL RIO, QRO.</v>
          </cell>
          <cell r="F302" t="str">
            <v>76800</v>
          </cell>
          <cell r="G302" t="str">
            <v>(427) 272-1278</v>
          </cell>
          <cell r="H302" t="str">
            <v>ROSARIO OLVERA PEREZ</v>
          </cell>
          <cell r="I302" t="str">
            <v>ROSARIO OLVERA PEREZ</v>
          </cell>
          <cell r="J302" t="str">
            <v>L01</v>
          </cell>
          <cell r="K302" t="str">
            <v/>
          </cell>
          <cell r="L302">
            <v>0</v>
          </cell>
          <cell r="M302">
            <v>306</v>
          </cell>
          <cell r="N302" t="str">
            <v>A</v>
          </cell>
          <cell r="O302">
            <v>41793</v>
          </cell>
          <cell r="P302" t="str">
            <v xml:space="preserve">    1</v>
          </cell>
          <cell r="Q302">
            <v>0</v>
          </cell>
          <cell r="R302">
            <v>0</v>
          </cell>
          <cell r="S302">
            <v>0</v>
          </cell>
          <cell r="T302">
            <v>4400</v>
          </cell>
          <cell r="U302">
            <v>0</v>
          </cell>
          <cell r="V302" t="str">
            <v>CENTRO</v>
          </cell>
          <cell r="W302" t="str">
            <v>(247) 219-5060 CEL</v>
          </cell>
          <cell r="X302" t="str">
            <v>exclusivasglamour@live.com.mx</v>
          </cell>
        </row>
        <row r="303">
          <cell r="A303">
            <v>2204</v>
          </cell>
          <cell r="B303" t="str">
            <v>PAMELA RAMIREZ (MIXQUIAHUALA)</v>
          </cell>
          <cell r="C303" t="str">
            <v/>
          </cell>
          <cell r="D303" t="str">
            <v>AV. HIDALGO #55</v>
          </cell>
          <cell r="E303" t="str">
            <v>MIXQUIAHUALA, HGO.</v>
          </cell>
          <cell r="F303" t="str">
            <v/>
          </cell>
          <cell r="J303" t="str">
            <v>F02</v>
          </cell>
          <cell r="K303" t="str">
            <v/>
          </cell>
        </row>
        <row r="304">
          <cell r="A304">
            <v>2205</v>
          </cell>
          <cell r="B304" t="str">
            <v>MA. DE LOS ANGELES GARCIA LOPEZ (ACAMBARO)</v>
          </cell>
          <cell r="C304" t="str">
            <v/>
          </cell>
          <cell r="D304" t="str">
            <v>AV. 1º DE MAYO</v>
          </cell>
          <cell r="E304" t="str">
            <v>ACAMBARO, GTO.</v>
          </cell>
          <cell r="F304" t="str">
            <v/>
          </cell>
          <cell r="G304" t="str">
            <v>(417) 172-0969</v>
          </cell>
          <cell r="H304" t="str">
            <v>ANGELES GARCIA</v>
          </cell>
          <cell r="I304" t="str">
            <v>ANGELES GARCIA</v>
          </cell>
          <cell r="J304" t="str">
            <v>J06P</v>
          </cell>
          <cell r="K304" t="str">
            <v/>
          </cell>
          <cell r="L304">
            <v>0</v>
          </cell>
          <cell r="M304">
            <v>308</v>
          </cell>
          <cell r="N304" t="str">
            <v>A</v>
          </cell>
          <cell r="O304">
            <v>42445</v>
          </cell>
          <cell r="P304" t="str">
            <v xml:space="preserve">    1</v>
          </cell>
          <cell r="Q304">
            <v>0</v>
          </cell>
          <cell r="R304">
            <v>0</v>
          </cell>
          <cell r="S304">
            <v>0</v>
          </cell>
          <cell r="T304">
            <v>28044</v>
          </cell>
          <cell r="U304">
            <v>0</v>
          </cell>
          <cell r="V304" t="str">
            <v>CENTRO</v>
          </cell>
          <cell r="W304" t="str">
            <v/>
          </cell>
          <cell r="X304" t="str">
            <v/>
          </cell>
        </row>
        <row r="305">
          <cell r="A305">
            <v>2206</v>
          </cell>
          <cell r="B305" t="str">
            <v>ADELA CORREA GONZALEZ (ZINAPECUARO)</v>
          </cell>
          <cell r="C305" t="str">
            <v/>
          </cell>
          <cell r="D305" t="str">
            <v>MORELOS #21-A</v>
          </cell>
          <cell r="E305" t="str">
            <v>ZINAPECUARO, MICH.</v>
          </cell>
          <cell r="F305" t="str">
            <v/>
          </cell>
          <cell r="G305" t="str">
            <v>(451) 355-0519</v>
          </cell>
          <cell r="H305" t="str">
            <v>ADELA CORREA</v>
          </cell>
          <cell r="I305" t="str">
            <v>ADELA CORREA G</v>
          </cell>
          <cell r="J305" t="str">
            <v>J06P</v>
          </cell>
          <cell r="K305" t="str">
            <v/>
          </cell>
          <cell r="L305">
            <v>0</v>
          </cell>
          <cell r="M305">
            <v>309</v>
          </cell>
          <cell r="N305" t="str">
            <v>A</v>
          </cell>
          <cell r="O305">
            <v>42406</v>
          </cell>
          <cell r="P305" t="str">
            <v xml:space="preserve">    1</v>
          </cell>
          <cell r="Q305">
            <v>0</v>
          </cell>
          <cell r="R305">
            <v>0</v>
          </cell>
          <cell r="S305">
            <v>0</v>
          </cell>
          <cell r="T305">
            <v>56797</v>
          </cell>
          <cell r="U305">
            <v>0</v>
          </cell>
          <cell r="V305" t="str">
            <v>CENTRO</v>
          </cell>
          <cell r="W305" t="str">
            <v xml:space="preserve"> </v>
          </cell>
          <cell r="X305" t="str">
            <v>florade@prodigy.net.mx</v>
          </cell>
        </row>
        <row r="306">
          <cell r="A306">
            <v>2207</v>
          </cell>
          <cell r="B306" t="str">
            <v>IVONNE CALDERON (ACAMBARO)</v>
          </cell>
          <cell r="C306" t="str">
            <v/>
          </cell>
          <cell r="D306" t="str">
            <v>1º DE MAYO #1301</v>
          </cell>
          <cell r="E306" t="str">
            <v>ACAMBARO, GTO.</v>
          </cell>
          <cell r="F306" t="str">
            <v/>
          </cell>
          <cell r="G306" t="str">
            <v>(443) 223-7477 CEL</v>
          </cell>
          <cell r="H306" t="str">
            <v>IVONNE CALDERON</v>
          </cell>
          <cell r="I306" t="str">
            <v>IVONNE CALDERON</v>
          </cell>
          <cell r="J306" t="str">
            <v>BAJA</v>
          </cell>
          <cell r="K306" t="str">
            <v/>
          </cell>
          <cell r="L306">
            <v>0</v>
          </cell>
          <cell r="M306">
            <v>310</v>
          </cell>
          <cell r="N306" t="str">
            <v>A</v>
          </cell>
          <cell r="O306">
            <v>41316</v>
          </cell>
          <cell r="P306" t="str">
            <v xml:space="preserve">    1</v>
          </cell>
          <cell r="Q306">
            <v>0</v>
          </cell>
          <cell r="R306">
            <v>0</v>
          </cell>
          <cell r="S306">
            <v>0</v>
          </cell>
          <cell r="T306">
            <v>6065</v>
          </cell>
          <cell r="U306">
            <v>0</v>
          </cell>
          <cell r="V306" t="str">
            <v>CENTRO</v>
          </cell>
          <cell r="W306" t="str">
            <v/>
          </cell>
          <cell r="X306" t="str">
            <v/>
          </cell>
        </row>
        <row r="307">
          <cell r="A307">
            <v>2208</v>
          </cell>
          <cell r="B307" t="str">
            <v>MA. CONCEPCION GOMEZ GARCIA (TOLUCA)</v>
          </cell>
          <cell r="C307" t="str">
            <v/>
          </cell>
          <cell r="D307" t="str">
            <v>REFORMA #529</v>
          </cell>
          <cell r="E307" t="str">
            <v>TOLUCA, EDO. DE MEXICO</v>
          </cell>
          <cell r="F307" t="str">
            <v/>
          </cell>
          <cell r="G307" t="str">
            <v/>
          </cell>
          <cell r="H307" t="str">
            <v>CONCEPCION GOMEZ</v>
          </cell>
          <cell r="I307" t="str">
            <v>CONCEPCION GOMEZ</v>
          </cell>
          <cell r="J307" t="str">
            <v>BAJA</v>
          </cell>
          <cell r="K307" t="str">
            <v/>
          </cell>
          <cell r="L307">
            <v>0</v>
          </cell>
          <cell r="M307">
            <v>320</v>
          </cell>
          <cell r="N307" t="str">
            <v>S</v>
          </cell>
          <cell r="O307">
            <v>41139</v>
          </cell>
          <cell r="P307" t="str">
            <v xml:space="preserve">    1</v>
          </cell>
          <cell r="Q307">
            <v>0</v>
          </cell>
          <cell r="R307">
            <v>0</v>
          </cell>
          <cell r="S307">
            <v>0</v>
          </cell>
          <cell r="T307">
            <v>9172</v>
          </cell>
          <cell r="U307">
            <v>0</v>
          </cell>
          <cell r="V307" t="str">
            <v>CAPULFITLAN</v>
          </cell>
          <cell r="W307" t="str">
            <v/>
          </cell>
          <cell r="X307" t="str">
            <v/>
          </cell>
        </row>
        <row r="308">
          <cell r="A308">
            <v>2209</v>
          </cell>
          <cell r="B308" t="str">
            <v xml:space="preserve">ISABEL LANDEROS R. (ESCOBEDO)                               </v>
          </cell>
          <cell r="C308" t="str">
            <v/>
          </cell>
          <cell r="D308" t="str">
            <v xml:space="preserve">PANAMERICANA #37 "A"                    </v>
          </cell>
          <cell r="E308" t="str">
            <v xml:space="preserve">PEDRO ESCOBEDO, QRO.          </v>
          </cell>
          <cell r="F308" t="str">
            <v/>
          </cell>
          <cell r="G308" t="str">
            <v>(448) 110-6404</v>
          </cell>
          <cell r="H308" t="str">
            <v>MARGARITA OLVERA</v>
          </cell>
          <cell r="I308" t="str">
            <v>MARGARITA OLVERA</v>
          </cell>
          <cell r="J308" t="str">
            <v>L04</v>
          </cell>
          <cell r="K308" t="str">
            <v/>
          </cell>
          <cell r="L308">
            <v>0</v>
          </cell>
          <cell r="M308">
            <v>312</v>
          </cell>
          <cell r="N308" t="str">
            <v>A</v>
          </cell>
          <cell r="O308">
            <v>41274</v>
          </cell>
          <cell r="P308" t="str">
            <v xml:space="preserve">   11</v>
          </cell>
          <cell r="Q308">
            <v>0</v>
          </cell>
          <cell r="R308">
            <v>0</v>
          </cell>
          <cell r="S308">
            <v>0</v>
          </cell>
          <cell r="T308">
            <v>6772.84</v>
          </cell>
          <cell r="U308">
            <v>0</v>
          </cell>
          <cell r="V308" t="str">
            <v>CENTRO</v>
          </cell>
          <cell r="W308" t="str">
            <v/>
          </cell>
          <cell r="X308" t="str">
            <v/>
          </cell>
        </row>
        <row r="309">
          <cell r="A309">
            <v>2210</v>
          </cell>
          <cell r="B309" t="str">
            <v>MA. TERESA BAUTISTA DE ROLDAN (TEMASCALCINGO)</v>
          </cell>
          <cell r="C309" t="str">
            <v/>
          </cell>
          <cell r="D309" t="str">
            <v>AV. JESUS CHAPARRO S/N</v>
          </cell>
          <cell r="E309" t="str">
            <v>TEMAZCALCINGO, HGO.</v>
          </cell>
          <cell r="F309" t="str">
            <v/>
          </cell>
          <cell r="G309" t="str">
            <v>(712) 164-9059 CEL</v>
          </cell>
          <cell r="H309" t="str">
            <v>MA. TERESA BAUTISTA</v>
          </cell>
          <cell r="I309" t="str">
            <v>MA. TERESA BAUTISTA</v>
          </cell>
          <cell r="J309" t="str">
            <v>BAJA</v>
          </cell>
          <cell r="K309" t="str">
            <v/>
          </cell>
          <cell r="L309">
            <v>0</v>
          </cell>
          <cell r="M309">
            <v>313</v>
          </cell>
          <cell r="N309" t="str">
            <v>A</v>
          </cell>
          <cell r="O309">
            <v>41136</v>
          </cell>
          <cell r="P309" t="str">
            <v xml:space="preserve">    3</v>
          </cell>
          <cell r="Q309">
            <v>0</v>
          </cell>
          <cell r="R309">
            <v>0</v>
          </cell>
          <cell r="S309">
            <v>0</v>
          </cell>
          <cell r="T309">
            <v>6300</v>
          </cell>
          <cell r="U309">
            <v>0</v>
          </cell>
          <cell r="V309" t="str">
            <v/>
          </cell>
          <cell r="W309" t="str">
            <v>(718) 126-1568</v>
          </cell>
          <cell r="X309" t="str">
            <v/>
          </cell>
        </row>
        <row r="310">
          <cell r="A310">
            <v>2211</v>
          </cell>
          <cell r="B310" t="str">
            <v>ALMA ROSA ROMERO (ZINAPECUARO)</v>
          </cell>
          <cell r="C310" t="str">
            <v/>
          </cell>
          <cell r="D310" t="str">
            <v>MORELOS #29</v>
          </cell>
          <cell r="E310" t="str">
            <v>ZINAPECUARO, MICH.</v>
          </cell>
          <cell r="F310" t="str">
            <v/>
          </cell>
          <cell r="G310" t="str">
            <v>(443) 123-0029 CEL</v>
          </cell>
          <cell r="H310" t="str">
            <v>ALMA ROSA ROMERO</v>
          </cell>
          <cell r="I310" t="str">
            <v>ALMA ROSA ROMERO</v>
          </cell>
          <cell r="J310" t="str">
            <v>J06</v>
          </cell>
          <cell r="K310" t="str">
            <v/>
          </cell>
          <cell r="L310">
            <v>0</v>
          </cell>
          <cell r="M310">
            <v>314</v>
          </cell>
          <cell r="N310" t="str">
            <v>A</v>
          </cell>
          <cell r="O310">
            <v>42244</v>
          </cell>
          <cell r="P310" t="str">
            <v xml:space="preserve">    1</v>
          </cell>
          <cell r="Q310">
            <v>0</v>
          </cell>
          <cell r="R310">
            <v>0</v>
          </cell>
          <cell r="S310">
            <v>0</v>
          </cell>
          <cell r="T310">
            <v>15577</v>
          </cell>
          <cell r="U310">
            <v>0</v>
          </cell>
          <cell r="V310" t="str">
            <v>CENTRO</v>
          </cell>
          <cell r="W310" t="str">
            <v>(451) 355-2616 CASA</v>
          </cell>
          <cell r="X310" t="str">
            <v/>
          </cell>
        </row>
        <row r="311">
          <cell r="A311">
            <v>2212</v>
          </cell>
          <cell r="B311" t="str">
            <v>ALMA DURAN SANCHEZ (COYOTEPEC)</v>
          </cell>
          <cell r="C311" t="str">
            <v/>
          </cell>
          <cell r="D311" t="str">
            <v>DOMINGO CASTRO</v>
          </cell>
          <cell r="E311" t="str">
            <v>COYOTEPEC, EDO. DE MEXICO</v>
          </cell>
          <cell r="F311" t="str">
            <v/>
          </cell>
          <cell r="G311" t="str">
            <v/>
          </cell>
          <cell r="H311" t="str">
            <v>ALMA DURAN SANCHEZ</v>
          </cell>
          <cell r="I311" t="str">
            <v>ALMA DURAN SANCHEZ</v>
          </cell>
          <cell r="J311" t="str">
            <v>BAJA</v>
          </cell>
          <cell r="K311" t="str">
            <v/>
          </cell>
          <cell r="L311">
            <v>0</v>
          </cell>
          <cell r="M311">
            <v>315</v>
          </cell>
          <cell r="N311" t="str">
            <v>A</v>
          </cell>
          <cell r="O311">
            <v>41122</v>
          </cell>
          <cell r="P311" t="str">
            <v xml:space="preserve">    9</v>
          </cell>
          <cell r="Q311">
            <v>0</v>
          </cell>
          <cell r="R311">
            <v>0</v>
          </cell>
          <cell r="S311">
            <v>0</v>
          </cell>
          <cell r="T311">
            <v>1444</v>
          </cell>
          <cell r="U311">
            <v>0</v>
          </cell>
          <cell r="V311" t="str">
            <v>CENTRO</v>
          </cell>
          <cell r="W311" t="str">
            <v/>
          </cell>
          <cell r="X311" t="str">
            <v/>
          </cell>
        </row>
        <row r="312">
          <cell r="A312">
            <v>2213</v>
          </cell>
          <cell r="B312" t="str">
            <v>MA. GUADALUPE FERREL OVIEDO (SAN JUAN)</v>
          </cell>
          <cell r="C312" t="str">
            <v/>
          </cell>
          <cell r="D312" t="str">
            <v>MINA #67</v>
          </cell>
          <cell r="E312" t="str">
            <v>SAN JUAN DEL RIO, QRO.</v>
          </cell>
          <cell r="F312" t="str">
            <v/>
          </cell>
          <cell r="G312" t="str">
            <v/>
          </cell>
          <cell r="H312" t="str">
            <v>MA. GUADALUPE FERREL</v>
          </cell>
          <cell r="I312" t="str">
            <v>MA. GUADALUPE FERREL</v>
          </cell>
          <cell r="J312" t="str">
            <v>L01P</v>
          </cell>
          <cell r="K312" t="str">
            <v/>
          </cell>
          <cell r="L312">
            <v>0</v>
          </cell>
          <cell r="M312">
            <v>316</v>
          </cell>
          <cell r="N312" t="str">
            <v>A</v>
          </cell>
          <cell r="O312">
            <v>42336</v>
          </cell>
          <cell r="P312" t="str">
            <v xml:space="preserve">    1</v>
          </cell>
          <cell r="Q312">
            <v>0</v>
          </cell>
          <cell r="R312">
            <v>0</v>
          </cell>
          <cell r="S312">
            <v>0</v>
          </cell>
          <cell r="T312">
            <v>37706</v>
          </cell>
          <cell r="U312">
            <v>0</v>
          </cell>
          <cell r="V312" t="str">
            <v>CENTRO</v>
          </cell>
          <cell r="W312" t="str">
            <v/>
          </cell>
          <cell r="X312" t="str">
            <v/>
          </cell>
        </row>
        <row r="313">
          <cell r="A313">
            <v>2214</v>
          </cell>
          <cell r="B313" t="str">
            <v>ARACELI CRUZ HERNANDEZ (QUERETARO)</v>
          </cell>
          <cell r="C313" t="str">
            <v/>
          </cell>
          <cell r="D313" t="str">
            <v>GUERRERO S/N</v>
          </cell>
          <cell r="E313" t="str">
            <v>EL COLORADO, QRO.</v>
          </cell>
          <cell r="F313" t="str">
            <v/>
          </cell>
          <cell r="G313" t="str">
            <v/>
          </cell>
          <cell r="H313" t="str">
            <v>ARACELI CRUZ H.</v>
          </cell>
          <cell r="I313" t="str">
            <v>ARACELI CRUZ H.</v>
          </cell>
          <cell r="J313" t="str">
            <v>BAJA</v>
          </cell>
          <cell r="K313" t="str">
            <v/>
          </cell>
          <cell r="L313">
            <v>0</v>
          </cell>
          <cell r="M313">
            <v>317</v>
          </cell>
          <cell r="N313" t="str">
            <v>A</v>
          </cell>
          <cell r="O313">
            <v>41128</v>
          </cell>
          <cell r="P313" t="str">
            <v xml:space="preserve">    1</v>
          </cell>
          <cell r="Q313">
            <v>0</v>
          </cell>
          <cell r="R313">
            <v>0</v>
          </cell>
          <cell r="S313">
            <v>0</v>
          </cell>
          <cell r="T313">
            <v>505</v>
          </cell>
          <cell r="U313">
            <v>0</v>
          </cell>
          <cell r="V313" t="str">
            <v>CENTRO</v>
          </cell>
          <cell r="W313" t="str">
            <v/>
          </cell>
          <cell r="X313" t="str">
            <v/>
          </cell>
        </row>
        <row r="314">
          <cell r="A314">
            <v>2215</v>
          </cell>
          <cell r="B314" t="str">
            <v>JUAN CARLOS GONZALEZ RODRIGUEZ (TLALNEPANTLA)</v>
          </cell>
          <cell r="C314" t="str">
            <v/>
          </cell>
          <cell r="D314" t="str">
            <v>PLAZA CASA BLANCA LOC. 28, 29 Y 30</v>
          </cell>
          <cell r="E314" t="str">
            <v>TLALNEPANTLA, EDO. DE MEXICO</v>
          </cell>
          <cell r="F314" t="str">
            <v>54000</v>
          </cell>
          <cell r="G314" t="str">
            <v>(55) 4974-1285</v>
          </cell>
          <cell r="H314" t="str">
            <v>JUAN CARLOS GONZALEZ</v>
          </cell>
          <cell r="I314" t="str">
            <v>JUAN CARLOS GONZALEZ</v>
          </cell>
          <cell r="J314" t="str">
            <v>M02</v>
          </cell>
          <cell r="K314" t="str">
            <v/>
          </cell>
          <cell r="L314">
            <v>0</v>
          </cell>
          <cell r="M314">
            <v>318</v>
          </cell>
          <cell r="N314" t="str">
            <v>A</v>
          </cell>
          <cell r="O314">
            <v>41848</v>
          </cell>
          <cell r="P314" t="str">
            <v xml:space="preserve">    9</v>
          </cell>
          <cell r="Q314">
            <v>0</v>
          </cell>
          <cell r="R314">
            <v>0</v>
          </cell>
          <cell r="S314">
            <v>0</v>
          </cell>
          <cell r="T314">
            <v>27935.8</v>
          </cell>
          <cell r="U314">
            <v>7</v>
          </cell>
          <cell r="V314" t="str">
            <v>CENTRO</v>
          </cell>
          <cell r="W314" t="str">
            <v/>
          </cell>
          <cell r="X314" t="str">
            <v/>
          </cell>
        </row>
        <row r="315">
          <cell r="A315">
            <v>2216</v>
          </cell>
          <cell r="B315" t="str">
            <v>LEOVIGILDO MATEOS LOPEZ (TLALNEPANTLA)</v>
          </cell>
          <cell r="C315" t="str">
            <v/>
          </cell>
          <cell r="D315" t="str">
            <v>MERCADO DE TLALNEPANTLA LOC. 11</v>
          </cell>
          <cell r="E315" t="str">
            <v>TLALNEPANTLA, EDO. DE MEXICO</v>
          </cell>
          <cell r="F315" t="str">
            <v/>
          </cell>
          <cell r="G315" t="str">
            <v>(55) 5236-5019</v>
          </cell>
          <cell r="H315" t="str">
            <v>LEOVIGILDO MATEOS L.</v>
          </cell>
          <cell r="I315" t="str">
            <v>LEOVIGILDO MATEOS L.</v>
          </cell>
          <cell r="J315" t="str">
            <v>M02</v>
          </cell>
          <cell r="K315" t="str">
            <v/>
          </cell>
          <cell r="L315">
            <v>0</v>
          </cell>
          <cell r="M315">
            <v>319</v>
          </cell>
          <cell r="N315" t="str">
            <v>A</v>
          </cell>
          <cell r="O315">
            <v>41801</v>
          </cell>
          <cell r="P315" t="str">
            <v xml:space="preserve">    9</v>
          </cell>
          <cell r="Q315">
            <v>0</v>
          </cell>
          <cell r="R315">
            <v>0</v>
          </cell>
          <cell r="S315">
            <v>0</v>
          </cell>
          <cell r="T315">
            <v>47329</v>
          </cell>
          <cell r="U315">
            <v>0</v>
          </cell>
          <cell r="V315" t="str">
            <v>CENTRO</v>
          </cell>
          <cell r="W315" t="str">
            <v>(55) 1335-8679 CEL</v>
          </cell>
          <cell r="X315" t="str">
            <v/>
          </cell>
        </row>
        <row r="316">
          <cell r="A316">
            <v>2217</v>
          </cell>
          <cell r="B316" t="str">
            <v>KARINA GONZALEZ RUIZ (SAN JUAN)</v>
          </cell>
          <cell r="C316" t="str">
            <v/>
          </cell>
          <cell r="D316" t="str">
            <v>AV. DE LOS GANZOS #45</v>
          </cell>
          <cell r="E316" t="str">
            <v>SAN JUAN DEL RIO, QRO.</v>
          </cell>
          <cell r="F316" t="str">
            <v/>
          </cell>
          <cell r="G316" t="str">
            <v>(427) 110-4647</v>
          </cell>
          <cell r="H316" t="str">
            <v>KARINA GONZALEZ</v>
          </cell>
          <cell r="I316" t="str">
            <v>KARINA GONZALEZ</v>
          </cell>
          <cell r="J316" t="str">
            <v>L01P</v>
          </cell>
          <cell r="K316" t="str">
            <v/>
          </cell>
          <cell r="L316">
            <v>0</v>
          </cell>
          <cell r="M316">
            <v>321</v>
          </cell>
          <cell r="N316" t="str">
            <v>A</v>
          </cell>
          <cell r="O316">
            <v>42394</v>
          </cell>
          <cell r="P316" t="str">
            <v xml:space="preserve">   97</v>
          </cell>
          <cell r="Q316">
            <v>0</v>
          </cell>
          <cell r="R316">
            <v>0</v>
          </cell>
          <cell r="S316">
            <v>732</v>
          </cell>
          <cell r="T316">
            <v>32316.5</v>
          </cell>
          <cell r="U316">
            <v>0</v>
          </cell>
          <cell r="V316" t="str">
            <v>INDECO</v>
          </cell>
          <cell r="W316" t="str">
            <v/>
          </cell>
          <cell r="X316" t="str">
            <v/>
          </cell>
        </row>
        <row r="317">
          <cell r="A317">
            <v>2218</v>
          </cell>
          <cell r="B317" t="str">
            <v>CONRADO MANZUT GONZALEZ (TEQUIS)</v>
          </cell>
          <cell r="C317" t="str">
            <v/>
          </cell>
          <cell r="D317" t="str">
            <v>PALMAS #1</v>
          </cell>
          <cell r="E317" t="str">
            <v xml:space="preserve">TEQUISQUIAPAN, QRO.           </v>
          </cell>
          <cell r="F317" t="str">
            <v/>
          </cell>
          <cell r="G317" t="str">
            <v>(414) 100-2194</v>
          </cell>
          <cell r="H317" t="str">
            <v>ISABEL ACEVEDO M.</v>
          </cell>
          <cell r="I317" t="str">
            <v>ISABEL ACEVEDO M.</v>
          </cell>
          <cell r="J317" t="str">
            <v>J02</v>
          </cell>
          <cell r="K317" t="str">
            <v/>
          </cell>
          <cell r="L317">
            <v>0</v>
          </cell>
          <cell r="M317">
            <v>322</v>
          </cell>
          <cell r="N317" t="str">
            <v>A</v>
          </cell>
          <cell r="O317">
            <v>41142</v>
          </cell>
          <cell r="P317" t="str">
            <v xml:space="preserve">    1</v>
          </cell>
          <cell r="Q317">
            <v>0</v>
          </cell>
          <cell r="R317">
            <v>0</v>
          </cell>
          <cell r="S317">
            <v>0</v>
          </cell>
          <cell r="T317">
            <v>1348</v>
          </cell>
          <cell r="U317">
            <v>0</v>
          </cell>
          <cell r="V317" t="str">
            <v xml:space="preserve">LOS SABINOS         </v>
          </cell>
          <cell r="W317" t="str">
            <v/>
          </cell>
          <cell r="X317" t="str">
            <v/>
          </cell>
        </row>
        <row r="318">
          <cell r="A318">
            <v>2219</v>
          </cell>
          <cell r="B318" t="str">
            <v>NOE ADRIAN TERCERO GALLEGOS (ZINAPECUARO)</v>
          </cell>
          <cell r="C318" t="str">
            <v/>
          </cell>
          <cell r="D318" t="str">
            <v>MORELOS 21A</v>
          </cell>
          <cell r="E318" t="str">
            <v>ZINAPECUARO, MICH.</v>
          </cell>
          <cell r="F318" t="str">
            <v/>
          </cell>
          <cell r="G318" t="str">
            <v>(443) 328-1233 CEL</v>
          </cell>
          <cell r="H318" t="str">
            <v>NOE ADRIAN TERCERO G</v>
          </cell>
          <cell r="I318" t="str">
            <v>NOE ADRIAN TERCERO G</v>
          </cell>
          <cell r="J318" t="str">
            <v>J06P</v>
          </cell>
          <cell r="K318" t="str">
            <v/>
          </cell>
          <cell r="L318">
            <v>0</v>
          </cell>
          <cell r="M318">
            <v>323</v>
          </cell>
          <cell r="N318" t="str">
            <v>A</v>
          </cell>
          <cell r="O318">
            <v>41698</v>
          </cell>
          <cell r="P318" t="str">
            <v xml:space="preserve">    1</v>
          </cell>
          <cell r="Q318">
            <v>0</v>
          </cell>
          <cell r="R318">
            <v>0</v>
          </cell>
          <cell r="S318">
            <v>0</v>
          </cell>
          <cell r="T318">
            <v>35402</v>
          </cell>
          <cell r="U318">
            <v>0</v>
          </cell>
          <cell r="V318" t="str">
            <v>CENTRO</v>
          </cell>
          <cell r="W318" t="str">
            <v>(443) 355-0519 FLORERIA</v>
          </cell>
          <cell r="X318" t="str">
            <v/>
          </cell>
        </row>
        <row r="319">
          <cell r="A319">
            <v>2220</v>
          </cell>
          <cell r="B319" t="str">
            <v>RICARDO CASAS REYES (TEOLOYUCAN)</v>
          </cell>
          <cell r="C319" t="str">
            <v/>
          </cell>
          <cell r="D319" t="str">
            <v>AV. 5 DE MAYO # 5</v>
          </cell>
          <cell r="E319" t="str">
            <v>TEOLOYUCAN, EDO. DE MEXICO</v>
          </cell>
          <cell r="F319" t="str">
            <v/>
          </cell>
          <cell r="G319" t="str">
            <v/>
          </cell>
          <cell r="H319" t="str">
            <v>RICARDO CASAS REYES</v>
          </cell>
          <cell r="I319" t="str">
            <v>RICARDO CASAS REYES</v>
          </cell>
          <cell r="J319" t="str">
            <v>M01</v>
          </cell>
          <cell r="K319" t="str">
            <v/>
          </cell>
          <cell r="L319">
            <v>0</v>
          </cell>
          <cell r="M319">
            <v>324</v>
          </cell>
          <cell r="N319" t="str">
            <v>A</v>
          </cell>
          <cell r="O319">
            <v>42383</v>
          </cell>
          <cell r="P319" t="str">
            <v xml:space="preserve">    9</v>
          </cell>
          <cell r="Q319">
            <v>0</v>
          </cell>
          <cell r="R319">
            <v>0</v>
          </cell>
          <cell r="S319">
            <v>806</v>
          </cell>
          <cell r="T319">
            <v>5034</v>
          </cell>
          <cell r="U319">
            <v>0</v>
          </cell>
          <cell r="V319" t="str">
            <v>BARRIO DE CUAXOXOCA</v>
          </cell>
          <cell r="W319" t="str">
            <v/>
          </cell>
          <cell r="X319" t="str">
            <v/>
          </cell>
        </row>
        <row r="320">
          <cell r="A320">
            <v>2221</v>
          </cell>
          <cell r="B320" t="str">
            <v xml:space="preserve">MARIA ARCE (JUVENTINO)                                      </v>
          </cell>
          <cell r="C320" t="str">
            <v/>
          </cell>
          <cell r="D320" t="str">
            <v xml:space="preserve">HIDALGO #319                            </v>
          </cell>
          <cell r="E320" t="str">
            <v xml:space="preserve">JUVENTINO ROSAS, GTO.         </v>
          </cell>
          <cell r="F320" t="str">
            <v/>
          </cell>
          <cell r="H320" t="str">
            <v>ELENA ROMERO MUÑOZ</v>
          </cell>
          <cell r="I320" t="str">
            <v>ELENA ROMERO MUÑOZ</v>
          </cell>
          <cell r="J320" t="str">
            <v>F04</v>
          </cell>
          <cell r="K320" t="str">
            <v/>
          </cell>
          <cell r="L320">
            <v>0</v>
          </cell>
          <cell r="M320">
            <v>325</v>
          </cell>
          <cell r="N320" t="str">
            <v>A</v>
          </cell>
          <cell r="O320">
            <v>41213</v>
          </cell>
          <cell r="P320" t="str">
            <v xml:space="preserve">    3</v>
          </cell>
          <cell r="Q320">
            <v>0</v>
          </cell>
          <cell r="R320">
            <v>0</v>
          </cell>
          <cell r="S320">
            <v>0</v>
          </cell>
          <cell r="T320">
            <v>12772</v>
          </cell>
          <cell r="U320">
            <v>0</v>
          </cell>
          <cell r="V320" t="str">
            <v>CENTRO</v>
          </cell>
          <cell r="W320" t="str">
            <v/>
          </cell>
          <cell r="X320" t="str">
            <v/>
          </cell>
        </row>
        <row r="321">
          <cell r="A321">
            <v>2222</v>
          </cell>
          <cell r="B321" t="str">
            <v>MARCO ANTONIO ROCHA (SAN JUAN)</v>
          </cell>
          <cell r="C321" t="str">
            <v/>
          </cell>
          <cell r="D321" t="str">
            <v/>
          </cell>
          <cell r="E321" t="str">
            <v>SAN JUAN DEL RIO, QRO.</v>
          </cell>
          <cell r="F321" t="str">
            <v/>
          </cell>
          <cell r="G321" t="str">
            <v/>
          </cell>
          <cell r="H321" t="str">
            <v>MARCO ANTONIO ROCHA</v>
          </cell>
          <cell r="I321" t="str">
            <v>MARCO ANTONIO ROCHA</v>
          </cell>
          <cell r="J321" t="str">
            <v>BAJA</v>
          </cell>
          <cell r="K321" t="str">
            <v/>
          </cell>
          <cell r="L321">
            <v>0</v>
          </cell>
          <cell r="M321">
            <v>326</v>
          </cell>
          <cell r="N321" t="str">
            <v>A</v>
          </cell>
          <cell r="O321">
            <v>41155</v>
          </cell>
          <cell r="P321" t="str">
            <v xml:space="preserve">    1</v>
          </cell>
          <cell r="Q321">
            <v>0</v>
          </cell>
          <cell r="R321">
            <v>0</v>
          </cell>
          <cell r="S321">
            <v>0</v>
          </cell>
          <cell r="T321">
            <v>1021</v>
          </cell>
          <cell r="U321">
            <v>0</v>
          </cell>
          <cell r="V321" t="str">
            <v/>
          </cell>
          <cell r="W321" t="str">
            <v/>
          </cell>
          <cell r="X321" t="str">
            <v/>
          </cell>
        </row>
        <row r="322">
          <cell r="A322">
            <v>2223</v>
          </cell>
          <cell r="B322" t="str">
            <v>ANA LAURA ROCHA FERREL (SAN JUAN)</v>
          </cell>
          <cell r="C322" t="str">
            <v/>
          </cell>
          <cell r="D322" t="str">
            <v>CUAUHTEMOC #8</v>
          </cell>
          <cell r="E322" t="str">
            <v>PEDRO ESCOBEDO, QRO.</v>
          </cell>
          <cell r="F322" t="str">
            <v/>
          </cell>
          <cell r="G322" t="str">
            <v>(427) 130-9565</v>
          </cell>
          <cell r="H322" t="str">
            <v>ANA LAURA ROCHA F.</v>
          </cell>
          <cell r="I322" t="str">
            <v>ANA LAURA ROCHA F.</v>
          </cell>
          <cell r="J322" t="str">
            <v>BAJA</v>
          </cell>
          <cell r="K322" t="str">
            <v/>
          </cell>
          <cell r="L322">
            <v>0</v>
          </cell>
          <cell r="M322">
            <v>327</v>
          </cell>
          <cell r="N322" t="str">
            <v>A</v>
          </cell>
          <cell r="O322">
            <v>41463</v>
          </cell>
          <cell r="P322" t="str">
            <v xml:space="preserve">    1</v>
          </cell>
          <cell r="Q322">
            <v>0</v>
          </cell>
          <cell r="R322">
            <v>0</v>
          </cell>
          <cell r="S322">
            <v>0</v>
          </cell>
          <cell r="T322">
            <v>851</v>
          </cell>
          <cell r="U322">
            <v>0</v>
          </cell>
          <cell r="V322" t="str">
            <v>CENTRO</v>
          </cell>
          <cell r="W322" t="str">
            <v/>
          </cell>
          <cell r="X322" t="str">
            <v/>
          </cell>
        </row>
        <row r="323">
          <cell r="A323">
            <v>2224</v>
          </cell>
          <cell r="B323" t="str">
            <v>JULIETA GUTIERRES M. (PIRAMIDES)</v>
          </cell>
          <cell r="C323" t="str">
            <v/>
          </cell>
          <cell r="D323" t="str">
            <v>AV. 16 DE SEPTIEMBRE #16</v>
          </cell>
          <cell r="E323" t="str">
            <v>SAN MARTN PIRAMIDES, EDO. MEX.</v>
          </cell>
          <cell r="F323" t="str">
            <v/>
          </cell>
          <cell r="G323" t="str">
            <v>(55) 3136-9623 CEL</v>
          </cell>
          <cell r="H323" t="str">
            <v>JULIETA GUTIERRES M.</v>
          </cell>
          <cell r="I323" t="str">
            <v>JULIETA GUTIERRES M.</v>
          </cell>
          <cell r="J323" t="str">
            <v>BAJA</v>
          </cell>
          <cell r="K323" t="str">
            <v/>
          </cell>
          <cell r="L323">
            <v>0</v>
          </cell>
          <cell r="M323">
            <v>328</v>
          </cell>
          <cell r="N323" t="str">
            <v>A</v>
          </cell>
          <cell r="O323">
            <v>41157</v>
          </cell>
          <cell r="P323" t="str">
            <v xml:space="preserve">    9</v>
          </cell>
          <cell r="Q323">
            <v>0</v>
          </cell>
          <cell r="R323">
            <v>0</v>
          </cell>
          <cell r="S323">
            <v>0</v>
          </cell>
          <cell r="T323">
            <v>822</v>
          </cell>
          <cell r="U323">
            <v>0</v>
          </cell>
          <cell r="V323" t="str">
            <v>CENTRO</v>
          </cell>
          <cell r="W323" t="str">
            <v/>
          </cell>
          <cell r="X323" t="str">
            <v/>
          </cell>
        </row>
        <row r="324">
          <cell r="A324">
            <v>2225</v>
          </cell>
          <cell r="B324" t="str">
            <v>ALEJANDRO MARTINEZ CAMACHO (AMEALCO)</v>
          </cell>
          <cell r="C324" t="str">
            <v/>
          </cell>
          <cell r="D324" t="str">
            <v/>
          </cell>
          <cell r="E324" t="str">
            <v>AMEALCO, QRO.</v>
          </cell>
          <cell r="F324" t="str">
            <v/>
          </cell>
          <cell r="G324" t="str">
            <v>(448) 278-0164</v>
          </cell>
          <cell r="H324" t="str">
            <v>ALEJANDRO MARTINEZ C</v>
          </cell>
          <cell r="I324" t="str">
            <v>ALEJANDRO MARTINEZ C</v>
          </cell>
          <cell r="J324" t="str">
            <v>L06</v>
          </cell>
          <cell r="K324" t="str">
            <v/>
          </cell>
          <cell r="L324">
            <v>0</v>
          </cell>
          <cell r="M324">
            <v>329</v>
          </cell>
          <cell r="N324" t="str">
            <v>A</v>
          </cell>
          <cell r="O324">
            <v>42236</v>
          </cell>
          <cell r="P324" t="str">
            <v xml:space="preserve">    1</v>
          </cell>
          <cell r="Q324">
            <v>0</v>
          </cell>
          <cell r="R324">
            <v>0</v>
          </cell>
          <cell r="S324">
            <v>0</v>
          </cell>
          <cell r="T324">
            <v>27067</v>
          </cell>
          <cell r="U324">
            <v>0</v>
          </cell>
          <cell r="V324" t="str">
            <v/>
          </cell>
          <cell r="W324" t="str">
            <v/>
          </cell>
          <cell r="X324" t="str">
            <v/>
          </cell>
        </row>
        <row r="325">
          <cell r="A325">
            <v>2226</v>
          </cell>
          <cell r="B325" t="str">
            <v>ROSA ELENA RODRIGUEZ (SANTA ROSA)</v>
          </cell>
          <cell r="C325" t="str">
            <v/>
          </cell>
          <cell r="D325" t="str">
            <v>INDEPENDENCIA NTE. #513</v>
          </cell>
          <cell r="E325" t="str">
            <v>SANTA ROSA JAUREGUI, QRO.</v>
          </cell>
          <cell r="F325" t="str">
            <v/>
          </cell>
          <cell r="G325" t="str">
            <v>(442) 291-0898</v>
          </cell>
          <cell r="H325" t="str">
            <v>ROSA ELENA RODRIGUEZ</v>
          </cell>
          <cell r="I325" t="str">
            <v>ROSA ELENA RODRIGUEZ</v>
          </cell>
          <cell r="J325" t="str">
            <v>BAJA</v>
          </cell>
          <cell r="K325" t="str">
            <v/>
          </cell>
          <cell r="L325">
            <v>0</v>
          </cell>
          <cell r="M325">
            <v>330</v>
          </cell>
          <cell r="N325" t="str">
            <v>A</v>
          </cell>
          <cell r="O325">
            <v>41159</v>
          </cell>
          <cell r="P325" t="str">
            <v xml:space="preserve">   14</v>
          </cell>
          <cell r="Q325">
            <v>0</v>
          </cell>
          <cell r="R325">
            <v>0</v>
          </cell>
          <cell r="S325">
            <v>0</v>
          </cell>
          <cell r="T325">
            <v>14368</v>
          </cell>
          <cell r="U325">
            <v>0</v>
          </cell>
          <cell r="V325" t="str">
            <v>CENTRO</v>
          </cell>
          <cell r="W325" t="str">
            <v/>
          </cell>
          <cell r="X325" t="str">
            <v/>
          </cell>
        </row>
        <row r="326">
          <cell r="A326">
            <v>2227</v>
          </cell>
          <cell r="B326" t="str">
            <v>CARLOS CRUZ MARTINEZ (JILOTEPEC)</v>
          </cell>
          <cell r="C326" t="str">
            <v/>
          </cell>
          <cell r="D326" t="str">
            <v>PLAZA JUVILO #11, CENTRO COMERCIAL "DON</v>
          </cell>
          <cell r="E326" t="str">
            <v>JILOTEPEC, EDO. DE MEXICO</v>
          </cell>
          <cell r="F326" t="str">
            <v/>
          </cell>
          <cell r="G326" t="str">
            <v>(55) 1016-8980 CEL</v>
          </cell>
          <cell r="H326" t="str">
            <v>CARLOS CRUZ MARTINEZ</v>
          </cell>
          <cell r="I326" t="str">
            <v>CARLOS CRUZ MARTINEZ</v>
          </cell>
          <cell r="J326" t="str">
            <v>BAJA</v>
          </cell>
          <cell r="K326" t="str">
            <v/>
          </cell>
          <cell r="L326">
            <v>0</v>
          </cell>
          <cell r="M326">
            <v>331</v>
          </cell>
          <cell r="N326" t="str">
            <v>A</v>
          </cell>
          <cell r="O326">
            <v>41160</v>
          </cell>
          <cell r="P326" t="str">
            <v xml:space="preserve">    9</v>
          </cell>
          <cell r="Q326">
            <v>0</v>
          </cell>
          <cell r="R326">
            <v>0</v>
          </cell>
          <cell r="S326">
            <v>0</v>
          </cell>
          <cell r="T326">
            <v>2535</v>
          </cell>
          <cell r="U326">
            <v>0</v>
          </cell>
          <cell r="V326" t="str">
            <v>CENTRO</v>
          </cell>
          <cell r="W326" t="str">
            <v/>
          </cell>
          <cell r="X326" t="str">
            <v/>
          </cell>
        </row>
        <row r="327">
          <cell r="A327">
            <v>2228</v>
          </cell>
          <cell r="B327" t="str">
            <v>ESTEBAN CASAS (TEPEJI)</v>
          </cell>
          <cell r="C327" t="str">
            <v/>
          </cell>
          <cell r="D327" t="str">
            <v>IGNACIO COMONFORT S/N</v>
          </cell>
          <cell r="E327" t="str">
            <v>TEPEJI DEL RIO, HGO.</v>
          </cell>
          <cell r="F327" t="str">
            <v/>
          </cell>
          <cell r="G327" t="str">
            <v>(773) 108-4514 CEL</v>
          </cell>
          <cell r="H327" t="str">
            <v>ESTEBAN CASAS</v>
          </cell>
          <cell r="I327" t="str">
            <v>ESTEBAN CASAS</v>
          </cell>
          <cell r="J327" t="str">
            <v>BAJA</v>
          </cell>
          <cell r="K327" t="str">
            <v/>
          </cell>
          <cell r="L327">
            <v>0</v>
          </cell>
          <cell r="M327">
            <v>332</v>
          </cell>
          <cell r="N327" t="str">
            <v>A</v>
          </cell>
          <cell r="O327">
            <v>41160</v>
          </cell>
          <cell r="P327" t="str">
            <v xml:space="preserve">    9</v>
          </cell>
          <cell r="Q327">
            <v>0</v>
          </cell>
          <cell r="R327">
            <v>0</v>
          </cell>
          <cell r="S327">
            <v>0</v>
          </cell>
          <cell r="T327">
            <v>648</v>
          </cell>
          <cell r="U327">
            <v>0</v>
          </cell>
          <cell r="V327" t="str">
            <v>CENTRO</v>
          </cell>
          <cell r="W327" t="str">
            <v/>
          </cell>
          <cell r="X327" t="str">
            <v/>
          </cell>
        </row>
        <row r="328">
          <cell r="A328">
            <v>2229</v>
          </cell>
          <cell r="B328" t="str">
            <v>ISABEL CRUZ LOPEZ (COACALCO)</v>
          </cell>
          <cell r="C328" t="str">
            <v/>
          </cell>
          <cell r="D328" t="str">
            <v>INDEPENDENCIA #1</v>
          </cell>
          <cell r="E328" t="str">
            <v>COACALCO, EDO. DE MEXICO</v>
          </cell>
          <cell r="F328" t="str">
            <v/>
          </cell>
          <cell r="G328" t="str">
            <v>(55) 5865-2622</v>
          </cell>
          <cell r="H328" t="str">
            <v>ISABEL CRUZ LOPEZ</v>
          </cell>
          <cell r="I328" t="str">
            <v>ISABEL CRUZ LOPEZ</v>
          </cell>
          <cell r="J328" t="str">
            <v>BAJA</v>
          </cell>
          <cell r="K328" t="str">
            <v/>
          </cell>
          <cell r="L328">
            <v>0</v>
          </cell>
          <cell r="M328">
            <v>333</v>
          </cell>
          <cell r="N328" t="str">
            <v>A</v>
          </cell>
          <cell r="O328">
            <v>41163</v>
          </cell>
          <cell r="P328" t="str">
            <v xml:space="preserve">    9</v>
          </cell>
          <cell r="Q328">
            <v>0</v>
          </cell>
          <cell r="R328">
            <v>0</v>
          </cell>
          <cell r="S328">
            <v>0</v>
          </cell>
          <cell r="T328">
            <v>573</v>
          </cell>
          <cell r="U328">
            <v>0</v>
          </cell>
          <cell r="V328" t="str">
            <v>SAN LORENZO</v>
          </cell>
          <cell r="W328" t="str">
            <v/>
          </cell>
          <cell r="X328" t="str">
            <v/>
          </cell>
        </row>
        <row r="329">
          <cell r="A329">
            <v>2230</v>
          </cell>
          <cell r="B329" t="str">
            <v>ARTURO NIETO SANCHEZ (TOLUCA)</v>
          </cell>
          <cell r="C329" t="str">
            <v/>
          </cell>
          <cell r="D329" t="str">
            <v>AV. INDEPENDENCIA #107, INT. 105</v>
          </cell>
          <cell r="E329" t="str">
            <v>TOLUCA, EDO. DE MEXICO</v>
          </cell>
          <cell r="F329" t="str">
            <v>50060</v>
          </cell>
          <cell r="G329" t="str">
            <v>(722) 215-5970</v>
          </cell>
          <cell r="H329" t="str">
            <v>ARTURO NIETO SANCHEZ</v>
          </cell>
          <cell r="I329" t="str">
            <v>ARTURO NIETO SANCHEZ</v>
          </cell>
          <cell r="J329" t="str">
            <v>BAJA</v>
          </cell>
          <cell r="K329" t="str">
            <v/>
          </cell>
          <cell r="L329">
            <v>0</v>
          </cell>
          <cell r="M329">
            <v>334</v>
          </cell>
          <cell r="N329" t="str">
            <v>S</v>
          </cell>
          <cell r="O329">
            <v>41166</v>
          </cell>
          <cell r="P329" t="str">
            <v xml:space="preserve">    1</v>
          </cell>
          <cell r="Q329">
            <v>0</v>
          </cell>
          <cell r="R329">
            <v>0</v>
          </cell>
          <cell r="S329">
            <v>0</v>
          </cell>
          <cell r="T329">
            <v>24210</v>
          </cell>
          <cell r="U329">
            <v>0</v>
          </cell>
          <cell r="V329" t="str">
            <v>SANTA CLARA</v>
          </cell>
          <cell r="W329" t="str">
            <v/>
          </cell>
          <cell r="X329" t="str">
            <v/>
          </cell>
        </row>
        <row r="330">
          <cell r="A330">
            <v>2231</v>
          </cell>
          <cell r="B330" t="str">
            <v>MA. DE JESUS RODRIGUEZ RODRIGUEZ (TEOTIHUACAN)</v>
          </cell>
          <cell r="C330" t="str">
            <v/>
          </cell>
          <cell r="D330" t="str">
            <v>PLAZA DE LA PARROQUIA #2, PLANTA ALTA</v>
          </cell>
          <cell r="E330" t="str">
            <v>TEOTIHUACAN, EDO. DE MEXICO</v>
          </cell>
          <cell r="F330" t="str">
            <v/>
          </cell>
          <cell r="G330" t="str">
            <v>(55) 1379-8316 CEL</v>
          </cell>
          <cell r="H330" t="str">
            <v>MA. DE JESUS RODRIGU</v>
          </cell>
          <cell r="I330" t="str">
            <v>MA. DE JESUS RODRIGU</v>
          </cell>
          <cell r="J330" t="str">
            <v>BAJA</v>
          </cell>
          <cell r="K330" t="str">
            <v/>
          </cell>
          <cell r="L330">
            <v>0</v>
          </cell>
          <cell r="M330">
            <v>335</v>
          </cell>
          <cell r="N330" t="str">
            <v>A</v>
          </cell>
          <cell r="O330">
            <v>41171</v>
          </cell>
          <cell r="P330" t="str">
            <v xml:space="preserve">    9</v>
          </cell>
          <cell r="Q330">
            <v>0</v>
          </cell>
          <cell r="R330">
            <v>0</v>
          </cell>
          <cell r="S330">
            <v>0</v>
          </cell>
          <cell r="T330">
            <v>821</v>
          </cell>
          <cell r="U330">
            <v>0</v>
          </cell>
          <cell r="V330" t="str">
            <v>CENTRO</v>
          </cell>
          <cell r="W330" t="str">
            <v/>
          </cell>
          <cell r="X330" t="str">
            <v/>
          </cell>
        </row>
        <row r="331">
          <cell r="A331">
            <v>2232</v>
          </cell>
          <cell r="B331" t="str">
            <v>SARA DIAZ RANGEL (ACTOPAN)  JANET</v>
          </cell>
          <cell r="C331" t="str">
            <v/>
          </cell>
          <cell r="D331" t="str">
            <v>CUAUHTEMOC #1</v>
          </cell>
          <cell r="E331" t="str">
            <v>ACTOPAN, HGO.</v>
          </cell>
          <cell r="F331" t="str">
            <v/>
          </cell>
          <cell r="G331" t="str">
            <v>(772) 727-3991/727-0531 C</v>
          </cell>
          <cell r="H331" t="str">
            <v>JANTEH DIAZ RANGEL</v>
          </cell>
          <cell r="I331" t="str">
            <v>SARA DIAZ RANGEL</v>
          </cell>
          <cell r="J331" t="str">
            <v>F02</v>
          </cell>
          <cell r="K331" t="str">
            <v/>
          </cell>
          <cell r="L331">
            <v>0</v>
          </cell>
          <cell r="M331">
            <v>336</v>
          </cell>
          <cell r="N331" t="str">
            <v>A</v>
          </cell>
          <cell r="O331">
            <v>41348</v>
          </cell>
          <cell r="P331" t="str">
            <v xml:space="preserve">    9</v>
          </cell>
          <cell r="Q331">
            <v>0</v>
          </cell>
          <cell r="R331">
            <v>0</v>
          </cell>
          <cell r="S331">
            <v>864</v>
          </cell>
          <cell r="T331">
            <v>12987</v>
          </cell>
          <cell r="U331">
            <v>0</v>
          </cell>
          <cell r="V331" t="str">
            <v>CENTRO</v>
          </cell>
          <cell r="W331" t="str">
            <v>(772) 118-1837 CEL</v>
          </cell>
          <cell r="X331" t="str">
            <v>(772) 123-1981 JANET</v>
          </cell>
        </row>
        <row r="332">
          <cell r="A332">
            <v>2233</v>
          </cell>
          <cell r="B332" t="str">
            <v>MARTHA PATRICIA PEREZ LOPEZ (ACTOPAN)</v>
          </cell>
          <cell r="C332" t="str">
            <v/>
          </cell>
          <cell r="D332" t="str">
            <v>PASAJE VICTORIA INT. 20</v>
          </cell>
          <cell r="E332" t="str">
            <v>ACTOPAN, HGO.</v>
          </cell>
          <cell r="F332" t="str">
            <v/>
          </cell>
          <cell r="G332" t="str">
            <v>(772) 129-6655 CEL</v>
          </cell>
          <cell r="H332" t="str">
            <v>MARTHA PATRICIA P.</v>
          </cell>
          <cell r="I332" t="str">
            <v>MARTHA PATRICIA P.</v>
          </cell>
          <cell r="J332" t="str">
            <v>BAJA</v>
          </cell>
          <cell r="K332" t="str">
            <v/>
          </cell>
          <cell r="L332">
            <v>0</v>
          </cell>
          <cell r="M332">
            <v>337</v>
          </cell>
          <cell r="N332" t="str">
            <v>A</v>
          </cell>
          <cell r="O332">
            <v>41174</v>
          </cell>
          <cell r="P332" t="str">
            <v xml:space="preserve">    9</v>
          </cell>
          <cell r="Q332">
            <v>0</v>
          </cell>
          <cell r="R332">
            <v>0</v>
          </cell>
          <cell r="S332">
            <v>0</v>
          </cell>
          <cell r="T332">
            <v>187</v>
          </cell>
          <cell r="U332">
            <v>0</v>
          </cell>
          <cell r="V332" t="str">
            <v>CENTRO</v>
          </cell>
          <cell r="W332" t="str">
            <v/>
          </cell>
          <cell r="X332" t="str">
            <v/>
          </cell>
        </row>
        <row r="333">
          <cell r="A333">
            <v>2234</v>
          </cell>
          <cell r="B333" t="str">
            <v>ANDREA LAURA HERNANDEZ HERNANDEZ (JERECUARO)</v>
          </cell>
          <cell r="C333" t="str">
            <v/>
          </cell>
          <cell r="D333" t="str">
            <v>FRAY ANGEL JUAREZ #23</v>
          </cell>
          <cell r="E333" t="str">
            <v>JERECUARO, GTO.</v>
          </cell>
          <cell r="F333" t="str">
            <v/>
          </cell>
          <cell r="G333" t="str">
            <v>(421) 476-0158 DESPACHO</v>
          </cell>
          <cell r="H333" t="str">
            <v>ANDREA LAURA HDZ.</v>
          </cell>
          <cell r="I333" t="str">
            <v>ANDREA LAURA HDZ</v>
          </cell>
          <cell r="J333" t="str">
            <v>J06P</v>
          </cell>
          <cell r="K333" t="str">
            <v/>
          </cell>
          <cell r="L333">
            <v>0</v>
          </cell>
          <cell r="M333">
            <v>338</v>
          </cell>
          <cell r="N333" t="str">
            <v>A</v>
          </cell>
          <cell r="O333">
            <v>42392</v>
          </cell>
          <cell r="P333" t="str">
            <v xml:space="preserve">    1</v>
          </cell>
          <cell r="Q333">
            <v>0</v>
          </cell>
          <cell r="R333">
            <v>0</v>
          </cell>
          <cell r="S333">
            <v>0</v>
          </cell>
          <cell r="T333">
            <v>82603</v>
          </cell>
          <cell r="U333">
            <v>0</v>
          </cell>
          <cell r="V333" t="str">
            <v>CENTRO</v>
          </cell>
          <cell r="W333" t="str">
            <v>(421) 103-9301 CEL</v>
          </cell>
          <cell r="X333" t="str">
            <v/>
          </cell>
        </row>
        <row r="334">
          <cell r="A334">
            <v>2235</v>
          </cell>
          <cell r="B334" t="str">
            <v>REGALOS "SORI"</v>
          </cell>
          <cell r="C334" t="str">
            <v/>
          </cell>
          <cell r="D334" t="str">
            <v>JACARANDAS #26-B</v>
          </cell>
          <cell r="E334" t="str">
            <v>YURIRIA, GTO.</v>
          </cell>
          <cell r="F334" t="str">
            <v/>
          </cell>
          <cell r="G334" t="str">
            <v/>
          </cell>
          <cell r="H334" t="str">
            <v/>
          </cell>
          <cell r="I334" t="str">
            <v/>
          </cell>
          <cell r="J334" t="str">
            <v>BAJA</v>
          </cell>
          <cell r="K334" t="str">
            <v/>
          </cell>
          <cell r="L334">
            <v>0</v>
          </cell>
          <cell r="M334">
            <v>339</v>
          </cell>
          <cell r="N334" t="str">
            <v>A</v>
          </cell>
          <cell r="O334">
            <v>41191</v>
          </cell>
          <cell r="P334" t="str">
            <v xml:space="preserve">    3</v>
          </cell>
          <cell r="Q334">
            <v>0</v>
          </cell>
          <cell r="R334">
            <v>0</v>
          </cell>
          <cell r="S334">
            <v>0</v>
          </cell>
          <cell r="T334">
            <v>727</v>
          </cell>
          <cell r="U334">
            <v>0</v>
          </cell>
          <cell r="V334" t="str">
            <v>CENTRO</v>
          </cell>
          <cell r="W334" t="str">
            <v/>
          </cell>
          <cell r="X334" t="str">
            <v/>
          </cell>
        </row>
        <row r="335">
          <cell r="A335">
            <v>2236</v>
          </cell>
          <cell r="B335" t="str">
            <v>IRMA VENCES "CASA MIR" (D.F.)</v>
          </cell>
          <cell r="C335" t="str">
            <v/>
          </cell>
          <cell r="D335" t="str">
            <v>REPUBLICA DE CHILE #57-B</v>
          </cell>
          <cell r="E335" t="str">
            <v>MEXICO, D.F.</v>
          </cell>
          <cell r="F335" t="str">
            <v/>
          </cell>
          <cell r="G335" t="str">
            <v>(55) 5526-6868</v>
          </cell>
          <cell r="H335" t="str">
            <v>IRMA VENCES</v>
          </cell>
          <cell r="I335" t="str">
            <v>IRMA VENCES</v>
          </cell>
          <cell r="J335" t="str">
            <v>BAJA</v>
          </cell>
          <cell r="K335" t="str">
            <v/>
          </cell>
          <cell r="L335">
            <v>0</v>
          </cell>
          <cell r="M335">
            <v>340</v>
          </cell>
          <cell r="N335" t="str">
            <v>S</v>
          </cell>
          <cell r="O335">
            <v>41198</v>
          </cell>
          <cell r="P335" t="str">
            <v xml:space="preserve">    9</v>
          </cell>
          <cell r="Q335">
            <v>0</v>
          </cell>
          <cell r="R335">
            <v>0</v>
          </cell>
          <cell r="S335">
            <v>0</v>
          </cell>
          <cell r="T335">
            <v>4988.9000000000005</v>
          </cell>
          <cell r="U335">
            <v>0</v>
          </cell>
          <cell r="V335" t="str">
            <v>CENTRO</v>
          </cell>
          <cell r="W335" t="str">
            <v/>
          </cell>
          <cell r="X335" t="str">
            <v/>
          </cell>
        </row>
        <row r="336">
          <cell r="A336">
            <v>2237</v>
          </cell>
          <cell r="B336" t="str">
            <v>VICTOR LOPEZ GUITIERREZ - RITA MARTINEZ JUAREZ (SALAMANCA)</v>
          </cell>
          <cell r="C336" t="str">
            <v/>
          </cell>
          <cell r="D336" t="str">
            <v>TENIXTEPEC #206 A</v>
          </cell>
          <cell r="E336" t="str">
            <v>SALAMANCA, GTO.</v>
          </cell>
          <cell r="F336" t="str">
            <v>36730</v>
          </cell>
          <cell r="G336" t="str">
            <v>(464) 639-8072</v>
          </cell>
          <cell r="H336" t="str">
            <v>VICTOR LOPEZ G.</v>
          </cell>
          <cell r="I336" t="str">
            <v>VICTOR LOPEZ G.</v>
          </cell>
          <cell r="J336" t="str">
            <v>BAJA</v>
          </cell>
          <cell r="K336" t="str">
            <v/>
          </cell>
          <cell r="L336">
            <v>0</v>
          </cell>
          <cell r="M336">
            <v>341</v>
          </cell>
          <cell r="N336" t="str">
            <v>A</v>
          </cell>
          <cell r="O336">
            <v>41199</v>
          </cell>
          <cell r="P336" t="str">
            <v xml:space="preserve">    3</v>
          </cell>
          <cell r="Q336">
            <v>0</v>
          </cell>
          <cell r="R336">
            <v>0</v>
          </cell>
          <cell r="S336">
            <v>0</v>
          </cell>
          <cell r="T336">
            <v>893</v>
          </cell>
          <cell r="U336">
            <v>0</v>
          </cell>
          <cell r="V336" t="str">
            <v>BELLA VISTA</v>
          </cell>
          <cell r="W336" t="str">
            <v/>
          </cell>
          <cell r="X336" t="str">
            <v/>
          </cell>
        </row>
        <row r="337">
          <cell r="A337">
            <v>2238</v>
          </cell>
          <cell r="B337" t="str">
            <v>REGALOS NICOLE (TASQUILLO)</v>
          </cell>
          <cell r="C337" t="str">
            <v/>
          </cell>
          <cell r="D337" t="str">
            <v>BELISARIO DOMINGUEZ #8</v>
          </cell>
          <cell r="E337" t="str">
            <v>TASQUILLO, HGO.</v>
          </cell>
          <cell r="F337" t="str">
            <v/>
          </cell>
          <cell r="G337" t="str">
            <v/>
          </cell>
          <cell r="H337" t="str">
            <v/>
          </cell>
          <cell r="I337" t="str">
            <v/>
          </cell>
          <cell r="J337" t="str">
            <v>BAJA</v>
          </cell>
          <cell r="K337" t="str">
            <v/>
          </cell>
          <cell r="L337">
            <v>0</v>
          </cell>
          <cell r="M337">
            <v>342</v>
          </cell>
          <cell r="N337" t="str">
            <v>S</v>
          </cell>
          <cell r="O337">
            <v>41191</v>
          </cell>
          <cell r="P337" t="str">
            <v xml:space="preserve">    1</v>
          </cell>
          <cell r="Q337">
            <v>0</v>
          </cell>
          <cell r="R337">
            <v>0</v>
          </cell>
          <cell r="S337">
            <v>0</v>
          </cell>
          <cell r="T337">
            <v>435</v>
          </cell>
          <cell r="U337">
            <v>0</v>
          </cell>
          <cell r="V337" t="str">
            <v>CENTRO</v>
          </cell>
          <cell r="W337" t="str">
            <v/>
          </cell>
          <cell r="X337" t="str">
            <v/>
          </cell>
        </row>
        <row r="338">
          <cell r="A338">
            <v>2239</v>
          </cell>
          <cell r="B338" t="str">
            <v xml:space="preserve">PATRICIA ALVAREZ DIAZ (TLAXCOAPAN)                          </v>
          </cell>
          <cell r="C338" t="str">
            <v/>
          </cell>
          <cell r="D338" t="str">
            <v xml:space="preserve">FCO. I. MADERO S/N                      </v>
          </cell>
          <cell r="E338" t="str">
            <v xml:space="preserve">TLAXCOAPAN, HGO.              </v>
          </cell>
          <cell r="F338" t="str">
            <v/>
          </cell>
          <cell r="G338" t="str">
            <v>(55) 7229-5527</v>
          </cell>
          <cell r="J338" t="str">
            <v>F02</v>
          </cell>
          <cell r="K338" t="str">
            <v/>
          </cell>
          <cell r="L338">
            <v>0</v>
          </cell>
          <cell r="M338">
            <v>343</v>
          </cell>
          <cell r="N338" t="str">
            <v>A</v>
          </cell>
          <cell r="O338">
            <v>41191</v>
          </cell>
          <cell r="P338" t="str">
            <v xml:space="preserve">    1</v>
          </cell>
          <cell r="Q338">
            <v>0</v>
          </cell>
          <cell r="R338">
            <v>0</v>
          </cell>
          <cell r="S338">
            <v>0</v>
          </cell>
          <cell r="T338">
            <v>1215</v>
          </cell>
          <cell r="U338">
            <v>0</v>
          </cell>
          <cell r="V338" t="str">
            <v>CENTRO</v>
          </cell>
          <cell r="W338" t="str">
            <v/>
          </cell>
          <cell r="X338" t="str">
            <v/>
          </cell>
        </row>
        <row r="339">
          <cell r="A339">
            <v>2240</v>
          </cell>
          <cell r="B339" t="str">
            <v>ROSAURA VIOLETA NIETO DE LA VEGA (QUERETRO)</v>
          </cell>
          <cell r="C339" t="str">
            <v/>
          </cell>
          <cell r="D339" t="str">
            <v>PROL. ZARAGOZA #507</v>
          </cell>
          <cell r="E339" t="str">
            <v>QUERETARO, QRO.</v>
          </cell>
          <cell r="F339" t="str">
            <v/>
          </cell>
          <cell r="G339" t="str">
            <v>(442) 216-2332</v>
          </cell>
          <cell r="H339" t="str">
            <v>ROSAURA NIETO</v>
          </cell>
          <cell r="I339" t="str">
            <v>ROSAURA NIETO</v>
          </cell>
          <cell r="J339" t="str">
            <v>BAJA</v>
          </cell>
          <cell r="K339" t="str">
            <v/>
          </cell>
          <cell r="L339">
            <v>0</v>
          </cell>
          <cell r="M339">
            <v>344</v>
          </cell>
          <cell r="N339" t="str">
            <v>A</v>
          </cell>
          <cell r="O339">
            <v>41205</v>
          </cell>
          <cell r="P339" t="str">
            <v xml:space="preserve">    3</v>
          </cell>
          <cell r="Q339">
            <v>0</v>
          </cell>
          <cell r="R339">
            <v>0</v>
          </cell>
          <cell r="S339">
            <v>0</v>
          </cell>
          <cell r="T339">
            <v>3694</v>
          </cell>
          <cell r="U339">
            <v>0</v>
          </cell>
          <cell r="V339" t="str">
            <v>JARDINES DE LA HACIE</v>
          </cell>
          <cell r="W339" t="str">
            <v>(442) 206-4767</v>
          </cell>
          <cell r="X339" t="str">
            <v/>
          </cell>
        </row>
        <row r="340">
          <cell r="A340">
            <v>2241</v>
          </cell>
          <cell r="B340" t="str">
            <v>RICARDO MOLGADO (ACTOPAN)</v>
          </cell>
          <cell r="C340" t="str">
            <v/>
          </cell>
          <cell r="D340" t="str">
            <v>ESCOBEDO #5</v>
          </cell>
          <cell r="E340" t="str">
            <v>ACTOPAN, HGO.</v>
          </cell>
          <cell r="F340" t="str">
            <v/>
          </cell>
          <cell r="G340" t="str">
            <v>(772) 115-6442 CEL</v>
          </cell>
          <cell r="H340" t="str">
            <v>RICARDO MARGADO</v>
          </cell>
          <cell r="I340" t="str">
            <v>RICARDO MARGADO</v>
          </cell>
          <cell r="J340" t="str">
            <v>F02P</v>
          </cell>
          <cell r="K340" t="str">
            <v/>
          </cell>
          <cell r="L340">
            <v>0</v>
          </cell>
          <cell r="M340">
            <v>345</v>
          </cell>
          <cell r="N340" t="str">
            <v>A</v>
          </cell>
          <cell r="O340">
            <v>42325</v>
          </cell>
          <cell r="P340" t="str">
            <v xml:space="preserve">    9</v>
          </cell>
          <cell r="Q340">
            <v>0</v>
          </cell>
          <cell r="R340">
            <v>0</v>
          </cell>
          <cell r="S340">
            <v>2469</v>
          </cell>
          <cell r="T340">
            <v>7310</v>
          </cell>
          <cell r="U340">
            <v>0</v>
          </cell>
          <cell r="V340" t="str">
            <v>CENTRO</v>
          </cell>
          <cell r="W340" t="str">
            <v/>
          </cell>
          <cell r="X340" t="str">
            <v/>
          </cell>
        </row>
        <row r="341">
          <cell r="A341">
            <v>2242</v>
          </cell>
          <cell r="B341" t="str">
            <v>RAQUEL SANCHEZ PRADO (ACTOPAN)</v>
          </cell>
          <cell r="C341" t="str">
            <v/>
          </cell>
          <cell r="D341" t="str">
            <v>VICTORIA #2</v>
          </cell>
          <cell r="E341" t="str">
            <v>ACTOPAN, HGO.</v>
          </cell>
          <cell r="F341" t="str">
            <v/>
          </cell>
          <cell r="G341" t="str">
            <v>(772) 132-7581</v>
          </cell>
          <cell r="H341" t="str">
            <v>RAQUEL SANCHEZ PRADO</v>
          </cell>
          <cell r="I341" t="str">
            <v>RAQUEL SANCHEZ PRADO</v>
          </cell>
          <cell r="J341" t="str">
            <v>BAJA</v>
          </cell>
          <cell r="K341" t="str">
            <v/>
          </cell>
          <cell r="L341">
            <v>0</v>
          </cell>
          <cell r="M341">
            <v>346</v>
          </cell>
          <cell r="N341" t="str">
            <v>A</v>
          </cell>
          <cell r="O341">
            <v>41202</v>
          </cell>
          <cell r="P341" t="str">
            <v xml:space="preserve">    9</v>
          </cell>
          <cell r="Q341">
            <v>0</v>
          </cell>
          <cell r="R341">
            <v>0</v>
          </cell>
          <cell r="S341">
            <v>0</v>
          </cell>
          <cell r="T341">
            <v>1520</v>
          </cell>
          <cell r="U341">
            <v>0</v>
          </cell>
          <cell r="V341" t="str">
            <v>CENTRO</v>
          </cell>
          <cell r="W341" t="str">
            <v/>
          </cell>
          <cell r="X341" t="str">
            <v/>
          </cell>
        </row>
        <row r="342">
          <cell r="A342">
            <v>2243</v>
          </cell>
          <cell r="B342" t="str">
            <v>SERGIO GALICIA CAMACHO (D.F.)</v>
          </cell>
          <cell r="C342" t="str">
            <v/>
          </cell>
          <cell r="D342" t="str">
            <v>MERCADO TACUBA LOC. 301-302</v>
          </cell>
          <cell r="E342" t="str">
            <v>MEXICO, D.F.</v>
          </cell>
          <cell r="F342" t="str">
            <v/>
          </cell>
          <cell r="G342" t="str">
            <v/>
          </cell>
          <cell r="H342" t="str">
            <v>SERGIO GALICIA C.</v>
          </cell>
          <cell r="I342" t="str">
            <v>SERGIO GALICIA C.</v>
          </cell>
          <cell r="J342" t="str">
            <v>BAJA</v>
          </cell>
          <cell r="K342" t="str">
            <v/>
          </cell>
          <cell r="L342">
            <v>0</v>
          </cell>
          <cell r="M342">
            <v>347</v>
          </cell>
          <cell r="N342" t="str">
            <v>S</v>
          </cell>
          <cell r="O342">
            <v>41205</v>
          </cell>
          <cell r="P342" t="str">
            <v xml:space="preserve">    9</v>
          </cell>
          <cell r="Q342">
            <v>0</v>
          </cell>
          <cell r="R342">
            <v>0</v>
          </cell>
          <cell r="S342">
            <v>0</v>
          </cell>
          <cell r="T342">
            <v>865</v>
          </cell>
          <cell r="U342">
            <v>0</v>
          </cell>
          <cell r="V342" t="str">
            <v/>
          </cell>
          <cell r="W342" t="str">
            <v/>
          </cell>
          <cell r="X342" t="str">
            <v/>
          </cell>
        </row>
        <row r="343">
          <cell r="A343">
            <v>2244</v>
          </cell>
          <cell r="B343" t="str">
            <v>CONSUELO RUEDA JIMENEZ (NICOLAS ROMERO)</v>
          </cell>
          <cell r="C343" t="str">
            <v/>
          </cell>
          <cell r="D343" t="str">
            <v>AV. 16 DE SEPTIEMBRE #47</v>
          </cell>
          <cell r="E343" t="str">
            <v>NICOLAS ROMERO, EDO. DE MEXICO</v>
          </cell>
          <cell r="F343" t="str">
            <v/>
          </cell>
          <cell r="G343" t="str">
            <v>(55) 5821-2056</v>
          </cell>
          <cell r="H343" t="str">
            <v>CONSUELO RUEDA J.</v>
          </cell>
          <cell r="I343" t="str">
            <v>CONSUELO RUEDA J.</v>
          </cell>
          <cell r="J343" t="str">
            <v>M02</v>
          </cell>
          <cell r="K343" t="str">
            <v/>
          </cell>
          <cell r="L343">
            <v>0</v>
          </cell>
          <cell r="M343">
            <v>348</v>
          </cell>
          <cell r="N343" t="str">
            <v>A</v>
          </cell>
          <cell r="O343">
            <v>42481</v>
          </cell>
          <cell r="P343" t="str">
            <v xml:space="preserve">    9</v>
          </cell>
          <cell r="Q343">
            <v>0</v>
          </cell>
          <cell r="R343">
            <v>0</v>
          </cell>
          <cell r="S343">
            <v>10937</v>
          </cell>
          <cell r="T343">
            <v>211341</v>
          </cell>
          <cell r="U343">
            <v>0</v>
          </cell>
          <cell r="V343" t="str">
            <v>CENTRO</v>
          </cell>
          <cell r="W343" t="str">
            <v/>
          </cell>
          <cell r="X343" t="str">
            <v>jofiel_lopez@hotmail.com</v>
          </cell>
        </row>
        <row r="344">
          <cell r="A344">
            <v>2245</v>
          </cell>
          <cell r="B344" t="str">
            <v>PEDRO VALDEZ JUAREZ (ACAMBARO)</v>
          </cell>
          <cell r="C344" t="str">
            <v/>
          </cell>
          <cell r="D344" t="str">
            <v>GUILLERMO PRIETO #4</v>
          </cell>
          <cell r="E344" t="str">
            <v>ACAMBARO, GTO.</v>
          </cell>
          <cell r="F344" t="str">
            <v/>
          </cell>
          <cell r="G344" t="str">
            <v>(417) 172-0199 CASA</v>
          </cell>
          <cell r="H344" t="str">
            <v>PEDRO VALDEZ JUAREZ</v>
          </cell>
          <cell r="I344" t="str">
            <v>PEDRO VALDEZ JUAREZ</v>
          </cell>
          <cell r="J344" t="str">
            <v>J06</v>
          </cell>
          <cell r="K344" t="str">
            <v/>
          </cell>
          <cell r="L344">
            <v>0</v>
          </cell>
          <cell r="M344">
            <v>349</v>
          </cell>
          <cell r="N344" t="str">
            <v>A</v>
          </cell>
          <cell r="O344">
            <v>42511</v>
          </cell>
          <cell r="P344" t="str">
            <v xml:space="preserve">    1</v>
          </cell>
          <cell r="Q344">
            <v>0</v>
          </cell>
          <cell r="R344">
            <v>0</v>
          </cell>
          <cell r="S344">
            <v>10277</v>
          </cell>
          <cell r="T344">
            <v>223344</v>
          </cell>
          <cell r="U344">
            <v>0</v>
          </cell>
          <cell r="V344" t="str">
            <v>CENTRO</v>
          </cell>
          <cell r="W344" t="str">
            <v>(417) 111-6080 CEL</v>
          </cell>
          <cell r="X344" t="str">
            <v/>
          </cell>
        </row>
        <row r="345">
          <cell r="A345">
            <v>2246</v>
          </cell>
          <cell r="B345" t="str">
            <v>SOLEDAD CASTILLO VEGA (TULA)</v>
          </cell>
          <cell r="C345" t="str">
            <v/>
          </cell>
          <cell r="D345" t="str">
            <v>MERCADO FELIPE CARBAJAL LOC. 54</v>
          </cell>
          <cell r="E345" t="str">
            <v>TULA, HGO.</v>
          </cell>
          <cell r="F345" t="str">
            <v/>
          </cell>
          <cell r="G345" t="str">
            <v>(773) 23735</v>
          </cell>
          <cell r="H345" t="str">
            <v>SOLEDAD CASTILLO V.</v>
          </cell>
          <cell r="I345" t="str">
            <v>SOLEDAD CASTILLO V.</v>
          </cell>
          <cell r="J345" t="str">
            <v>BAJA</v>
          </cell>
          <cell r="K345" t="str">
            <v/>
          </cell>
          <cell r="L345">
            <v>0</v>
          </cell>
          <cell r="M345">
            <v>350</v>
          </cell>
          <cell r="N345" t="str">
            <v>A</v>
          </cell>
          <cell r="O345">
            <v>41218</v>
          </cell>
          <cell r="P345" t="str">
            <v xml:space="preserve">    9</v>
          </cell>
          <cell r="Q345">
            <v>0</v>
          </cell>
          <cell r="R345">
            <v>0</v>
          </cell>
          <cell r="S345">
            <v>0</v>
          </cell>
          <cell r="T345">
            <v>353</v>
          </cell>
          <cell r="U345">
            <v>0</v>
          </cell>
          <cell r="V345" t="str">
            <v>CENTRO</v>
          </cell>
          <cell r="W345" t="str">
            <v/>
          </cell>
          <cell r="X345" t="str">
            <v/>
          </cell>
        </row>
        <row r="346">
          <cell r="A346">
            <v>2247</v>
          </cell>
          <cell r="B346" t="str">
            <v>BONETERIA "MODAS RODCE" (TEMAZCALAPAN)</v>
          </cell>
          <cell r="C346" t="str">
            <v/>
          </cell>
          <cell r="D346" t="str">
            <v>AV. GUSTAVO BAS #14</v>
          </cell>
          <cell r="E346" t="str">
            <v>TEMAZCALAPA, EDO. DE MEXICO</v>
          </cell>
          <cell r="F346" t="str">
            <v/>
          </cell>
          <cell r="G346" t="str">
            <v/>
          </cell>
          <cell r="H346" t="str">
            <v/>
          </cell>
          <cell r="I346" t="str">
            <v/>
          </cell>
          <cell r="J346" t="str">
            <v>BAJA</v>
          </cell>
          <cell r="K346" t="str">
            <v/>
          </cell>
          <cell r="L346">
            <v>0</v>
          </cell>
          <cell r="M346">
            <v>351</v>
          </cell>
          <cell r="N346" t="str">
            <v>A</v>
          </cell>
          <cell r="O346">
            <v>41220</v>
          </cell>
          <cell r="P346" t="str">
            <v xml:space="preserve">    9</v>
          </cell>
          <cell r="Q346">
            <v>0</v>
          </cell>
          <cell r="R346">
            <v>0</v>
          </cell>
          <cell r="S346">
            <v>0</v>
          </cell>
          <cell r="T346">
            <v>457</v>
          </cell>
          <cell r="U346">
            <v>0</v>
          </cell>
          <cell r="V346" t="str">
            <v>CENTRO</v>
          </cell>
          <cell r="W346" t="str">
            <v/>
          </cell>
          <cell r="X346" t="str">
            <v/>
          </cell>
        </row>
        <row r="347">
          <cell r="A347">
            <v>2248</v>
          </cell>
          <cell r="B347" t="str">
            <v>REYNA MONTIEL CARDENAS (ATLACOMULCO)</v>
          </cell>
          <cell r="C347" t="str">
            <v/>
          </cell>
          <cell r="D347" t="str">
            <v>JOSE VICENTE VILLADA #8</v>
          </cell>
          <cell r="E347" t="str">
            <v>ATLACOMULCO, EDO. DE MEXICO</v>
          </cell>
          <cell r="F347" t="str">
            <v/>
          </cell>
          <cell r="G347" t="str">
            <v>72*586145*2</v>
          </cell>
          <cell r="H347" t="str">
            <v>REYNA MONTIEL C.</v>
          </cell>
          <cell r="I347" t="str">
            <v>REYNA MONTIEL C.</v>
          </cell>
          <cell r="J347" t="str">
            <v>L08</v>
          </cell>
          <cell r="K347" t="str">
            <v/>
          </cell>
          <cell r="L347">
            <v>0</v>
          </cell>
          <cell r="M347">
            <v>352</v>
          </cell>
          <cell r="N347" t="str">
            <v>A</v>
          </cell>
          <cell r="O347">
            <v>42459</v>
          </cell>
          <cell r="P347" t="str">
            <v xml:space="preserve">    3</v>
          </cell>
          <cell r="Q347">
            <v>0</v>
          </cell>
          <cell r="R347">
            <v>0</v>
          </cell>
          <cell r="S347">
            <v>4011</v>
          </cell>
          <cell r="T347">
            <v>124633</v>
          </cell>
          <cell r="U347">
            <v>0</v>
          </cell>
          <cell r="V347" t="str">
            <v>CENTRO</v>
          </cell>
          <cell r="W347" t="str">
            <v>(712) 113-9853 CEL</v>
          </cell>
          <cell r="X347" t="str">
            <v/>
          </cell>
        </row>
        <row r="348">
          <cell r="A348">
            <v>2249</v>
          </cell>
          <cell r="B348" t="str">
            <v>CATALINA SALINAS TORREZ (TECOZAHUTLA)</v>
          </cell>
          <cell r="C348" t="str">
            <v/>
          </cell>
          <cell r="D348" t="str">
            <v/>
          </cell>
          <cell r="E348" t="str">
            <v>TECOZAHUTLA, HGO.</v>
          </cell>
          <cell r="F348" t="str">
            <v/>
          </cell>
          <cell r="G348" t="str">
            <v/>
          </cell>
          <cell r="H348" t="str">
            <v>CATALINA SALINAS T.</v>
          </cell>
          <cell r="I348" t="str">
            <v>CATALINA SALINAS T.</v>
          </cell>
          <cell r="J348" t="str">
            <v>BAJA</v>
          </cell>
          <cell r="K348" t="str">
            <v/>
          </cell>
          <cell r="L348">
            <v>0</v>
          </cell>
          <cell r="M348">
            <v>353</v>
          </cell>
          <cell r="N348" t="str">
            <v>A</v>
          </cell>
          <cell r="O348">
            <v>41220</v>
          </cell>
          <cell r="P348" t="str">
            <v xml:space="preserve">   13</v>
          </cell>
          <cell r="Q348">
            <v>0</v>
          </cell>
          <cell r="R348">
            <v>0</v>
          </cell>
          <cell r="S348">
            <v>0</v>
          </cell>
          <cell r="T348">
            <v>1314</v>
          </cell>
          <cell r="U348">
            <v>0</v>
          </cell>
          <cell r="V348" t="str">
            <v/>
          </cell>
          <cell r="W348" t="str">
            <v/>
          </cell>
          <cell r="X348" t="str">
            <v/>
          </cell>
        </row>
        <row r="349">
          <cell r="A349">
            <v>2250</v>
          </cell>
          <cell r="B349" t="str">
            <v xml:space="preserve">ESTEFANIA ANDRADE CRISOSTOMO (TLALNE)                       </v>
          </cell>
          <cell r="C349" t="str">
            <v/>
          </cell>
          <cell r="D349" t="str">
            <v xml:space="preserve">PLAZA CASAS BLANCA LOC. 111-112         </v>
          </cell>
          <cell r="E349" t="str">
            <v xml:space="preserve">TLALNEPANTLA, EDO. DE MEXICO  </v>
          </cell>
          <cell r="F349" t="str">
            <v/>
          </cell>
          <cell r="G349" t="str">
            <v/>
          </cell>
          <cell r="J349" t="str">
            <v>F02</v>
          </cell>
          <cell r="K349" t="str">
            <v/>
          </cell>
          <cell r="L349">
            <v>0</v>
          </cell>
          <cell r="M349">
            <v>354</v>
          </cell>
          <cell r="N349" t="str">
            <v>A</v>
          </cell>
          <cell r="O349">
            <v>41220</v>
          </cell>
          <cell r="P349" t="str">
            <v xml:space="preserve">   13</v>
          </cell>
          <cell r="Q349">
            <v>0</v>
          </cell>
          <cell r="R349">
            <v>0</v>
          </cell>
          <cell r="S349">
            <v>0</v>
          </cell>
          <cell r="T349">
            <v>770</v>
          </cell>
          <cell r="U349">
            <v>0</v>
          </cell>
          <cell r="V349" t="str">
            <v/>
          </cell>
          <cell r="W349" t="str">
            <v/>
          </cell>
          <cell r="X349" t="str">
            <v/>
          </cell>
        </row>
        <row r="350">
          <cell r="A350">
            <v>2251</v>
          </cell>
          <cell r="B350" t="str">
            <v>TERESA HERNANDEZ FLORES (HUICHAPAN)</v>
          </cell>
          <cell r="C350" t="str">
            <v/>
          </cell>
          <cell r="D350" t="str">
            <v>MERCADO HUICHAPAN INT. 5</v>
          </cell>
          <cell r="E350" t="str">
            <v>HUICHAPAN, HGO.</v>
          </cell>
          <cell r="F350" t="str">
            <v/>
          </cell>
          <cell r="G350" t="str">
            <v>(761) 782-1954</v>
          </cell>
          <cell r="H350" t="str">
            <v>TERESA HERNANDEZ F.</v>
          </cell>
          <cell r="I350" t="str">
            <v>TERESA HERNANDEZ F.</v>
          </cell>
          <cell r="J350" t="str">
            <v>BAJA</v>
          </cell>
          <cell r="K350" t="str">
            <v/>
          </cell>
          <cell r="L350">
            <v>0</v>
          </cell>
          <cell r="M350">
            <v>355</v>
          </cell>
          <cell r="N350" t="str">
            <v>A</v>
          </cell>
          <cell r="O350">
            <v>41366</v>
          </cell>
          <cell r="P350" t="str">
            <v xml:space="preserve">    1</v>
          </cell>
          <cell r="Q350">
            <v>0</v>
          </cell>
          <cell r="R350">
            <v>0</v>
          </cell>
          <cell r="S350">
            <v>0</v>
          </cell>
          <cell r="T350">
            <v>4539</v>
          </cell>
          <cell r="U350">
            <v>0</v>
          </cell>
          <cell r="V350" t="str">
            <v>CENTRO</v>
          </cell>
          <cell r="W350" t="str">
            <v/>
          </cell>
          <cell r="X350" t="str">
            <v/>
          </cell>
        </row>
        <row r="351">
          <cell r="A351">
            <v>2252</v>
          </cell>
          <cell r="B351" t="str">
            <v>LIDYA HURTADO (TACUBA)</v>
          </cell>
          <cell r="C351" t="str">
            <v/>
          </cell>
          <cell r="D351" t="str">
            <v>MERCADO TACUBA LOC. 251-253</v>
          </cell>
          <cell r="E351" t="str">
            <v/>
          </cell>
          <cell r="F351" t="str">
            <v/>
          </cell>
          <cell r="G351" t="str">
            <v>(55) 5399-0202</v>
          </cell>
          <cell r="H351" t="str">
            <v/>
          </cell>
          <cell r="I351" t="str">
            <v/>
          </cell>
          <cell r="J351" t="str">
            <v>BAJA</v>
          </cell>
          <cell r="K351" t="str">
            <v/>
          </cell>
          <cell r="L351">
            <v>0</v>
          </cell>
          <cell r="M351">
            <v>356</v>
          </cell>
          <cell r="N351" t="str">
            <v>S</v>
          </cell>
          <cell r="O351">
            <v>41221</v>
          </cell>
          <cell r="P351" t="str">
            <v/>
          </cell>
          <cell r="Q351">
            <v>0</v>
          </cell>
          <cell r="R351">
            <v>0</v>
          </cell>
          <cell r="S351">
            <v>0</v>
          </cell>
          <cell r="T351">
            <v>1070</v>
          </cell>
          <cell r="U351">
            <v>0</v>
          </cell>
          <cell r="V351" t="str">
            <v/>
          </cell>
          <cell r="W351" t="str">
            <v/>
          </cell>
          <cell r="X351" t="str">
            <v/>
          </cell>
        </row>
        <row r="352">
          <cell r="A352">
            <v>2253</v>
          </cell>
          <cell r="B352" t="str">
            <v>LETICIA GARDUÑO CRUZ (IZCALLI)</v>
          </cell>
          <cell r="C352" t="str">
            <v/>
          </cell>
          <cell r="D352" t="str">
            <v>MERCADO DEL CARMEN LOC. 229</v>
          </cell>
          <cell r="E352" t="str">
            <v>IZCALLI, EDO. DE MEXICO</v>
          </cell>
          <cell r="F352" t="str">
            <v/>
          </cell>
          <cell r="G352" t="str">
            <v>(55) 1676-1036</v>
          </cell>
          <cell r="H352" t="str">
            <v>LETICIA GARDUÑO CRUZ</v>
          </cell>
          <cell r="I352" t="str">
            <v>LETICIA GARDUÑO CRUZ</v>
          </cell>
          <cell r="J352" t="str">
            <v>BAJA</v>
          </cell>
          <cell r="K352" t="str">
            <v/>
          </cell>
          <cell r="L352">
            <v>0</v>
          </cell>
          <cell r="M352">
            <v>357</v>
          </cell>
          <cell r="N352" t="str">
            <v>A</v>
          </cell>
          <cell r="O352">
            <v>41227</v>
          </cell>
          <cell r="P352" t="str">
            <v xml:space="preserve">    9</v>
          </cell>
          <cell r="Q352">
            <v>0</v>
          </cell>
          <cell r="R352">
            <v>0</v>
          </cell>
          <cell r="S352">
            <v>0</v>
          </cell>
          <cell r="T352">
            <v>1449</v>
          </cell>
          <cell r="U352">
            <v>0</v>
          </cell>
          <cell r="V352" t="str">
            <v/>
          </cell>
          <cell r="W352" t="str">
            <v/>
          </cell>
          <cell r="X352" t="str">
            <v/>
          </cell>
        </row>
        <row r="353">
          <cell r="A353">
            <v>2254</v>
          </cell>
          <cell r="B353" t="str">
            <v>CONSTANTINO ALBITER (ZUMPANGO)</v>
          </cell>
          <cell r="C353" t="str">
            <v/>
          </cell>
          <cell r="D353" t="str">
            <v>FEDERICO GOMEZ #5</v>
          </cell>
          <cell r="E353" t="str">
            <v>ZUMPANGO, EDO. DE MEXICO</v>
          </cell>
          <cell r="F353" t="str">
            <v/>
          </cell>
          <cell r="G353" t="str">
            <v>(55)1292-6210</v>
          </cell>
          <cell r="H353" t="str">
            <v>CONSTANTINO ALBITER</v>
          </cell>
          <cell r="I353" t="str">
            <v>CONSTANTINO ALBITER</v>
          </cell>
          <cell r="J353" t="str">
            <v>BAJA</v>
          </cell>
          <cell r="K353" t="str">
            <v/>
          </cell>
          <cell r="L353">
            <v>0</v>
          </cell>
          <cell r="M353">
            <v>358</v>
          </cell>
          <cell r="N353" t="str">
            <v>A</v>
          </cell>
          <cell r="O353">
            <v>41368</v>
          </cell>
          <cell r="P353" t="str">
            <v xml:space="preserve">    9</v>
          </cell>
          <cell r="Q353">
            <v>0</v>
          </cell>
          <cell r="R353">
            <v>0</v>
          </cell>
          <cell r="S353">
            <v>0</v>
          </cell>
          <cell r="T353">
            <v>9849.84</v>
          </cell>
          <cell r="U353">
            <v>0</v>
          </cell>
          <cell r="V353" t="str">
            <v>CENTRO</v>
          </cell>
          <cell r="W353" t="str">
            <v/>
          </cell>
          <cell r="X353" t="str">
            <v/>
          </cell>
        </row>
        <row r="354">
          <cell r="A354">
            <v>2255</v>
          </cell>
          <cell r="B354" t="str">
            <v>COMERCIALIZADORA NUPCIAL (VILLA)</v>
          </cell>
          <cell r="C354" t="str">
            <v/>
          </cell>
          <cell r="D354" t="str">
            <v>PLAZA LAS FLORES LOC. 81-82</v>
          </cell>
          <cell r="E354" t="str">
            <v>COACALCO, EDO. DE MEXICO</v>
          </cell>
          <cell r="F354" t="str">
            <v/>
          </cell>
          <cell r="G354" t="str">
            <v>(55) 1039-3140</v>
          </cell>
          <cell r="H354" t="str">
            <v/>
          </cell>
          <cell r="I354" t="str">
            <v/>
          </cell>
          <cell r="J354" t="str">
            <v>BAJA</v>
          </cell>
          <cell r="K354" t="str">
            <v/>
          </cell>
          <cell r="L354">
            <v>0</v>
          </cell>
          <cell r="M354">
            <v>359</v>
          </cell>
          <cell r="N354" t="str">
            <v>A</v>
          </cell>
          <cell r="O354">
            <v>41234</v>
          </cell>
          <cell r="P354" t="str">
            <v xml:space="preserve">    9</v>
          </cell>
          <cell r="Q354">
            <v>0</v>
          </cell>
          <cell r="R354">
            <v>0</v>
          </cell>
          <cell r="S354">
            <v>0</v>
          </cell>
          <cell r="T354">
            <v>3491</v>
          </cell>
          <cell r="U354">
            <v>0</v>
          </cell>
          <cell r="V354" t="str">
            <v>VILLA DE LAS FLORES</v>
          </cell>
          <cell r="W354" t="str">
            <v/>
          </cell>
          <cell r="X354" t="str">
            <v/>
          </cell>
        </row>
        <row r="355">
          <cell r="A355">
            <v>2256</v>
          </cell>
          <cell r="B355" t="str">
            <v>CLAUDETE VERONICA TUSIE RUIZ (SAN JOSE ITURBIDE)</v>
          </cell>
          <cell r="C355" t="str">
            <v/>
          </cell>
          <cell r="D355" t="str">
            <v>CARR. SAN LUIS #36</v>
          </cell>
          <cell r="E355" t="str">
            <v>SAN JOSE ITURBIDE, GTO.</v>
          </cell>
          <cell r="F355" t="str">
            <v/>
          </cell>
          <cell r="G355" t="str">
            <v>(419) 198-2649</v>
          </cell>
          <cell r="H355" t="str">
            <v>CLAUDETE TUSIE</v>
          </cell>
          <cell r="I355" t="str">
            <v>CLAUDETE TUSIE</v>
          </cell>
          <cell r="J355" t="str">
            <v>BAJA</v>
          </cell>
          <cell r="K355" t="str">
            <v/>
          </cell>
          <cell r="L355">
            <v>0</v>
          </cell>
          <cell r="M355">
            <v>360</v>
          </cell>
          <cell r="N355" t="str">
            <v>A</v>
          </cell>
          <cell r="O355">
            <v>41227</v>
          </cell>
          <cell r="P355" t="str">
            <v xml:space="preserve">    3</v>
          </cell>
          <cell r="Q355">
            <v>0</v>
          </cell>
          <cell r="R355">
            <v>0</v>
          </cell>
          <cell r="S355">
            <v>0</v>
          </cell>
          <cell r="T355">
            <v>2141</v>
          </cell>
          <cell r="U355">
            <v>0</v>
          </cell>
          <cell r="V355" t="str">
            <v>CENTRO (IMSS)</v>
          </cell>
          <cell r="W355" t="str">
            <v>(419) 114-9708 CEL</v>
          </cell>
          <cell r="X355" t="str">
            <v/>
          </cell>
        </row>
        <row r="356">
          <cell r="A356">
            <v>2257</v>
          </cell>
          <cell r="B356" t="str">
            <v>REGALOS GREGORY (SAN JUAN)</v>
          </cell>
          <cell r="C356" t="str">
            <v/>
          </cell>
          <cell r="D356" t="str">
            <v>MONTE PARNASO #37</v>
          </cell>
          <cell r="E356" t="str">
            <v>SAN JUAN DEL RIO, QRO.</v>
          </cell>
          <cell r="F356" t="str">
            <v/>
          </cell>
          <cell r="G356" t="str">
            <v>(427) 117-2205 CEL</v>
          </cell>
          <cell r="H356" t="str">
            <v>SRA. ANA</v>
          </cell>
          <cell r="I356" t="str">
            <v>SRA. ANA</v>
          </cell>
          <cell r="J356" t="str">
            <v>BAJA</v>
          </cell>
          <cell r="K356" t="str">
            <v/>
          </cell>
          <cell r="L356">
            <v>0</v>
          </cell>
          <cell r="M356">
            <v>361</v>
          </cell>
          <cell r="N356" t="str">
            <v>A</v>
          </cell>
          <cell r="O356">
            <v>41263</v>
          </cell>
          <cell r="P356" t="str">
            <v xml:space="preserve">    1</v>
          </cell>
          <cell r="Q356">
            <v>0</v>
          </cell>
          <cell r="R356">
            <v>0</v>
          </cell>
          <cell r="S356">
            <v>0</v>
          </cell>
          <cell r="T356">
            <v>2637</v>
          </cell>
          <cell r="U356">
            <v>0</v>
          </cell>
          <cell r="V356" t="str">
            <v>LOMAS DE SAN JUAN</v>
          </cell>
          <cell r="W356" t="str">
            <v/>
          </cell>
          <cell r="X356" t="str">
            <v/>
          </cell>
        </row>
        <row r="357">
          <cell r="A357">
            <v>2258</v>
          </cell>
          <cell r="B357" t="str">
            <v>RICARDO GARCIA RODRIGUEZ (APASEO)</v>
          </cell>
          <cell r="C357" t="str">
            <v/>
          </cell>
          <cell r="D357" t="str">
            <v>ALDAMA #103</v>
          </cell>
          <cell r="E357" t="str">
            <v>APASEO EL ALTO, GTO.</v>
          </cell>
          <cell r="F357" t="str">
            <v/>
          </cell>
          <cell r="G357" t="str">
            <v>62*203835*3</v>
          </cell>
          <cell r="H357" t="str">
            <v>RICARDO GARCIA R.</v>
          </cell>
          <cell r="I357" t="str">
            <v>RICARDO GARCIA R.</v>
          </cell>
          <cell r="J357" t="str">
            <v>BAJA</v>
          </cell>
          <cell r="K357" t="str">
            <v/>
          </cell>
          <cell r="L357">
            <v>0</v>
          </cell>
          <cell r="M357">
            <v>362</v>
          </cell>
          <cell r="N357" t="str">
            <v>A</v>
          </cell>
          <cell r="O357">
            <v>41260</v>
          </cell>
          <cell r="P357" t="str">
            <v xml:space="preserve">    3</v>
          </cell>
          <cell r="Q357">
            <v>0</v>
          </cell>
          <cell r="R357">
            <v>0</v>
          </cell>
          <cell r="S357">
            <v>0</v>
          </cell>
          <cell r="T357">
            <v>5145</v>
          </cell>
          <cell r="U357">
            <v>0</v>
          </cell>
          <cell r="V357" t="str">
            <v>CENTRO</v>
          </cell>
          <cell r="W357" t="str">
            <v>(442) 125-8136</v>
          </cell>
          <cell r="X357" t="str">
            <v/>
          </cell>
        </row>
        <row r="358">
          <cell r="A358">
            <v>2259</v>
          </cell>
          <cell r="B358" t="str">
            <v>MARTHA MORALES LOPEZ (URIANGATO)</v>
          </cell>
          <cell r="C358" t="str">
            <v/>
          </cell>
          <cell r="D358" t="str">
            <v>HIDALGO #43</v>
          </cell>
          <cell r="E358" t="str">
            <v>URIANGATO, GTO.</v>
          </cell>
          <cell r="F358" t="str">
            <v/>
          </cell>
          <cell r="G358" t="str">
            <v>(445) 457-5892</v>
          </cell>
          <cell r="H358" t="str">
            <v>MATHA MORALES LOPEZ</v>
          </cell>
          <cell r="I358" t="str">
            <v>MATHA MORALES LOPEZ</v>
          </cell>
          <cell r="J358" t="str">
            <v>J05</v>
          </cell>
          <cell r="K358" t="str">
            <v/>
          </cell>
          <cell r="L358">
            <v>0</v>
          </cell>
          <cell r="M358">
            <v>363</v>
          </cell>
          <cell r="N358" t="str">
            <v>A</v>
          </cell>
          <cell r="O358">
            <v>42410</v>
          </cell>
          <cell r="P358" t="str">
            <v xml:space="preserve">   13</v>
          </cell>
          <cell r="Q358">
            <v>0</v>
          </cell>
          <cell r="R358">
            <v>0</v>
          </cell>
          <cell r="S358">
            <v>0</v>
          </cell>
          <cell r="T358">
            <v>38329.1</v>
          </cell>
          <cell r="U358">
            <v>0</v>
          </cell>
          <cell r="V358" t="str">
            <v>CENTRO</v>
          </cell>
          <cell r="W358" t="str">
            <v/>
          </cell>
          <cell r="X358" t="str">
            <v/>
          </cell>
        </row>
        <row r="359">
          <cell r="A359">
            <v>2260</v>
          </cell>
          <cell r="B359" t="str">
            <v>JUVENAL ALVARADO SERVIA (CUAREMARO)</v>
          </cell>
          <cell r="C359" t="str">
            <v/>
          </cell>
          <cell r="D359" t="str">
            <v>GALEANA #109</v>
          </cell>
          <cell r="E359" t="str">
            <v>CUERAMARO, GTO.</v>
          </cell>
          <cell r="F359" t="str">
            <v/>
          </cell>
          <cell r="G359" t="str">
            <v>(462) 164-8682</v>
          </cell>
          <cell r="H359" t="str">
            <v>JUVENAL ALVARADO S.</v>
          </cell>
          <cell r="I359" t="str">
            <v>JUVENAL ALVARADO S.</v>
          </cell>
          <cell r="J359" t="str">
            <v>BAJA</v>
          </cell>
          <cell r="K359" t="str">
            <v/>
          </cell>
          <cell r="L359">
            <v>0</v>
          </cell>
          <cell r="M359">
            <v>364</v>
          </cell>
          <cell r="N359" t="str">
            <v>A</v>
          </cell>
          <cell r="O359">
            <v>41251</v>
          </cell>
          <cell r="P359" t="str">
            <v xml:space="preserve">    3</v>
          </cell>
          <cell r="Q359">
            <v>0</v>
          </cell>
          <cell r="R359">
            <v>0</v>
          </cell>
          <cell r="S359">
            <v>0</v>
          </cell>
          <cell r="T359">
            <v>5508</v>
          </cell>
          <cell r="U359">
            <v>0</v>
          </cell>
          <cell r="V359" t="str">
            <v>CENTRO</v>
          </cell>
          <cell r="W359" t="str">
            <v/>
          </cell>
          <cell r="X359" t="str">
            <v/>
          </cell>
        </row>
        <row r="360">
          <cell r="A360">
            <v>2261</v>
          </cell>
          <cell r="B360" t="str">
            <v>JOSE JUAN GARCIA (TARIMORO)</v>
          </cell>
          <cell r="C360" t="str">
            <v/>
          </cell>
          <cell r="D360" t="str">
            <v>ZARAGOZA #35</v>
          </cell>
          <cell r="E360" t="str">
            <v>TARIMORO, GTO.</v>
          </cell>
          <cell r="F360" t="str">
            <v/>
          </cell>
          <cell r="G360" t="str">
            <v>(461) 200-7947</v>
          </cell>
          <cell r="H360" t="str">
            <v>JOSE JUAN GARCIA</v>
          </cell>
          <cell r="I360" t="str">
            <v>JOSE JUAN GARCIA</v>
          </cell>
          <cell r="J360" t="str">
            <v>BAJA</v>
          </cell>
          <cell r="K360" t="str">
            <v/>
          </cell>
          <cell r="L360">
            <v>0</v>
          </cell>
          <cell r="M360">
            <v>365</v>
          </cell>
          <cell r="N360" t="str">
            <v>A</v>
          </cell>
          <cell r="O360">
            <v>41251</v>
          </cell>
          <cell r="P360" t="str">
            <v xml:space="preserve">    3</v>
          </cell>
          <cell r="Q360">
            <v>0</v>
          </cell>
          <cell r="R360">
            <v>0</v>
          </cell>
          <cell r="S360">
            <v>0</v>
          </cell>
          <cell r="T360">
            <v>1664</v>
          </cell>
          <cell r="U360">
            <v>0</v>
          </cell>
          <cell r="V360" t="str">
            <v>CENTRO</v>
          </cell>
          <cell r="W360" t="str">
            <v/>
          </cell>
          <cell r="X360" t="str">
            <v/>
          </cell>
        </row>
        <row r="361">
          <cell r="A361">
            <v>2262</v>
          </cell>
          <cell r="B361" t="str">
            <v>VIANEY ANDRADE GONZALEZ (HUICHAPAN)</v>
          </cell>
          <cell r="C361" t="str">
            <v/>
          </cell>
          <cell r="D361" t="str">
            <v>PLAZA DE LA REFORMA #6</v>
          </cell>
          <cell r="E361" t="str">
            <v>HUICHAPAN, HGO.</v>
          </cell>
          <cell r="F361" t="str">
            <v/>
          </cell>
          <cell r="G361" t="str">
            <v>(427) 277-0614 CEL</v>
          </cell>
          <cell r="H361" t="str">
            <v>VIANEY ANDRADE G.</v>
          </cell>
          <cell r="I361" t="str">
            <v>VIANEY ANDRADE G.</v>
          </cell>
          <cell r="J361" t="str">
            <v>BAJA</v>
          </cell>
          <cell r="K361" t="str">
            <v/>
          </cell>
          <cell r="L361">
            <v>0</v>
          </cell>
          <cell r="M361">
            <v>366</v>
          </cell>
          <cell r="N361" t="str">
            <v>A</v>
          </cell>
          <cell r="O361">
            <v>41573</v>
          </cell>
          <cell r="P361" t="str">
            <v xml:space="preserve">    1</v>
          </cell>
          <cell r="Q361">
            <v>0</v>
          </cell>
          <cell r="R361">
            <v>0</v>
          </cell>
          <cell r="S361">
            <v>0</v>
          </cell>
          <cell r="T361">
            <v>10029</v>
          </cell>
          <cell r="U361">
            <v>0</v>
          </cell>
          <cell r="V361" t="str">
            <v>CENTRO</v>
          </cell>
          <cell r="W361" t="str">
            <v/>
          </cell>
          <cell r="X361" t="str">
            <v/>
          </cell>
        </row>
        <row r="362">
          <cell r="A362">
            <v>2263</v>
          </cell>
          <cell r="B362" t="str">
            <v>REBECA BUSTAMANTE VELAZQUEZ (HUICHAPAN)</v>
          </cell>
          <cell r="C362" t="str">
            <v/>
          </cell>
          <cell r="D362" t="str">
            <v>JUAREZ #3</v>
          </cell>
          <cell r="E362" t="str">
            <v>HUICHAPAN, HGO.</v>
          </cell>
          <cell r="F362" t="str">
            <v/>
          </cell>
          <cell r="G362" t="str">
            <v>(761) 782-1605</v>
          </cell>
          <cell r="H362" t="str">
            <v>REBECA BUSTAMANTE V.</v>
          </cell>
          <cell r="I362" t="str">
            <v>REBECA BUSTAMANTE V.</v>
          </cell>
          <cell r="J362" t="str">
            <v>F02</v>
          </cell>
          <cell r="K362" t="str">
            <v/>
          </cell>
          <cell r="L362">
            <v>0</v>
          </cell>
          <cell r="M362">
            <v>367</v>
          </cell>
          <cell r="N362" t="str">
            <v>A</v>
          </cell>
          <cell r="O362">
            <v>42458</v>
          </cell>
          <cell r="P362" t="str">
            <v xml:space="preserve">    3</v>
          </cell>
          <cell r="Q362">
            <v>0</v>
          </cell>
          <cell r="R362">
            <v>0</v>
          </cell>
          <cell r="S362">
            <v>0</v>
          </cell>
          <cell r="T362">
            <v>61973</v>
          </cell>
          <cell r="U362">
            <v>0</v>
          </cell>
          <cell r="V362" t="str">
            <v>CENTRO</v>
          </cell>
          <cell r="W362" t="str">
            <v/>
          </cell>
          <cell r="X362" t="str">
            <v/>
          </cell>
        </row>
        <row r="363">
          <cell r="A363">
            <v>2264</v>
          </cell>
          <cell r="B363" t="str">
            <v>ANA LAURA PEREZ SANCHEZ (MIXQUIAHUALA)</v>
          </cell>
          <cell r="C363" t="str">
            <v/>
          </cell>
          <cell r="D363" t="str">
            <v>MERCADO MIXQUIAHUALA #25</v>
          </cell>
          <cell r="E363" t="str">
            <v>MIXQUIAHUALA, HGO.</v>
          </cell>
          <cell r="F363" t="str">
            <v/>
          </cell>
          <cell r="G363" t="str">
            <v>(772) 128-9298 CEL</v>
          </cell>
          <cell r="H363" t="str">
            <v>ANA LAURA PEREZ S.</v>
          </cell>
          <cell r="I363" t="str">
            <v>ANA LAURA PEREZ S.</v>
          </cell>
          <cell r="J363" t="str">
            <v>BAJA</v>
          </cell>
          <cell r="K363" t="str">
            <v/>
          </cell>
          <cell r="L363">
            <v>0</v>
          </cell>
          <cell r="M363">
            <v>368</v>
          </cell>
          <cell r="N363" t="str">
            <v>A</v>
          </cell>
          <cell r="O363">
            <v>41451</v>
          </cell>
          <cell r="P363" t="str">
            <v xml:space="preserve">    9</v>
          </cell>
          <cell r="Q363">
            <v>0</v>
          </cell>
          <cell r="R363">
            <v>0</v>
          </cell>
          <cell r="S363">
            <v>0</v>
          </cell>
          <cell r="T363">
            <v>5114</v>
          </cell>
          <cell r="U363">
            <v>0</v>
          </cell>
          <cell r="V363" t="str">
            <v>CENTRO</v>
          </cell>
          <cell r="W363" t="str">
            <v/>
          </cell>
          <cell r="X363" t="str">
            <v/>
          </cell>
        </row>
        <row r="364">
          <cell r="A364">
            <v>2265</v>
          </cell>
          <cell r="B364" t="str">
            <v>MAYRA LEDESMA BARRALES (TULA)</v>
          </cell>
          <cell r="C364" t="str">
            <v/>
          </cell>
          <cell r="D364" t="str">
            <v>MERCADO MUNICIPAL LOC. 2</v>
          </cell>
          <cell r="E364" t="str">
            <v>TULA, HGO.</v>
          </cell>
          <cell r="F364" t="str">
            <v/>
          </cell>
          <cell r="G364" t="str">
            <v>(773) 119-0512 CEL</v>
          </cell>
          <cell r="H364" t="str">
            <v>MAYRA LEDESMA B.</v>
          </cell>
          <cell r="I364" t="str">
            <v>MAYRA LEDESMA B.</v>
          </cell>
          <cell r="J364" t="str">
            <v>BAJA</v>
          </cell>
          <cell r="K364" t="str">
            <v/>
          </cell>
          <cell r="L364">
            <v>0</v>
          </cell>
          <cell r="M364">
            <v>369</v>
          </cell>
          <cell r="N364" t="str">
            <v>A</v>
          </cell>
          <cell r="O364">
            <v>41250</v>
          </cell>
          <cell r="P364" t="str">
            <v xml:space="preserve">    2</v>
          </cell>
          <cell r="Q364">
            <v>0</v>
          </cell>
          <cell r="R364">
            <v>0</v>
          </cell>
          <cell r="S364">
            <v>0</v>
          </cell>
          <cell r="T364">
            <v>1018</v>
          </cell>
          <cell r="U364">
            <v>0</v>
          </cell>
          <cell r="V364" t="str">
            <v>CENTRO</v>
          </cell>
          <cell r="W364" t="str">
            <v/>
          </cell>
          <cell r="X364" t="str">
            <v/>
          </cell>
        </row>
        <row r="365">
          <cell r="A365">
            <v>2266</v>
          </cell>
          <cell r="B365" t="str">
            <v>ANDREA FLORES (TIZAYUCA)</v>
          </cell>
          <cell r="C365" t="str">
            <v/>
          </cell>
          <cell r="D365" t="str">
            <v>HIMNO NACIONAL #11-B</v>
          </cell>
          <cell r="E365" t="str">
            <v>TIZAYUCA, HGO.</v>
          </cell>
          <cell r="F365" t="str">
            <v/>
          </cell>
          <cell r="G365" t="str">
            <v>(779) 796-2706</v>
          </cell>
          <cell r="H365" t="str">
            <v>ANDREA FLORES</v>
          </cell>
          <cell r="I365" t="str">
            <v>ANDREA FLORES</v>
          </cell>
          <cell r="J365" t="str">
            <v>BAJA</v>
          </cell>
          <cell r="K365" t="str">
            <v/>
          </cell>
          <cell r="L365">
            <v>0</v>
          </cell>
          <cell r="M365">
            <v>371</v>
          </cell>
          <cell r="N365" t="str">
            <v>S</v>
          </cell>
          <cell r="O365">
            <v>41332</v>
          </cell>
          <cell r="P365" t="str">
            <v xml:space="preserve">    9</v>
          </cell>
          <cell r="Q365">
            <v>0</v>
          </cell>
          <cell r="R365">
            <v>0</v>
          </cell>
          <cell r="S365">
            <v>0</v>
          </cell>
          <cell r="T365">
            <v>6557.4000000000005</v>
          </cell>
          <cell r="U365">
            <v>0</v>
          </cell>
          <cell r="V365" t="str">
            <v>CENTRO</v>
          </cell>
          <cell r="W365" t="str">
            <v/>
          </cell>
          <cell r="X365" t="str">
            <v/>
          </cell>
        </row>
        <row r="366">
          <cell r="A366">
            <v>2267</v>
          </cell>
          <cell r="B366" t="str">
            <v>IRENE SANCHEZ SALINAS (TECOZAHUTLA)</v>
          </cell>
          <cell r="C366" t="str">
            <v/>
          </cell>
          <cell r="D366" t="str">
            <v>PLAZA DE LA CONSTITUCION S/N</v>
          </cell>
          <cell r="E366" t="str">
            <v>TECOZAHUTLA, HGO.</v>
          </cell>
          <cell r="F366" t="str">
            <v/>
          </cell>
          <cell r="G366" t="str">
            <v>(773) 121-9685 CEL</v>
          </cell>
          <cell r="H366" t="str">
            <v>IRENE SANCHEZ S.</v>
          </cell>
          <cell r="I366" t="str">
            <v>IRENE SANCHEZ S.</v>
          </cell>
          <cell r="J366" t="str">
            <v>F02</v>
          </cell>
          <cell r="K366" t="str">
            <v/>
          </cell>
          <cell r="L366">
            <v>0</v>
          </cell>
          <cell r="M366">
            <v>372</v>
          </cell>
          <cell r="N366" t="str">
            <v>A</v>
          </cell>
          <cell r="O366">
            <v>42490</v>
          </cell>
          <cell r="P366" t="str">
            <v xml:space="preserve">    1</v>
          </cell>
          <cell r="Q366">
            <v>0</v>
          </cell>
          <cell r="R366">
            <v>0</v>
          </cell>
          <cell r="S366">
            <v>0</v>
          </cell>
          <cell r="T366">
            <v>791801</v>
          </cell>
          <cell r="U366">
            <v>0</v>
          </cell>
          <cell r="V366" t="str">
            <v>CENTRO</v>
          </cell>
          <cell r="W366" t="str">
            <v>(773) 739-8721 CEL</v>
          </cell>
          <cell r="X366" t="str">
            <v>(773) 122-0156 CEL</v>
          </cell>
        </row>
        <row r="367">
          <cell r="A367">
            <v>2268</v>
          </cell>
          <cell r="B367" t="str">
            <v>IRMA RAMIREZ TREJO (E. MONTES)</v>
          </cell>
          <cell r="C367" t="str">
            <v/>
          </cell>
          <cell r="D367" t="str">
            <v>JOAQUIN VEGA #136</v>
          </cell>
          <cell r="E367" t="str">
            <v>EZEQUIEL MONTES, QRO.</v>
          </cell>
          <cell r="F367" t="str">
            <v/>
          </cell>
          <cell r="G367" t="str">
            <v>(441) 108-5620</v>
          </cell>
          <cell r="H367" t="str">
            <v>IRMA RAMIREZ TREJO</v>
          </cell>
          <cell r="I367" t="str">
            <v>IRMA RAMIREZ TREJO</v>
          </cell>
          <cell r="J367" t="str">
            <v>J02</v>
          </cell>
          <cell r="K367" t="str">
            <v/>
          </cell>
          <cell r="L367">
            <v>0</v>
          </cell>
          <cell r="M367">
            <v>373</v>
          </cell>
          <cell r="N367" t="str">
            <v>A</v>
          </cell>
          <cell r="O367">
            <v>41999</v>
          </cell>
          <cell r="P367" t="str">
            <v xml:space="preserve">    1</v>
          </cell>
          <cell r="Q367">
            <v>0</v>
          </cell>
          <cell r="R367">
            <v>0</v>
          </cell>
          <cell r="S367">
            <v>6632</v>
          </cell>
          <cell r="T367">
            <v>11086</v>
          </cell>
          <cell r="U367">
            <v>0</v>
          </cell>
          <cell r="V367" t="str">
            <v>CENTRO</v>
          </cell>
          <cell r="W367" t="str">
            <v/>
          </cell>
          <cell r="X367" t="str">
            <v/>
          </cell>
        </row>
        <row r="368">
          <cell r="A368">
            <v>2269</v>
          </cell>
          <cell r="B368" t="str">
            <v>OMAR CRUZ BALLARTE (HUICHAPAN)</v>
          </cell>
          <cell r="C368" t="str">
            <v/>
          </cell>
          <cell r="D368" t="str">
            <v>AV. HIDALGO #3 INT. 3</v>
          </cell>
          <cell r="E368" t="str">
            <v>HUICHAPAN, HGO.</v>
          </cell>
          <cell r="F368" t="str">
            <v/>
          </cell>
          <cell r="G368" t="str">
            <v>(761) 782-2698</v>
          </cell>
          <cell r="H368" t="str">
            <v>OMAR CRUZ BALLARTE</v>
          </cell>
          <cell r="I368" t="str">
            <v>OMAR CRUZ BALLARTE</v>
          </cell>
          <cell r="J368" t="str">
            <v>BAJA</v>
          </cell>
          <cell r="K368" t="str">
            <v/>
          </cell>
          <cell r="L368">
            <v>0</v>
          </cell>
          <cell r="M368">
            <v>374</v>
          </cell>
          <cell r="N368" t="str">
            <v>A</v>
          </cell>
          <cell r="O368">
            <v>41473</v>
          </cell>
          <cell r="P368" t="str">
            <v xml:space="preserve">    1</v>
          </cell>
          <cell r="Q368">
            <v>0</v>
          </cell>
          <cell r="R368">
            <v>0</v>
          </cell>
          <cell r="S368">
            <v>0</v>
          </cell>
          <cell r="T368">
            <v>14014.800000000001</v>
          </cell>
          <cell r="U368">
            <v>0</v>
          </cell>
          <cell r="V368" t="str">
            <v>CENTRO</v>
          </cell>
          <cell r="W368" t="str">
            <v/>
          </cell>
          <cell r="X368" t="str">
            <v/>
          </cell>
        </row>
        <row r="369">
          <cell r="A369">
            <v>2270</v>
          </cell>
          <cell r="B369" t="str">
            <v>YADIRA VEGA (SAN JUAN)</v>
          </cell>
          <cell r="C369" t="str">
            <v/>
          </cell>
          <cell r="D369" t="str">
            <v>PARICUTIN #21</v>
          </cell>
          <cell r="E369" t="str">
            <v>SAN JUAN DEL RIO, QRO.</v>
          </cell>
          <cell r="F369" t="str">
            <v/>
          </cell>
          <cell r="G369" t="str">
            <v/>
          </cell>
          <cell r="H369" t="str">
            <v>YADIRA VEGA</v>
          </cell>
          <cell r="I369" t="str">
            <v>YADIRA VEGA</v>
          </cell>
          <cell r="J369" t="str">
            <v>BAJA</v>
          </cell>
          <cell r="K369" t="str">
            <v/>
          </cell>
          <cell r="L369">
            <v>0</v>
          </cell>
          <cell r="M369">
            <v>375</v>
          </cell>
          <cell r="N369" t="str">
            <v>A</v>
          </cell>
          <cell r="O369">
            <v>41288</v>
          </cell>
          <cell r="P369" t="str">
            <v xml:space="preserve">    1</v>
          </cell>
          <cell r="Q369">
            <v>0</v>
          </cell>
          <cell r="R369">
            <v>0</v>
          </cell>
          <cell r="S369">
            <v>0</v>
          </cell>
          <cell r="T369">
            <v>325</v>
          </cell>
          <cell r="U369">
            <v>0</v>
          </cell>
          <cell r="V369" t="str">
            <v>LOMAS DE SAN JUAN</v>
          </cell>
          <cell r="W369" t="str">
            <v/>
          </cell>
          <cell r="X369" t="str">
            <v/>
          </cell>
        </row>
        <row r="370">
          <cell r="A370">
            <v>2271</v>
          </cell>
          <cell r="B370" t="str">
            <v>ISABEL GARCIA PINEDA (COYOTEPEC)</v>
          </cell>
          <cell r="C370" t="str">
            <v/>
          </cell>
          <cell r="D370" t="str">
            <v>MERCADO MUNICIPAL DE COYOTEPEC L-43</v>
          </cell>
          <cell r="E370" t="str">
            <v>COYOTEPEC, EDO. DE MEXICO</v>
          </cell>
          <cell r="F370" t="str">
            <v/>
          </cell>
          <cell r="G370" t="str">
            <v>(55) 4945-9005 CEL</v>
          </cell>
          <cell r="H370" t="str">
            <v>ISABEL GARCIA PINEDA</v>
          </cell>
          <cell r="I370" t="str">
            <v>ISABEL GARCIA PINEDA</v>
          </cell>
          <cell r="J370" t="str">
            <v>M01</v>
          </cell>
          <cell r="K370" t="str">
            <v/>
          </cell>
          <cell r="L370">
            <v>0</v>
          </cell>
          <cell r="M370">
            <v>376</v>
          </cell>
          <cell r="N370" t="str">
            <v>A</v>
          </cell>
          <cell r="O370">
            <v>42453</v>
          </cell>
          <cell r="P370" t="str">
            <v xml:space="preserve">    5</v>
          </cell>
          <cell r="Q370">
            <v>0</v>
          </cell>
          <cell r="R370">
            <v>0</v>
          </cell>
          <cell r="S370">
            <v>1668</v>
          </cell>
          <cell r="T370">
            <v>46835</v>
          </cell>
          <cell r="U370">
            <v>0</v>
          </cell>
          <cell r="V370" t="str">
            <v>CENTRO</v>
          </cell>
          <cell r="W370" t="str">
            <v>(55) 3191-3642 CEL</v>
          </cell>
          <cell r="X370" t="str">
            <v/>
          </cell>
        </row>
        <row r="371">
          <cell r="A371">
            <v>2272</v>
          </cell>
          <cell r="B371" t="str">
            <v>LEOVA HERNANDEZ SANCHEZ (MIXQUIAHUALA)</v>
          </cell>
          <cell r="C371" t="str">
            <v/>
          </cell>
          <cell r="D371" t="str">
            <v/>
          </cell>
          <cell r="E371" t="str">
            <v>MIXQUIAHUALA, HGO.</v>
          </cell>
          <cell r="F371" t="str">
            <v/>
          </cell>
          <cell r="G371" t="str">
            <v>(772) 116-8029 CEL</v>
          </cell>
          <cell r="H371" t="str">
            <v>LEOVA HERNANDEZ S.</v>
          </cell>
          <cell r="I371" t="str">
            <v>LEOVA HERNANDEZ S.</v>
          </cell>
          <cell r="J371" t="str">
            <v>F02</v>
          </cell>
          <cell r="K371" t="str">
            <v/>
          </cell>
          <cell r="L371">
            <v>0</v>
          </cell>
          <cell r="M371">
            <v>377</v>
          </cell>
          <cell r="N371" t="str">
            <v>A</v>
          </cell>
          <cell r="O371">
            <v>42525</v>
          </cell>
          <cell r="P371" t="str">
            <v xml:space="preserve">    5</v>
          </cell>
          <cell r="Q371">
            <v>0</v>
          </cell>
          <cell r="R371">
            <v>0</v>
          </cell>
          <cell r="S371">
            <v>11662</v>
          </cell>
          <cell r="T371">
            <v>101010</v>
          </cell>
          <cell r="U371">
            <v>0</v>
          </cell>
          <cell r="V371" t="str">
            <v/>
          </cell>
          <cell r="W371" t="str">
            <v>(772) 121-1770</v>
          </cell>
          <cell r="X371" t="str">
            <v/>
          </cell>
        </row>
        <row r="372">
          <cell r="A372">
            <v>2273</v>
          </cell>
          <cell r="B372" t="str">
            <v>LETICIA TORRES GONZALEZ (MELCHOR OCAMPO)</v>
          </cell>
          <cell r="F372" t="str">
            <v/>
          </cell>
          <cell r="G372" t="str">
            <v/>
          </cell>
          <cell r="H372" t="str">
            <v>WENDY CASTRO CASTRO</v>
          </cell>
          <cell r="I372" t="str">
            <v>WENDY CASTRO CASTRO</v>
          </cell>
          <cell r="J372" t="str">
            <v>BAJA</v>
          </cell>
          <cell r="K372" t="str">
            <v/>
          </cell>
          <cell r="L372">
            <v>0</v>
          </cell>
          <cell r="M372">
            <v>378</v>
          </cell>
          <cell r="N372" t="str">
            <v>A</v>
          </cell>
          <cell r="O372">
            <v>41295</v>
          </cell>
          <cell r="P372" t="str">
            <v xml:space="preserve">    1</v>
          </cell>
          <cell r="Q372">
            <v>0</v>
          </cell>
          <cell r="R372">
            <v>0</v>
          </cell>
          <cell r="S372">
            <v>0</v>
          </cell>
          <cell r="T372">
            <v>3089</v>
          </cell>
          <cell r="U372">
            <v>0</v>
          </cell>
          <cell r="V372" t="str">
            <v>CENTRO</v>
          </cell>
          <cell r="W372" t="str">
            <v/>
          </cell>
          <cell r="X372" t="str">
            <v/>
          </cell>
        </row>
        <row r="373">
          <cell r="A373">
            <v>2274</v>
          </cell>
          <cell r="B373" t="str">
            <v>ROSA MARIA PAZ BARRIN (QUERETARO)</v>
          </cell>
          <cell r="C373" t="str">
            <v/>
          </cell>
          <cell r="D373" t="str">
            <v>PEÑAFIEL #101</v>
          </cell>
          <cell r="E373" t="str">
            <v>QUERETARO, QRO.</v>
          </cell>
          <cell r="F373" t="str">
            <v/>
          </cell>
          <cell r="G373" t="str">
            <v>(442) 186-1035</v>
          </cell>
          <cell r="H373" t="str">
            <v>ROSA MARIA PAZ B.</v>
          </cell>
          <cell r="I373" t="str">
            <v>ROSA MARIA PAZ B.</v>
          </cell>
          <cell r="J373" t="str">
            <v>BAJA</v>
          </cell>
          <cell r="K373" t="str">
            <v/>
          </cell>
          <cell r="L373">
            <v>0</v>
          </cell>
          <cell r="M373">
            <v>379</v>
          </cell>
          <cell r="N373" t="str">
            <v>A</v>
          </cell>
          <cell r="O373">
            <v>41314</v>
          </cell>
          <cell r="P373" t="str">
            <v xml:space="preserve">    1</v>
          </cell>
          <cell r="Q373">
            <v>0</v>
          </cell>
          <cell r="R373">
            <v>0</v>
          </cell>
          <cell r="S373">
            <v>0</v>
          </cell>
          <cell r="T373">
            <v>5247</v>
          </cell>
          <cell r="U373">
            <v>0</v>
          </cell>
          <cell r="V373" t="str">
            <v>LA PEÑA</v>
          </cell>
          <cell r="W373" t="str">
            <v>(442) 402-5469</v>
          </cell>
          <cell r="X373" t="str">
            <v/>
          </cell>
        </row>
        <row r="374">
          <cell r="A374">
            <v>2275</v>
          </cell>
          <cell r="B374" t="str">
            <v>ROSA MARTHA ARGUETA (ACAMBARO)</v>
          </cell>
          <cell r="C374" t="str">
            <v/>
          </cell>
          <cell r="D374" t="str">
            <v xml:space="preserve">ALDAMA #22-B                            </v>
          </cell>
          <cell r="E374" t="str">
            <v xml:space="preserve">ACAMBARO, GTO.                </v>
          </cell>
          <cell r="F374" t="str">
            <v/>
          </cell>
          <cell r="G374" t="str">
            <v>(417) 100-1573</v>
          </cell>
          <cell r="H374" t="str">
            <v>ELENA ROMERO MUÑOZ</v>
          </cell>
          <cell r="I374" t="str">
            <v>ELENA ROMERO MUÑOZ</v>
          </cell>
          <cell r="J374" t="str">
            <v>J06</v>
          </cell>
          <cell r="K374" t="str">
            <v/>
          </cell>
          <cell r="L374">
            <v>0</v>
          </cell>
          <cell r="M374">
            <v>380</v>
          </cell>
          <cell r="N374" t="str">
            <v>A</v>
          </cell>
          <cell r="O374">
            <v>41290</v>
          </cell>
          <cell r="P374" t="str">
            <v xml:space="preserve">    1</v>
          </cell>
          <cell r="Q374">
            <v>0</v>
          </cell>
          <cell r="R374">
            <v>0</v>
          </cell>
          <cell r="S374">
            <v>0</v>
          </cell>
          <cell r="T374">
            <v>3789</v>
          </cell>
          <cell r="U374">
            <v>0</v>
          </cell>
          <cell r="V374" t="str">
            <v>CENTRO</v>
          </cell>
          <cell r="W374" t="str">
            <v/>
          </cell>
          <cell r="X374" t="str">
            <v/>
          </cell>
        </row>
        <row r="375">
          <cell r="A375">
            <v>2276</v>
          </cell>
          <cell r="B375" t="str">
            <v>JAIR ORTIZ BENITES (TULANCINGO)</v>
          </cell>
          <cell r="C375" t="str">
            <v/>
          </cell>
          <cell r="D375" t="str">
            <v>1º DE MAYO #314 OTE.</v>
          </cell>
          <cell r="E375" t="str">
            <v>TULANCINGO, HGO.</v>
          </cell>
          <cell r="F375" t="str">
            <v/>
          </cell>
          <cell r="G375" t="str">
            <v>(775) 136-9867</v>
          </cell>
          <cell r="H375" t="str">
            <v>JAIR ORTIZ BENITES</v>
          </cell>
          <cell r="I375" t="str">
            <v>JAIR ORTIZ BENITES</v>
          </cell>
          <cell r="J375" t="str">
            <v>BAJA</v>
          </cell>
          <cell r="K375" t="str">
            <v/>
          </cell>
          <cell r="L375">
            <v>0</v>
          </cell>
          <cell r="M375">
            <v>381</v>
          </cell>
          <cell r="N375" t="str">
            <v>A</v>
          </cell>
          <cell r="O375">
            <v>41340</v>
          </cell>
          <cell r="P375" t="str">
            <v xml:space="preserve">   15</v>
          </cell>
          <cell r="Q375">
            <v>0</v>
          </cell>
          <cell r="R375">
            <v>0</v>
          </cell>
          <cell r="S375">
            <v>0</v>
          </cell>
          <cell r="T375">
            <v>1860</v>
          </cell>
          <cell r="U375">
            <v>0</v>
          </cell>
          <cell r="V375" t="str">
            <v>CENTRO</v>
          </cell>
          <cell r="W375" t="str">
            <v/>
          </cell>
          <cell r="X375" t="str">
            <v/>
          </cell>
        </row>
        <row r="376">
          <cell r="A376">
            <v>2277</v>
          </cell>
          <cell r="B376" t="str">
            <v>LOURDES MONTOYA (COACALCO)</v>
          </cell>
          <cell r="C376" t="str">
            <v/>
          </cell>
          <cell r="D376" t="str">
            <v>16 DE SEPTIEMBRE #12-A</v>
          </cell>
          <cell r="E376" t="str">
            <v>COACALCO, EDO. DE MEXICO</v>
          </cell>
          <cell r="F376" t="str">
            <v/>
          </cell>
          <cell r="G376" t="str">
            <v/>
          </cell>
          <cell r="H376" t="str">
            <v>LOURDES MONTOYA</v>
          </cell>
          <cell r="I376" t="str">
            <v>LOURDES MONTOYA</v>
          </cell>
          <cell r="J376" t="str">
            <v>BAJA</v>
          </cell>
          <cell r="K376" t="str">
            <v/>
          </cell>
          <cell r="L376">
            <v>0</v>
          </cell>
          <cell r="M376">
            <v>382</v>
          </cell>
          <cell r="N376" t="str">
            <v>A</v>
          </cell>
          <cell r="O376">
            <v>41300</v>
          </cell>
          <cell r="P376" t="str">
            <v xml:space="preserve">   16</v>
          </cell>
          <cell r="Q376">
            <v>0</v>
          </cell>
          <cell r="R376">
            <v>0</v>
          </cell>
          <cell r="S376">
            <v>0</v>
          </cell>
          <cell r="T376">
            <v>757</v>
          </cell>
          <cell r="U376">
            <v>0</v>
          </cell>
          <cell r="V376" t="str">
            <v/>
          </cell>
          <cell r="W376" t="str">
            <v/>
          </cell>
          <cell r="X376" t="str">
            <v/>
          </cell>
        </row>
        <row r="377">
          <cell r="A377">
            <v>2278</v>
          </cell>
          <cell r="B377" t="str">
            <v>MERCEDES SILVA PELAEZ (TULTEPEC)</v>
          </cell>
          <cell r="C377" t="str">
            <v/>
          </cell>
          <cell r="D377" t="str">
            <v>VENUSTIANO CARRANZA #56</v>
          </cell>
          <cell r="E377" t="str">
            <v>TULTEPEC, EDO. DE MEXICO</v>
          </cell>
          <cell r="F377" t="str">
            <v/>
          </cell>
          <cell r="G377" t="str">
            <v/>
          </cell>
          <cell r="H377" t="str">
            <v>MERCEDES SILVA</v>
          </cell>
          <cell r="I377" t="str">
            <v>MERCEDES SILVA</v>
          </cell>
          <cell r="J377" t="str">
            <v>BAJA</v>
          </cell>
          <cell r="K377" t="str">
            <v/>
          </cell>
          <cell r="L377">
            <v>0</v>
          </cell>
          <cell r="M377">
            <v>383</v>
          </cell>
          <cell r="N377" t="str">
            <v>A</v>
          </cell>
          <cell r="O377">
            <v>41397</v>
          </cell>
          <cell r="P377" t="str">
            <v xml:space="preserve">   18</v>
          </cell>
          <cell r="Q377">
            <v>0</v>
          </cell>
          <cell r="R377">
            <v>0</v>
          </cell>
          <cell r="S377">
            <v>0</v>
          </cell>
          <cell r="T377">
            <v>0</v>
          </cell>
          <cell r="U377">
            <v>0</v>
          </cell>
          <cell r="V377" t="str">
            <v>BARRIO SAN MARTIN</v>
          </cell>
          <cell r="W377" t="str">
            <v/>
          </cell>
          <cell r="X377" t="str">
            <v/>
          </cell>
        </row>
        <row r="378">
          <cell r="A378">
            <v>2279</v>
          </cell>
          <cell r="B378" t="str">
            <v>MARIBEL LOZADA MAPEL (TULTITLAN)</v>
          </cell>
          <cell r="C378" t="str">
            <v/>
          </cell>
          <cell r="D378" t="str">
            <v>EJE 3 S/N</v>
          </cell>
          <cell r="E378" t="str">
            <v>TULTITLAN, EDO. DE MEXICO</v>
          </cell>
          <cell r="F378" t="str">
            <v/>
          </cell>
          <cell r="G378" t="str">
            <v>(55) 5877-0196</v>
          </cell>
          <cell r="H378" t="str">
            <v>MARIBEL LOZADA MAPEL</v>
          </cell>
          <cell r="I378" t="str">
            <v>MARIBEL LOZADA MAPEL</v>
          </cell>
          <cell r="J378" t="str">
            <v>BAJA</v>
          </cell>
          <cell r="K378" t="str">
            <v/>
          </cell>
          <cell r="L378">
            <v>0</v>
          </cell>
          <cell r="M378">
            <v>384</v>
          </cell>
          <cell r="N378" t="str">
            <v>S</v>
          </cell>
          <cell r="O378">
            <v>41305</v>
          </cell>
          <cell r="P378" t="str">
            <v xml:space="preserve">   18</v>
          </cell>
          <cell r="Q378">
            <v>0</v>
          </cell>
          <cell r="R378">
            <v>0</v>
          </cell>
          <cell r="S378">
            <v>0</v>
          </cell>
          <cell r="T378">
            <v>738</v>
          </cell>
          <cell r="U378">
            <v>0</v>
          </cell>
          <cell r="V378" t="str">
            <v>IMEX #2</v>
          </cell>
          <cell r="W378" t="str">
            <v/>
          </cell>
          <cell r="X378" t="str">
            <v>M01</v>
          </cell>
        </row>
        <row r="379">
          <cell r="A379">
            <v>2280</v>
          </cell>
          <cell r="B379" t="str">
            <v>LAURA ACEVEDO MARTINEZ (JERECUARO)</v>
          </cell>
          <cell r="C379" t="str">
            <v/>
          </cell>
          <cell r="D379" t="str">
            <v>MORELOS #194</v>
          </cell>
          <cell r="E379" t="str">
            <v>JERECUARO, GTO.</v>
          </cell>
          <cell r="F379" t="str">
            <v/>
          </cell>
          <cell r="G379" t="str">
            <v>(421) 476-1435</v>
          </cell>
          <cell r="H379" t="str">
            <v>LAURA ACEVEDO M.</v>
          </cell>
          <cell r="I379" t="str">
            <v>LAURA ACEVEDO M.</v>
          </cell>
          <cell r="J379" t="str">
            <v>BAJA</v>
          </cell>
          <cell r="K379" t="str">
            <v/>
          </cell>
          <cell r="L379">
            <v>0</v>
          </cell>
          <cell r="M379">
            <v>385</v>
          </cell>
          <cell r="N379" t="str">
            <v>A</v>
          </cell>
          <cell r="O379">
            <v>41308</v>
          </cell>
          <cell r="P379" t="str">
            <v xml:space="preserve">    1</v>
          </cell>
          <cell r="Q379">
            <v>0</v>
          </cell>
          <cell r="R379">
            <v>0</v>
          </cell>
          <cell r="S379">
            <v>0</v>
          </cell>
          <cell r="T379">
            <v>528</v>
          </cell>
          <cell r="U379">
            <v>0</v>
          </cell>
          <cell r="V379" t="str">
            <v>CENTRO</v>
          </cell>
          <cell r="W379" t="str">
            <v/>
          </cell>
          <cell r="X379" t="str">
            <v/>
          </cell>
        </row>
        <row r="380">
          <cell r="A380">
            <v>2281</v>
          </cell>
          <cell r="B380" t="str">
            <v>AZUCENA HERNANDEZ (APAXCO)</v>
          </cell>
          <cell r="C380" t="str">
            <v/>
          </cell>
          <cell r="D380" t="str">
            <v>ABASOLO #61</v>
          </cell>
          <cell r="E380" t="str">
            <v>APAXCO, EDO. DE MEXICO</v>
          </cell>
          <cell r="F380" t="str">
            <v/>
          </cell>
          <cell r="G380" t="str">
            <v>(599) 998-0592</v>
          </cell>
          <cell r="H380" t="str">
            <v>AZUCENA HERNANDEZ</v>
          </cell>
          <cell r="I380" t="str">
            <v>AZUCENA HERNANDEZ</v>
          </cell>
          <cell r="J380" t="str">
            <v>M04</v>
          </cell>
          <cell r="K380" t="str">
            <v/>
          </cell>
          <cell r="L380">
            <v>0</v>
          </cell>
          <cell r="M380">
            <v>386</v>
          </cell>
          <cell r="N380" t="str">
            <v>A</v>
          </cell>
          <cell r="O380">
            <v>42405</v>
          </cell>
          <cell r="P380" t="str">
            <v xml:space="preserve">    9</v>
          </cell>
          <cell r="Q380">
            <v>0</v>
          </cell>
          <cell r="R380">
            <v>0</v>
          </cell>
          <cell r="S380">
            <v>0</v>
          </cell>
          <cell r="T380">
            <v>43513</v>
          </cell>
          <cell r="U380">
            <v>0</v>
          </cell>
          <cell r="V380" t="str">
            <v>CENTRO</v>
          </cell>
          <cell r="W380" t="str">
            <v>(55) 1512-0133</v>
          </cell>
          <cell r="X380" t="str">
            <v/>
          </cell>
        </row>
        <row r="381">
          <cell r="A381">
            <v>2282</v>
          </cell>
          <cell r="B381" t="str">
            <v>ROSA MARIA HERNANDEZ (ACTOPAN)</v>
          </cell>
          <cell r="C381" t="str">
            <v/>
          </cell>
          <cell r="D381" t="str">
            <v>LERDO DE TEJADA #70</v>
          </cell>
          <cell r="E381" t="str">
            <v>ACTOPAN, HGO.</v>
          </cell>
          <cell r="F381" t="str">
            <v/>
          </cell>
          <cell r="G381" t="str">
            <v/>
          </cell>
          <cell r="H381" t="str">
            <v>ROSA MARIA HERNANDEZ</v>
          </cell>
          <cell r="I381" t="str">
            <v>ROSA MARIA HERNANDEZ</v>
          </cell>
          <cell r="J381" t="str">
            <v>BAJA</v>
          </cell>
          <cell r="K381" t="str">
            <v/>
          </cell>
          <cell r="L381">
            <v>0</v>
          </cell>
          <cell r="M381">
            <v>387</v>
          </cell>
          <cell r="N381" t="str">
            <v>A</v>
          </cell>
          <cell r="O381">
            <v>41310</v>
          </cell>
          <cell r="P381" t="str">
            <v xml:space="preserve">    9</v>
          </cell>
          <cell r="Q381">
            <v>0</v>
          </cell>
          <cell r="R381">
            <v>0</v>
          </cell>
          <cell r="S381">
            <v>0</v>
          </cell>
          <cell r="T381">
            <v>92</v>
          </cell>
          <cell r="U381">
            <v>0</v>
          </cell>
          <cell r="V381" t="str">
            <v>CENTRO</v>
          </cell>
          <cell r="W381" t="str">
            <v/>
          </cell>
          <cell r="X381" t="str">
            <v/>
          </cell>
        </row>
        <row r="382">
          <cell r="A382">
            <v>2283</v>
          </cell>
          <cell r="B382" t="str">
            <v>REGALOS Y NOVEDADES RAGA (ATOTONILCO)</v>
          </cell>
          <cell r="C382" t="str">
            <v/>
          </cell>
          <cell r="D382" t="str">
            <v>AV. DEL TRABAJO S/N</v>
          </cell>
          <cell r="E382" t="str">
            <v>ATOTONILCO, HGO.</v>
          </cell>
          <cell r="F382" t="str">
            <v/>
          </cell>
          <cell r="G382" t="str">
            <v>(773) 108-3215 CEL</v>
          </cell>
          <cell r="H382" t="str">
            <v/>
          </cell>
          <cell r="I382" t="str">
            <v/>
          </cell>
          <cell r="J382" t="str">
            <v>BAJA</v>
          </cell>
          <cell r="K382" t="str">
            <v/>
          </cell>
          <cell r="L382">
            <v>0</v>
          </cell>
          <cell r="M382">
            <v>388</v>
          </cell>
          <cell r="N382" t="str">
            <v>A</v>
          </cell>
          <cell r="O382">
            <v>41318</v>
          </cell>
          <cell r="P382" t="str">
            <v xml:space="preserve">    9</v>
          </cell>
          <cell r="Q382">
            <v>0</v>
          </cell>
          <cell r="R382">
            <v>0</v>
          </cell>
          <cell r="S382">
            <v>0</v>
          </cell>
          <cell r="T382">
            <v>474</v>
          </cell>
          <cell r="U382">
            <v>0</v>
          </cell>
          <cell r="V382" t="str">
            <v>PROGRESO</v>
          </cell>
          <cell r="W382" t="str">
            <v/>
          </cell>
          <cell r="X382" t="str">
            <v/>
          </cell>
        </row>
        <row r="383">
          <cell r="A383">
            <v>2284</v>
          </cell>
          <cell r="B383" t="str">
            <v>VICTOR HUGO AGUILAR (TEZONTEPEC)</v>
          </cell>
          <cell r="C383" t="str">
            <v/>
          </cell>
          <cell r="D383" t="str">
            <v>AV. INSURGENTES S/N</v>
          </cell>
          <cell r="E383" t="str">
            <v>TEZONTEPEC, HGO.</v>
          </cell>
          <cell r="F383" t="str">
            <v/>
          </cell>
          <cell r="G383" t="str">
            <v>(773) 739-9872</v>
          </cell>
          <cell r="H383" t="str">
            <v>VICTOR HUGO AGUILAR</v>
          </cell>
          <cell r="I383" t="str">
            <v>VICTOR HUGO AGUILAR</v>
          </cell>
          <cell r="J383" t="str">
            <v>BAJA</v>
          </cell>
          <cell r="K383" t="str">
            <v/>
          </cell>
          <cell r="L383">
            <v>0</v>
          </cell>
          <cell r="M383">
            <v>389</v>
          </cell>
          <cell r="N383" t="str">
            <v>A</v>
          </cell>
          <cell r="O383">
            <v>41318</v>
          </cell>
          <cell r="P383" t="str">
            <v xml:space="preserve">    9</v>
          </cell>
          <cell r="Q383">
            <v>0</v>
          </cell>
          <cell r="R383">
            <v>0</v>
          </cell>
          <cell r="S383">
            <v>0</v>
          </cell>
          <cell r="T383">
            <v>272</v>
          </cell>
          <cell r="U383">
            <v>0</v>
          </cell>
          <cell r="V383" t="str">
            <v/>
          </cell>
          <cell r="W383" t="str">
            <v/>
          </cell>
          <cell r="X383" t="str">
            <v/>
          </cell>
        </row>
        <row r="384">
          <cell r="A384">
            <v>2285</v>
          </cell>
          <cell r="B384" t="str">
            <v xml:space="preserve">RAFAELA MANDUJANO GUERRERO (QUERETARO)                      </v>
          </cell>
          <cell r="C384" t="str">
            <v/>
          </cell>
          <cell r="D384" t="str">
            <v xml:space="preserve">MERCADO ESCOBEDO PASILLO 4 LOC. 102     </v>
          </cell>
          <cell r="E384" t="str">
            <v>QUERETARO, QRO.</v>
          </cell>
          <cell r="F384" t="str">
            <v/>
          </cell>
          <cell r="G384" t="str">
            <v/>
          </cell>
          <cell r="H384" t="str">
            <v>REYNA VIZUET</v>
          </cell>
          <cell r="I384" t="str">
            <v>REYNA VIZUET</v>
          </cell>
          <cell r="J384" t="str">
            <v>L04</v>
          </cell>
          <cell r="K384" t="str">
            <v/>
          </cell>
          <cell r="L384">
            <v>0</v>
          </cell>
          <cell r="M384">
            <v>390</v>
          </cell>
          <cell r="N384" t="str">
            <v>A</v>
          </cell>
          <cell r="O384">
            <v>41318</v>
          </cell>
          <cell r="P384" t="str">
            <v xml:space="preserve">    9</v>
          </cell>
          <cell r="Q384">
            <v>0</v>
          </cell>
          <cell r="R384">
            <v>0</v>
          </cell>
          <cell r="S384">
            <v>0</v>
          </cell>
          <cell r="T384">
            <v>223</v>
          </cell>
          <cell r="U384">
            <v>0</v>
          </cell>
          <cell r="W384" t="str">
            <v/>
          </cell>
          <cell r="X384" t="str">
            <v/>
          </cell>
        </row>
        <row r="385">
          <cell r="A385">
            <v>2286</v>
          </cell>
          <cell r="B385" t="str">
            <v>ALEJANDRA (PROGRESO)</v>
          </cell>
          <cell r="C385" t="str">
            <v/>
          </cell>
          <cell r="D385" t="str">
            <v/>
          </cell>
          <cell r="E385" t="str">
            <v>PROGRESO, HGO.</v>
          </cell>
          <cell r="F385" t="str">
            <v/>
          </cell>
          <cell r="G385" t="str">
            <v/>
          </cell>
          <cell r="H385" t="str">
            <v/>
          </cell>
          <cell r="I385" t="str">
            <v/>
          </cell>
          <cell r="J385" t="str">
            <v>F02P</v>
          </cell>
          <cell r="K385" t="str">
            <v/>
          </cell>
          <cell r="L385">
            <v>0</v>
          </cell>
          <cell r="M385">
            <v>391</v>
          </cell>
          <cell r="N385" t="str">
            <v>A</v>
          </cell>
          <cell r="O385">
            <v>42299</v>
          </cell>
          <cell r="P385" t="str">
            <v xml:space="preserve">    1</v>
          </cell>
          <cell r="Q385">
            <v>0</v>
          </cell>
          <cell r="R385">
            <v>0</v>
          </cell>
          <cell r="S385">
            <v>0</v>
          </cell>
          <cell r="T385">
            <v>1704</v>
          </cell>
          <cell r="U385">
            <v>0</v>
          </cell>
          <cell r="V385" t="str">
            <v/>
          </cell>
          <cell r="W385" t="str">
            <v/>
          </cell>
          <cell r="X385" t="str">
            <v/>
          </cell>
        </row>
        <row r="386">
          <cell r="A386">
            <v>2287</v>
          </cell>
          <cell r="B386" t="str">
            <v>MA. GUADALUPE LOPEZ GONZALEZ (TEYAHUALCO)</v>
          </cell>
          <cell r="C386" t="str">
            <v/>
          </cell>
          <cell r="D386" t="str">
            <v>AV. BENITO JUAREZ S/N</v>
          </cell>
          <cell r="E386" t="str">
            <v>TULTEPEC, EDO. DE MEXICO</v>
          </cell>
          <cell r="F386" t="str">
            <v/>
          </cell>
          <cell r="G386" t="str">
            <v>(55) 5885-4205</v>
          </cell>
          <cell r="H386" t="str">
            <v>MA. GUADALUPE LOPEZ</v>
          </cell>
          <cell r="I386" t="str">
            <v>MA. GUADALUPE LOPEZ</v>
          </cell>
          <cell r="J386" t="str">
            <v>M01</v>
          </cell>
          <cell r="K386" t="str">
            <v/>
          </cell>
          <cell r="L386">
            <v>0</v>
          </cell>
          <cell r="M386">
            <v>392</v>
          </cell>
          <cell r="N386" t="str">
            <v>A</v>
          </cell>
          <cell r="O386">
            <v>42266</v>
          </cell>
          <cell r="P386" t="str">
            <v xml:space="preserve">   16</v>
          </cell>
          <cell r="Q386">
            <v>0</v>
          </cell>
          <cell r="R386">
            <v>0</v>
          </cell>
          <cell r="S386">
            <v>0</v>
          </cell>
          <cell r="T386">
            <v>46642</v>
          </cell>
          <cell r="U386">
            <v>0</v>
          </cell>
          <cell r="V386" t="str">
            <v>SANTIAGO TEYAHUALCO</v>
          </cell>
          <cell r="W386" t="str">
            <v/>
          </cell>
          <cell r="X386" t="str">
            <v/>
          </cell>
        </row>
        <row r="387">
          <cell r="A387">
            <v>2288</v>
          </cell>
          <cell r="B387" t="str">
            <v>ENGRACIA HERNANDEZ (TULANCINGO)</v>
          </cell>
          <cell r="C387" t="str">
            <v/>
          </cell>
          <cell r="D387" t="str">
            <v>FERNANDO SOTO ESQ. CON LIBERTAD</v>
          </cell>
          <cell r="E387" t="str">
            <v>TULANCINGO, HGO.</v>
          </cell>
          <cell r="F387" t="str">
            <v/>
          </cell>
          <cell r="G387" t="str">
            <v>(775) 135-8372</v>
          </cell>
          <cell r="H387" t="str">
            <v>ENGRACIA HERNANDEZ</v>
          </cell>
          <cell r="I387" t="str">
            <v>ENGRACIA HERNANDEZ</v>
          </cell>
          <cell r="J387" t="str">
            <v>BAJA</v>
          </cell>
          <cell r="K387" t="str">
            <v/>
          </cell>
          <cell r="L387">
            <v>0</v>
          </cell>
          <cell r="M387">
            <v>393</v>
          </cell>
          <cell r="N387" t="str">
            <v>A</v>
          </cell>
          <cell r="O387">
            <v>41330</v>
          </cell>
          <cell r="P387" t="str">
            <v xml:space="preserve">    2</v>
          </cell>
          <cell r="Q387">
            <v>0</v>
          </cell>
          <cell r="R387">
            <v>0</v>
          </cell>
          <cell r="S387">
            <v>0</v>
          </cell>
          <cell r="T387">
            <v>299</v>
          </cell>
          <cell r="U387">
            <v>0</v>
          </cell>
          <cell r="V387" t="str">
            <v>CENTRO</v>
          </cell>
          <cell r="W387" t="str">
            <v/>
          </cell>
          <cell r="X387" t="str">
            <v/>
          </cell>
        </row>
        <row r="388">
          <cell r="A388">
            <v>2289</v>
          </cell>
          <cell r="B388" t="str">
            <v>ELIA SANDOVAL NAVARRETE (NICOLAS ROMERO)</v>
          </cell>
          <cell r="C388" t="str">
            <v/>
          </cell>
          <cell r="D388" t="str">
            <v>AV. HIDALGO N.31</v>
          </cell>
          <cell r="E388" t="str">
            <v>NICOLAS ROMERO, EDO. DE MEXICO</v>
          </cell>
          <cell r="F388" t="str">
            <v/>
          </cell>
          <cell r="G388" t="str">
            <v/>
          </cell>
          <cell r="H388" t="str">
            <v>ELIA SANDOVAL N.</v>
          </cell>
          <cell r="I388" t="str">
            <v>ELIA SANDOVAL N.</v>
          </cell>
          <cell r="J388" t="str">
            <v>BAJA</v>
          </cell>
          <cell r="K388" t="str">
            <v/>
          </cell>
          <cell r="L388">
            <v>0</v>
          </cell>
          <cell r="M388">
            <v>394</v>
          </cell>
          <cell r="N388" t="str">
            <v>A</v>
          </cell>
          <cell r="O388">
            <v>41395</v>
          </cell>
          <cell r="P388" t="str">
            <v xml:space="preserve">   16</v>
          </cell>
          <cell r="Q388">
            <v>0</v>
          </cell>
          <cell r="R388">
            <v>0</v>
          </cell>
          <cell r="S388">
            <v>0</v>
          </cell>
          <cell r="T388">
            <v>1444</v>
          </cell>
          <cell r="U388">
            <v>0</v>
          </cell>
          <cell r="V388" t="str">
            <v/>
          </cell>
          <cell r="W388" t="str">
            <v/>
          </cell>
          <cell r="X388" t="str">
            <v/>
          </cell>
        </row>
        <row r="389">
          <cell r="A389">
            <v>2290</v>
          </cell>
          <cell r="B389" t="str">
            <v>ESTEFANIE ORTIZ VEGA (APASEO)</v>
          </cell>
          <cell r="C389" t="str">
            <v/>
          </cell>
          <cell r="D389" t="str">
            <v>16 DE SEPTIEMBRE #309</v>
          </cell>
          <cell r="E389" t="str">
            <v>APASEO EL ALTO, GTO.</v>
          </cell>
          <cell r="F389" t="str">
            <v/>
          </cell>
          <cell r="G389" t="str">
            <v>(413) 166-0447 CEL</v>
          </cell>
          <cell r="H389" t="str">
            <v>ESTEFANIE ORTIZ VEGA</v>
          </cell>
          <cell r="I389" t="str">
            <v>ESTEFANIE ORTIZ VEGA</v>
          </cell>
          <cell r="J389" t="str">
            <v>BAJA</v>
          </cell>
          <cell r="K389" t="str">
            <v/>
          </cell>
          <cell r="L389">
            <v>0</v>
          </cell>
          <cell r="M389">
            <v>395</v>
          </cell>
          <cell r="N389" t="str">
            <v>A</v>
          </cell>
          <cell r="O389">
            <v>41333</v>
          </cell>
          <cell r="P389" t="str">
            <v xml:space="preserve">    3</v>
          </cell>
          <cell r="Q389">
            <v>0</v>
          </cell>
          <cell r="R389">
            <v>0</v>
          </cell>
          <cell r="S389">
            <v>0</v>
          </cell>
          <cell r="T389">
            <v>7095</v>
          </cell>
          <cell r="U389">
            <v>0</v>
          </cell>
          <cell r="V389" t="str">
            <v>CENTRO</v>
          </cell>
          <cell r="W389" t="str">
            <v/>
          </cell>
          <cell r="X389" t="str">
            <v/>
          </cell>
        </row>
        <row r="390">
          <cell r="A390">
            <v>2291</v>
          </cell>
          <cell r="B390" t="str">
            <v>RENATA ESTRADA MARTINEZ (HUICHAPAN)</v>
          </cell>
          <cell r="C390" t="str">
            <v/>
          </cell>
          <cell r="D390" t="str">
            <v/>
          </cell>
          <cell r="E390" t="str">
            <v>,HGO.</v>
          </cell>
          <cell r="F390" t="str">
            <v/>
          </cell>
          <cell r="G390" t="str">
            <v>(773) 119-1690</v>
          </cell>
          <cell r="H390" t="str">
            <v/>
          </cell>
          <cell r="I390" t="str">
            <v/>
          </cell>
          <cell r="J390" t="str">
            <v>F02P</v>
          </cell>
          <cell r="K390" t="str">
            <v/>
          </cell>
          <cell r="L390">
            <v>0</v>
          </cell>
          <cell r="M390">
            <v>396</v>
          </cell>
          <cell r="N390" t="str">
            <v>A</v>
          </cell>
          <cell r="O390">
            <v>42299</v>
          </cell>
          <cell r="P390" t="str">
            <v xml:space="preserve">    1</v>
          </cell>
          <cell r="Q390">
            <v>0</v>
          </cell>
          <cell r="R390">
            <v>0</v>
          </cell>
          <cell r="S390">
            <v>0</v>
          </cell>
          <cell r="T390">
            <v>1260</v>
          </cell>
          <cell r="U390">
            <v>0</v>
          </cell>
          <cell r="V390" t="str">
            <v/>
          </cell>
          <cell r="W390" t="str">
            <v/>
          </cell>
          <cell r="X390" t="str">
            <v/>
          </cell>
        </row>
        <row r="391">
          <cell r="A391">
            <v>2292</v>
          </cell>
          <cell r="B391" t="str">
            <v>HUGO AMADOR AGUILAR (TECAMAC)</v>
          </cell>
          <cell r="C391" t="str">
            <v/>
          </cell>
          <cell r="D391" t="str">
            <v>AV. 5 DE MAYO LOC. 13</v>
          </cell>
          <cell r="E391" t="str">
            <v>TECAMAC, EDO. DE MEXICO</v>
          </cell>
          <cell r="F391" t="str">
            <v/>
          </cell>
          <cell r="G391" t="str">
            <v>(55) 5934-6566</v>
          </cell>
          <cell r="H391" t="str">
            <v>HUGO AMADOR AGUILAR</v>
          </cell>
          <cell r="I391" t="str">
            <v>HUGO AMADOR AGUILAR</v>
          </cell>
          <cell r="J391" t="str">
            <v>BAJA</v>
          </cell>
          <cell r="K391" t="str">
            <v/>
          </cell>
          <cell r="L391">
            <v>0</v>
          </cell>
          <cell r="M391">
            <v>397</v>
          </cell>
          <cell r="N391" t="str">
            <v>S</v>
          </cell>
          <cell r="O391">
            <v>41409</v>
          </cell>
          <cell r="P391" t="str">
            <v xml:space="preserve">    2</v>
          </cell>
          <cell r="Q391">
            <v>0</v>
          </cell>
          <cell r="R391">
            <v>0</v>
          </cell>
          <cell r="S391">
            <v>0</v>
          </cell>
          <cell r="T391">
            <v>7744</v>
          </cell>
          <cell r="U391">
            <v>0</v>
          </cell>
          <cell r="V391" t="str">
            <v>CENTRO</v>
          </cell>
          <cell r="W391" t="str">
            <v/>
          </cell>
          <cell r="X391" t="str">
            <v/>
          </cell>
        </row>
        <row r="392">
          <cell r="A392">
            <v>2293</v>
          </cell>
          <cell r="B392" t="str">
            <v>ERICKA VAZQUEZ MARTINES (TULTEPEC)</v>
          </cell>
          <cell r="C392" t="str">
            <v/>
          </cell>
          <cell r="D392" t="str">
            <v>AV. VENUSTIANO CARRANZA #58</v>
          </cell>
          <cell r="E392" t="str">
            <v>TULTEPEC, EDO. DE MEXICO</v>
          </cell>
          <cell r="F392" t="str">
            <v/>
          </cell>
          <cell r="G392" t="str">
            <v>(55) 4992-8974</v>
          </cell>
          <cell r="H392" t="str">
            <v>ERICKA VAZQUEZ MTZ.</v>
          </cell>
          <cell r="I392" t="str">
            <v>ERICKA VAZQUEZ MTZ.</v>
          </cell>
          <cell r="J392" t="str">
            <v>BAJA</v>
          </cell>
          <cell r="K392" t="str">
            <v/>
          </cell>
          <cell r="L392">
            <v>0</v>
          </cell>
          <cell r="M392">
            <v>398</v>
          </cell>
          <cell r="N392" t="str">
            <v>S</v>
          </cell>
          <cell r="O392">
            <v>41397</v>
          </cell>
          <cell r="P392" t="str">
            <v xml:space="preserve">   16</v>
          </cell>
          <cell r="Q392">
            <v>0</v>
          </cell>
          <cell r="R392">
            <v>0</v>
          </cell>
          <cell r="S392">
            <v>0</v>
          </cell>
          <cell r="T392">
            <v>389</v>
          </cell>
          <cell r="U392">
            <v>0</v>
          </cell>
          <cell r="V392" t="str">
            <v>SAN MARTIN</v>
          </cell>
          <cell r="W392" t="str">
            <v/>
          </cell>
          <cell r="X392" t="str">
            <v/>
          </cell>
        </row>
        <row r="393">
          <cell r="A393">
            <v>2294</v>
          </cell>
          <cell r="B393" t="str">
            <v>MA. DEL REFUGIO ORTEGA RANGEL (ACAMBARO)</v>
          </cell>
          <cell r="C393" t="str">
            <v/>
          </cell>
          <cell r="D393" t="str">
            <v>AV. LOMA BONITA #55</v>
          </cell>
          <cell r="E393" t="str">
            <v>ACAMBARO, GTO.</v>
          </cell>
          <cell r="F393" t="str">
            <v/>
          </cell>
          <cell r="G393" t="str">
            <v>(417) 172-5920 CASA</v>
          </cell>
          <cell r="H393" t="str">
            <v>REFUGIO ORTEGA</v>
          </cell>
          <cell r="I393" t="str">
            <v>REFUGIO ORTEGA</v>
          </cell>
          <cell r="J393" t="str">
            <v>J06</v>
          </cell>
          <cell r="K393" t="str">
            <v/>
          </cell>
          <cell r="L393">
            <v>0</v>
          </cell>
          <cell r="M393">
            <v>399</v>
          </cell>
          <cell r="N393" t="str">
            <v>A</v>
          </cell>
          <cell r="O393">
            <v>42406</v>
          </cell>
          <cell r="P393" t="str">
            <v xml:space="preserve">    1</v>
          </cell>
          <cell r="Q393">
            <v>0</v>
          </cell>
          <cell r="R393">
            <v>0</v>
          </cell>
          <cell r="S393">
            <v>0</v>
          </cell>
          <cell r="T393">
            <v>60787</v>
          </cell>
          <cell r="U393">
            <v>0</v>
          </cell>
          <cell r="V393" t="str">
            <v>LOMA BONITA</v>
          </cell>
          <cell r="W393" t="str">
            <v>(417)  103-2575 CEL</v>
          </cell>
          <cell r="X393" t="str">
            <v/>
          </cell>
        </row>
        <row r="394">
          <cell r="A394">
            <v>2295</v>
          </cell>
          <cell r="B394" t="str">
            <v>VIRGINIA RIOS (SAN CRISTOBAL)</v>
          </cell>
          <cell r="C394" t="str">
            <v/>
          </cell>
          <cell r="D394" t="str">
            <v>MERCADO DE SAN CRISTOBAL</v>
          </cell>
          <cell r="E394" t="str">
            <v>ECATEPEC, EDO. DE MEXICO</v>
          </cell>
          <cell r="F394" t="str">
            <v/>
          </cell>
          <cell r="G394" t="str">
            <v/>
          </cell>
          <cell r="H394" t="str">
            <v>VIEGINIA RIOS</v>
          </cell>
          <cell r="I394" t="str">
            <v>VIEGINIA RIOS</v>
          </cell>
          <cell r="J394" t="str">
            <v>M03</v>
          </cell>
          <cell r="K394" t="str">
            <v/>
          </cell>
          <cell r="L394">
            <v>0</v>
          </cell>
          <cell r="M394">
            <v>400</v>
          </cell>
          <cell r="N394" t="str">
            <v>A</v>
          </cell>
          <cell r="O394">
            <v>42278</v>
          </cell>
          <cell r="P394" t="str">
            <v/>
          </cell>
          <cell r="Q394">
            <v>0</v>
          </cell>
          <cell r="R394">
            <v>0</v>
          </cell>
          <cell r="S394">
            <v>0</v>
          </cell>
          <cell r="T394">
            <v>12676</v>
          </cell>
          <cell r="U394">
            <v>0</v>
          </cell>
          <cell r="V394" t="str">
            <v>SAN CRISTOBAL</v>
          </cell>
          <cell r="W394" t="str">
            <v/>
          </cell>
          <cell r="X394" t="str">
            <v/>
          </cell>
        </row>
        <row r="395">
          <cell r="A395">
            <v>2296</v>
          </cell>
          <cell r="B395" t="str">
            <v>MACRINA ARCOS VEGA (SAN JUAN)</v>
          </cell>
          <cell r="C395" t="str">
            <v/>
          </cell>
          <cell r="D395" t="str">
            <v>RAYON #10</v>
          </cell>
          <cell r="E395" t="str">
            <v>SAN JUAN DEL RIO, QRO.</v>
          </cell>
          <cell r="F395" t="str">
            <v>76800</v>
          </cell>
          <cell r="G395" t="str">
            <v>(427) 112-6465 CEL</v>
          </cell>
          <cell r="H395" t="str">
            <v>VICKY</v>
          </cell>
          <cell r="I395" t="str">
            <v>VICKY</v>
          </cell>
          <cell r="J395" t="str">
            <v>L01</v>
          </cell>
          <cell r="K395" t="str">
            <v/>
          </cell>
          <cell r="L395">
            <v>0</v>
          </cell>
          <cell r="M395">
            <v>401</v>
          </cell>
          <cell r="N395" t="str">
            <v>A</v>
          </cell>
          <cell r="O395">
            <v>42476</v>
          </cell>
          <cell r="P395" t="str">
            <v xml:space="preserve">    1</v>
          </cell>
          <cell r="Q395">
            <v>0</v>
          </cell>
          <cell r="R395">
            <v>0</v>
          </cell>
          <cell r="S395">
            <v>3556</v>
          </cell>
          <cell r="T395">
            <v>313956</v>
          </cell>
          <cell r="U395">
            <v>0</v>
          </cell>
          <cell r="V395" t="str">
            <v>CENTRO</v>
          </cell>
          <cell r="W395" t="str">
            <v>(427) 272-3954</v>
          </cell>
          <cell r="X395" t="str">
            <v/>
          </cell>
        </row>
        <row r="396">
          <cell r="A396">
            <v>2297</v>
          </cell>
          <cell r="B396" t="str">
            <v>GUADALUPE MANZANO (TLAXCOAPAN)</v>
          </cell>
          <cell r="C396" t="str">
            <v/>
          </cell>
          <cell r="D396" t="str">
            <v/>
          </cell>
          <cell r="E396" t="str">
            <v>TLAXCOAPAN, HGO.</v>
          </cell>
          <cell r="F396" t="str">
            <v/>
          </cell>
          <cell r="G396" t="str">
            <v/>
          </cell>
          <cell r="H396" t="str">
            <v>GUADALUPE MANZANO</v>
          </cell>
          <cell r="I396" t="str">
            <v>GUADALUPE MANZANO</v>
          </cell>
          <cell r="J396" t="str">
            <v>M04</v>
          </cell>
          <cell r="K396" t="str">
            <v/>
          </cell>
          <cell r="L396">
            <v>0</v>
          </cell>
          <cell r="M396">
            <v>402</v>
          </cell>
          <cell r="N396" t="str">
            <v>A</v>
          </cell>
          <cell r="O396">
            <v>42266</v>
          </cell>
          <cell r="P396" t="str">
            <v xml:space="preserve">   16</v>
          </cell>
          <cell r="Q396">
            <v>0</v>
          </cell>
          <cell r="R396">
            <v>0</v>
          </cell>
          <cell r="S396">
            <v>0</v>
          </cell>
          <cell r="T396">
            <v>3196</v>
          </cell>
          <cell r="U396">
            <v>0</v>
          </cell>
          <cell r="V396" t="str">
            <v/>
          </cell>
          <cell r="W396" t="str">
            <v/>
          </cell>
          <cell r="X396" t="str">
            <v/>
          </cell>
        </row>
        <row r="397">
          <cell r="A397">
            <v>2298</v>
          </cell>
          <cell r="B397" t="str">
            <v>ROSA LINA SANCHEZ BARRERA (TAZQUILLO)</v>
          </cell>
          <cell r="C397" t="str">
            <v/>
          </cell>
          <cell r="D397" t="str">
            <v>PLAZA JUAREZ #8</v>
          </cell>
          <cell r="E397" t="str">
            <v>TASQUILLO, HGO.</v>
          </cell>
          <cell r="F397" t="str">
            <v/>
          </cell>
          <cell r="G397" t="str">
            <v>(759) 723-5008 LOCAL</v>
          </cell>
          <cell r="H397" t="str">
            <v>ROSA LINA SANCHEZ B.</v>
          </cell>
          <cell r="I397" t="str">
            <v>ROSA LINA SANCHEZ B.</v>
          </cell>
          <cell r="J397" t="str">
            <v>F02</v>
          </cell>
          <cell r="K397" t="str">
            <v/>
          </cell>
          <cell r="L397">
            <v>0</v>
          </cell>
          <cell r="M397">
            <v>403</v>
          </cell>
          <cell r="N397" t="str">
            <v>A</v>
          </cell>
          <cell r="O397">
            <v>41740</v>
          </cell>
          <cell r="P397" t="str">
            <v xml:space="preserve">    1</v>
          </cell>
          <cell r="Q397">
            <v>0</v>
          </cell>
          <cell r="R397">
            <v>0</v>
          </cell>
          <cell r="S397">
            <v>0</v>
          </cell>
          <cell r="T397">
            <v>11572</v>
          </cell>
          <cell r="U397">
            <v>0</v>
          </cell>
          <cell r="V397" t="str">
            <v>CENTRO</v>
          </cell>
          <cell r="W397" t="str">
            <v/>
          </cell>
          <cell r="X397" t="str">
            <v>DOLCE BAMBINA</v>
          </cell>
        </row>
        <row r="398">
          <cell r="A398">
            <v>2299</v>
          </cell>
          <cell r="B398" t="str">
            <v>JORGE SIMON ORTIZ (MIXQUIAHUALA)</v>
          </cell>
          <cell r="C398" t="str">
            <v/>
          </cell>
          <cell r="D398" t="str">
            <v>PLAZA DE LA CONSTITUCION #28</v>
          </cell>
          <cell r="E398" t="str">
            <v>MIXQUIAHUALA, HGO.</v>
          </cell>
          <cell r="F398" t="str">
            <v/>
          </cell>
          <cell r="G398" t="str">
            <v/>
          </cell>
          <cell r="H398" t="str">
            <v>JORGE SIMON ORTIZ</v>
          </cell>
          <cell r="I398" t="str">
            <v>JORGE SIMON ORTIZ</v>
          </cell>
          <cell r="J398" t="str">
            <v>BAJA</v>
          </cell>
          <cell r="K398" t="str">
            <v/>
          </cell>
          <cell r="L398">
            <v>0</v>
          </cell>
          <cell r="M398">
            <v>404</v>
          </cell>
          <cell r="N398" t="str">
            <v>A</v>
          </cell>
          <cell r="O398">
            <v>41458</v>
          </cell>
          <cell r="P398" t="str">
            <v xml:space="preserve">   11</v>
          </cell>
          <cell r="Q398">
            <v>0</v>
          </cell>
          <cell r="R398">
            <v>0</v>
          </cell>
          <cell r="S398">
            <v>0</v>
          </cell>
          <cell r="T398">
            <v>2693</v>
          </cell>
          <cell r="U398">
            <v>0</v>
          </cell>
          <cell r="V398" t="str">
            <v>CENTRO</v>
          </cell>
          <cell r="W398" t="str">
            <v/>
          </cell>
          <cell r="X398" t="str">
            <v/>
          </cell>
        </row>
        <row r="399">
          <cell r="A399">
            <v>2300</v>
          </cell>
          <cell r="B399" t="str">
            <v>SHANTAL VIZUET (MIXQUIAHUALA)</v>
          </cell>
          <cell r="C399" t="str">
            <v/>
          </cell>
          <cell r="D399" t="str">
            <v>CDA. JOSE MARIA IGLESIAS S/N</v>
          </cell>
          <cell r="E399" t="str">
            <v>MIXQUIAHUALA, HGO.</v>
          </cell>
          <cell r="F399" t="str">
            <v/>
          </cell>
          <cell r="G399" t="str">
            <v>(442) 270-9824 CEL</v>
          </cell>
          <cell r="H399" t="str">
            <v>SHANTAL VIZUET</v>
          </cell>
          <cell r="I399" t="str">
            <v>SHANTAL VIZUET</v>
          </cell>
          <cell r="J399" t="str">
            <v>F02</v>
          </cell>
          <cell r="K399" t="str">
            <v/>
          </cell>
          <cell r="L399">
            <v>0</v>
          </cell>
          <cell r="M399">
            <v>405</v>
          </cell>
          <cell r="N399" t="str">
            <v>A</v>
          </cell>
          <cell r="O399">
            <v>41906</v>
          </cell>
          <cell r="P399" t="str">
            <v xml:space="preserve">   16</v>
          </cell>
          <cell r="Q399">
            <v>0</v>
          </cell>
          <cell r="R399">
            <v>0</v>
          </cell>
          <cell r="S399">
            <v>0</v>
          </cell>
          <cell r="T399">
            <v>126506</v>
          </cell>
          <cell r="U399">
            <v>9</v>
          </cell>
          <cell r="V399" t="str">
            <v>CENTRO</v>
          </cell>
          <cell r="W399" t="str">
            <v/>
          </cell>
          <cell r="X399" t="str">
            <v/>
          </cell>
        </row>
        <row r="400">
          <cell r="A400">
            <v>2301</v>
          </cell>
          <cell r="B400" t="str">
            <v>FAUSTO PACHECO ZAMORANO (SAN JUAN)</v>
          </cell>
          <cell r="C400" t="str">
            <v/>
          </cell>
          <cell r="D400" t="str">
            <v>MERCADO REFORMA LOC. 358</v>
          </cell>
          <cell r="E400" t="str">
            <v>SAN JUAN DEL RIO, QRO.</v>
          </cell>
          <cell r="F400" t="str">
            <v/>
          </cell>
          <cell r="G400" t="str">
            <v>(427) 272-8650</v>
          </cell>
          <cell r="H400" t="str">
            <v>FAUSTO PACHECO Z.</v>
          </cell>
          <cell r="I400" t="str">
            <v>FAUSTO PACHECO Z.</v>
          </cell>
          <cell r="J400" t="str">
            <v>BAJA</v>
          </cell>
          <cell r="K400" t="str">
            <v/>
          </cell>
          <cell r="L400">
            <v>0</v>
          </cell>
          <cell r="M400">
            <v>406</v>
          </cell>
          <cell r="N400" t="str">
            <v>A</v>
          </cell>
          <cell r="O400">
            <v>41403</v>
          </cell>
          <cell r="P400" t="str">
            <v xml:space="preserve">    1</v>
          </cell>
          <cell r="Q400">
            <v>0</v>
          </cell>
          <cell r="R400">
            <v>0</v>
          </cell>
          <cell r="S400">
            <v>0</v>
          </cell>
          <cell r="T400">
            <v>7670</v>
          </cell>
          <cell r="U400">
            <v>0</v>
          </cell>
          <cell r="V400" t="str">
            <v>CENRO</v>
          </cell>
          <cell r="W400" t="str">
            <v/>
          </cell>
          <cell r="X400" t="str">
            <v/>
          </cell>
        </row>
        <row r="401">
          <cell r="A401">
            <v>2302</v>
          </cell>
          <cell r="B401" t="str">
            <v>MARIA DE LA LUZ MONTIEL MALDONADO (HUICHAPAN)</v>
          </cell>
          <cell r="C401" t="str">
            <v>MOML-740819-EE6</v>
          </cell>
          <cell r="D401" t="str">
            <v>MANUEL CHAVEZ NAVA #4</v>
          </cell>
          <cell r="E401" t="str">
            <v>HUICHAPAN, HGO.</v>
          </cell>
          <cell r="F401" t="str">
            <v>42400</v>
          </cell>
          <cell r="G401" t="str">
            <v>(761) 782-2286</v>
          </cell>
          <cell r="H401" t="str">
            <v>LUZ MONTIEL</v>
          </cell>
          <cell r="I401" t="str">
            <v>LUZ MONTIEL</v>
          </cell>
          <cell r="J401" t="str">
            <v>F02</v>
          </cell>
          <cell r="K401" t="str">
            <v/>
          </cell>
          <cell r="L401">
            <v>0</v>
          </cell>
          <cell r="M401">
            <v>407</v>
          </cell>
          <cell r="N401" t="str">
            <v>A</v>
          </cell>
          <cell r="O401">
            <v>42511</v>
          </cell>
          <cell r="P401" t="str">
            <v xml:space="preserve">    1</v>
          </cell>
          <cell r="Q401">
            <v>0</v>
          </cell>
          <cell r="R401">
            <v>0</v>
          </cell>
          <cell r="S401">
            <v>3835</v>
          </cell>
          <cell r="T401">
            <v>107820</v>
          </cell>
          <cell r="U401">
            <v>0</v>
          </cell>
          <cell r="V401" t="str">
            <v>CENTRO</v>
          </cell>
          <cell r="W401" t="str">
            <v/>
          </cell>
          <cell r="X401" t="str">
            <v/>
          </cell>
        </row>
        <row r="402">
          <cell r="A402">
            <v>2303</v>
          </cell>
          <cell r="B402" t="str">
            <v>JESUS SOTO (QUERETARO)</v>
          </cell>
          <cell r="C402" t="str">
            <v/>
          </cell>
          <cell r="D402" t="str">
            <v>MERCADO ESCOBEDA LOC. 131</v>
          </cell>
          <cell r="E402" t="str">
            <v>QUERETARO, QRO.</v>
          </cell>
          <cell r="F402" t="str">
            <v/>
          </cell>
          <cell r="G402" t="str">
            <v>(442) 214-3690</v>
          </cell>
          <cell r="H402" t="str">
            <v>JESUS SOTO</v>
          </cell>
          <cell r="I402" t="str">
            <v>JESUS SOTO</v>
          </cell>
          <cell r="J402" t="str">
            <v>L04</v>
          </cell>
          <cell r="K402" t="str">
            <v/>
          </cell>
          <cell r="L402">
            <v>0</v>
          </cell>
          <cell r="M402">
            <v>408</v>
          </cell>
          <cell r="N402" t="str">
            <v>A</v>
          </cell>
          <cell r="O402">
            <v>41796</v>
          </cell>
          <cell r="P402" t="str">
            <v xml:space="preserve">    3</v>
          </cell>
          <cell r="Q402">
            <v>0</v>
          </cell>
          <cell r="R402">
            <v>0</v>
          </cell>
          <cell r="S402">
            <v>0</v>
          </cell>
          <cell r="T402">
            <v>43723</v>
          </cell>
          <cell r="U402">
            <v>0</v>
          </cell>
          <cell r="V402" t="str">
            <v>CENTRO</v>
          </cell>
          <cell r="W402" t="str">
            <v/>
          </cell>
          <cell r="X402" t="str">
            <v/>
          </cell>
        </row>
        <row r="403">
          <cell r="A403">
            <v>2304</v>
          </cell>
          <cell r="B403" t="str">
            <v>ELDA FERNANDEZ (QUERETARO)</v>
          </cell>
          <cell r="C403" t="str">
            <v/>
          </cell>
          <cell r="D403" t="str">
            <v xml:space="preserve">PASAJE SAN FRANCISCO #8                 </v>
          </cell>
          <cell r="E403" t="str">
            <v xml:space="preserve">QUERETARO, QRO.               </v>
          </cell>
          <cell r="F403" t="str">
            <v/>
          </cell>
          <cell r="G403" t="str">
            <v>(442) 127-5188</v>
          </cell>
          <cell r="H403" t="str">
            <v>LEONOR BARRERA E.</v>
          </cell>
          <cell r="I403" t="str">
            <v>LEONOR BARRERA E.</v>
          </cell>
          <cell r="J403" t="str">
            <v>L04</v>
          </cell>
          <cell r="K403" t="str">
            <v/>
          </cell>
          <cell r="L403">
            <v>0</v>
          </cell>
          <cell r="M403">
            <v>410</v>
          </cell>
          <cell r="N403" t="str">
            <v>A</v>
          </cell>
          <cell r="O403">
            <v>42231</v>
          </cell>
          <cell r="P403" t="str">
            <v xml:space="preserve">    1</v>
          </cell>
          <cell r="Q403">
            <v>0</v>
          </cell>
          <cell r="R403">
            <v>0</v>
          </cell>
          <cell r="S403">
            <v>0</v>
          </cell>
          <cell r="T403">
            <v>6544</v>
          </cell>
          <cell r="U403">
            <v>0</v>
          </cell>
          <cell r="V403" t="str">
            <v>CENTRO</v>
          </cell>
          <cell r="W403" t="str">
            <v/>
          </cell>
          <cell r="X403" t="str">
            <v/>
          </cell>
        </row>
        <row r="404">
          <cell r="A404">
            <v>2305</v>
          </cell>
          <cell r="B404" t="str">
            <v>MA. GRACIA HERNANDEZ RODRIGUEZ (SAN JUAN)</v>
          </cell>
          <cell r="C404" t="str">
            <v/>
          </cell>
          <cell r="D404" t="str">
            <v>MERCADO REFORMA #149-A</v>
          </cell>
          <cell r="E404" t="str">
            <v>SAN JUAN DEL RIO, QRO.</v>
          </cell>
          <cell r="F404" t="str">
            <v/>
          </cell>
          <cell r="G404" t="str">
            <v/>
          </cell>
          <cell r="H404" t="str">
            <v>MARIA GRACIA</v>
          </cell>
          <cell r="I404" t="str">
            <v>MARIA GRACIA</v>
          </cell>
          <cell r="J404" t="str">
            <v>L01</v>
          </cell>
          <cell r="K404" t="str">
            <v/>
          </cell>
          <cell r="L404">
            <v>0</v>
          </cell>
          <cell r="M404">
            <v>411</v>
          </cell>
          <cell r="N404" t="str">
            <v>A</v>
          </cell>
          <cell r="O404">
            <v>42209</v>
          </cell>
          <cell r="P404" t="str">
            <v xml:space="preserve">    1</v>
          </cell>
          <cell r="Q404">
            <v>0</v>
          </cell>
          <cell r="R404">
            <v>0</v>
          </cell>
          <cell r="S404">
            <v>0</v>
          </cell>
          <cell r="T404">
            <v>3443</v>
          </cell>
          <cell r="U404">
            <v>0</v>
          </cell>
          <cell r="V404" t="str">
            <v>CENTRO</v>
          </cell>
          <cell r="W404" t="str">
            <v/>
          </cell>
          <cell r="X404" t="str">
            <v/>
          </cell>
        </row>
        <row r="405">
          <cell r="A405">
            <v>2306</v>
          </cell>
          <cell r="B405" t="str">
            <v>AIDA RAMOS MERCADO (TULA)</v>
          </cell>
          <cell r="C405" t="str">
            <v/>
          </cell>
          <cell r="D405" t="str">
            <v>PUERTA 1</v>
          </cell>
          <cell r="E405" t="str">
            <v>TULA, HGO.</v>
          </cell>
          <cell r="F405" t="str">
            <v/>
          </cell>
          <cell r="G405" t="str">
            <v>(773) 150-1497</v>
          </cell>
          <cell r="H405" t="str">
            <v>LORENA RUBIO AGUILAR</v>
          </cell>
          <cell r="I405" t="str">
            <v>LORENA RUBIO AGUILAR</v>
          </cell>
          <cell r="J405" t="str">
            <v>F02</v>
          </cell>
          <cell r="K405" t="str">
            <v/>
          </cell>
          <cell r="L405">
            <v>0</v>
          </cell>
          <cell r="M405">
            <v>412</v>
          </cell>
          <cell r="N405" t="str">
            <v>A</v>
          </cell>
          <cell r="O405">
            <v>42258</v>
          </cell>
          <cell r="P405" t="str">
            <v xml:space="preserve">   16</v>
          </cell>
          <cell r="Q405">
            <v>0</v>
          </cell>
          <cell r="R405">
            <v>0</v>
          </cell>
          <cell r="S405">
            <v>0</v>
          </cell>
          <cell r="T405">
            <v>2057</v>
          </cell>
          <cell r="U405">
            <v>8</v>
          </cell>
          <cell r="V405" t="str">
            <v/>
          </cell>
          <cell r="W405" t="str">
            <v/>
          </cell>
          <cell r="X405" t="str">
            <v/>
          </cell>
        </row>
        <row r="406">
          <cell r="A406">
            <v>2307</v>
          </cell>
          <cell r="B406" t="str">
            <v>CAROLINA HERNANDEZ ANAYA (VILLA)</v>
          </cell>
          <cell r="C406" t="str">
            <v/>
          </cell>
          <cell r="D406" t="str">
            <v>MERCADO DE VILLA</v>
          </cell>
          <cell r="E406" t="str">
            <v>COACALCO, EDO. DE MEXICO</v>
          </cell>
          <cell r="F406" t="str">
            <v/>
          </cell>
          <cell r="G406" t="str">
            <v>(55) 1039-2161</v>
          </cell>
          <cell r="H406" t="str">
            <v>CAROLINA HERNANDEZ A</v>
          </cell>
          <cell r="I406" t="str">
            <v>CAROLINA HERNANDEZ A</v>
          </cell>
          <cell r="J406" t="str">
            <v>M01</v>
          </cell>
          <cell r="K406" t="str">
            <v/>
          </cell>
          <cell r="L406">
            <v>0</v>
          </cell>
          <cell r="M406">
            <v>413</v>
          </cell>
          <cell r="N406" t="str">
            <v>A</v>
          </cell>
          <cell r="O406">
            <v>42513</v>
          </cell>
          <cell r="P406" t="str">
            <v xml:space="preserve">   16</v>
          </cell>
          <cell r="Q406">
            <v>0</v>
          </cell>
          <cell r="R406">
            <v>0</v>
          </cell>
          <cell r="S406">
            <v>6788</v>
          </cell>
          <cell r="T406">
            <v>166081</v>
          </cell>
          <cell r="U406">
            <v>0</v>
          </cell>
          <cell r="V406" t="str">
            <v>VILLA DE LAS FLORES</v>
          </cell>
          <cell r="W406" t="str">
            <v>(55) 3454-2545 CEL</v>
          </cell>
          <cell r="X406" t="str">
            <v/>
          </cell>
        </row>
        <row r="407">
          <cell r="A407">
            <v>2308</v>
          </cell>
          <cell r="B407" t="str">
            <v>GUADALUPE PRESILLA JUAREZ (JERECUARO)</v>
          </cell>
          <cell r="C407" t="str">
            <v/>
          </cell>
          <cell r="D407" t="str">
            <v>MANUEL DUBLADO #6</v>
          </cell>
          <cell r="E407" t="str">
            <v>JERECUARO, GTO.</v>
          </cell>
          <cell r="F407" t="str">
            <v/>
          </cell>
          <cell r="G407" t="str">
            <v/>
          </cell>
          <cell r="H407" t="str">
            <v>GUADALUPE PRESILLA</v>
          </cell>
          <cell r="I407" t="str">
            <v>GUADALUPE PRESILLA</v>
          </cell>
          <cell r="J407" t="str">
            <v>J06</v>
          </cell>
          <cell r="K407" t="str">
            <v/>
          </cell>
          <cell r="L407">
            <v>0</v>
          </cell>
          <cell r="M407">
            <v>414</v>
          </cell>
          <cell r="N407" t="str">
            <v>A</v>
          </cell>
          <cell r="O407">
            <v>42037</v>
          </cell>
          <cell r="P407" t="str">
            <v xml:space="preserve">    1</v>
          </cell>
          <cell r="Q407">
            <v>0</v>
          </cell>
          <cell r="R407">
            <v>0</v>
          </cell>
          <cell r="S407">
            <v>0</v>
          </cell>
          <cell r="T407">
            <v>9620</v>
          </cell>
          <cell r="U407">
            <v>0</v>
          </cell>
          <cell r="V407" t="str">
            <v>CENTRO</v>
          </cell>
          <cell r="W407" t="str">
            <v/>
          </cell>
          <cell r="X407" t="str">
            <v/>
          </cell>
        </row>
        <row r="408">
          <cell r="A408">
            <v>2309</v>
          </cell>
          <cell r="B408" t="str">
            <v xml:space="preserve">NEREYDA ABIGAIL RAMIREZ GUERRERO (A. EL GRANDE)             </v>
          </cell>
          <cell r="D408" t="str">
            <v xml:space="preserve">PIPILA #119-B                           </v>
          </cell>
          <cell r="E408" t="str">
            <v xml:space="preserve">APASEO EL GRANDE, GTO.        </v>
          </cell>
          <cell r="F408" t="str">
            <v/>
          </cell>
          <cell r="G408" t="str">
            <v>(461) 120-2152</v>
          </cell>
          <cell r="J408" t="str">
            <v>J04</v>
          </cell>
          <cell r="K408" t="str">
            <v/>
          </cell>
          <cell r="L408">
            <v>0</v>
          </cell>
          <cell r="M408">
            <v>415</v>
          </cell>
          <cell r="N408" t="str">
            <v>A</v>
          </cell>
          <cell r="O408">
            <v>41452</v>
          </cell>
          <cell r="P408" t="str">
            <v xml:space="preserve">    1</v>
          </cell>
          <cell r="Q408">
            <v>0</v>
          </cell>
          <cell r="R408">
            <v>0</v>
          </cell>
          <cell r="S408">
            <v>0</v>
          </cell>
          <cell r="T408">
            <v>598</v>
          </cell>
          <cell r="U408">
            <v>0</v>
          </cell>
          <cell r="V408" t="str">
            <v>CENTRO</v>
          </cell>
          <cell r="W408" t="str">
            <v/>
          </cell>
          <cell r="X408" t="str">
            <v/>
          </cell>
        </row>
        <row r="409">
          <cell r="A409">
            <v>2310</v>
          </cell>
          <cell r="B409" t="str">
            <v>VINIZA GARCIA CRUZ (SAN JUAN)</v>
          </cell>
          <cell r="C409" t="str">
            <v/>
          </cell>
          <cell r="D409" t="str">
            <v>MANUEL J. CAMPOS #4</v>
          </cell>
          <cell r="E409" t="str">
            <v>SAN JUAN DEL RIO, QRO.</v>
          </cell>
          <cell r="F409" t="str">
            <v/>
          </cell>
          <cell r="G409" t="str">
            <v>(427) 119-0375</v>
          </cell>
          <cell r="H409" t="str">
            <v>UINISA GARCIA CRUZ</v>
          </cell>
          <cell r="I409" t="str">
            <v>UINISA GARCIA CRUZ</v>
          </cell>
          <cell r="J409" t="str">
            <v>J01</v>
          </cell>
          <cell r="K409" t="str">
            <v/>
          </cell>
          <cell r="L409">
            <v>0</v>
          </cell>
          <cell r="M409">
            <v>416</v>
          </cell>
          <cell r="N409" t="str">
            <v>A</v>
          </cell>
          <cell r="O409">
            <v>41452</v>
          </cell>
          <cell r="P409" t="str">
            <v xml:space="preserve">    1</v>
          </cell>
          <cell r="Q409">
            <v>0</v>
          </cell>
          <cell r="R409">
            <v>0</v>
          </cell>
          <cell r="S409">
            <v>0</v>
          </cell>
          <cell r="T409">
            <v>972</v>
          </cell>
          <cell r="U409">
            <v>0</v>
          </cell>
          <cell r="V409" t="str">
            <v>CENTRO</v>
          </cell>
          <cell r="W409" t="str">
            <v/>
          </cell>
          <cell r="X409" t="str">
            <v/>
          </cell>
        </row>
        <row r="410">
          <cell r="A410">
            <v>2311</v>
          </cell>
          <cell r="B410" t="str">
            <v>GELASIO IGLESIAS PADILLA (TEYAHUALCO)</v>
          </cell>
          <cell r="C410" t="str">
            <v/>
          </cell>
          <cell r="D410" t="str">
            <v/>
          </cell>
          <cell r="E410" t="str">
            <v>TEYAHUALCO, EDO. DE MEXICO</v>
          </cell>
          <cell r="F410" t="str">
            <v/>
          </cell>
          <cell r="G410" t="str">
            <v/>
          </cell>
          <cell r="H410" t="str">
            <v>GELASIO IGLESIAS P.</v>
          </cell>
          <cell r="I410" t="str">
            <v>GELASIO IGLESIAS P.</v>
          </cell>
          <cell r="J410" t="str">
            <v>M01</v>
          </cell>
          <cell r="K410" t="str">
            <v/>
          </cell>
          <cell r="L410">
            <v>0</v>
          </cell>
          <cell r="M410">
            <v>417</v>
          </cell>
          <cell r="N410" t="str">
            <v>A</v>
          </cell>
          <cell r="O410">
            <v>41974</v>
          </cell>
          <cell r="P410" t="str">
            <v xml:space="preserve">   16</v>
          </cell>
          <cell r="Q410">
            <v>0</v>
          </cell>
          <cell r="R410">
            <v>0</v>
          </cell>
          <cell r="S410">
            <v>0</v>
          </cell>
          <cell r="T410">
            <v>6366</v>
          </cell>
          <cell r="U410">
            <v>0</v>
          </cell>
          <cell r="V410" t="str">
            <v/>
          </cell>
          <cell r="W410" t="str">
            <v/>
          </cell>
          <cell r="X410" t="str">
            <v/>
          </cell>
        </row>
        <row r="411">
          <cell r="A411">
            <v>2312</v>
          </cell>
          <cell r="B411" t="str">
            <v>SANDRA KARINA OROZCO (SAN JUAN)</v>
          </cell>
          <cell r="C411" t="str">
            <v/>
          </cell>
          <cell r="D411" t="str">
            <v>MEZQUITE #30</v>
          </cell>
          <cell r="E411" t="str">
            <v>SAN JUAN DEL RIO, QRO.</v>
          </cell>
          <cell r="F411" t="str">
            <v/>
          </cell>
          <cell r="G411" t="str">
            <v/>
          </cell>
          <cell r="H411" t="str">
            <v>SANDRA KARINA OROZCO</v>
          </cell>
          <cell r="I411" t="str">
            <v>SANDRA KARINA OROZCO</v>
          </cell>
          <cell r="J411" t="str">
            <v>L01</v>
          </cell>
          <cell r="K411" t="str">
            <v/>
          </cell>
          <cell r="L411">
            <v>0</v>
          </cell>
          <cell r="M411">
            <v>418</v>
          </cell>
          <cell r="N411" t="str">
            <v>A</v>
          </cell>
          <cell r="O411">
            <v>42434</v>
          </cell>
          <cell r="P411" t="str">
            <v xml:space="preserve">    1</v>
          </cell>
          <cell r="Q411">
            <v>0</v>
          </cell>
          <cell r="R411">
            <v>0</v>
          </cell>
          <cell r="S411">
            <v>2964</v>
          </cell>
          <cell r="T411">
            <v>40064</v>
          </cell>
          <cell r="U411">
            <v>0</v>
          </cell>
          <cell r="V411" t="str">
            <v>JARDINES DEL VALLE</v>
          </cell>
          <cell r="W411" t="str">
            <v/>
          </cell>
          <cell r="X411" t="str">
            <v/>
          </cell>
        </row>
        <row r="412">
          <cell r="A412">
            <v>2313</v>
          </cell>
          <cell r="B412" t="str">
            <v xml:space="preserve">GRISELDA ESCAMILLA GARCIA (TEPEJI)                          </v>
          </cell>
          <cell r="C412" t="str">
            <v/>
          </cell>
          <cell r="D412" t="str">
            <v xml:space="preserve">ESQ. IGNACIO COMONFORT Y NARDO          </v>
          </cell>
          <cell r="E412" t="str">
            <v xml:space="preserve">TEPEJI DEL RIO, HGO.          </v>
          </cell>
          <cell r="F412" t="str">
            <v/>
          </cell>
          <cell r="G412" t="str">
            <v>(773) 171-6905 CEL</v>
          </cell>
          <cell r="H412" t="str">
            <v>KARINA CABRERA PAZ</v>
          </cell>
          <cell r="I412" t="str">
            <v>KARINA CABRERA PAZ</v>
          </cell>
          <cell r="J412" t="str">
            <v>F02</v>
          </cell>
          <cell r="K412" t="str">
            <v/>
          </cell>
          <cell r="L412">
            <v>0</v>
          </cell>
          <cell r="M412">
            <v>420</v>
          </cell>
          <cell r="N412" t="str">
            <v>A</v>
          </cell>
          <cell r="O412">
            <v>41466</v>
          </cell>
          <cell r="P412" t="str">
            <v xml:space="preserve">    1</v>
          </cell>
          <cell r="Q412">
            <v>0</v>
          </cell>
          <cell r="R412">
            <v>0</v>
          </cell>
          <cell r="S412">
            <v>0</v>
          </cell>
          <cell r="T412">
            <v>744</v>
          </cell>
          <cell r="U412">
            <v>0</v>
          </cell>
          <cell r="V412" t="str">
            <v xml:space="preserve">EL EDEN             </v>
          </cell>
          <cell r="W412" t="str">
            <v/>
          </cell>
          <cell r="X412" t="str">
            <v/>
          </cell>
        </row>
        <row r="413">
          <cell r="A413">
            <v>2314</v>
          </cell>
          <cell r="B413" t="str">
            <v>RAUL ARIAS GONZALEZ (TEPEJI)</v>
          </cell>
          <cell r="C413" t="str">
            <v/>
          </cell>
          <cell r="D413" t="str">
            <v>NARDO #7</v>
          </cell>
          <cell r="E413" t="str">
            <v>TEPEJI DEL RIO, HGO.</v>
          </cell>
          <cell r="F413" t="str">
            <v/>
          </cell>
          <cell r="G413" t="str">
            <v>(773) 733-0634 CASA</v>
          </cell>
          <cell r="H413" t="str">
            <v>RAUL ARIAS GONZALEZ</v>
          </cell>
          <cell r="I413" t="str">
            <v>RAUL ARIAS GONZALEZ</v>
          </cell>
          <cell r="J413" t="str">
            <v>M04</v>
          </cell>
          <cell r="K413" t="str">
            <v/>
          </cell>
          <cell r="L413">
            <v>0</v>
          </cell>
          <cell r="M413">
            <v>421</v>
          </cell>
          <cell r="N413" t="str">
            <v>A</v>
          </cell>
          <cell r="O413">
            <v>42123</v>
          </cell>
          <cell r="P413" t="str">
            <v xml:space="preserve">    1</v>
          </cell>
          <cell r="Q413">
            <v>0</v>
          </cell>
          <cell r="R413">
            <v>0</v>
          </cell>
          <cell r="S413">
            <v>0</v>
          </cell>
          <cell r="T413">
            <v>74293</v>
          </cell>
          <cell r="U413">
            <v>0</v>
          </cell>
          <cell r="V413" t="str">
            <v>EL EDEN</v>
          </cell>
          <cell r="W413" t="str">
            <v>(773) 105-9368 CEL</v>
          </cell>
          <cell r="X413" t="str">
            <v/>
          </cell>
        </row>
        <row r="414">
          <cell r="A414">
            <v>2315</v>
          </cell>
          <cell r="B414" t="str">
            <v>ELENA TORRES GALVEZ (SAN CRISTOBAL)</v>
          </cell>
          <cell r="C414" t="str">
            <v/>
          </cell>
          <cell r="D414" t="str">
            <v>CASCADA JMBAIRD #60 MZ. 10 LOTE 1</v>
          </cell>
          <cell r="E414" t="str">
            <v>ECATEPEC, EDO. DE MEXICO</v>
          </cell>
          <cell r="F414" t="str">
            <v/>
          </cell>
          <cell r="G414" t="str">
            <v>(55) 4837-1154</v>
          </cell>
          <cell r="H414" t="str">
            <v/>
          </cell>
          <cell r="I414" t="str">
            <v/>
          </cell>
          <cell r="J414" t="str">
            <v>M01</v>
          </cell>
          <cell r="K414" t="str">
            <v/>
          </cell>
          <cell r="L414">
            <v>0</v>
          </cell>
          <cell r="M414">
            <v>422</v>
          </cell>
          <cell r="N414" t="str">
            <v>A</v>
          </cell>
          <cell r="O414">
            <v>42514</v>
          </cell>
          <cell r="P414" t="str">
            <v xml:space="preserve">    5</v>
          </cell>
          <cell r="Q414">
            <v>0</v>
          </cell>
          <cell r="R414">
            <v>0</v>
          </cell>
          <cell r="S414">
            <v>4805</v>
          </cell>
          <cell r="T414">
            <v>36170</v>
          </cell>
          <cell r="U414">
            <v>0</v>
          </cell>
          <cell r="V414" t="str">
            <v>GRANJAS SAN CRISTOBA</v>
          </cell>
          <cell r="W414" t="str">
            <v>(55) 1973-8133 LESLY</v>
          </cell>
          <cell r="X414" t="str">
            <v/>
          </cell>
        </row>
        <row r="415">
          <cell r="A415">
            <v>2316</v>
          </cell>
          <cell r="B415" t="str">
            <v>VERONICA ROMERO (IXMIQUILPAN)</v>
          </cell>
          <cell r="C415" t="str">
            <v/>
          </cell>
          <cell r="D415" t="str">
            <v>AV. HIDALGO 2</v>
          </cell>
          <cell r="E415" t="str">
            <v>IXMIQUILPAN, HGO.</v>
          </cell>
          <cell r="F415" t="str">
            <v/>
          </cell>
          <cell r="G415" t="str">
            <v>(772) 129-2467</v>
          </cell>
          <cell r="H415" t="str">
            <v/>
          </cell>
          <cell r="I415" t="str">
            <v/>
          </cell>
          <cell r="J415" t="str">
            <v>F02</v>
          </cell>
          <cell r="K415" t="str">
            <v/>
          </cell>
          <cell r="L415">
            <v>0</v>
          </cell>
          <cell r="M415">
            <v>423</v>
          </cell>
          <cell r="N415" t="str">
            <v>A</v>
          </cell>
          <cell r="O415">
            <v>42272</v>
          </cell>
          <cell r="P415" t="str">
            <v xml:space="preserve">    1</v>
          </cell>
          <cell r="Q415">
            <v>0</v>
          </cell>
          <cell r="R415">
            <v>0</v>
          </cell>
          <cell r="S415">
            <v>0</v>
          </cell>
          <cell r="T415">
            <v>2616</v>
          </cell>
          <cell r="U415">
            <v>0</v>
          </cell>
          <cell r="V415" t="str">
            <v>CENTRO</v>
          </cell>
          <cell r="W415" t="str">
            <v/>
          </cell>
          <cell r="X415" t="str">
            <v/>
          </cell>
        </row>
        <row r="416">
          <cell r="A416">
            <v>2317</v>
          </cell>
          <cell r="B416" t="str">
            <v>GABRIELA SUAREZ (COACALCO)</v>
          </cell>
          <cell r="C416" t="str">
            <v/>
          </cell>
          <cell r="D416" t="str">
            <v>LA PROVIDENCIA</v>
          </cell>
          <cell r="E416" t="str">
            <v>COACALCO, EDO. DE MEXICO</v>
          </cell>
          <cell r="F416" t="str">
            <v/>
          </cell>
          <cell r="G416" t="str">
            <v/>
          </cell>
          <cell r="H416" t="str">
            <v>GABRIELA SUAREZ</v>
          </cell>
          <cell r="I416" t="str">
            <v>GABRIELA SUAREZ</v>
          </cell>
          <cell r="J416" t="str">
            <v>M01</v>
          </cell>
          <cell r="K416" t="str">
            <v/>
          </cell>
          <cell r="L416">
            <v>0</v>
          </cell>
          <cell r="M416">
            <v>424</v>
          </cell>
          <cell r="N416" t="str">
            <v>A</v>
          </cell>
          <cell r="O416">
            <v>42347</v>
          </cell>
          <cell r="P416" t="str">
            <v xml:space="preserve">    5</v>
          </cell>
          <cell r="Q416">
            <v>0</v>
          </cell>
          <cell r="R416">
            <v>0</v>
          </cell>
          <cell r="S416">
            <v>0</v>
          </cell>
          <cell r="T416">
            <v>12745</v>
          </cell>
          <cell r="U416">
            <v>0</v>
          </cell>
          <cell r="V416" t="str">
            <v>VILLA D LAS MANZANAS</v>
          </cell>
          <cell r="W416" t="str">
            <v/>
          </cell>
          <cell r="X416" t="str">
            <v/>
          </cell>
        </row>
        <row r="417">
          <cell r="A417">
            <v>2318</v>
          </cell>
          <cell r="B417" t="str">
            <v>JOSE PADILLA ARENAS (SAN CRISTOBAL)</v>
          </cell>
          <cell r="C417" t="str">
            <v/>
          </cell>
          <cell r="D417" t="str">
            <v>EMILIANO CARRANZA</v>
          </cell>
          <cell r="E417" t="str">
            <v>ECATEPEC, EDO. DE MEXICO</v>
          </cell>
          <cell r="F417" t="str">
            <v/>
          </cell>
          <cell r="G417" t="str">
            <v>(55) 4150-9077</v>
          </cell>
          <cell r="H417" t="str">
            <v>JOSE PADILLA ARENAS</v>
          </cell>
          <cell r="I417" t="str">
            <v>JOSE PADILLA ARENAS</v>
          </cell>
          <cell r="J417" t="str">
            <v>M03</v>
          </cell>
          <cell r="K417" t="str">
            <v/>
          </cell>
          <cell r="L417">
            <v>0</v>
          </cell>
          <cell r="M417">
            <v>425</v>
          </cell>
          <cell r="N417" t="str">
            <v>A</v>
          </cell>
          <cell r="O417">
            <v>42084</v>
          </cell>
          <cell r="P417" t="str">
            <v xml:space="preserve">    9</v>
          </cell>
          <cell r="Q417">
            <v>0</v>
          </cell>
          <cell r="R417">
            <v>0</v>
          </cell>
          <cell r="S417">
            <v>0</v>
          </cell>
          <cell r="T417">
            <v>23468</v>
          </cell>
          <cell r="U417">
            <v>0</v>
          </cell>
          <cell r="V417" t="str">
            <v>CENTRO SAN CRISTOBAL</v>
          </cell>
          <cell r="W417" t="str">
            <v>(55) 1115-4939</v>
          </cell>
          <cell r="X417" t="str">
            <v/>
          </cell>
        </row>
        <row r="418">
          <cell r="A418">
            <v>2319</v>
          </cell>
          <cell r="B418" t="str">
            <v>ANGELICA MENDEZ ALEGRIA (SAN JUAN)</v>
          </cell>
          <cell r="C418" t="str">
            <v/>
          </cell>
          <cell r="D418" t="str">
            <v>MANUEL J. CAMPOS #14</v>
          </cell>
          <cell r="E418" t="str">
            <v>SAN JUAN DEL RIO, QRO.</v>
          </cell>
          <cell r="F418" t="str">
            <v/>
          </cell>
          <cell r="G418" t="str">
            <v>(427) 276-2413</v>
          </cell>
          <cell r="H418" t="str">
            <v>MA. DE LOS ANGELES</v>
          </cell>
          <cell r="I418" t="str">
            <v>MA. DE LOS ANGELES</v>
          </cell>
          <cell r="J418" t="str">
            <v>J01</v>
          </cell>
          <cell r="K418" t="str">
            <v/>
          </cell>
          <cell r="L418">
            <v>0</v>
          </cell>
          <cell r="M418">
            <v>426</v>
          </cell>
          <cell r="N418" t="str">
            <v>A</v>
          </cell>
          <cell r="O418">
            <v>41950</v>
          </cell>
          <cell r="P418" t="str">
            <v xml:space="preserve">   97</v>
          </cell>
          <cell r="Q418">
            <v>0</v>
          </cell>
          <cell r="R418">
            <v>0</v>
          </cell>
          <cell r="S418">
            <v>0</v>
          </cell>
          <cell r="T418">
            <v>10829</v>
          </cell>
          <cell r="U418">
            <v>0</v>
          </cell>
          <cell r="V418" t="str">
            <v>CENTRO</v>
          </cell>
          <cell r="W418" t="str">
            <v>(427) 231-4218 CEL</v>
          </cell>
          <cell r="X418" t="str">
            <v/>
          </cell>
        </row>
        <row r="419">
          <cell r="A419">
            <v>2320</v>
          </cell>
          <cell r="B419" t="str">
            <v>MARICELA MARTINEZ CORREA (JERECUARO)</v>
          </cell>
          <cell r="C419" t="str">
            <v/>
          </cell>
          <cell r="D419" t="str">
            <v>AGUILA Y MAYA #12</v>
          </cell>
          <cell r="E419" t="str">
            <v>JERECUARO, GTO.</v>
          </cell>
          <cell r="F419" t="str">
            <v/>
          </cell>
          <cell r="G419" t="str">
            <v>(421) 476-0699</v>
          </cell>
          <cell r="H419" t="str">
            <v/>
          </cell>
          <cell r="I419" t="str">
            <v/>
          </cell>
          <cell r="J419" t="str">
            <v>J06</v>
          </cell>
          <cell r="K419" t="str">
            <v/>
          </cell>
          <cell r="L419">
            <v>0</v>
          </cell>
          <cell r="M419">
            <v>427</v>
          </cell>
          <cell r="N419" t="str">
            <v>A</v>
          </cell>
          <cell r="O419">
            <v>42490</v>
          </cell>
          <cell r="P419" t="str">
            <v xml:space="preserve">    2</v>
          </cell>
          <cell r="Q419">
            <v>0</v>
          </cell>
          <cell r="R419">
            <v>0</v>
          </cell>
          <cell r="S419">
            <v>0</v>
          </cell>
          <cell r="T419">
            <v>11099</v>
          </cell>
          <cell r="U419">
            <v>0</v>
          </cell>
          <cell r="V419" t="str">
            <v>CENTRO</v>
          </cell>
          <cell r="W419" t="str">
            <v/>
          </cell>
          <cell r="X419" t="str">
            <v/>
          </cell>
        </row>
        <row r="420">
          <cell r="A420">
            <v>2321</v>
          </cell>
          <cell r="B420" t="str">
            <v>MARTHA CALDERON GARCIA (ACAMBARO)</v>
          </cell>
          <cell r="C420" t="str">
            <v/>
          </cell>
          <cell r="D420" t="str">
            <v>AV. 1RO. DE MAYO #717A</v>
          </cell>
          <cell r="E420" t="str">
            <v>ACAMBARO, GTO.</v>
          </cell>
          <cell r="F420" t="str">
            <v/>
          </cell>
          <cell r="G420" t="str">
            <v>(417) 111-8524 CEL</v>
          </cell>
          <cell r="H420" t="str">
            <v>MARTHA CALDERON G.</v>
          </cell>
          <cell r="I420" t="str">
            <v>MARTHA CALDERON G.</v>
          </cell>
          <cell r="J420" t="str">
            <v>J06</v>
          </cell>
          <cell r="K420" t="str">
            <v/>
          </cell>
          <cell r="L420">
            <v>0</v>
          </cell>
          <cell r="M420">
            <v>428</v>
          </cell>
          <cell r="N420" t="str">
            <v>A</v>
          </cell>
          <cell r="O420">
            <v>41698</v>
          </cell>
          <cell r="P420" t="str">
            <v xml:space="preserve">    1</v>
          </cell>
          <cell r="Q420">
            <v>0</v>
          </cell>
          <cell r="R420">
            <v>0</v>
          </cell>
          <cell r="S420">
            <v>0</v>
          </cell>
          <cell r="T420">
            <v>6560</v>
          </cell>
          <cell r="U420">
            <v>0</v>
          </cell>
          <cell r="V420" t="str">
            <v>CENTRO</v>
          </cell>
          <cell r="W420" t="str">
            <v/>
          </cell>
          <cell r="X420" t="str">
            <v/>
          </cell>
        </row>
        <row r="421">
          <cell r="A421">
            <v>2322</v>
          </cell>
          <cell r="B421" t="str">
            <v>MARTHA ARENAS (TULTEPEC)</v>
          </cell>
          <cell r="C421" t="str">
            <v/>
          </cell>
          <cell r="D421" t="str">
            <v/>
          </cell>
          <cell r="E421" t="str">
            <v>TULTEPEC, EDO. DE MEXICO</v>
          </cell>
          <cell r="F421" t="str">
            <v/>
          </cell>
          <cell r="G421" t="str">
            <v/>
          </cell>
          <cell r="H421" t="str">
            <v/>
          </cell>
          <cell r="I421" t="str">
            <v/>
          </cell>
          <cell r="J421" t="str">
            <v>M01</v>
          </cell>
          <cell r="K421" t="str">
            <v/>
          </cell>
          <cell r="L421">
            <v>0</v>
          </cell>
          <cell r="M421">
            <v>429</v>
          </cell>
          <cell r="N421" t="str">
            <v>A</v>
          </cell>
          <cell r="O421">
            <v>42429</v>
          </cell>
          <cell r="P421" t="str">
            <v xml:space="preserve">    5</v>
          </cell>
          <cell r="Q421">
            <v>0</v>
          </cell>
          <cell r="R421">
            <v>0</v>
          </cell>
          <cell r="S421">
            <v>264</v>
          </cell>
          <cell r="T421">
            <v>7872</v>
          </cell>
          <cell r="U421">
            <v>0</v>
          </cell>
          <cell r="V421" t="str">
            <v/>
          </cell>
          <cell r="W421" t="str">
            <v/>
          </cell>
          <cell r="X421" t="str">
            <v/>
          </cell>
        </row>
        <row r="422">
          <cell r="A422">
            <v>2323</v>
          </cell>
          <cell r="B422" t="str">
            <v>BLANCA ESTELA BONILLA (SAN JUAN)</v>
          </cell>
          <cell r="C422" t="str">
            <v/>
          </cell>
          <cell r="D422" t="str">
            <v>MERCADO REFORMA #196</v>
          </cell>
          <cell r="E422" t="str">
            <v>SAN JUAN DEL RIO, QRO.</v>
          </cell>
          <cell r="F422" t="str">
            <v/>
          </cell>
          <cell r="G422" t="str">
            <v>(427) 119-9864 CEL</v>
          </cell>
          <cell r="H422" t="str">
            <v>BLANCA ESTELA B.</v>
          </cell>
          <cell r="I422" t="str">
            <v>BLANCA ESTELA B.</v>
          </cell>
          <cell r="J422" t="str">
            <v>L01</v>
          </cell>
          <cell r="K422" t="str">
            <v/>
          </cell>
          <cell r="L422">
            <v>0</v>
          </cell>
          <cell r="M422">
            <v>431</v>
          </cell>
          <cell r="N422" t="str">
            <v>A</v>
          </cell>
          <cell r="O422">
            <v>42088</v>
          </cell>
          <cell r="P422" t="str">
            <v xml:space="preserve">   97</v>
          </cell>
          <cell r="Q422">
            <v>0</v>
          </cell>
          <cell r="R422">
            <v>0</v>
          </cell>
          <cell r="S422">
            <v>0</v>
          </cell>
          <cell r="T422">
            <v>31777</v>
          </cell>
          <cell r="U422">
            <v>0</v>
          </cell>
          <cell r="V422" t="str">
            <v>CENTRO</v>
          </cell>
          <cell r="W422" t="str">
            <v>(427) 114-9918 RAUL ARTEA</v>
          </cell>
          <cell r="X422" t="str">
            <v/>
          </cell>
        </row>
        <row r="423">
          <cell r="A423">
            <v>2324</v>
          </cell>
          <cell r="B423" t="str">
            <v>GEORGINA TRUJILLO (TULA)</v>
          </cell>
          <cell r="C423" t="str">
            <v/>
          </cell>
          <cell r="D423" t="str">
            <v/>
          </cell>
          <cell r="E423" t="str">
            <v>TULA, HGO.</v>
          </cell>
          <cell r="F423" t="str">
            <v/>
          </cell>
          <cell r="G423" t="str">
            <v/>
          </cell>
          <cell r="H423" t="str">
            <v/>
          </cell>
          <cell r="I423" t="str">
            <v/>
          </cell>
          <cell r="J423" t="str">
            <v>F02</v>
          </cell>
          <cell r="K423" t="str">
            <v/>
          </cell>
          <cell r="L423">
            <v>0</v>
          </cell>
          <cell r="M423">
            <v>432</v>
          </cell>
          <cell r="N423" t="str">
            <v>A</v>
          </cell>
          <cell r="O423">
            <v>42361</v>
          </cell>
          <cell r="P423" t="str">
            <v xml:space="preserve">    1</v>
          </cell>
          <cell r="Q423">
            <v>0</v>
          </cell>
          <cell r="R423">
            <v>0</v>
          </cell>
          <cell r="S423">
            <v>1590</v>
          </cell>
          <cell r="T423">
            <v>32221</v>
          </cell>
          <cell r="U423">
            <v>0</v>
          </cell>
          <cell r="V423" t="str">
            <v/>
          </cell>
          <cell r="W423" t="str">
            <v/>
          </cell>
          <cell r="X423" t="str">
            <v/>
          </cell>
        </row>
        <row r="424">
          <cell r="A424">
            <v>2325</v>
          </cell>
          <cell r="B424" t="str">
            <v xml:space="preserve">DAYSI GARCIA GARCIA (E. MONTES)                             </v>
          </cell>
          <cell r="C424" t="str">
            <v/>
          </cell>
          <cell r="E424" t="str">
            <v xml:space="preserve">EZEQUIEL MONTES, QRO.         </v>
          </cell>
          <cell r="F424" t="str">
            <v/>
          </cell>
          <cell r="H424" t="str">
            <v>DEISY BUSTAMANTE R.</v>
          </cell>
          <cell r="I424" t="str">
            <v>DEISY BUSTAMANTE R.</v>
          </cell>
          <cell r="J424" t="str">
            <v>J02</v>
          </cell>
          <cell r="K424" t="str">
            <v/>
          </cell>
          <cell r="L424">
            <v>0</v>
          </cell>
          <cell r="M424">
            <v>433</v>
          </cell>
          <cell r="N424" t="str">
            <v>A</v>
          </cell>
          <cell r="O424">
            <v>42029</v>
          </cell>
          <cell r="P424" t="str">
            <v xml:space="preserve">   97</v>
          </cell>
          <cell r="Q424">
            <v>0</v>
          </cell>
          <cell r="R424">
            <v>0</v>
          </cell>
          <cell r="S424">
            <v>53</v>
          </cell>
          <cell r="T424">
            <v>11494</v>
          </cell>
          <cell r="U424">
            <v>0</v>
          </cell>
          <cell r="W424" t="str">
            <v/>
          </cell>
          <cell r="X424" t="str">
            <v/>
          </cell>
        </row>
        <row r="425">
          <cell r="A425">
            <v>2326</v>
          </cell>
          <cell r="B425" t="str">
            <v>EL MUNDO DE TOBY (QUERETARO)</v>
          </cell>
          <cell r="C425" t="str">
            <v/>
          </cell>
          <cell r="D425" t="str">
            <v>AV. DE LA PIEDRA #310</v>
          </cell>
          <cell r="E425" t="str">
            <v>QUERETARO, QRO.</v>
          </cell>
          <cell r="F425" t="str">
            <v/>
          </cell>
          <cell r="G425" t="str">
            <v>(442) 172-2640 MONSE</v>
          </cell>
          <cell r="H425" t="str">
            <v>MARISOL VELEZ</v>
          </cell>
          <cell r="I425" t="str">
            <v>MARISOL VELEZ</v>
          </cell>
          <cell r="J425" t="str">
            <v>L04P</v>
          </cell>
          <cell r="K425" t="str">
            <v/>
          </cell>
          <cell r="L425">
            <v>0</v>
          </cell>
          <cell r="M425">
            <v>434</v>
          </cell>
          <cell r="N425" t="str">
            <v>A</v>
          </cell>
          <cell r="O425">
            <v>42439</v>
          </cell>
          <cell r="P425" t="str">
            <v xml:space="preserve">   97</v>
          </cell>
          <cell r="Q425">
            <v>0</v>
          </cell>
          <cell r="R425">
            <v>0</v>
          </cell>
          <cell r="S425">
            <v>1247</v>
          </cell>
          <cell r="T425">
            <v>77204</v>
          </cell>
          <cell r="U425">
            <v>0</v>
          </cell>
          <cell r="V425" t="str">
            <v>SATELITE</v>
          </cell>
          <cell r="W425" t="str">
            <v/>
          </cell>
          <cell r="X425" t="str">
            <v/>
          </cell>
        </row>
        <row r="426">
          <cell r="A426">
            <v>2327</v>
          </cell>
          <cell r="B426" t="str">
            <v>VERONICA BAZAN AGUIRRE (TEOTIHUACAN)</v>
          </cell>
          <cell r="C426" t="str">
            <v/>
          </cell>
          <cell r="D426" t="str">
            <v>AV. HIGALGO #8B</v>
          </cell>
          <cell r="E426" t="str">
            <v>TEOTIHUACAN, EDO. DE MEXICO</v>
          </cell>
          <cell r="F426" t="str">
            <v/>
          </cell>
          <cell r="G426" t="str">
            <v>(55) 3493-4705</v>
          </cell>
          <cell r="H426" t="str">
            <v>VERONICA BAZAN A.</v>
          </cell>
          <cell r="I426" t="str">
            <v>VERONICA BAZAN A.</v>
          </cell>
          <cell r="J426" t="str">
            <v>M03</v>
          </cell>
          <cell r="K426" t="str">
            <v/>
          </cell>
          <cell r="L426">
            <v>0</v>
          </cell>
          <cell r="M426">
            <v>435</v>
          </cell>
          <cell r="N426" t="str">
            <v>A</v>
          </cell>
          <cell r="O426">
            <v>41768</v>
          </cell>
          <cell r="P426" t="str">
            <v xml:space="preserve">    9</v>
          </cell>
          <cell r="Q426">
            <v>0</v>
          </cell>
          <cell r="R426">
            <v>0</v>
          </cell>
          <cell r="S426">
            <v>761</v>
          </cell>
          <cell r="T426">
            <v>11939</v>
          </cell>
          <cell r="U426">
            <v>0</v>
          </cell>
          <cell r="V426" t="str">
            <v/>
          </cell>
          <cell r="W426" t="str">
            <v/>
          </cell>
          <cell r="X426" t="str">
            <v/>
          </cell>
        </row>
        <row r="427">
          <cell r="A427">
            <v>2328</v>
          </cell>
          <cell r="B427" t="str">
            <v>RUTH GONZALEZ CAMARENA (URIANGATO)</v>
          </cell>
          <cell r="C427" t="str">
            <v/>
          </cell>
          <cell r="D427" t="str">
            <v>URRUTIA ESQ. 16 DE SEPTIEMBRE</v>
          </cell>
          <cell r="E427" t="str">
            <v>URIANGATO, GTO.</v>
          </cell>
          <cell r="F427" t="str">
            <v/>
          </cell>
          <cell r="G427" t="str">
            <v>(445) 117-9467</v>
          </cell>
          <cell r="H427" t="str">
            <v/>
          </cell>
          <cell r="I427" t="str">
            <v/>
          </cell>
          <cell r="J427" t="str">
            <v>J06</v>
          </cell>
          <cell r="K427" t="str">
            <v/>
          </cell>
          <cell r="L427">
            <v>0</v>
          </cell>
          <cell r="M427">
            <v>436</v>
          </cell>
          <cell r="N427" t="str">
            <v>A</v>
          </cell>
          <cell r="O427">
            <v>42275</v>
          </cell>
          <cell r="P427" t="str">
            <v xml:space="preserve">    2</v>
          </cell>
          <cell r="Q427">
            <v>0</v>
          </cell>
          <cell r="R427">
            <v>0</v>
          </cell>
          <cell r="S427">
            <v>0</v>
          </cell>
          <cell r="T427">
            <v>2315</v>
          </cell>
          <cell r="U427">
            <v>0</v>
          </cell>
          <cell r="V427" t="str">
            <v>CENTRO</v>
          </cell>
          <cell r="W427" t="str">
            <v/>
          </cell>
          <cell r="X427" t="str">
            <v/>
          </cell>
        </row>
        <row r="428">
          <cell r="A428">
            <v>2329</v>
          </cell>
          <cell r="B428" t="str">
            <v>AMMISADDAID ROMERO FLORES (TULANCINGO)</v>
          </cell>
          <cell r="C428" t="str">
            <v/>
          </cell>
          <cell r="D428" t="str">
            <v>1º DE MAYO PASAJE MERCADO INT. 5</v>
          </cell>
          <cell r="E428" t="str">
            <v>TULANCINGO, HGO.</v>
          </cell>
          <cell r="F428" t="str">
            <v/>
          </cell>
          <cell r="G428" t="str">
            <v/>
          </cell>
          <cell r="H428" t="str">
            <v>AMMISADDAID ROMERO F</v>
          </cell>
          <cell r="I428" t="str">
            <v>AMMISADDAID ROMERO F</v>
          </cell>
          <cell r="J428" t="str">
            <v>M03</v>
          </cell>
          <cell r="K428" t="str">
            <v/>
          </cell>
          <cell r="L428">
            <v>0</v>
          </cell>
          <cell r="M428">
            <v>437</v>
          </cell>
          <cell r="N428" t="str">
            <v>A</v>
          </cell>
          <cell r="O428">
            <v>41796</v>
          </cell>
          <cell r="P428" t="str">
            <v xml:space="preserve">    9</v>
          </cell>
          <cell r="Q428">
            <v>0</v>
          </cell>
          <cell r="R428">
            <v>0</v>
          </cell>
          <cell r="S428">
            <v>0</v>
          </cell>
          <cell r="T428">
            <v>14211</v>
          </cell>
          <cell r="U428">
            <v>0</v>
          </cell>
          <cell r="V428" t="str">
            <v>CENTRO</v>
          </cell>
          <cell r="W428" t="str">
            <v/>
          </cell>
          <cell r="X428" t="str">
            <v/>
          </cell>
        </row>
        <row r="429">
          <cell r="A429">
            <v>2330</v>
          </cell>
          <cell r="B429" t="str">
            <v>KARINA RODRIGUEZ (ZITLALTEPEC)</v>
          </cell>
          <cell r="C429" t="str">
            <v/>
          </cell>
          <cell r="D429" t="str">
            <v>AV. 16 DE SEPTIEMBRE #94</v>
          </cell>
          <cell r="E429" t="str">
            <v>SN JUAN ZITLALTEPEC, EDO. MEX.</v>
          </cell>
          <cell r="F429" t="str">
            <v/>
          </cell>
          <cell r="G429" t="str">
            <v>(591) 911-2632</v>
          </cell>
          <cell r="H429" t="str">
            <v>RAQUEL RODRIGUEZ E.</v>
          </cell>
          <cell r="I429" t="str">
            <v>RAQUEL RODRIGUEZ E.</v>
          </cell>
          <cell r="J429" t="str">
            <v>M01</v>
          </cell>
          <cell r="K429" t="str">
            <v/>
          </cell>
          <cell r="L429">
            <v>0</v>
          </cell>
          <cell r="M429">
            <v>438</v>
          </cell>
          <cell r="N429" t="str">
            <v>A</v>
          </cell>
          <cell r="O429">
            <v>42357</v>
          </cell>
          <cell r="P429" t="str">
            <v xml:space="preserve">    9</v>
          </cell>
          <cell r="Q429">
            <v>0</v>
          </cell>
          <cell r="R429">
            <v>0</v>
          </cell>
          <cell r="S429">
            <v>2345</v>
          </cell>
          <cell r="T429">
            <v>43238</v>
          </cell>
          <cell r="U429">
            <v>0</v>
          </cell>
          <cell r="V429" t="str">
            <v>BARRIO SAN MIGUEL</v>
          </cell>
          <cell r="W429" t="str">
            <v/>
          </cell>
          <cell r="X429" t="str">
            <v/>
          </cell>
        </row>
        <row r="430">
          <cell r="A430">
            <v>2331</v>
          </cell>
          <cell r="B430" t="str">
            <v>MARGARITA OLVERA OLGUIN (PROGRESO)</v>
          </cell>
          <cell r="C430" t="str">
            <v/>
          </cell>
          <cell r="D430" t="str">
            <v>PLAZA DE LA CONSTITUCION #25</v>
          </cell>
          <cell r="E430" t="str">
            <v>PROGRESO, HGO.</v>
          </cell>
          <cell r="F430" t="str">
            <v/>
          </cell>
          <cell r="G430" t="str">
            <v>(772) 725-2151</v>
          </cell>
          <cell r="H430" t="str">
            <v>MARGARITA OLVERA O.</v>
          </cell>
          <cell r="I430" t="str">
            <v>MARGARITA OLVERA O.</v>
          </cell>
          <cell r="J430" t="str">
            <v>F02</v>
          </cell>
          <cell r="K430" t="str">
            <v/>
          </cell>
          <cell r="L430">
            <v>0</v>
          </cell>
          <cell r="M430">
            <v>439</v>
          </cell>
          <cell r="N430" t="str">
            <v>A</v>
          </cell>
          <cell r="O430">
            <v>42259</v>
          </cell>
          <cell r="P430" t="str">
            <v xml:space="preserve">    1</v>
          </cell>
          <cell r="Q430">
            <v>0</v>
          </cell>
          <cell r="R430">
            <v>0</v>
          </cell>
          <cell r="S430">
            <v>0</v>
          </cell>
          <cell r="T430">
            <v>3618</v>
          </cell>
          <cell r="U430">
            <v>0</v>
          </cell>
          <cell r="V430" t="str">
            <v/>
          </cell>
          <cell r="W430" t="str">
            <v/>
          </cell>
          <cell r="X430" t="str">
            <v/>
          </cell>
        </row>
        <row r="431">
          <cell r="A431">
            <v>2332</v>
          </cell>
          <cell r="B431" t="str">
            <v>KARINA DELGADO ZAVALA (VALLE DE SANTIAGO)</v>
          </cell>
          <cell r="C431" t="str">
            <v/>
          </cell>
          <cell r="D431" t="str">
            <v>5 DE MAYO #34-A</v>
          </cell>
          <cell r="E431" t="str">
            <v>VALLE DE SANTIAGO, GTO.</v>
          </cell>
          <cell r="F431" t="str">
            <v/>
          </cell>
          <cell r="G431" t="str">
            <v>(456) 643-1307</v>
          </cell>
          <cell r="H431" t="str">
            <v>CARINA DELGADO Z.</v>
          </cell>
          <cell r="I431" t="str">
            <v>CARINA DELGADO Z.</v>
          </cell>
          <cell r="J431" t="str">
            <v>F04</v>
          </cell>
          <cell r="K431" t="str">
            <v/>
          </cell>
          <cell r="L431">
            <v>0</v>
          </cell>
          <cell r="M431">
            <v>440</v>
          </cell>
          <cell r="N431" t="str">
            <v>A</v>
          </cell>
          <cell r="O431">
            <v>41713</v>
          </cell>
          <cell r="P431" t="str">
            <v xml:space="preserve">    3</v>
          </cell>
          <cell r="Q431">
            <v>0</v>
          </cell>
          <cell r="R431">
            <v>0</v>
          </cell>
          <cell r="S431">
            <v>0</v>
          </cell>
          <cell r="T431">
            <v>9108</v>
          </cell>
          <cell r="U431">
            <v>0</v>
          </cell>
          <cell r="V431" t="str">
            <v>CENTRO</v>
          </cell>
          <cell r="W431" t="str">
            <v>62*14*79401</v>
          </cell>
          <cell r="X431" t="str">
            <v>kardel.gnk@gmail.com</v>
          </cell>
        </row>
        <row r="432">
          <cell r="A432">
            <v>2333</v>
          </cell>
          <cell r="B432" t="str">
            <v>DOMINGA LABRADA CABRERA (JUVENTINO ROSAS)</v>
          </cell>
          <cell r="C432" t="str">
            <v/>
          </cell>
          <cell r="D432" t="str">
            <v>AV. LOPEZ MATEOS #102</v>
          </cell>
          <cell r="E432" t="str">
            <v>JUVENTINO ROSAS, GTO.</v>
          </cell>
          <cell r="F432" t="str">
            <v/>
          </cell>
          <cell r="G432" t="str">
            <v>(412) 157-6986</v>
          </cell>
          <cell r="H432" t="str">
            <v>DOMINGA LABRADA C.</v>
          </cell>
          <cell r="I432" t="str">
            <v>DOMINGA LABRADA C.</v>
          </cell>
          <cell r="J432" t="str">
            <v>F04</v>
          </cell>
          <cell r="K432" t="str">
            <v/>
          </cell>
          <cell r="L432">
            <v>0</v>
          </cell>
          <cell r="M432">
            <v>441</v>
          </cell>
          <cell r="N432" t="str">
            <v>A</v>
          </cell>
          <cell r="O432">
            <v>42518</v>
          </cell>
          <cell r="P432" t="str">
            <v xml:space="preserve">    3</v>
          </cell>
          <cell r="Q432">
            <v>0</v>
          </cell>
          <cell r="R432">
            <v>0</v>
          </cell>
          <cell r="S432">
            <v>8232</v>
          </cell>
          <cell r="T432">
            <v>184038</v>
          </cell>
          <cell r="U432">
            <v>0</v>
          </cell>
          <cell r="V432" t="str">
            <v>CENTRO</v>
          </cell>
          <cell r="W432" t="str">
            <v>(461) 195-2382PROVIDENCIA</v>
          </cell>
          <cell r="X432" t="str">
            <v>hazeltve@hotmail.com</v>
          </cell>
        </row>
        <row r="433">
          <cell r="A433">
            <v>2334</v>
          </cell>
          <cell r="B433" t="str">
            <v>MA. MAGDALENA MOSQUEDA SAAVEDRA (VILLA GRAN)</v>
          </cell>
          <cell r="C433" t="str">
            <v/>
          </cell>
          <cell r="D433" t="str">
            <v>JUAREZ #103</v>
          </cell>
          <cell r="E433" t="str">
            <v>VILLAGRAN, GTO.</v>
          </cell>
          <cell r="F433" t="str">
            <v/>
          </cell>
          <cell r="G433" t="str">
            <v>(461) 219-9354</v>
          </cell>
          <cell r="H433" t="str">
            <v>MAGDALENA MOSQUEDA</v>
          </cell>
          <cell r="I433" t="str">
            <v>MAGDALENA MOSQUEDA</v>
          </cell>
          <cell r="J433" t="str">
            <v>F04</v>
          </cell>
          <cell r="K433" t="str">
            <v/>
          </cell>
          <cell r="L433">
            <v>0</v>
          </cell>
          <cell r="M433">
            <v>442</v>
          </cell>
          <cell r="N433" t="str">
            <v>A</v>
          </cell>
          <cell r="O433">
            <v>42518</v>
          </cell>
          <cell r="P433" t="str">
            <v xml:space="preserve">   13</v>
          </cell>
          <cell r="Q433">
            <v>0</v>
          </cell>
          <cell r="R433">
            <v>0</v>
          </cell>
          <cell r="S433">
            <v>2987</v>
          </cell>
          <cell r="T433">
            <v>96315.5</v>
          </cell>
          <cell r="U433">
            <v>0</v>
          </cell>
          <cell r="V433" t="str">
            <v>CENTRO</v>
          </cell>
          <cell r="W433" t="str">
            <v>72*1006178*1</v>
          </cell>
          <cell r="X433" t="str">
            <v>beba37@hotmail.com</v>
          </cell>
        </row>
        <row r="434">
          <cell r="A434">
            <v>2335</v>
          </cell>
          <cell r="B434" t="str">
            <v>MARCO ANTONIO NAVA (TEZONTEPEC)</v>
          </cell>
          <cell r="C434" t="str">
            <v/>
          </cell>
          <cell r="D434" t="str">
            <v>AV. JUAN ALDAMA #26</v>
          </cell>
          <cell r="E434" t="str">
            <v>TEZONTEPEC, HGO.</v>
          </cell>
          <cell r="F434" t="str">
            <v/>
          </cell>
          <cell r="G434" t="str">
            <v>(773) 120-4734</v>
          </cell>
          <cell r="H434" t="str">
            <v>MARCO ANTONIO NAVA</v>
          </cell>
          <cell r="I434" t="str">
            <v>MARCO ANTONIO NAV</v>
          </cell>
          <cell r="J434" t="str">
            <v>F02</v>
          </cell>
          <cell r="K434" t="str">
            <v/>
          </cell>
          <cell r="L434">
            <v>0</v>
          </cell>
          <cell r="M434">
            <v>443</v>
          </cell>
          <cell r="N434" t="str">
            <v>A</v>
          </cell>
          <cell r="O434">
            <v>42325</v>
          </cell>
          <cell r="P434" t="str">
            <v xml:space="preserve">    1</v>
          </cell>
          <cell r="Q434">
            <v>0</v>
          </cell>
          <cell r="R434">
            <v>0</v>
          </cell>
          <cell r="S434">
            <v>0</v>
          </cell>
          <cell r="T434">
            <v>13001</v>
          </cell>
          <cell r="U434">
            <v>0</v>
          </cell>
          <cell r="V434" t="str">
            <v>CENTRO</v>
          </cell>
          <cell r="W434" t="str">
            <v/>
          </cell>
          <cell r="X434" t="str">
            <v/>
          </cell>
        </row>
        <row r="435">
          <cell r="A435">
            <v>2336</v>
          </cell>
          <cell r="B435" t="str">
            <v>NATALIA RIVERA (QUERETARO)</v>
          </cell>
          <cell r="C435" t="str">
            <v/>
          </cell>
          <cell r="D435" t="str">
            <v>MERCADO ESCOBEDO LOC. 41 Y 42</v>
          </cell>
          <cell r="E435" t="str">
            <v>QUERETARO, QRO.</v>
          </cell>
          <cell r="F435" t="str">
            <v/>
          </cell>
          <cell r="G435" t="str">
            <v>(442) 146-9979</v>
          </cell>
          <cell r="H435" t="str">
            <v>MATALIA RIVERA</v>
          </cell>
          <cell r="I435" t="str">
            <v>MATALIA RIVERA</v>
          </cell>
          <cell r="J435" t="str">
            <v>BAJA</v>
          </cell>
          <cell r="K435" t="str">
            <v/>
          </cell>
          <cell r="L435">
            <v>0</v>
          </cell>
          <cell r="M435">
            <v>444</v>
          </cell>
          <cell r="N435" t="str">
            <v>A</v>
          </cell>
          <cell r="O435">
            <v>41613</v>
          </cell>
          <cell r="P435" t="str">
            <v xml:space="preserve">   13</v>
          </cell>
          <cell r="Q435">
            <v>0</v>
          </cell>
          <cell r="R435">
            <v>0</v>
          </cell>
          <cell r="S435">
            <v>0</v>
          </cell>
          <cell r="T435">
            <v>2613</v>
          </cell>
          <cell r="U435">
            <v>0</v>
          </cell>
          <cell r="V435" t="str">
            <v>CENTRO</v>
          </cell>
          <cell r="W435" t="str">
            <v/>
          </cell>
          <cell r="X435" t="str">
            <v/>
          </cell>
        </row>
        <row r="436">
          <cell r="A436">
            <v>2337</v>
          </cell>
          <cell r="B436" t="str">
            <v>ANGELICA LABRADA CABRERA (JUVENTINO ROSAS)</v>
          </cell>
          <cell r="C436" t="str">
            <v/>
          </cell>
          <cell r="D436" t="str">
            <v>GUSTAVO CABRERA #103</v>
          </cell>
          <cell r="E436" t="str">
            <v>JUVENTINO ROSAS, GTO.</v>
          </cell>
          <cell r="F436" t="str">
            <v/>
          </cell>
          <cell r="G436" t="str">
            <v>(412) 157-6987</v>
          </cell>
          <cell r="H436" t="str">
            <v>ANGELICA LABRADA C.</v>
          </cell>
          <cell r="I436" t="str">
            <v>ANGELICA LABRADA C.</v>
          </cell>
          <cell r="J436" t="str">
            <v>F04</v>
          </cell>
          <cell r="K436" t="str">
            <v/>
          </cell>
          <cell r="L436">
            <v>0</v>
          </cell>
          <cell r="M436">
            <v>445</v>
          </cell>
          <cell r="N436" t="str">
            <v>A</v>
          </cell>
          <cell r="O436">
            <v>42469</v>
          </cell>
          <cell r="P436" t="str">
            <v xml:space="preserve">   13</v>
          </cell>
          <cell r="Q436">
            <v>0</v>
          </cell>
          <cell r="R436">
            <v>0</v>
          </cell>
          <cell r="S436">
            <v>2511</v>
          </cell>
          <cell r="T436">
            <v>38915</v>
          </cell>
          <cell r="U436">
            <v>0</v>
          </cell>
          <cell r="V436" t="str">
            <v>CENTRO</v>
          </cell>
          <cell r="W436" t="str">
            <v/>
          </cell>
          <cell r="X436" t="str">
            <v/>
          </cell>
        </row>
        <row r="437">
          <cell r="A437">
            <v>2338</v>
          </cell>
          <cell r="B437" t="str">
            <v>MARICELA PEREZ YAÑEZ (AMEALCO)</v>
          </cell>
          <cell r="C437" t="str">
            <v/>
          </cell>
          <cell r="D437" t="str">
            <v/>
          </cell>
          <cell r="E437" t="str">
            <v>AMEALCO, QRO.</v>
          </cell>
          <cell r="F437" t="str">
            <v/>
          </cell>
          <cell r="G437" t="str">
            <v/>
          </cell>
          <cell r="H437" t="str">
            <v>MARICELA PEREZ YAÑEZ</v>
          </cell>
          <cell r="I437" t="str">
            <v>MARICELA PEREZ YAÑEZ</v>
          </cell>
          <cell r="J437" t="str">
            <v>L06P</v>
          </cell>
          <cell r="K437" t="str">
            <v/>
          </cell>
          <cell r="L437">
            <v>0</v>
          </cell>
          <cell r="M437">
            <v>446</v>
          </cell>
          <cell r="N437" t="str">
            <v>A</v>
          </cell>
          <cell r="O437">
            <v>41893</v>
          </cell>
          <cell r="P437" t="str">
            <v xml:space="preserve">   97</v>
          </cell>
          <cell r="Q437">
            <v>0</v>
          </cell>
          <cell r="R437">
            <v>0</v>
          </cell>
          <cell r="S437">
            <v>0</v>
          </cell>
          <cell r="T437">
            <v>1946</v>
          </cell>
          <cell r="U437">
            <v>0</v>
          </cell>
          <cell r="V437" t="str">
            <v/>
          </cell>
          <cell r="W437" t="str">
            <v/>
          </cell>
          <cell r="X437" t="str">
            <v/>
          </cell>
        </row>
        <row r="438">
          <cell r="A438">
            <v>2339</v>
          </cell>
          <cell r="B438" t="str">
            <v>MARIA AGUILAR "NOVEDADES AGUILAR" (QUERETARO)</v>
          </cell>
          <cell r="C438" t="str">
            <v/>
          </cell>
          <cell r="D438" t="str">
            <v>PASILLO 3 LOC. 85-78-79 MERCADO ESCOBEDO</v>
          </cell>
          <cell r="E438" t="str">
            <v>QUERETARO, QRO.</v>
          </cell>
          <cell r="F438" t="str">
            <v/>
          </cell>
          <cell r="G438" t="str">
            <v>(442) 379-2297 CEL.</v>
          </cell>
          <cell r="H438" t="str">
            <v>MARIA AGUILAR</v>
          </cell>
          <cell r="I438" t="str">
            <v>MARIA AGUILAR</v>
          </cell>
          <cell r="J438" t="str">
            <v>L04</v>
          </cell>
          <cell r="K438" t="str">
            <v/>
          </cell>
          <cell r="L438">
            <v>0</v>
          </cell>
          <cell r="M438">
            <v>447</v>
          </cell>
          <cell r="N438" t="str">
            <v>A</v>
          </cell>
          <cell r="O438">
            <v>42342</v>
          </cell>
          <cell r="P438" t="str">
            <v xml:space="preserve">    3</v>
          </cell>
          <cell r="Q438">
            <v>0</v>
          </cell>
          <cell r="R438">
            <v>0</v>
          </cell>
          <cell r="S438">
            <v>4856</v>
          </cell>
          <cell r="T438">
            <v>30695</v>
          </cell>
          <cell r="U438">
            <v>0</v>
          </cell>
          <cell r="V438" t="str">
            <v>CENTRO</v>
          </cell>
          <cell r="W438" t="str">
            <v>(442) 217-8472 CASA</v>
          </cell>
          <cell r="X438" t="str">
            <v/>
          </cell>
        </row>
        <row r="439">
          <cell r="A439">
            <v>2340</v>
          </cell>
          <cell r="B439" t="str">
            <v>ANA MARIA EUROZA (APAXCO)</v>
          </cell>
          <cell r="C439" t="str">
            <v/>
          </cell>
          <cell r="D439" t="str">
            <v>AV. HIDALGO #77</v>
          </cell>
          <cell r="E439" t="str">
            <v>APAXCO, EDO. DE MEXICO</v>
          </cell>
          <cell r="F439" t="str">
            <v/>
          </cell>
          <cell r="G439" t="str">
            <v>(599) 998-1077</v>
          </cell>
          <cell r="H439" t="str">
            <v>ANA MARIA EUROZA</v>
          </cell>
          <cell r="I439" t="str">
            <v>ANA MARIA EUROZA</v>
          </cell>
          <cell r="J439" t="str">
            <v>M04</v>
          </cell>
          <cell r="K439" t="str">
            <v/>
          </cell>
          <cell r="L439">
            <v>0</v>
          </cell>
          <cell r="M439">
            <v>448</v>
          </cell>
          <cell r="N439" t="str">
            <v>A</v>
          </cell>
          <cell r="O439">
            <v>41688</v>
          </cell>
          <cell r="P439" t="str">
            <v xml:space="preserve">    9</v>
          </cell>
          <cell r="Q439">
            <v>0</v>
          </cell>
          <cell r="R439">
            <v>0</v>
          </cell>
          <cell r="S439">
            <v>0</v>
          </cell>
          <cell r="T439">
            <v>5492</v>
          </cell>
          <cell r="U439">
            <v>0</v>
          </cell>
          <cell r="V439" t="str">
            <v>CENTRO</v>
          </cell>
          <cell r="W439" t="str">
            <v/>
          </cell>
          <cell r="X439" t="str">
            <v/>
          </cell>
        </row>
        <row r="440">
          <cell r="A440">
            <v>2341</v>
          </cell>
          <cell r="B440" t="str">
            <v>REGALOS Y NOVEDADES AIDE (QUERETARO)</v>
          </cell>
          <cell r="C440" t="str">
            <v/>
          </cell>
          <cell r="D440" t="str">
            <v>AV. DE LA LUZ #715</v>
          </cell>
          <cell r="E440" t="str">
            <v>QUERETARO, QRO.</v>
          </cell>
          <cell r="F440" t="str">
            <v>76116</v>
          </cell>
          <cell r="G440" t="str">
            <v>(442) 218-5999 CASA</v>
          </cell>
          <cell r="H440" t="str">
            <v/>
          </cell>
          <cell r="I440" t="str">
            <v/>
          </cell>
          <cell r="J440" t="str">
            <v>L04P</v>
          </cell>
          <cell r="K440" t="str">
            <v/>
          </cell>
          <cell r="L440">
            <v>0</v>
          </cell>
          <cell r="M440">
            <v>449</v>
          </cell>
          <cell r="N440" t="str">
            <v>A</v>
          </cell>
          <cell r="O440">
            <v>42391</v>
          </cell>
          <cell r="P440" t="str">
            <v xml:space="preserve">   97</v>
          </cell>
          <cell r="Q440">
            <v>0</v>
          </cell>
          <cell r="R440">
            <v>0</v>
          </cell>
          <cell r="S440">
            <v>0</v>
          </cell>
          <cell r="T440">
            <v>3958</v>
          </cell>
          <cell r="U440">
            <v>0</v>
          </cell>
          <cell r="V440" t="str">
            <v>EL GARAMBULLO</v>
          </cell>
          <cell r="W440" t="str">
            <v>(442) 397-1373 CEL</v>
          </cell>
          <cell r="X440" t="str">
            <v/>
          </cell>
        </row>
        <row r="441">
          <cell r="A441">
            <v>2342</v>
          </cell>
          <cell r="B441" t="str">
            <v>RAUL AMADOR AMADOR (TLAXCOAPAN)</v>
          </cell>
          <cell r="C441" t="str">
            <v/>
          </cell>
          <cell r="D441" t="str">
            <v>AV. DEL TRABAJO S/N</v>
          </cell>
          <cell r="E441" t="str">
            <v>TLAXCOAPAN, HGO.</v>
          </cell>
          <cell r="F441" t="str">
            <v/>
          </cell>
          <cell r="G441" t="str">
            <v>(55) 2333-1945</v>
          </cell>
          <cell r="H441" t="str">
            <v>RAUL AMADOR AMADOR</v>
          </cell>
          <cell r="I441" t="str">
            <v>RAUL AMADOR AMADOR</v>
          </cell>
          <cell r="J441" t="str">
            <v>M04</v>
          </cell>
          <cell r="K441" t="str">
            <v/>
          </cell>
          <cell r="L441">
            <v>0</v>
          </cell>
          <cell r="M441">
            <v>450</v>
          </cell>
          <cell r="N441" t="str">
            <v>A</v>
          </cell>
          <cell r="O441">
            <v>41839</v>
          </cell>
          <cell r="P441" t="str">
            <v xml:space="preserve">    9</v>
          </cell>
          <cell r="Q441">
            <v>0</v>
          </cell>
          <cell r="R441">
            <v>0</v>
          </cell>
          <cell r="S441">
            <v>0</v>
          </cell>
          <cell r="T441">
            <v>31517</v>
          </cell>
          <cell r="U441">
            <v>0</v>
          </cell>
          <cell r="V441" t="str">
            <v>CENTRO</v>
          </cell>
          <cell r="W441" t="str">
            <v>(55) 2333-1945 CEL</v>
          </cell>
          <cell r="X441" t="str">
            <v>solitario_borre@hotmail.com</v>
          </cell>
        </row>
        <row r="442">
          <cell r="A442">
            <v>2343</v>
          </cell>
          <cell r="B442" t="str">
            <v>ANGELICA ARZATI FLORES (CORTAZAR)</v>
          </cell>
          <cell r="C442" t="str">
            <v/>
          </cell>
          <cell r="D442" t="str">
            <v>SOR JUANA #105A</v>
          </cell>
          <cell r="E442" t="str">
            <v>CORTAZAR, GTO.</v>
          </cell>
          <cell r="F442" t="str">
            <v/>
          </cell>
          <cell r="G442" t="str">
            <v>(411) 160-1764</v>
          </cell>
          <cell r="H442" t="str">
            <v/>
          </cell>
          <cell r="I442" t="str">
            <v/>
          </cell>
          <cell r="J442" t="str">
            <v>F04</v>
          </cell>
          <cell r="K442" t="str">
            <v/>
          </cell>
          <cell r="L442">
            <v>0</v>
          </cell>
          <cell r="M442">
            <v>452</v>
          </cell>
          <cell r="N442" t="str">
            <v>A</v>
          </cell>
          <cell r="O442">
            <v>41732</v>
          </cell>
          <cell r="P442" t="str">
            <v xml:space="preserve">    3</v>
          </cell>
          <cell r="Q442">
            <v>0</v>
          </cell>
          <cell r="R442">
            <v>0</v>
          </cell>
          <cell r="S442">
            <v>0</v>
          </cell>
          <cell r="T442">
            <v>7694</v>
          </cell>
          <cell r="U442">
            <v>0</v>
          </cell>
          <cell r="V442" t="str">
            <v>CENTRO</v>
          </cell>
          <cell r="W442" t="str">
            <v/>
          </cell>
          <cell r="X442" t="str">
            <v/>
          </cell>
        </row>
        <row r="443">
          <cell r="A443">
            <v>2344</v>
          </cell>
          <cell r="B443" t="str">
            <v>SARA LUNA MORENO (QUERETARO)</v>
          </cell>
          <cell r="C443" t="str">
            <v/>
          </cell>
          <cell r="D443" t="str">
            <v>MERCADO DE LA CRUZ LOCAL 7</v>
          </cell>
          <cell r="E443" t="str">
            <v>QUERETARO, QRO.</v>
          </cell>
          <cell r="F443" t="str">
            <v/>
          </cell>
          <cell r="G443" t="str">
            <v>4422127823</v>
          </cell>
          <cell r="H443" t="str">
            <v/>
          </cell>
          <cell r="I443" t="str">
            <v/>
          </cell>
          <cell r="J443" t="str">
            <v>BAJA</v>
          </cell>
          <cell r="K443" t="str">
            <v/>
          </cell>
          <cell r="L443">
            <v>0</v>
          </cell>
          <cell r="M443">
            <v>453</v>
          </cell>
          <cell r="N443" t="str">
            <v>A</v>
          </cell>
          <cell r="O443">
            <v>41691</v>
          </cell>
          <cell r="P443" t="str">
            <v xml:space="preserve">    1</v>
          </cell>
          <cell r="Q443">
            <v>0</v>
          </cell>
          <cell r="R443">
            <v>0</v>
          </cell>
          <cell r="S443">
            <v>0</v>
          </cell>
          <cell r="T443">
            <v>413</v>
          </cell>
          <cell r="U443">
            <v>0</v>
          </cell>
          <cell r="V443" t="str">
            <v/>
          </cell>
          <cell r="W443" t="str">
            <v/>
          </cell>
          <cell r="X443" t="str">
            <v/>
          </cell>
        </row>
        <row r="444">
          <cell r="A444">
            <v>2345</v>
          </cell>
          <cell r="B444" t="str">
            <v>OFELIA ARCOS PEREZ (CORONEO)</v>
          </cell>
          <cell r="C444" t="str">
            <v/>
          </cell>
          <cell r="D444" t="str">
            <v>MERCADO CORONEO LOC. 31</v>
          </cell>
          <cell r="E444" t="str">
            <v>CORONEO, GTO.</v>
          </cell>
          <cell r="F444" t="str">
            <v/>
          </cell>
          <cell r="G444" t="str">
            <v>(421) 105-7183 CEL</v>
          </cell>
          <cell r="H444" t="str">
            <v/>
          </cell>
          <cell r="I444" t="str">
            <v/>
          </cell>
          <cell r="J444" t="str">
            <v>0</v>
          </cell>
          <cell r="K444" t="str">
            <v/>
          </cell>
          <cell r="L444">
            <v>0</v>
          </cell>
          <cell r="M444">
            <v>454</v>
          </cell>
          <cell r="N444" t="str">
            <v>A</v>
          </cell>
          <cell r="O444">
            <v>42406</v>
          </cell>
          <cell r="P444" t="str">
            <v xml:space="preserve">    1</v>
          </cell>
          <cell r="Q444">
            <v>0</v>
          </cell>
          <cell r="R444">
            <v>0</v>
          </cell>
          <cell r="S444">
            <v>1000</v>
          </cell>
          <cell r="T444">
            <v>30796</v>
          </cell>
          <cell r="U444">
            <v>0</v>
          </cell>
          <cell r="V444" t="str">
            <v>CENTRO</v>
          </cell>
          <cell r="W444" t="str">
            <v>(421) 473-0609 CASA</v>
          </cell>
          <cell r="X444" t="str">
            <v/>
          </cell>
        </row>
        <row r="445">
          <cell r="A445">
            <v>2346</v>
          </cell>
          <cell r="B445" t="str">
            <v>CLAUDIA BECERRA (QUERETARO)</v>
          </cell>
          <cell r="C445" t="str">
            <v/>
          </cell>
          <cell r="D445" t="str">
            <v>MERCADO DE LA CRUZ LOCAL 10</v>
          </cell>
          <cell r="E445" t="str">
            <v>QUERETARO, QRO.</v>
          </cell>
          <cell r="F445" t="str">
            <v/>
          </cell>
          <cell r="G445" t="str">
            <v>(442) 212-7823</v>
          </cell>
          <cell r="H445" t="str">
            <v>CLAUDIA</v>
          </cell>
          <cell r="I445" t="str">
            <v>CLAUDIA</v>
          </cell>
          <cell r="J445" t="str">
            <v>L04</v>
          </cell>
          <cell r="K445" t="str">
            <v/>
          </cell>
          <cell r="L445">
            <v>0</v>
          </cell>
          <cell r="M445">
            <v>455</v>
          </cell>
          <cell r="N445" t="str">
            <v>A</v>
          </cell>
          <cell r="O445">
            <v>41710</v>
          </cell>
          <cell r="P445" t="str">
            <v xml:space="preserve">    1</v>
          </cell>
          <cell r="Q445">
            <v>0</v>
          </cell>
          <cell r="R445">
            <v>0</v>
          </cell>
          <cell r="S445">
            <v>0</v>
          </cell>
          <cell r="T445">
            <v>3996</v>
          </cell>
          <cell r="U445">
            <v>0</v>
          </cell>
          <cell r="V445" t="str">
            <v/>
          </cell>
          <cell r="W445" t="str">
            <v/>
          </cell>
          <cell r="X445" t="str">
            <v/>
          </cell>
        </row>
        <row r="446">
          <cell r="A446">
            <v>2347</v>
          </cell>
          <cell r="B446" t="str">
            <v>ANGEL SOLANO "MI ANGELITO" (ROMERO)</v>
          </cell>
          <cell r="C446" t="str">
            <v/>
          </cell>
          <cell r="D446" t="str">
            <v>MERCADO CUAUTITLAN LOC. ZONA 287</v>
          </cell>
          <cell r="E446" t="str">
            <v>CUAUTITLAN, EDO. DE MEXICO</v>
          </cell>
          <cell r="F446" t="str">
            <v/>
          </cell>
          <cell r="G446" t="str">
            <v>(55) 5872-5750</v>
          </cell>
          <cell r="H446" t="str">
            <v>ANGEL SOLANO</v>
          </cell>
          <cell r="I446" t="str">
            <v>ANGEL SOLANO</v>
          </cell>
          <cell r="J446" t="str">
            <v>M01</v>
          </cell>
          <cell r="K446" t="str">
            <v/>
          </cell>
          <cell r="L446">
            <v>0</v>
          </cell>
          <cell r="M446">
            <v>456</v>
          </cell>
          <cell r="N446" t="str">
            <v>A</v>
          </cell>
          <cell r="O446">
            <v>41809</v>
          </cell>
          <cell r="P446" t="str">
            <v xml:space="preserve">    9</v>
          </cell>
          <cell r="Q446">
            <v>0</v>
          </cell>
          <cell r="R446">
            <v>0</v>
          </cell>
          <cell r="S446">
            <v>0</v>
          </cell>
          <cell r="T446">
            <v>2821</v>
          </cell>
          <cell r="U446">
            <v>0</v>
          </cell>
          <cell r="V446" t="str">
            <v>ROMERO RUBIO</v>
          </cell>
          <cell r="W446" t="str">
            <v/>
          </cell>
          <cell r="X446" t="str">
            <v/>
          </cell>
        </row>
        <row r="447">
          <cell r="A447">
            <v>2348</v>
          </cell>
          <cell r="B447" t="str">
            <v>PEDRO ARGUETA GONZALEZ (ACAMBARO)</v>
          </cell>
          <cell r="C447" t="str">
            <v/>
          </cell>
          <cell r="D447" t="str">
            <v>ABASOLO #54-B</v>
          </cell>
          <cell r="E447" t="str">
            <v>ACAMBARO, GTO.</v>
          </cell>
          <cell r="F447" t="str">
            <v>38600</v>
          </cell>
          <cell r="G447" t="str">
            <v>(417) 172-1589</v>
          </cell>
          <cell r="H447" t="str">
            <v>PEDRO ARGUETA</v>
          </cell>
          <cell r="I447" t="str">
            <v>PEDRO ARGUETA</v>
          </cell>
          <cell r="J447" t="str">
            <v>J06</v>
          </cell>
          <cell r="K447" t="str">
            <v/>
          </cell>
          <cell r="L447">
            <v>0</v>
          </cell>
          <cell r="M447">
            <v>457</v>
          </cell>
          <cell r="N447" t="str">
            <v>A</v>
          </cell>
          <cell r="O447">
            <v>41719</v>
          </cell>
          <cell r="P447" t="str">
            <v xml:space="preserve">    1</v>
          </cell>
          <cell r="Q447">
            <v>0</v>
          </cell>
          <cell r="R447">
            <v>0</v>
          </cell>
          <cell r="S447">
            <v>0</v>
          </cell>
          <cell r="T447">
            <v>1210</v>
          </cell>
          <cell r="U447">
            <v>0</v>
          </cell>
          <cell r="V447" t="str">
            <v>CENTRO</v>
          </cell>
          <cell r="W447" t="str">
            <v/>
          </cell>
          <cell r="X447" t="str">
            <v/>
          </cell>
        </row>
        <row r="448">
          <cell r="A448">
            <v>2349</v>
          </cell>
          <cell r="B448" t="str">
            <v>REYNA ARCOS ARCOS (SAN JUAN)</v>
          </cell>
          <cell r="C448" t="str">
            <v/>
          </cell>
          <cell r="D448" t="str">
            <v/>
          </cell>
          <cell r="E448" t="str">
            <v>SAN JUAN DEL RIO, QRO.</v>
          </cell>
          <cell r="F448" t="str">
            <v/>
          </cell>
          <cell r="G448" t="str">
            <v>(427) 277-9805 CEL</v>
          </cell>
          <cell r="H448" t="str">
            <v>REYNA ARCOS ARCOS</v>
          </cell>
          <cell r="I448" t="str">
            <v>REYNA ARCOS ARCOS</v>
          </cell>
          <cell r="J448" t="str">
            <v>L01</v>
          </cell>
          <cell r="K448" t="str">
            <v/>
          </cell>
          <cell r="L448">
            <v>0</v>
          </cell>
          <cell r="M448">
            <v>458</v>
          </cell>
          <cell r="N448" t="str">
            <v>A</v>
          </cell>
          <cell r="O448">
            <v>42490</v>
          </cell>
          <cell r="P448" t="str">
            <v xml:space="preserve">    1</v>
          </cell>
          <cell r="Q448">
            <v>0</v>
          </cell>
          <cell r="R448">
            <v>0</v>
          </cell>
          <cell r="S448">
            <v>6114</v>
          </cell>
          <cell r="T448">
            <v>43750</v>
          </cell>
          <cell r="U448">
            <v>0</v>
          </cell>
          <cell r="V448" t="str">
            <v/>
          </cell>
          <cell r="W448" t="str">
            <v/>
          </cell>
          <cell r="X448" t="str">
            <v/>
          </cell>
        </row>
        <row r="449">
          <cell r="A449">
            <v>2350</v>
          </cell>
          <cell r="B449" t="str">
            <v>MA. ELENA GUERRERO SOTO (ZINAPECUARO)</v>
          </cell>
          <cell r="C449" t="str">
            <v/>
          </cell>
          <cell r="D449" t="str">
            <v>RAFAEL CARRILLO #24</v>
          </cell>
          <cell r="E449" t="str">
            <v>ZINAPECUARO, MICH.</v>
          </cell>
          <cell r="F449" t="str">
            <v/>
          </cell>
          <cell r="G449" t="str">
            <v>(451) 355-0274</v>
          </cell>
          <cell r="H449" t="str">
            <v>MA. ELENA GUERRERO</v>
          </cell>
          <cell r="I449" t="str">
            <v>MA. ELENA GUERRERO</v>
          </cell>
          <cell r="J449" t="str">
            <v>J06</v>
          </cell>
          <cell r="K449" t="str">
            <v/>
          </cell>
          <cell r="L449">
            <v>0</v>
          </cell>
          <cell r="M449">
            <v>459</v>
          </cell>
          <cell r="N449" t="str">
            <v>A</v>
          </cell>
          <cell r="O449">
            <v>41720</v>
          </cell>
          <cell r="P449" t="str">
            <v xml:space="preserve">    1</v>
          </cell>
          <cell r="Q449">
            <v>0</v>
          </cell>
          <cell r="R449">
            <v>0</v>
          </cell>
          <cell r="S449">
            <v>0</v>
          </cell>
          <cell r="T449">
            <v>1065</v>
          </cell>
          <cell r="U449">
            <v>0</v>
          </cell>
          <cell r="V449" t="str">
            <v>CENTRO</v>
          </cell>
          <cell r="W449" t="str">
            <v/>
          </cell>
          <cell r="X449" t="str">
            <v/>
          </cell>
        </row>
        <row r="450">
          <cell r="A450">
            <v>2351</v>
          </cell>
          <cell r="B450" t="str">
            <v xml:space="preserve">ALMA ROSA MORENO ELIZALDE - CASA BLANQUITA (IXMIQUILPAN) </v>
          </cell>
          <cell r="C450" t="str">
            <v>MOEA-750422-2Y6</v>
          </cell>
          <cell r="D450" t="str">
            <v>PEÑA Y RAMIREZ #11</v>
          </cell>
          <cell r="E450" t="str">
            <v>IXMIQUILPAN, HGO.</v>
          </cell>
          <cell r="F450" t="str">
            <v/>
          </cell>
          <cell r="G450" t="str">
            <v>(771) 109-5659 CEL</v>
          </cell>
          <cell r="H450" t="str">
            <v>ALMA ROSA MORENO</v>
          </cell>
          <cell r="I450" t="str">
            <v>ALMA ROSA MORENO (IX</v>
          </cell>
          <cell r="J450" t="str">
            <v>F02</v>
          </cell>
          <cell r="K450" t="str">
            <v/>
          </cell>
          <cell r="L450">
            <v>0</v>
          </cell>
          <cell r="M450">
            <v>460</v>
          </cell>
          <cell r="N450" t="str">
            <v>A</v>
          </cell>
          <cell r="O450">
            <v>42511</v>
          </cell>
          <cell r="P450" t="str">
            <v xml:space="preserve">    1</v>
          </cell>
          <cell r="Q450">
            <v>0</v>
          </cell>
          <cell r="R450">
            <v>0</v>
          </cell>
          <cell r="S450">
            <v>7094</v>
          </cell>
          <cell r="T450">
            <v>99311.05</v>
          </cell>
          <cell r="U450">
            <v>0</v>
          </cell>
          <cell r="V450" t="str">
            <v>CENTRO</v>
          </cell>
          <cell r="W450" t="str">
            <v/>
          </cell>
          <cell r="X450" t="str">
            <v>amoeli_22@hotmail.com</v>
          </cell>
        </row>
        <row r="451">
          <cell r="A451">
            <v>2352</v>
          </cell>
          <cell r="B451" t="str">
            <v>SONIA MENDEZ GONZALEZ (APAXCO)</v>
          </cell>
          <cell r="C451" t="str">
            <v/>
          </cell>
          <cell r="D451" t="str">
            <v>ALLENDE #88</v>
          </cell>
          <cell r="E451" t="str">
            <v>APAXCO, EDO. DE MEXICO</v>
          </cell>
          <cell r="F451" t="str">
            <v/>
          </cell>
          <cell r="G451" t="str">
            <v>(599) 998-2080</v>
          </cell>
          <cell r="H451" t="str">
            <v>SONIA MENDEZ G.</v>
          </cell>
          <cell r="I451" t="str">
            <v>SONIA MENDEZ G.</v>
          </cell>
          <cell r="J451" t="str">
            <v>M04</v>
          </cell>
          <cell r="K451" t="str">
            <v/>
          </cell>
          <cell r="L451">
            <v>0</v>
          </cell>
          <cell r="M451">
            <v>461</v>
          </cell>
          <cell r="N451" t="str">
            <v>A</v>
          </cell>
          <cell r="O451">
            <v>42438</v>
          </cell>
          <cell r="P451" t="str">
            <v xml:space="preserve">    1</v>
          </cell>
          <cell r="Q451">
            <v>0</v>
          </cell>
          <cell r="R451">
            <v>0</v>
          </cell>
          <cell r="S451">
            <v>0</v>
          </cell>
          <cell r="T451">
            <v>24875</v>
          </cell>
          <cell r="U451">
            <v>0</v>
          </cell>
          <cell r="V451" t="str">
            <v>CENTRO</v>
          </cell>
          <cell r="W451" t="str">
            <v/>
          </cell>
          <cell r="X451" t="str">
            <v/>
          </cell>
        </row>
        <row r="452">
          <cell r="A452">
            <v>2353</v>
          </cell>
          <cell r="B452" t="str">
            <v>TERESA ANDRADE</v>
          </cell>
          <cell r="C452" t="str">
            <v/>
          </cell>
          <cell r="D452" t="str">
            <v/>
          </cell>
          <cell r="E452" t="str">
            <v/>
          </cell>
          <cell r="F452" t="str">
            <v/>
          </cell>
          <cell r="G452" t="str">
            <v/>
          </cell>
          <cell r="H452" t="str">
            <v>TERESA ANDRADE</v>
          </cell>
          <cell r="I452" t="str">
            <v>TERESA ANDRADE</v>
          </cell>
          <cell r="J452" t="str">
            <v>M02</v>
          </cell>
          <cell r="K452" t="str">
            <v/>
          </cell>
          <cell r="L452">
            <v>0</v>
          </cell>
          <cell r="M452">
            <v>462</v>
          </cell>
          <cell r="N452" t="str">
            <v>A</v>
          </cell>
          <cell r="O452">
            <v>41764</v>
          </cell>
          <cell r="P452" t="str">
            <v xml:space="preserve">    5</v>
          </cell>
          <cell r="Q452">
            <v>0</v>
          </cell>
          <cell r="R452">
            <v>0</v>
          </cell>
          <cell r="S452">
            <v>0</v>
          </cell>
          <cell r="T452">
            <v>855</v>
          </cell>
          <cell r="U452">
            <v>0</v>
          </cell>
          <cell r="V452" t="str">
            <v/>
          </cell>
          <cell r="W452" t="str">
            <v/>
          </cell>
          <cell r="X452" t="str">
            <v/>
          </cell>
        </row>
        <row r="453">
          <cell r="A453">
            <v>2354</v>
          </cell>
          <cell r="B453" t="str">
            <v>GABRIELA MARTINEZ FLORES (SAN CRISTOBAL)</v>
          </cell>
          <cell r="C453" t="str">
            <v/>
          </cell>
          <cell r="D453" t="str">
            <v>CERRADA SAN CRISTOBAL #2</v>
          </cell>
          <cell r="E453" t="str">
            <v>ECATEPEC, EDO. DE MEXICO</v>
          </cell>
          <cell r="F453" t="str">
            <v/>
          </cell>
          <cell r="G453" t="str">
            <v>(55) 5939-1542</v>
          </cell>
          <cell r="H453" t="str">
            <v>GABRIELA MARTINEZ F.</v>
          </cell>
          <cell r="I453" t="str">
            <v>GABRIELA MARTINEZ F.</v>
          </cell>
          <cell r="J453" t="str">
            <v>M03</v>
          </cell>
          <cell r="K453" t="str">
            <v/>
          </cell>
          <cell r="L453">
            <v>0</v>
          </cell>
          <cell r="M453">
            <v>463</v>
          </cell>
          <cell r="N453" t="str">
            <v>A</v>
          </cell>
          <cell r="O453">
            <v>41834</v>
          </cell>
          <cell r="P453" t="str">
            <v xml:space="preserve">    5</v>
          </cell>
          <cell r="Q453">
            <v>0</v>
          </cell>
          <cell r="R453">
            <v>0</v>
          </cell>
          <cell r="S453">
            <v>0</v>
          </cell>
          <cell r="T453">
            <v>1095</v>
          </cell>
          <cell r="U453">
            <v>0</v>
          </cell>
          <cell r="V453" t="str">
            <v/>
          </cell>
          <cell r="W453" t="str">
            <v>(55) 3423-5552 CEL</v>
          </cell>
          <cell r="X453" t="str">
            <v/>
          </cell>
        </row>
        <row r="454">
          <cell r="A454">
            <v>2355</v>
          </cell>
          <cell r="B454" t="str">
            <v>EDGAR ANTONIO DE LA PEÑA LABRA (IXMIQUILPAN)</v>
          </cell>
          <cell r="C454" t="str">
            <v/>
          </cell>
          <cell r="D454" t="str">
            <v>FRANCISCO I. MADERO #16</v>
          </cell>
          <cell r="E454" t="str">
            <v>IXMIQUILPAN, HGO.</v>
          </cell>
          <cell r="F454" t="str">
            <v/>
          </cell>
          <cell r="G454" t="str">
            <v>(772) 101-9453</v>
          </cell>
          <cell r="H454" t="str">
            <v>EDGAR ANTONIO</v>
          </cell>
          <cell r="I454" t="str">
            <v>EDGAR ANTONIO</v>
          </cell>
          <cell r="J454" t="str">
            <v>F02</v>
          </cell>
          <cell r="K454" t="str">
            <v/>
          </cell>
          <cell r="L454">
            <v>0</v>
          </cell>
          <cell r="M454">
            <v>468</v>
          </cell>
          <cell r="N454" t="str">
            <v>A</v>
          </cell>
          <cell r="O454">
            <v>42525</v>
          </cell>
          <cell r="P454" t="str">
            <v xml:space="preserve">    1</v>
          </cell>
          <cell r="Q454">
            <v>0</v>
          </cell>
          <cell r="R454">
            <v>0</v>
          </cell>
          <cell r="S454">
            <v>12520</v>
          </cell>
          <cell r="T454">
            <v>206704</v>
          </cell>
          <cell r="U454">
            <v>0</v>
          </cell>
          <cell r="V454" t="str">
            <v>FITZHI</v>
          </cell>
          <cell r="W454" t="str">
            <v/>
          </cell>
          <cell r="X454" t="str">
            <v>djyea@hotmail.com / ragde_1211@hotmail.com</v>
          </cell>
        </row>
        <row r="455">
          <cell r="A455">
            <v>2356</v>
          </cell>
          <cell r="B455" t="str">
            <v>SILVIA BALLINES CASTRO (ZINAPECUARO)</v>
          </cell>
          <cell r="C455" t="str">
            <v/>
          </cell>
          <cell r="D455" t="str">
            <v/>
          </cell>
          <cell r="E455" t="str">
            <v>ZINAPECUARO, MICH.</v>
          </cell>
          <cell r="F455" t="str">
            <v/>
          </cell>
          <cell r="G455" t="str">
            <v>(451) 355-2616</v>
          </cell>
          <cell r="H455" t="str">
            <v>SILVIA BALLINES C.</v>
          </cell>
          <cell r="I455" t="str">
            <v>SILVIA BALLINES C.</v>
          </cell>
          <cell r="J455" t="str">
            <v>J06</v>
          </cell>
          <cell r="K455" t="str">
            <v/>
          </cell>
          <cell r="L455">
            <v>0</v>
          </cell>
          <cell r="M455">
            <v>469</v>
          </cell>
          <cell r="N455" t="str">
            <v>A</v>
          </cell>
          <cell r="O455">
            <v>42175</v>
          </cell>
          <cell r="P455" t="str">
            <v xml:space="preserve">    1</v>
          </cell>
          <cell r="Q455">
            <v>0</v>
          </cell>
          <cell r="R455">
            <v>0</v>
          </cell>
          <cell r="S455">
            <v>0</v>
          </cell>
          <cell r="T455">
            <v>12830</v>
          </cell>
          <cell r="U455">
            <v>0</v>
          </cell>
          <cell r="V455" t="str">
            <v/>
          </cell>
          <cell r="W455" t="str">
            <v/>
          </cell>
          <cell r="X455" t="str">
            <v/>
          </cell>
        </row>
        <row r="456">
          <cell r="A456">
            <v>2357</v>
          </cell>
          <cell r="B456" t="str">
            <v>BELEN AVILA (ZUMPANGO)</v>
          </cell>
          <cell r="C456" t="str">
            <v/>
          </cell>
          <cell r="D456" t="str">
            <v>MERCADO MUNICIPAL LOC. 322</v>
          </cell>
          <cell r="E456" t="str">
            <v>ZUMPANGO, EDO. DE MEXICO</v>
          </cell>
          <cell r="F456" t="str">
            <v/>
          </cell>
          <cell r="G456" t="str">
            <v>(55) 6555-3943</v>
          </cell>
          <cell r="H456" t="str">
            <v>BELEN AVILA</v>
          </cell>
          <cell r="I456" t="str">
            <v>BELEN AVILA</v>
          </cell>
          <cell r="J456" t="str">
            <v>M01</v>
          </cell>
          <cell r="K456" t="str">
            <v/>
          </cell>
          <cell r="L456">
            <v>0</v>
          </cell>
          <cell r="M456">
            <v>470</v>
          </cell>
          <cell r="N456" t="str">
            <v>A</v>
          </cell>
          <cell r="O456">
            <v>42497</v>
          </cell>
          <cell r="P456" t="str">
            <v xml:space="preserve">    5</v>
          </cell>
          <cell r="Q456">
            <v>0</v>
          </cell>
          <cell r="R456">
            <v>0</v>
          </cell>
          <cell r="S456">
            <v>0</v>
          </cell>
          <cell r="T456">
            <v>28501</v>
          </cell>
          <cell r="U456">
            <v>0</v>
          </cell>
          <cell r="V456" t="str">
            <v/>
          </cell>
          <cell r="W456" t="str">
            <v/>
          </cell>
          <cell r="X456" t="str">
            <v/>
          </cell>
        </row>
        <row r="457">
          <cell r="A457">
            <v>2369</v>
          </cell>
          <cell r="B457" t="str">
            <v>OSCAR BONIFACIO BONILLA RAMIREZ (SILAO)</v>
          </cell>
          <cell r="C457" t="str">
            <v/>
          </cell>
          <cell r="D457" t="str">
            <v>CALZ. MIGUEL HIDALGO #9</v>
          </cell>
          <cell r="E457" t="str">
            <v>SILAO, GTO.</v>
          </cell>
          <cell r="F457" t="str">
            <v/>
          </cell>
          <cell r="G457" t="str">
            <v>72*12*61953</v>
          </cell>
          <cell r="H457" t="str">
            <v>OSCAR BONIFACIO B.</v>
          </cell>
          <cell r="I457" t="str">
            <v>OSCAR BONIFACIO B.</v>
          </cell>
          <cell r="J457" t="str">
            <v>F04</v>
          </cell>
          <cell r="K457" t="str">
            <v/>
          </cell>
          <cell r="L457">
            <v>0</v>
          </cell>
          <cell r="M457">
            <v>484</v>
          </cell>
          <cell r="N457" t="str">
            <v>A</v>
          </cell>
          <cell r="O457">
            <v>41904</v>
          </cell>
          <cell r="P457" t="str">
            <v xml:space="preserve">    1</v>
          </cell>
          <cell r="Q457">
            <v>0</v>
          </cell>
          <cell r="R457">
            <v>0</v>
          </cell>
          <cell r="S457">
            <v>0</v>
          </cell>
          <cell r="T457">
            <v>210</v>
          </cell>
          <cell r="U457">
            <v>0</v>
          </cell>
          <cell r="V457" t="str">
            <v>PROGRESO</v>
          </cell>
          <cell r="W457" t="str">
            <v/>
          </cell>
          <cell r="X457" t="str">
            <v/>
          </cell>
        </row>
        <row r="458">
          <cell r="A458">
            <v>2359</v>
          </cell>
          <cell r="B458" t="str">
            <v>GAYDY DULCE CARAMELO (SAN JUAN)</v>
          </cell>
          <cell r="C458" t="str">
            <v/>
          </cell>
          <cell r="D458" t="str">
            <v>AV. RIO MOCTEZUMA</v>
          </cell>
          <cell r="E458" t="str">
            <v>SAN JUAN DEL RIO, QRO.</v>
          </cell>
          <cell r="F458" t="str">
            <v/>
          </cell>
          <cell r="G458" t="str">
            <v/>
          </cell>
          <cell r="H458" t="str">
            <v/>
          </cell>
          <cell r="I458" t="str">
            <v/>
          </cell>
          <cell r="J458" t="str">
            <v>L01P</v>
          </cell>
          <cell r="K458" t="str">
            <v/>
          </cell>
          <cell r="L458">
            <v>0</v>
          </cell>
          <cell r="M458">
            <v>472</v>
          </cell>
          <cell r="N458" t="str">
            <v>A</v>
          </cell>
          <cell r="O458">
            <v>41792</v>
          </cell>
          <cell r="P458" t="str">
            <v xml:space="preserve">   97</v>
          </cell>
          <cell r="Q458">
            <v>0</v>
          </cell>
          <cell r="R458">
            <v>0</v>
          </cell>
          <cell r="S458">
            <v>0</v>
          </cell>
          <cell r="T458">
            <v>50</v>
          </cell>
          <cell r="U458">
            <v>0</v>
          </cell>
          <cell r="V458" t="str">
            <v/>
          </cell>
          <cell r="W458" t="str">
            <v/>
          </cell>
          <cell r="X458" t="str">
            <v/>
          </cell>
        </row>
        <row r="459">
          <cell r="A459">
            <v>2360</v>
          </cell>
          <cell r="B459" t="str">
            <v>ALEJANDRA NIETO SALGADO (MELCHOR OCAMPO)</v>
          </cell>
          <cell r="C459" t="str">
            <v/>
          </cell>
          <cell r="D459" t="str">
            <v>CRISPIN PEREZ</v>
          </cell>
          <cell r="E459" t="str">
            <v>MELCHOR OCAMPO, EDO. DE MEXICO</v>
          </cell>
          <cell r="F459" t="str">
            <v/>
          </cell>
          <cell r="G459" t="str">
            <v>(55) 5878-0198</v>
          </cell>
          <cell r="H459" t="str">
            <v>ALEJANDRA NIETO S.</v>
          </cell>
          <cell r="I459" t="str">
            <v>ALEJANDRA NIETO S.</v>
          </cell>
          <cell r="J459" t="str">
            <v>M01</v>
          </cell>
          <cell r="K459" t="str">
            <v/>
          </cell>
          <cell r="L459">
            <v>0</v>
          </cell>
          <cell r="M459">
            <v>473</v>
          </cell>
          <cell r="N459" t="str">
            <v>A</v>
          </cell>
          <cell r="O459">
            <v>41925</v>
          </cell>
          <cell r="P459" t="str">
            <v xml:space="preserve">    5</v>
          </cell>
          <cell r="Q459">
            <v>0</v>
          </cell>
          <cell r="R459">
            <v>0</v>
          </cell>
          <cell r="S459">
            <v>0</v>
          </cell>
          <cell r="T459">
            <v>360</v>
          </cell>
          <cell r="U459">
            <v>0</v>
          </cell>
          <cell r="V459" t="str">
            <v>CENTRO</v>
          </cell>
          <cell r="W459" t="str">
            <v/>
          </cell>
          <cell r="X459" t="str">
            <v/>
          </cell>
        </row>
        <row r="460">
          <cell r="A460">
            <v>2361</v>
          </cell>
          <cell r="B460" t="str">
            <v>EVANGELINA BARRUETA (MELCHOR OCAMPO)</v>
          </cell>
          <cell r="C460" t="str">
            <v/>
          </cell>
          <cell r="D460" t="str">
            <v/>
          </cell>
          <cell r="E460" t="str">
            <v>MELCHOR OCAMPO, EDO. DE MEXICO</v>
          </cell>
          <cell r="F460" t="str">
            <v/>
          </cell>
          <cell r="G460" t="str">
            <v>(55) 5878-0278</v>
          </cell>
          <cell r="H460" t="str">
            <v>EVANGELINA BARRUETA</v>
          </cell>
          <cell r="I460" t="str">
            <v>EVANGELINA BARRUETA</v>
          </cell>
          <cell r="J460" t="str">
            <v>M01</v>
          </cell>
          <cell r="K460" t="str">
            <v/>
          </cell>
          <cell r="L460">
            <v>0</v>
          </cell>
          <cell r="M460">
            <v>474</v>
          </cell>
          <cell r="N460" t="str">
            <v>A</v>
          </cell>
          <cell r="O460">
            <v>41837</v>
          </cell>
          <cell r="P460" t="str">
            <v xml:space="preserve">    5</v>
          </cell>
          <cell r="Q460">
            <v>0</v>
          </cell>
          <cell r="R460">
            <v>0</v>
          </cell>
          <cell r="S460">
            <v>0</v>
          </cell>
          <cell r="T460">
            <v>5709</v>
          </cell>
          <cell r="U460">
            <v>0</v>
          </cell>
          <cell r="V460" t="str">
            <v/>
          </cell>
          <cell r="W460" t="str">
            <v/>
          </cell>
          <cell r="X460" t="str">
            <v/>
          </cell>
        </row>
        <row r="461">
          <cell r="A461">
            <v>2362</v>
          </cell>
          <cell r="B461" t="str">
            <v>OLIVIA SANCHEZ ACEVEDO (SAN JUAN)</v>
          </cell>
          <cell r="C461" t="str">
            <v/>
          </cell>
          <cell r="D461" t="str">
            <v>AV. HACIENDAS DE SAN NICOLAS #115</v>
          </cell>
          <cell r="E461" t="str">
            <v>SAN JUAN DEL RIO, QRO.</v>
          </cell>
          <cell r="F461" t="str">
            <v/>
          </cell>
          <cell r="G461" t="str">
            <v>(427) 274-2168/ (427) 111-3906</v>
          </cell>
          <cell r="H461" t="str">
            <v>OLIVIA SANCHEZ</v>
          </cell>
          <cell r="I461" t="str">
            <v>OLIVIA SANCHEZ</v>
          </cell>
          <cell r="J461" t="str">
            <v>L01P</v>
          </cell>
          <cell r="K461" t="str">
            <v/>
          </cell>
          <cell r="L461">
            <v>0</v>
          </cell>
          <cell r="M461">
            <v>475</v>
          </cell>
          <cell r="N461" t="str">
            <v>A</v>
          </cell>
          <cell r="O461">
            <v>42438</v>
          </cell>
          <cell r="P461" t="str">
            <v xml:space="preserve">   97</v>
          </cell>
          <cell r="Q461">
            <v>0</v>
          </cell>
          <cell r="R461">
            <v>0</v>
          </cell>
          <cell r="S461">
            <v>0</v>
          </cell>
          <cell r="T461">
            <v>21279</v>
          </cell>
          <cell r="U461">
            <v>0</v>
          </cell>
          <cell r="V461" t="str">
            <v>LAS HACIENDAS</v>
          </cell>
          <cell r="W461" t="str">
            <v/>
          </cell>
          <cell r="X461" t="str">
            <v/>
          </cell>
        </row>
        <row r="462">
          <cell r="A462">
            <v>2363</v>
          </cell>
          <cell r="B462" t="str">
            <v>IRLANDA OAXACA ESCALONA (ZUMPANGO)</v>
          </cell>
          <cell r="C462" t="str">
            <v/>
          </cell>
          <cell r="D462" t="str">
            <v>MERCADO ZUMPANGO LOC. 108</v>
          </cell>
          <cell r="E462" t="str">
            <v>ZUMPANGO, EDO. DE MEXICO</v>
          </cell>
          <cell r="F462" t="str">
            <v/>
          </cell>
          <cell r="G462" t="str">
            <v>(55) 5104-2304</v>
          </cell>
          <cell r="H462" t="str">
            <v>IRLANDA OAXACA E.</v>
          </cell>
          <cell r="I462" t="str">
            <v>IRLANDA OAXACA E.</v>
          </cell>
          <cell r="J462" t="str">
            <v>M01</v>
          </cell>
          <cell r="K462" t="str">
            <v/>
          </cell>
          <cell r="L462">
            <v>0</v>
          </cell>
          <cell r="M462">
            <v>476</v>
          </cell>
          <cell r="N462" t="str">
            <v>A</v>
          </cell>
          <cell r="O462">
            <v>42356</v>
          </cell>
          <cell r="P462" t="str">
            <v xml:space="preserve">    5</v>
          </cell>
          <cell r="Q462">
            <v>0</v>
          </cell>
          <cell r="R462">
            <v>0</v>
          </cell>
          <cell r="S462">
            <v>0</v>
          </cell>
          <cell r="T462">
            <v>26605</v>
          </cell>
          <cell r="U462">
            <v>0</v>
          </cell>
          <cell r="V462" t="str">
            <v/>
          </cell>
          <cell r="W462" t="str">
            <v/>
          </cell>
          <cell r="X462" t="str">
            <v/>
          </cell>
        </row>
        <row r="463">
          <cell r="A463">
            <v>2364</v>
          </cell>
          <cell r="B463" t="str">
            <v>OSCAR SEBASTIAN (MIXQUIAHUALA)</v>
          </cell>
          <cell r="C463" t="str">
            <v/>
          </cell>
          <cell r="D463" t="str">
            <v>PLAZA DE LA CONSTITUCION #5 "MONADAS"</v>
          </cell>
          <cell r="E463" t="str">
            <v>MIXQUIAHUALA, HGO.</v>
          </cell>
          <cell r="F463" t="str">
            <v/>
          </cell>
          <cell r="G463" t="str">
            <v>(772) 136-2231</v>
          </cell>
          <cell r="H463" t="str">
            <v>YADIRA SEBASTIAN C.</v>
          </cell>
          <cell r="I463" t="str">
            <v>YADIRA SEBASTIAN C.</v>
          </cell>
          <cell r="J463" t="str">
            <v>F02</v>
          </cell>
          <cell r="K463" t="str">
            <v/>
          </cell>
          <cell r="L463">
            <v>0</v>
          </cell>
          <cell r="M463">
            <v>477</v>
          </cell>
          <cell r="N463" t="str">
            <v>A</v>
          </cell>
          <cell r="O463">
            <v>42411</v>
          </cell>
          <cell r="P463" t="str">
            <v xml:space="preserve">    1</v>
          </cell>
          <cell r="Q463">
            <v>0</v>
          </cell>
          <cell r="R463">
            <v>0</v>
          </cell>
          <cell r="S463">
            <v>0</v>
          </cell>
          <cell r="T463">
            <v>51015</v>
          </cell>
          <cell r="U463">
            <v>0</v>
          </cell>
          <cell r="V463" t="str">
            <v>CENTRO</v>
          </cell>
          <cell r="W463" t="str">
            <v>(772) 101-9562 CEL</v>
          </cell>
          <cell r="X463" t="str">
            <v>PELUCHE</v>
          </cell>
        </row>
        <row r="464">
          <cell r="A464">
            <v>2365</v>
          </cell>
          <cell r="B464" t="str">
            <v>YOLANDA PEREZ VALDEZ (SAN JUAN DEL RIO)</v>
          </cell>
          <cell r="C464" t="str">
            <v/>
          </cell>
          <cell r="D464" t="str">
            <v>CUARZO #116</v>
          </cell>
          <cell r="E464" t="str">
            <v>SAN JUAN DEL RIO, QRO.</v>
          </cell>
          <cell r="F464" t="str">
            <v>76806</v>
          </cell>
          <cell r="G464" t="str">
            <v>(427) 264-0251</v>
          </cell>
          <cell r="H464" t="str">
            <v>YOLANDA PEREZ VALDEZ</v>
          </cell>
          <cell r="I464" t="str">
            <v>YOLANDA PEREZ VALDEZ</v>
          </cell>
          <cell r="J464" t="str">
            <v>L01P</v>
          </cell>
          <cell r="K464" t="str">
            <v/>
          </cell>
          <cell r="L464">
            <v>0</v>
          </cell>
          <cell r="M464">
            <v>479</v>
          </cell>
          <cell r="N464" t="str">
            <v>A</v>
          </cell>
          <cell r="O464">
            <v>41874</v>
          </cell>
          <cell r="P464" t="str">
            <v xml:space="preserve">   97</v>
          </cell>
          <cell r="Q464">
            <v>0</v>
          </cell>
          <cell r="R464">
            <v>0</v>
          </cell>
          <cell r="S464">
            <v>0</v>
          </cell>
          <cell r="T464">
            <v>2800</v>
          </cell>
          <cell r="U464">
            <v>0</v>
          </cell>
          <cell r="V464" t="str">
            <v>INFONAVIT PEDREGOSO</v>
          </cell>
          <cell r="W464" t="str">
            <v/>
          </cell>
          <cell r="X464" t="str">
            <v/>
          </cell>
        </row>
        <row r="465">
          <cell r="A465">
            <v>2366</v>
          </cell>
          <cell r="C465" t="str">
            <v/>
          </cell>
          <cell r="D465" t="str">
            <v>5 DE MAYO #5-A</v>
          </cell>
          <cell r="E465" t="str">
            <v>YURIRIA, GTO.</v>
          </cell>
          <cell r="F465" t="str">
            <v/>
          </cell>
          <cell r="G465" t="str">
            <v>(445) 102-3819 CEL</v>
          </cell>
          <cell r="H465" t="str">
            <v>MARIBEL ESPINOSA Q.</v>
          </cell>
          <cell r="I465" t="str">
            <v>MARIBEL ESPINOSA Q.</v>
          </cell>
          <cell r="J465" t="str">
            <v>J05</v>
          </cell>
          <cell r="K465" t="str">
            <v/>
          </cell>
          <cell r="L465">
            <v>0</v>
          </cell>
          <cell r="M465">
            <v>480</v>
          </cell>
          <cell r="N465" t="str">
            <v>A</v>
          </cell>
          <cell r="O465">
            <v>41865</v>
          </cell>
          <cell r="P465" t="str">
            <v xml:space="preserve">   15</v>
          </cell>
          <cell r="Q465">
            <v>0</v>
          </cell>
          <cell r="R465">
            <v>0</v>
          </cell>
          <cell r="S465">
            <v>0</v>
          </cell>
          <cell r="T465">
            <v>267</v>
          </cell>
          <cell r="U465">
            <v>0</v>
          </cell>
          <cell r="V465" t="str">
            <v>CENTRO</v>
          </cell>
          <cell r="W465" t="str">
            <v>(445) 114-2402 CEL</v>
          </cell>
          <cell r="X465" t="str">
            <v/>
          </cell>
        </row>
        <row r="466">
          <cell r="A466">
            <v>2367</v>
          </cell>
          <cell r="B466" t="str">
            <v>ALICIA CARMONA GOMEZ (YURIRIA)</v>
          </cell>
          <cell r="C466" t="str">
            <v/>
          </cell>
          <cell r="D466" t="str">
            <v>HIDALGO #88</v>
          </cell>
          <cell r="E466" t="str">
            <v>YURIRIA, GTO.</v>
          </cell>
          <cell r="F466" t="str">
            <v/>
          </cell>
          <cell r="G466" t="str">
            <v>(445) 168-3988</v>
          </cell>
          <cell r="H466" t="str">
            <v>ALICIA CARMONA GOMEZ</v>
          </cell>
          <cell r="I466" t="str">
            <v>ALICIA CARMONA GOMEZ</v>
          </cell>
          <cell r="J466" t="str">
            <v>J05</v>
          </cell>
          <cell r="K466" t="str">
            <v/>
          </cell>
          <cell r="L466">
            <v>0</v>
          </cell>
          <cell r="M466">
            <v>481</v>
          </cell>
          <cell r="N466" t="str">
            <v>A</v>
          </cell>
          <cell r="O466">
            <v>42410</v>
          </cell>
          <cell r="P466" t="str">
            <v xml:space="preserve">   15</v>
          </cell>
          <cell r="Q466">
            <v>0</v>
          </cell>
          <cell r="R466">
            <v>0</v>
          </cell>
          <cell r="S466">
            <v>0</v>
          </cell>
          <cell r="T466">
            <v>7837</v>
          </cell>
          <cell r="U466">
            <v>0</v>
          </cell>
          <cell r="V466" t="str">
            <v>CENTRO</v>
          </cell>
          <cell r="W466" t="str">
            <v/>
          </cell>
          <cell r="X466" t="str">
            <v/>
          </cell>
        </row>
        <row r="467">
          <cell r="A467">
            <v>2368</v>
          </cell>
          <cell r="B467" t="str">
            <v>SORAYDA CHAVEZ OROZCO (YURIRIA)</v>
          </cell>
          <cell r="C467" t="str">
            <v/>
          </cell>
          <cell r="D467" t="str">
            <v>JACARANDAS #26-B</v>
          </cell>
          <cell r="E467" t="str">
            <v>YURIRIA, GTO.</v>
          </cell>
          <cell r="F467" t="str">
            <v/>
          </cell>
          <cell r="G467" t="str">
            <v>(445) 168-4045</v>
          </cell>
          <cell r="H467" t="str">
            <v>SORAYDA CHAVEZ OROZC</v>
          </cell>
          <cell r="I467" t="str">
            <v>SORAYDA CHAVEZ OROZC</v>
          </cell>
          <cell r="J467" t="str">
            <v>J05</v>
          </cell>
          <cell r="K467" t="str">
            <v/>
          </cell>
          <cell r="L467">
            <v>0</v>
          </cell>
          <cell r="M467">
            <v>482</v>
          </cell>
          <cell r="N467" t="str">
            <v>A</v>
          </cell>
          <cell r="O467">
            <v>42343</v>
          </cell>
          <cell r="P467" t="str">
            <v xml:space="preserve">   15</v>
          </cell>
          <cell r="Q467">
            <v>0</v>
          </cell>
          <cell r="R467">
            <v>0</v>
          </cell>
          <cell r="S467">
            <v>0</v>
          </cell>
          <cell r="T467">
            <v>12377</v>
          </cell>
          <cell r="U467">
            <v>0</v>
          </cell>
          <cell r="V467" t="str">
            <v>GUADALUPANA</v>
          </cell>
          <cell r="W467" t="str">
            <v>(445) 123-0630 CEL ESPOSO</v>
          </cell>
          <cell r="X467" t="str">
            <v/>
          </cell>
        </row>
        <row r="468">
          <cell r="A468">
            <v>2372</v>
          </cell>
          <cell r="B468" t="str">
            <v>MARGARITA LOPEZ LEON (SILAO)</v>
          </cell>
          <cell r="C468" t="str">
            <v>LOLM-710530-K18</v>
          </cell>
          <cell r="D468" t="str">
            <v>FUNDACION #38-B</v>
          </cell>
          <cell r="E468" t="str">
            <v>SILAO, GTO.</v>
          </cell>
          <cell r="F468" t="str">
            <v>36100</v>
          </cell>
          <cell r="G468" t="str">
            <v>(472) 570-1339</v>
          </cell>
          <cell r="H468" t="str">
            <v>MARGARITA LOPEZ</v>
          </cell>
          <cell r="I468" t="str">
            <v>MARGARITA LOPEZ</v>
          </cell>
          <cell r="J468" t="str">
            <v>F04</v>
          </cell>
          <cell r="K468" t="str">
            <v/>
          </cell>
          <cell r="L468">
            <v>0</v>
          </cell>
          <cell r="M468">
            <v>487</v>
          </cell>
          <cell r="N468" t="str">
            <v>A</v>
          </cell>
          <cell r="O468">
            <v>42338</v>
          </cell>
          <cell r="P468" t="str">
            <v xml:space="preserve">    1</v>
          </cell>
          <cell r="Q468">
            <v>0</v>
          </cell>
          <cell r="R468">
            <v>0</v>
          </cell>
          <cell r="S468">
            <v>0</v>
          </cell>
          <cell r="T468">
            <v>15128</v>
          </cell>
          <cell r="U468">
            <v>0</v>
          </cell>
          <cell r="V468" t="str">
            <v>CENTRO</v>
          </cell>
          <cell r="W468" t="str">
            <v/>
          </cell>
          <cell r="X468" t="str">
            <v>jaba-74@hotmail.com</v>
          </cell>
        </row>
        <row r="469">
          <cell r="A469">
            <v>2370</v>
          </cell>
          <cell r="B469" t="str">
            <v>AMERICA</v>
          </cell>
          <cell r="C469" t="str">
            <v/>
          </cell>
          <cell r="D469" t="str">
            <v/>
          </cell>
          <cell r="E469" t="str">
            <v/>
          </cell>
          <cell r="F469" t="str">
            <v/>
          </cell>
          <cell r="G469" t="str">
            <v/>
          </cell>
          <cell r="H469" t="str">
            <v/>
          </cell>
          <cell r="I469" t="str">
            <v/>
          </cell>
          <cell r="J469" t="str">
            <v>M01</v>
          </cell>
          <cell r="K469" t="str">
            <v/>
          </cell>
          <cell r="L469">
            <v>0</v>
          </cell>
          <cell r="M469">
            <v>485</v>
          </cell>
          <cell r="N469" t="str">
            <v>A</v>
          </cell>
          <cell r="O469">
            <v>42159</v>
          </cell>
          <cell r="P469" t="str">
            <v xml:space="preserve">    5</v>
          </cell>
          <cell r="Q469">
            <v>0</v>
          </cell>
          <cell r="R469">
            <v>0</v>
          </cell>
          <cell r="S469">
            <v>0</v>
          </cell>
          <cell r="T469">
            <v>7150</v>
          </cell>
          <cell r="U469">
            <v>0</v>
          </cell>
          <cell r="V469" t="str">
            <v/>
          </cell>
          <cell r="W469" t="str">
            <v/>
          </cell>
          <cell r="X469" t="str">
            <v/>
          </cell>
        </row>
        <row r="470">
          <cell r="A470">
            <v>2371</v>
          </cell>
          <cell r="B470" t="str">
            <v>MARICELA CHAVEZ SILVA (TULTEPEC)</v>
          </cell>
          <cell r="C470" t="str">
            <v/>
          </cell>
          <cell r="D470" t="str">
            <v>JOAQUIN MONTE NEGRO #2</v>
          </cell>
          <cell r="E470" t="str">
            <v>TULTEPEC, EDO. DE MEXICO</v>
          </cell>
          <cell r="F470" t="str">
            <v/>
          </cell>
          <cell r="G470" t="str">
            <v>(55) 5892-1187</v>
          </cell>
          <cell r="H470" t="str">
            <v>MARICELA CHAVEZ S.</v>
          </cell>
          <cell r="I470" t="str">
            <v>MARICELA CHAVEZ S.</v>
          </cell>
          <cell r="J470" t="str">
            <v>M01</v>
          </cell>
          <cell r="K470" t="str">
            <v/>
          </cell>
          <cell r="L470">
            <v>0</v>
          </cell>
          <cell r="M470">
            <v>486</v>
          </cell>
          <cell r="N470" t="str">
            <v>A</v>
          </cell>
          <cell r="O470">
            <v>41927</v>
          </cell>
          <cell r="P470" t="str">
            <v xml:space="preserve">    5</v>
          </cell>
          <cell r="Q470">
            <v>0</v>
          </cell>
          <cell r="R470">
            <v>0</v>
          </cell>
          <cell r="S470">
            <v>0</v>
          </cell>
          <cell r="T470">
            <v>2641</v>
          </cell>
          <cell r="U470">
            <v>0</v>
          </cell>
          <cell r="V470" t="str">
            <v>BARRIO SAN RAFAEL</v>
          </cell>
          <cell r="W470" t="str">
            <v/>
          </cell>
          <cell r="X470" t="str">
            <v/>
          </cell>
        </row>
        <row r="471">
          <cell r="A471">
            <v>2377</v>
          </cell>
          <cell r="B471" t="str">
            <v>ARACELI PEÑA (VILLAGRAN)</v>
          </cell>
          <cell r="C471" t="str">
            <v/>
          </cell>
          <cell r="D471" t="str">
            <v>VICENTE GUERRERO #311</v>
          </cell>
          <cell r="E471" t="str">
            <v>VILLAGRAN, GTO.</v>
          </cell>
          <cell r="F471" t="str">
            <v/>
          </cell>
          <cell r="G471" t="str">
            <v/>
          </cell>
          <cell r="H471" t="str">
            <v>ARACELI PEÑA</v>
          </cell>
          <cell r="I471" t="str">
            <v>ARACELI PEÑA</v>
          </cell>
          <cell r="J471" t="str">
            <v>F04</v>
          </cell>
          <cell r="K471" t="str">
            <v/>
          </cell>
          <cell r="L471">
            <v>0</v>
          </cell>
          <cell r="M471">
            <v>492</v>
          </cell>
          <cell r="N471" t="str">
            <v>A</v>
          </cell>
          <cell r="O471">
            <v>41965</v>
          </cell>
          <cell r="P471" t="str">
            <v xml:space="preserve">    1</v>
          </cell>
          <cell r="Q471">
            <v>0</v>
          </cell>
          <cell r="R471">
            <v>0</v>
          </cell>
          <cell r="S471">
            <v>0</v>
          </cell>
          <cell r="T471">
            <v>1808</v>
          </cell>
          <cell r="U471">
            <v>0</v>
          </cell>
          <cell r="V471" t="str">
            <v>CENTRO</v>
          </cell>
          <cell r="W471" t="str">
            <v/>
          </cell>
          <cell r="X471" t="str">
            <v/>
          </cell>
        </row>
        <row r="472">
          <cell r="A472">
            <v>2373</v>
          </cell>
          <cell r="B472" t="str">
            <v xml:space="preserve">EDITH BAUTISTA / ANGEL ROMAN (ZUMPANGO)                                   </v>
          </cell>
          <cell r="C472" t="str">
            <v/>
          </cell>
          <cell r="E472" t="str">
            <v xml:space="preserve">ZUMPANGO, EDO. DE MEXICO      </v>
          </cell>
          <cell r="F472" t="str">
            <v/>
          </cell>
          <cell r="H472" t="str">
            <v>MARICELA MUÑOZ</v>
          </cell>
          <cell r="I472" t="str">
            <v>MARICELA MUÑOZ</v>
          </cell>
          <cell r="J472" t="str">
            <v>F02A</v>
          </cell>
          <cell r="K472" t="str">
            <v/>
          </cell>
          <cell r="L472">
            <v>0</v>
          </cell>
          <cell r="M472">
            <v>488</v>
          </cell>
          <cell r="N472" t="str">
            <v>A</v>
          </cell>
          <cell r="O472">
            <v>41957</v>
          </cell>
          <cell r="P472" t="str">
            <v xml:space="preserve">    2</v>
          </cell>
          <cell r="Q472">
            <v>0</v>
          </cell>
          <cell r="R472">
            <v>0</v>
          </cell>
          <cell r="S472">
            <v>0</v>
          </cell>
          <cell r="T472">
            <v>1535</v>
          </cell>
          <cell r="U472">
            <v>0</v>
          </cell>
          <cell r="W472" t="str">
            <v/>
          </cell>
          <cell r="X472" t="str">
            <v>atzimbaprodule@hotmail.com</v>
          </cell>
        </row>
        <row r="473">
          <cell r="A473">
            <v>2374</v>
          </cell>
          <cell r="B473" t="str">
            <v>GABRIELA SALGADO / YADIRA FERNANDEZ (VILLA)</v>
          </cell>
          <cell r="C473" t="str">
            <v/>
          </cell>
          <cell r="D473" t="str">
            <v>BVLD. DE LAS FLORES ESQ. DALIAS</v>
          </cell>
          <cell r="E473" t="str">
            <v>COACALCO, EDO. DE MEXICO</v>
          </cell>
          <cell r="F473" t="str">
            <v/>
          </cell>
          <cell r="G473" t="str">
            <v>(55) 5906-1886</v>
          </cell>
          <cell r="H473" t="str">
            <v>YADIRA FERNANDEZ</v>
          </cell>
          <cell r="I473" t="str">
            <v>YADIRA FERNANDEZ</v>
          </cell>
          <cell r="J473" t="str">
            <v>M01</v>
          </cell>
          <cell r="K473" t="str">
            <v/>
          </cell>
          <cell r="L473">
            <v>0</v>
          </cell>
          <cell r="M473">
            <v>489</v>
          </cell>
          <cell r="N473" t="str">
            <v>A</v>
          </cell>
          <cell r="O473">
            <v>42319</v>
          </cell>
          <cell r="P473" t="str">
            <v xml:space="preserve">    5</v>
          </cell>
          <cell r="Q473">
            <v>0</v>
          </cell>
          <cell r="R473">
            <v>0</v>
          </cell>
          <cell r="S473">
            <v>0</v>
          </cell>
          <cell r="T473">
            <v>17340</v>
          </cell>
          <cell r="U473">
            <v>0</v>
          </cell>
          <cell r="V473" t="str">
            <v>VILLA 1RA</v>
          </cell>
          <cell r="W473" t="str">
            <v/>
          </cell>
          <cell r="X473" t="str">
            <v/>
          </cell>
        </row>
        <row r="474">
          <cell r="A474">
            <v>2375</v>
          </cell>
          <cell r="B474" t="str">
            <v>XOCHITL FUERTES TOLEDO (AMEALCO)</v>
          </cell>
          <cell r="C474" t="str">
            <v/>
          </cell>
          <cell r="D474" t="str">
            <v>CARR. AMEALCO-CORONEO #483</v>
          </cell>
          <cell r="E474" t="str">
            <v>AMEALCO, QRO.</v>
          </cell>
          <cell r="F474" t="str">
            <v/>
          </cell>
          <cell r="G474" t="str">
            <v>(448) 102-0347 CEL</v>
          </cell>
          <cell r="H474" t="str">
            <v>XOCHITL FUERTES T.</v>
          </cell>
          <cell r="I474" t="str">
            <v>XOCHITL FUERTES T.</v>
          </cell>
          <cell r="J474" t="str">
            <v>L06</v>
          </cell>
          <cell r="K474" t="str">
            <v/>
          </cell>
          <cell r="L474">
            <v>0</v>
          </cell>
          <cell r="M474">
            <v>490</v>
          </cell>
          <cell r="N474" t="str">
            <v>A</v>
          </cell>
          <cell r="O474">
            <v>42518</v>
          </cell>
          <cell r="P474" t="str">
            <v xml:space="preserve">   97</v>
          </cell>
          <cell r="Q474">
            <v>0</v>
          </cell>
          <cell r="R474">
            <v>0</v>
          </cell>
          <cell r="S474">
            <v>3853</v>
          </cell>
          <cell r="T474">
            <v>27267</v>
          </cell>
          <cell r="U474">
            <v>0</v>
          </cell>
          <cell r="V474" t="str">
            <v>ENTRE COMEX Y AS</v>
          </cell>
          <cell r="W474" t="str">
            <v/>
          </cell>
          <cell r="X474" t="str">
            <v/>
          </cell>
        </row>
        <row r="475">
          <cell r="A475">
            <v>2376</v>
          </cell>
          <cell r="B475" t="str">
            <v>LUCIA JOSEFINA TOLEDO COLIN (AMEALCO)</v>
          </cell>
          <cell r="C475" t="str">
            <v/>
          </cell>
          <cell r="D475" t="str">
            <v>MERCADO LOC.38</v>
          </cell>
          <cell r="E475" t="str">
            <v>AMEALCO, QRO.</v>
          </cell>
          <cell r="F475" t="str">
            <v/>
          </cell>
          <cell r="G475" t="str">
            <v>(448) 101-8963 CEL</v>
          </cell>
          <cell r="H475" t="str">
            <v>JOSEFINA TOLEDO</v>
          </cell>
          <cell r="I475" t="str">
            <v>JOSEFINA TOLEDO</v>
          </cell>
          <cell r="J475" t="str">
            <v>L06</v>
          </cell>
          <cell r="K475" t="str">
            <v/>
          </cell>
          <cell r="L475">
            <v>0</v>
          </cell>
          <cell r="M475">
            <v>491</v>
          </cell>
          <cell r="N475" t="str">
            <v>A</v>
          </cell>
          <cell r="O475">
            <v>41971</v>
          </cell>
          <cell r="P475" t="str">
            <v xml:space="preserve">   97</v>
          </cell>
          <cell r="Q475">
            <v>0</v>
          </cell>
          <cell r="R475">
            <v>0</v>
          </cell>
          <cell r="S475">
            <v>0</v>
          </cell>
          <cell r="T475">
            <v>2425</v>
          </cell>
          <cell r="U475">
            <v>0</v>
          </cell>
          <cell r="V475" t="str">
            <v>CENTRO</v>
          </cell>
          <cell r="W475" t="str">
            <v/>
          </cell>
          <cell r="X475" t="str">
            <v/>
          </cell>
        </row>
        <row r="476">
          <cell r="A476">
            <v>2379</v>
          </cell>
          <cell r="B476" t="str">
            <v>JORGE RODRIGUEZ HERNANDEZ (SILAO)</v>
          </cell>
          <cell r="C476" t="str">
            <v/>
          </cell>
          <cell r="D476" t="str">
            <v>PALMA #8</v>
          </cell>
          <cell r="E476" t="str">
            <v>SILAO, GTO.</v>
          </cell>
          <cell r="F476" t="str">
            <v/>
          </cell>
          <cell r="G476" t="str">
            <v>(472) 101-3757 CEL</v>
          </cell>
          <cell r="H476" t="str">
            <v>JORGE RODRIGUEZ HDZ.</v>
          </cell>
          <cell r="I476" t="str">
            <v>JORGE RODRIGUEZ HDZ.</v>
          </cell>
          <cell r="J476" t="str">
            <v>F04</v>
          </cell>
          <cell r="K476" t="str">
            <v/>
          </cell>
          <cell r="L476">
            <v>0</v>
          </cell>
          <cell r="M476">
            <v>494</v>
          </cell>
          <cell r="N476" t="str">
            <v>A</v>
          </cell>
          <cell r="O476">
            <v>42013</v>
          </cell>
          <cell r="P476" t="str">
            <v xml:space="preserve">    1</v>
          </cell>
          <cell r="Q476">
            <v>0</v>
          </cell>
          <cell r="R476">
            <v>0</v>
          </cell>
          <cell r="S476">
            <v>0</v>
          </cell>
          <cell r="T476">
            <v>4333</v>
          </cell>
          <cell r="U476">
            <v>0</v>
          </cell>
          <cell r="V476" t="str">
            <v>SAN JOSE EL ALTO</v>
          </cell>
          <cell r="W476" t="str">
            <v/>
          </cell>
          <cell r="X476" t="str">
            <v/>
          </cell>
        </row>
        <row r="477">
          <cell r="A477">
            <v>2378</v>
          </cell>
          <cell r="B477" t="str">
            <v>ISABEL SAMANIEGO ZACARIAS (SAN JUAN)</v>
          </cell>
          <cell r="C477" t="str">
            <v/>
          </cell>
          <cell r="D477" t="str">
            <v>MONTE EVEREST #35</v>
          </cell>
          <cell r="E477" t="str">
            <v>SAN JUAN DEL RIO, QRO.</v>
          </cell>
          <cell r="F477" t="str">
            <v/>
          </cell>
          <cell r="G477" t="str">
            <v>(427) 106-2003 CEL</v>
          </cell>
          <cell r="H477" t="str">
            <v>ISABEL SAMANIEGO Z.</v>
          </cell>
          <cell r="I477" t="str">
            <v>ISABEL SAMANIEGO Z.</v>
          </cell>
          <cell r="J477" t="str">
            <v>L01P</v>
          </cell>
          <cell r="K477" t="str">
            <v/>
          </cell>
          <cell r="L477">
            <v>0</v>
          </cell>
          <cell r="M477">
            <v>493</v>
          </cell>
          <cell r="N477" t="str">
            <v>A</v>
          </cell>
          <cell r="O477">
            <v>42139</v>
          </cell>
          <cell r="P477" t="str">
            <v xml:space="preserve">   97</v>
          </cell>
          <cell r="Q477">
            <v>0</v>
          </cell>
          <cell r="R477">
            <v>0</v>
          </cell>
          <cell r="S477">
            <v>0</v>
          </cell>
          <cell r="T477">
            <v>1516</v>
          </cell>
          <cell r="U477">
            <v>0</v>
          </cell>
          <cell r="V477" t="str">
            <v>LOMAS DE SAN JUAN</v>
          </cell>
          <cell r="W477" t="str">
            <v/>
          </cell>
          <cell r="X477" t="str">
            <v/>
          </cell>
        </row>
        <row r="478">
          <cell r="A478">
            <v>2388</v>
          </cell>
          <cell r="B478" t="str">
            <v>ISRAEL RICO (APASEO EL GRANDE)</v>
          </cell>
          <cell r="C478" t="str">
            <v/>
          </cell>
          <cell r="D478" t="str">
            <v/>
          </cell>
          <cell r="E478" t="str">
            <v xml:space="preserve">APASEO EL GRANDE, GTO.        </v>
          </cell>
          <cell r="F478" t="str">
            <v/>
          </cell>
          <cell r="G478" t="str">
            <v/>
          </cell>
          <cell r="H478" t="str">
            <v/>
          </cell>
          <cell r="I478" t="str">
            <v/>
          </cell>
          <cell r="J478" t="str">
            <v>F04</v>
          </cell>
          <cell r="K478" t="str">
            <v/>
          </cell>
          <cell r="L478">
            <v>0</v>
          </cell>
          <cell r="M478">
            <v>504</v>
          </cell>
          <cell r="N478" t="str">
            <v>A</v>
          </cell>
          <cell r="O478">
            <v>42406</v>
          </cell>
          <cell r="P478" t="str">
            <v xml:space="preserve">    1</v>
          </cell>
          <cell r="Q478">
            <v>0</v>
          </cell>
          <cell r="R478">
            <v>0</v>
          </cell>
          <cell r="S478">
            <v>0</v>
          </cell>
          <cell r="T478">
            <v>4733</v>
          </cell>
          <cell r="U478">
            <v>0</v>
          </cell>
          <cell r="V478" t="str">
            <v/>
          </cell>
          <cell r="W478" t="str">
            <v/>
          </cell>
          <cell r="X478" t="str">
            <v/>
          </cell>
        </row>
        <row r="479">
          <cell r="A479">
            <v>2380</v>
          </cell>
          <cell r="B479" t="str">
            <v>SONIA GOMEZ JIMENEZ / RODOLFO HERRERA (COACALCO)</v>
          </cell>
          <cell r="C479" t="str">
            <v/>
          </cell>
          <cell r="D479" t="str">
            <v>AV. MORELOS #48</v>
          </cell>
          <cell r="E479" t="str">
            <v>ECATEPEC, EDO. DE MEXICO</v>
          </cell>
          <cell r="F479" t="str">
            <v/>
          </cell>
          <cell r="G479" t="str">
            <v>(55) 5116-4591</v>
          </cell>
          <cell r="H479" t="str">
            <v>SONIA GOMEZ JIMENEZ</v>
          </cell>
          <cell r="I479" t="str">
            <v>SONIA GOMEZ JIMENEZ</v>
          </cell>
          <cell r="J479" t="str">
            <v>M01</v>
          </cell>
          <cell r="K479" t="str">
            <v/>
          </cell>
          <cell r="L479">
            <v>0</v>
          </cell>
          <cell r="M479">
            <v>495</v>
          </cell>
          <cell r="N479" t="str">
            <v>A</v>
          </cell>
          <cell r="O479">
            <v>42334</v>
          </cell>
          <cell r="P479" t="str">
            <v xml:space="preserve">    5</v>
          </cell>
          <cell r="Q479">
            <v>0</v>
          </cell>
          <cell r="R479">
            <v>0</v>
          </cell>
          <cell r="S479">
            <v>1030</v>
          </cell>
          <cell r="T479">
            <v>56292</v>
          </cell>
          <cell r="U479">
            <v>0</v>
          </cell>
          <cell r="V479" t="str">
            <v>SAN CRISTOBAL</v>
          </cell>
          <cell r="W479" t="str">
            <v>(55) 6592-5029</v>
          </cell>
          <cell r="X479" t="str">
            <v/>
          </cell>
        </row>
        <row r="480">
          <cell r="A480">
            <v>2381</v>
          </cell>
          <cell r="B480" t="str">
            <v>BLANCA DAVILA ESPARZA (TULTEPEC)</v>
          </cell>
          <cell r="C480" t="str">
            <v/>
          </cell>
          <cell r="D480" t="str">
            <v>INDUSTRIA #21</v>
          </cell>
          <cell r="E480" t="str">
            <v>TULTEPEC, EDO. DE MEXICO</v>
          </cell>
          <cell r="F480" t="str">
            <v/>
          </cell>
          <cell r="G480" t="str">
            <v>(55) 5890-0157</v>
          </cell>
          <cell r="H480" t="str">
            <v>BLANCA DAVILA E.</v>
          </cell>
          <cell r="I480" t="str">
            <v>BLANCA DAVILA E.</v>
          </cell>
          <cell r="J480" t="str">
            <v>M01</v>
          </cell>
          <cell r="K480" t="str">
            <v/>
          </cell>
          <cell r="L480">
            <v>0</v>
          </cell>
          <cell r="M480">
            <v>496</v>
          </cell>
          <cell r="N480" t="str">
            <v>A</v>
          </cell>
          <cell r="O480">
            <v>41984</v>
          </cell>
          <cell r="P480" t="str">
            <v xml:space="preserve">    5</v>
          </cell>
          <cell r="Q480">
            <v>0</v>
          </cell>
          <cell r="R480">
            <v>0</v>
          </cell>
          <cell r="S480">
            <v>0</v>
          </cell>
          <cell r="T480">
            <v>940</v>
          </cell>
          <cell r="U480">
            <v>0</v>
          </cell>
          <cell r="V480" t="str">
            <v>SAN ANTONIO</v>
          </cell>
          <cell r="W480" t="str">
            <v/>
          </cell>
          <cell r="X480" t="str">
            <v/>
          </cell>
        </row>
        <row r="481">
          <cell r="A481">
            <v>2382</v>
          </cell>
          <cell r="B481" t="str">
            <v>NANCY MARIEL SIMON CRUZ (MIXQUIAHUALA)</v>
          </cell>
          <cell r="C481" t="str">
            <v/>
          </cell>
          <cell r="D481" t="str">
            <v>AV. REFORMA #54 LOCAL A</v>
          </cell>
          <cell r="E481" t="str">
            <v>MIXQUIAHUALA, HGO.</v>
          </cell>
          <cell r="F481" t="str">
            <v>42700</v>
          </cell>
          <cell r="G481" t="str">
            <v>(773) 132-8978</v>
          </cell>
          <cell r="H481" t="str">
            <v>NANCY MACIEL SIMON</v>
          </cell>
          <cell r="I481" t="str">
            <v>NANCY MACIEL SIMON</v>
          </cell>
          <cell r="J481" t="str">
            <v>M03</v>
          </cell>
          <cell r="K481" t="str">
            <v/>
          </cell>
          <cell r="L481">
            <v>0</v>
          </cell>
          <cell r="M481">
            <v>497</v>
          </cell>
          <cell r="N481" t="str">
            <v>A</v>
          </cell>
          <cell r="O481">
            <v>42515</v>
          </cell>
          <cell r="P481" t="str">
            <v xml:space="preserve">    5</v>
          </cell>
          <cell r="Q481">
            <v>0</v>
          </cell>
          <cell r="R481">
            <v>0</v>
          </cell>
          <cell r="S481">
            <v>17937</v>
          </cell>
          <cell r="T481">
            <v>77578</v>
          </cell>
          <cell r="U481">
            <v>0</v>
          </cell>
          <cell r="V481" t="str">
            <v>CENTRO</v>
          </cell>
          <cell r="W481" t="str">
            <v/>
          </cell>
          <cell r="X481" t="str">
            <v/>
          </cell>
        </row>
        <row r="482">
          <cell r="A482">
            <v>2383</v>
          </cell>
          <cell r="B482" t="str">
            <v>PILAR ACOSTA (COACALCO)</v>
          </cell>
          <cell r="C482" t="str">
            <v/>
          </cell>
          <cell r="D482" t="str">
            <v>BLVD. COACALCO # 96</v>
          </cell>
          <cell r="E482" t="str">
            <v>COACALCO, EDO. DE MEXICO</v>
          </cell>
          <cell r="F482" t="str">
            <v/>
          </cell>
          <cell r="G482" t="str">
            <v/>
          </cell>
          <cell r="H482" t="str">
            <v/>
          </cell>
          <cell r="I482" t="str">
            <v/>
          </cell>
          <cell r="J482" t="str">
            <v>M01</v>
          </cell>
          <cell r="K482" t="str">
            <v/>
          </cell>
          <cell r="L482">
            <v>0</v>
          </cell>
          <cell r="M482">
            <v>498</v>
          </cell>
          <cell r="N482" t="str">
            <v>A</v>
          </cell>
          <cell r="O482">
            <v>42433</v>
          </cell>
          <cell r="P482" t="str">
            <v xml:space="preserve">    5</v>
          </cell>
          <cell r="Q482">
            <v>0</v>
          </cell>
          <cell r="R482">
            <v>0</v>
          </cell>
          <cell r="S482">
            <v>1210</v>
          </cell>
          <cell r="T482">
            <v>16107</v>
          </cell>
          <cell r="U482">
            <v>0</v>
          </cell>
          <cell r="V482" t="str">
            <v/>
          </cell>
          <cell r="W482" t="str">
            <v/>
          </cell>
          <cell r="X482" t="str">
            <v/>
          </cell>
        </row>
        <row r="483">
          <cell r="A483">
            <v>2384</v>
          </cell>
          <cell r="B483" t="str">
            <v>MIRIAM CORTES (SAN CRISTOBAL)</v>
          </cell>
          <cell r="C483" t="str">
            <v/>
          </cell>
          <cell r="D483" t="str">
            <v>AV. MORELOS OTE # 58</v>
          </cell>
          <cell r="E483" t="str">
            <v>ECATEPEC, EDO. DE MEXICO</v>
          </cell>
          <cell r="F483" t="str">
            <v/>
          </cell>
          <cell r="G483" t="str">
            <v>(55) 4469-1912</v>
          </cell>
          <cell r="H483" t="str">
            <v/>
          </cell>
          <cell r="I483" t="str">
            <v/>
          </cell>
          <cell r="J483" t="str">
            <v>M03</v>
          </cell>
          <cell r="K483" t="str">
            <v/>
          </cell>
          <cell r="L483">
            <v>0</v>
          </cell>
          <cell r="M483">
            <v>499</v>
          </cell>
          <cell r="N483" t="str">
            <v>A</v>
          </cell>
          <cell r="O483">
            <v>42411</v>
          </cell>
          <cell r="P483" t="str">
            <v/>
          </cell>
          <cell r="Q483">
            <v>0</v>
          </cell>
          <cell r="R483">
            <v>0</v>
          </cell>
          <cell r="S483">
            <v>0</v>
          </cell>
          <cell r="T483">
            <v>7753</v>
          </cell>
          <cell r="U483">
            <v>0</v>
          </cell>
          <cell r="V483" t="str">
            <v>SAN CRISTOBAL</v>
          </cell>
          <cell r="W483" t="str">
            <v/>
          </cell>
          <cell r="X483" t="str">
            <v/>
          </cell>
        </row>
        <row r="484">
          <cell r="A484">
            <v>2385</v>
          </cell>
          <cell r="B484" t="str">
            <v>ARACELI ROJAS GODINEZ (COACALCO)</v>
          </cell>
          <cell r="C484" t="str">
            <v/>
          </cell>
          <cell r="D484" t="str">
            <v>GRANJAS CORD</v>
          </cell>
          <cell r="E484" t="str">
            <v>COACALCO, EDO. DE MEXICO</v>
          </cell>
          <cell r="F484" t="str">
            <v/>
          </cell>
          <cell r="G484" t="str">
            <v/>
          </cell>
          <cell r="H484" t="str">
            <v/>
          </cell>
          <cell r="I484" t="str">
            <v/>
          </cell>
          <cell r="J484" t="str">
            <v>M01</v>
          </cell>
          <cell r="K484" t="str">
            <v/>
          </cell>
          <cell r="L484">
            <v>0</v>
          </cell>
          <cell r="M484">
            <v>500</v>
          </cell>
          <cell r="N484" t="str">
            <v>A</v>
          </cell>
          <cell r="O484">
            <v>42375</v>
          </cell>
          <cell r="P484" t="str">
            <v xml:space="preserve">    5</v>
          </cell>
          <cell r="Q484">
            <v>0</v>
          </cell>
          <cell r="R484">
            <v>0</v>
          </cell>
          <cell r="S484">
            <v>0</v>
          </cell>
          <cell r="T484">
            <v>29248</v>
          </cell>
          <cell r="U484">
            <v>0</v>
          </cell>
          <cell r="V484" t="str">
            <v/>
          </cell>
          <cell r="W484" t="str">
            <v/>
          </cell>
          <cell r="X484" t="str">
            <v/>
          </cell>
        </row>
        <row r="485">
          <cell r="A485">
            <v>2386</v>
          </cell>
          <cell r="B485" t="str">
            <v>ROCIO FERRER (TULA) CEREMONIAS ROSY</v>
          </cell>
          <cell r="C485" t="str">
            <v/>
          </cell>
          <cell r="D485" t="str">
            <v>PROLONGACION 5 DE MAYO</v>
          </cell>
          <cell r="E485" t="str">
            <v>TULA, HGO.</v>
          </cell>
          <cell r="F485" t="str">
            <v/>
          </cell>
          <cell r="G485" t="str">
            <v/>
          </cell>
          <cell r="H485" t="str">
            <v/>
          </cell>
          <cell r="I485" t="str">
            <v/>
          </cell>
          <cell r="J485" t="str">
            <v>F02</v>
          </cell>
          <cell r="K485" t="str">
            <v/>
          </cell>
          <cell r="L485">
            <v>0</v>
          </cell>
          <cell r="M485">
            <v>501</v>
          </cell>
          <cell r="N485" t="str">
            <v>A</v>
          </cell>
          <cell r="O485">
            <v>42068</v>
          </cell>
          <cell r="P485" t="str">
            <v/>
          </cell>
          <cell r="Q485">
            <v>0</v>
          </cell>
          <cell r="R485">
            <v>0</v>
          </cell>
          <cell r="S485">
            <v>0</v>
          </cell>
          <cell r="T485">
            <v>7836</v>
          </cell>
          <cell r="U485">
            <v>0</v>
          </cell>
          <cell r="V485" t="str">
            <v>CENTRO</v>
          </cell>
          <cell r="W485" t="str">
            <v/>
          </cell>
          <cell r="X485" t="str">
            <v/>
          </cell>
        </row>
        <row r="486">
          <cell r="A486">
            <v>2387</v>
          </cell>
          <cell r="B486" t="str">
            <v>IRMA MENDOZA   ( SAN CRISTOBAL )</v>
          </cell>
          <cell r="C486" t="str">
            <v/>
          </cell>
          <cell r="D486" t="str">
            <v>MERCADO SAN CRISTOBAL L.N. 112</v>
          </cell>
          <cell r="E486" t="str">
            <v/>
          </cell>
          <cell r="F486" t="str">
            <v/>
          </cell>
          <cell r="G486" t="str">
            <v/>
          </cell>
          <cell r="H486" t="str">
            <v/>
          </cell>
          <cell r="I486" t="str">
            <v/>
          </cell>
          <cell r="J486" t="str">
            <v>M03</v>
          </cell>
          <cell r="K486" t="str">
            <v/>
          </cell>
          <cell r="L486">
            <v>0</v>
          </cell>
          <cell r="M486">
            <v>503</v>
          </cell>
          <cell r="N486" t="str">
            <v>A</v>
          </cell>
          <cell r="O486">
            <v>42049</v>
          </cell>
          <cell r="P486" t="str">
            <v/>
          </cell>
          <cell r="Q486">
            <v>0</v>
          </cell>
          <cell r="R486">
            <v>0</v>
          </cell>
          <cell r="S486">
            <v>0</v>
          </cell>
          <cell r="T486">
            <v>2295</v>
          </cell>
          <cell r="U486">
            <v>0</v>
          </cell>
          <cell r="V486" t="str">
            <v/>
          </cell>
          <cell r="W486" t="str">
            <v/>
          </cell>
          <cell r="X486" t="str">
            <v/>
          </cell>
        </row>
        <row r="487">
          <cell r="A487">
            <v>2396</v>
          </cell>
          <cell r="B487" t="str">
            <v>COMERCIAL GASCA, S.A. DE C.V. (JUVENTINO ROSAS)</v>
          </cell>
          <cell r="C487" t="str">
            <v>CGA900926 FC5</v>
          </cell>
          <cell r="D487" t="str">
            <v>COLON # 113</v>
          </cell>
          <cell r="E487" t="str">
            <v>JUVENTINO ROSAS, GTO.</v>
          </cell>
          <cell r="F487" t="str">
            <v>38240</v>
          </cell>
          <cell r="G487" t="str">
            <v>(412) 157-2378</v>
          </cell>
          <cell r="H487" t="str">
            <v>ALEJANDRA PALOALTO</v>
          </cell>
          <cell r="I487" t="str">
            <v/>
          </cell>
          <cell r="J487" t="str">
            <v>F04</v>
          </cell>
          <cell r="K487" t="str">
            <v/>
          </cell>
          <cell r="L487">
            <v>0</v>
          </cell>
          <cell r="M487">
            <v>512</v>
          </cell>
          <cell r="N487" t="str">
            <v>A</v>
          </cell>
          <cell r="O487">
            <v>42441</v>
          </cell>
          <cell r="P487" t="str">
            <v xml:space="preserve">    1</v>
          </cell>
          <cell r="Q487">
            <v>0</v>
          </cell>
          <cell r="R487">
            <v>0</v>
          </cell>
          <cell r="S487">
            <v>5215.5</v>
          </cell>
          <cell r="T487">
            <v>16651.5</v>
          </cell>
          <cell r="U487">
            <v>0</v>
          </cell>
          <cell r="V487" t="str">
            <v>ZONA CENTRO</v>
          </cell>
          <cell r="W487" t="str">
            <v>(412) 157-3618 ADMIN</v>
          </cell>
          <cell r="X487" t="str">
            <v>gasca.laperla@hotmail.com</v>
          </cell>
        </row>
        <row r="488">
          <cell r="A488">
            <v>2389</v>
          </cell>
          <cell r="B488" t="str">
            <v>SUSANA PEÑA MERCADO (PACHUCA)</v>
          </cell>
          <cell r="C488" t="str">
            <v/>
          </cell>
          <cell r="D488" t="str">
            <v>AV. GUERRERO #501 INT. 13</v>
          </cell>
          <cell r="E488" t="str">
            <v>PACHUCA, HGO.</v>
          </cell>
          <cell r="F488" t="str">
            <v/>
          </cell>
          <cell r="H488" t="str">
            <v/>
          </cell>
          <cell r="I488" t="str">
            <v/>
          </cell>
          <cell r="J488" t="str">
            <v>F02</v>
          </cell>
          <cell r="K488" t="str">
            <v/>
          </cell>
          <cell r="L488">
            <v>0</v>
          </cell>
          <cell r="M488">
            <v>505</v>
          </cell>
          <cell r="N488" t="str">
            <v>A</v>
          </cell>
          <cell r="O488">
            <v>42044</v>
          </cell>
          <cell r="P488" t="str">
            <v xml:space="preserve">    5</v>
          </cell>
          <cell r="Q488">
            <v>0</v>
          </cell>
          <cell r="R488">
            <v>0</v>
          </cell>
          <cell r="S488">
            <v>0</v>
          </cell>
          <cell r="T488">
            <v>2302</v>
          </cell>
          <cell r="U488">
            <v>13</v>
          </cell>
          <cell r="V488" t="str">
            <v>CENTRO</v>
          </cell>
          <cell r="W488" t="str">
            <v/>
          </cell>
          <cell r="X488" t="str">
            <v/>
          </cell>
        </row>
        <row r="489">
          <cell r="A489">
            <v>2390</v>
          </cell>
          <cell r="B489" t="str">
            <v>ALMA BENITEZ</v>
          </cell>
          <cell r="C489" t="str">
            <v/>
          </cell>
          <cell r="D489" t="str">
            <v>AV. DEL PARQUE NO. 140</v>
          </cell>
          <cell r="E489" t="str">
            <v/>
          </cell>
          <cell r="F489" t="str">
            <v/>
          </cell>
          <cell r="G489" t="str">
            <v>(55) 5868-5364</v>
          </cell>
          <cell r="H489" t="str">
            <v/>
          </cell>
          <cell r="I489" t="str">
            <v/>
          </cell>
          <cell r="J489" t="str">
            <v>M02</v>
          </cell>
          <cell r="K489" t="str">
            <v/>
          </cell>
          <cell r="L489">
            <v>0</v>
          </cell>
          <cell r="M489">
            <v>506</v>
          </cell>
          <cell r="N489" t="str">
            <v>A</v>
          </cell>
          <cell r="O489">
            <v>42044</v>
          </cell>
          <cell r="P489" t="str">
            <v xml:space="preserve">    5</v>
          </cell>
          <cell r="Q489">
            <v>0</v>
          </cell>
          <cell r="R489">
            <v>0</v>
          </cell>
          <cell r="S489">
            <v>0</v>
          </cell>
          <cell r="T489">
            <v>1541</v>
          </cell>
          <cell r="U489">
            <v>0</v>
          </cell>
          <cell r="V489" t="str">
            <v/>
          </cell>
          <cell r="W489" t="str">
            <v/>
          </cell>
          <cell r="X489" t="str">
            <v/>
          </cell>
        </row>
        <row r="490">
          <cell r="A490">
            <v>2391</v>
          </cell>
          <cell r="B490" t="str">
            <v>ARELI GONZALEZ</v>
          </cell>
          <cell r="C490" t="str">
            <v/>
          </cell>
          <cell r="D490" t="str">
            <v>PASEO DE FERROCARRIL INT. 101</v>
          </cell>
          <cell r="E490" t="str">
            <v/>
          </cell>
          <cell r="F490" t="str">
            <v/>
          </cell>
          <cell r="G490" t="str">
            <v>55-5318-0613</v>
          </cell>
          <cell r="H490" t="str">
            <v/>
          </cell>
          <cell r="I490" t="str">
            <v/>
          </cell>
          <cell r="J490" t="str">
            <v>M02</v>
          </cell>
          <cell r="K490" t="str">
            <v/>
          </cell>
          <cell r="L490">
            <v>0</v>
          </cell>
          <cell r="M490">
            <v>507</v>
          </cell>
          <cell r="N490" t="str">
            <v>A</v>
          </cell>
          <cell r="O490">
            <v>42044</v>
          </cell>
          <cell r="P490" t="str">
            <v/>
          </cell>
          <cell r="Q490">
            <v>0</v>
          </cell>
          <cell r="R490">
            <v>0</v>
          </cell>
          <cell r="S490">
            <v>0</v>
          </cell>
          <cell r="T490">
            <v>2349</v>
          </cell>
          <cell r="U490">
            <v>0</v>
          </cell>
          <cell r="V490" t="str">
            <v/>
          </cell>
          <cell r="W490" t="str">
            <v/>
          </cell>
          <cell r="X490" t="str">
            <v/>
          </cell>
        </row>
        <row r="491">
          <cell r="A491">
            <v>2392</v>
          </cell>
          <cell r="B491" t="str">
            <v>PERLA SANCHEZ</v>
          </cell>
          <cell r="C491" t="str">
            <v/>
          </cell>
          <cell r="D491" t="str">
            <v>CALLE DEL BARROSO No. 4</v>
          </cell>
          <cell r="E491" t="str">
            <v xml:space="preserve">TLALNEPANTLA, EDO. DE MEXICO  </v>
          </cell>
          <cell r="F491" t="str">
            <v/>
          </cell>
          <cell r="G491" t="str">
            <v/>
          </cell>
          <cell r="H491" t="str">
            <v/>
          </cell>
          <cell r="I491" t="str">
            <v/>
          </cell>
          <cell r="J491" t="str">
            <v>M02</v>
          </cell>
          <cell r="K491" t="str">
            <v/>
          </cell>
          <cell r="L491">
            <v>0</v>
          </cell>
          <cell r="M491">
            <v>508</v>
          </cell>
          <cell r="N491" t="str">
            <v>A</v>
          </cell>
          <cell r="O491">
            <v>42041</v>
          </cell>
          <cell r="P491" t="str">
            <v/>
          </cell>
          <cell r="Q491">
            <v>0</v>
          </cell>
          <cell r="R491">
            <v>0</v>
          </cell>
          <cell r="S491">
            <v>0</v>
          </cell>
          <cell r="T491">
            <v>1893</v>
          </cell>
          <cell r="U491">
            <v>0</v>
          </cell>
          <cell r="V491" t="str">
            <v>LOS REYES IZTACALA</v>
          </cell>
          <cell r="W491" t="str">
            <v/>
          </cell>
          <cell r="X491" t="str">
            <v/>
          </cell>
        </row>
        <row r="492">
          <cell r="A492">
            <v>2393</v>
          </cell>
          <cell r="B492" t="str">
            <v>EVA VIVAR GONZALEZ (VILLA)</v>
          </cell>
          <cell r="C492" t="str">
            <v/>
          </cell>
          <cell r="D492" t="str">
            <v>MERCADO VILLA</v>
          </cell>
          <cell r="E492" t="str">
            <v/>
          </cell>
          <cell r="F492" t="str">
            <v/>
          </cell>
          <cell r="G492" t="str">
            <v>55-4887-2650</v>
          </cell>
          <cell r="H492" t="str">
            <v/>
          </cell>
          <cell r="I492" t="str">
            <v/>
          </cell>
          <cell r="J492" t="str">
            <v>M01</v>
          </cell>
          <cell r="K492" t="str">
            <v/>
          </cell>
          <cell r="L492">
            <v>0</v>
          </cell>
          <cell r="M492">
            <v>509</v>
          </cell>
          <cell r="N492" t="str">
            <v>A</v>
          </cell>
          <cell r="O492">
            <v>42411</v>
          </cell>
          <cell r="P492" t="str">
            <v/>
          </cell>
          <cell r="Q492">
            <v>0</v>
          </cell>
          <cell r="R492">
            <v>0</v>
          </cell>
          <cell r="S492">
            <v>0</v>
          </cell>
          <cell r="T492">
            <v>3003</v>
          </cell>
          <cell r="U492">
            <v>0</v>
          </cell>
          <cell r="V492" t="str">
            <v/>
          </cell>
          <cell r="W492" t="str">
            <v>55-3689-3385</v>
          </cell>
          <cell r="X492" t="str">
            <v/>
          </cell>
        </row>
        <row r="493">
          <cell r="A493">
            <v>2394</v>
          </cell>
          <cell r="B493" t="str">
            <v>ALEJANDRA MONTES DORANTES (E. MONTES)</v>
          </cell>
          <cell r="C493" t="str">
            <v/>
          </cell>
          <cell r="D493" t="str">
            <v>H. COLEGIO MILITAR NO. 110-A</v>
          </cell>
          <cell r="E493" t="str">
            <v>EZEQUIEL MONTES, QRO.</v>
          </cell>
          <cell r="F493" t="str">
            <v/>
          </cell>
          <cell r="G493" t="str">
            <v>4412772638</v>
          </cell>
          <cell r="H493" t="str">
            <v/>
          </cell>
          <cell r="I493" t="str">
            <v/>
          </cell>
          <cell r="J493" t="str">
            <v>J02</v>
          </cell>
          <cell r="K493" t="str">
            <v/>
          </cell>
          <cell r="L493">
            <v>0</v>
          </cell>
          <cell r="M493">
            <v>510</v>
          </cell>
          <cell r="N493" t="str">
            <v>A</v>
          </cell>
          <cell r="O493">
            <v>42496</v>
          </cell>
          <cell r="P493" t="str">
            <v/>
          </cell>
          <cell r="Q493">
            <v>0</v>
          </cell>
          <cell r="R493">
            <v>0</v>
          </cell>
          <cell r="S493">
            <v>0</v>
          </cell>
          <cell r="T493">
            <v>8566</v>
          </cell>
          <cell r="U493">
            <v>0</v>
          </cell>
          <cell r="V493" t="str">
            <v>CENTRO</v>
          </cell>
          <cell r="W493" t="str">
            <v/>
          </cell>
          <cell r="X493" t="str">
            <v/>
          </cell>
        </row>
        <row r="494">
          <cell r="A494">
            <v>2395</v>
          </cell>
          <cell r="B494" t="str">
            <v>CRISTINA AGUILAR GONZALEZ (E. MONTES)</v>
          </cell>
          <cell r="C494" t="str">
            <v/>
          </cell>
          <cell r="D494" t="str">
            <v>JOAQUIN VEGA S/N</v>
          </cell>
          <cell r="E494" t="str">
            <v>EZEQUIEL MONTES, QRO.</v>
          </cell>
          <cell r="F494" t="str">
            <v/>
          </cell>
          <cell r="G494" t="str">
            <v>441-277-1880</v>
          </cell>
          <cell r="H494" t="str">
            <v/>
          </cell>
          <cell r="I494" t="str">
            <v/>
          </cell>
          <cell r="J494" t="str">
            <v>J02</v>
          </cell>
          <cell r="K494" t="str">
            <v/>
          </cell>
          <cell r="L494">
            <v>0</v>
          </cell>
          <cell r="M494">
            <v>511</v>
          </cell>
          <cell r="N494" t="str">
            <v>A</v>
          </cell>
          <cell r="O494">
            <v>42084</v>
          </cell>
          <cell r="P494" t="str">
            <v/>
          </cell>
          <cell r="Q494">
            <v>0</v>
          </cell>
          <cell r="R494">
            <v>0</v>
          </cell>
          <cell r="S494">
            <v>0</v>
          </cell>
          <cell r="T494">
            <v>475</v>
          </cell>
          <cell r="U494">
            <v>0</v>
          </cell>
          <cell r="V494" t="str">
            <v/>
          </cell>
          <cell r="W494" t="str">
            <v/>
          </cell>
          <cell r="X494" t="str">
            <v/>
          </cell>
        </row>
        <row r="495">
          <cell r="A495">
            <v>2429</v>
          </cell>
          <cell r="B495" t="str">
            <v>AMANDA PATRICIA VAZQUEZ ARREGUIN (CORTAZAR)</v>
          </cell>
          <cell r="C495" t="str">
            <v/>
          </cell>
          <cell r="D495" t="str">
            <v>ZARAGOZA #205-A</v>
          </cell>
          <cell r="E495" t="str">
            <v>CORTAZAR, GTO.</v>
          </cell>
          <cell r="F495" t="str">
            <v/>
          </cell>
          <cell r="G495" t="str">
            <v>(411) 101-0376 CEL</v>
          </cell>
          <cell r="H495" t="str">
            <v/>
          </cell>
          <cell r="I495" t="str">
            <v/>
          </cell>
          <cell r="J495" t="str">
            <v>F04</v>
          </cell>
          <cell r="K495" t="str">
            <v/>
          </cell>
          <cell r="L495">
            <v>0</v>
          </cell>
          <cell r="M495">
            <v>546</v>
          </cell>
          <cell r="N495" t="str">
            <v>A</v>
          </cell>
          <cell r="O495">
            <v>42384</v>
          </cell>
          <cell r="P495" t="str">
            <v xml:space="preserve">    1</v>
          </cell>
          <cell r="Q495">
            <v>0</v>
          </cell>
          <cell r="R495">
            <v>0</v>
          </cell>
          <cell r="S495">
            <v>0</v>
          </cell>
          <cell r="T495">
            <v>1867</v>
          </cell>
          <cell r="U495">
            <v>0</v>
          </cell>
          <cell r="V495" t="str">
            <v>BAMBU</v>
          </cell>
          <cell r="W495" t="str">
            <v>(411) 155-2219 LOCAL</v>
          </cell>
          <cell r="X495" t="str">
            <v/>
          </cell>
        </row>
        <row r="496">
          <cell r="A496">
            <v>2397</v>
          </cell>
          <cell r="B496" t="str">
            <v>ROCIO ALCANTARA</v>
          </cell>
          <cell r="C496" t="str">
            <v/>
          </cell>
          <cell r="D496" t="str">
            <v>CARR SAN JUAN DEL RIO, XILITLA</v>
          </cell>
          <cell r="E496" t="str">
            <v>CADEREYTA, QRO.</v>
          </cell>
          <cell r="F496" t="str">
            <v/>
          </cell>
          <cell r="G496" t="str">
            <v>441-100-2146</v>
          </cell>
          <cell r="H496" t="str">
            <v/>
          </cell>
          <cell r="I496" t="str">
            <v/>
          </cell>
          <cell r="J496" t="str">
            <v>J02</v>
          </cell>
          <cell r="K496" t="str">
            <v/>
          </cell>
          <cell r="L496">
            <v>0</v>
          </cell>
          <cell r="M496">
            <v>513</v>
          </cell>
          <cell r="N496" t="str">
            <v>A</v>
          </cell>
          <cell r="O496">
            <v>42116</v>
          </cell>
          <cell r="P496" t="str">
            <v/>
          </cell>
          <cell r="Q496">
            <v>0</v>
          </cell>
          <cell r="R496">
            <v>0</v>
          </cell>
          <cell r="S496">
            <v>0</v>
          </cell>
          <cell r="T496">
            <v>2703</v>
          </cell>
          <cell r="U496">
            <v>0</v>
          </cell>
          <cell r="V496" t="str">
            <v/>
          </cell>
          <cell r="W496" t="str">
            <v/>
          </cell>
          <cell r="X496" t="str">
            <v/>
          </cell>
        </row>
        <row r="497">
          <cell r="A497">
            <v>2398</v>
          </cell>
          <cell r="B497" t="str">
            <v>MARIA RIVAS</v>
          </cell>
          <cell r="C497" t="str">
            <v/>
          </cell>
          <cell r="D497" t="str">
            <v>JUAREZ NO. 50-A</v>
          </cell>
          <cell r="E497" t="str">
            <v xml:space="preserve">TEQUISQUIAPAN, QRO.           </v>
          </cell>
          <cell r="F497" t="str">
            <v/>
          </cell>
          <cell r="G497" t="str">
            <v>5554-235552</v>
          </cell>
          <cell r="H497" t="str">
            <v/>
          </cell>
          <cell r="I497" t="str">
            <v/>
          </cell>
          <cell r="J497" t="str">
            <v>J02</v>
          </cell>
          <cell r="K497" t="str">
            <v/>
          </cell>
          <cell r="L497">
            <v>0</v>
          </cell>
          <cell r="M497">
            <v>514</v>
          </cell>
          <cell r="N497" t="str">
            <v>A</v>
          </cell>
          <cell r="O497">
            <v>42227</v>
          </cell>
          <cell r="P497" t="str">
            <v/>
          </cell>
          <cell r="Q497">
            <v>0</v>
          </cell>
          <cell r="R497">
            <v>0</v>
          </cell>
          <cell r="S497">
            <v>0</v>
          </cell>
          <cell r="T497">
            <v>3404</v>
          </cell>
          <cell r="U497">
            <v>0</v>
          </cell>
          <cell r="V497" t="str">
            <v>CENTRO</v>
          </cell>
          <cell r="W497" t="str">
            <v/>
          </cell>
          <cell r="X497" t="str">
            <v/>
          </cell>
        </row>
        <row r="498">
          <cell r="A498">
            <v>2399</v>
          </cell>
          <cell r="B498" t="str">
            <v>ANGEL MORENO (IXMIQUILPAN)</v>
          </cell>
          <cell r="C498" t="str">
            <v/>
          </cell>
          <cell r="D498" t="str">
            <v/>
          </cell>
          <cell r="E498" t="str">
            <v/>
          </cell>
          <cell r="F498" t="str">
            <v/>
          </cell>
          <cell r="G498" t="str">
            <v>(772) 111-0353</v>
          </cell>
          <cell r="H498" t="str">
            <v/>
          </cell>
          <cell r="I498" t="str">
            <v/>
          </cell>
          <cell r="J498" t="str">
            <v>F02</v>
          </cell>
          <cell r="K498" t="str">
            <v/>
          </cell>
          <cell r="L498">
            <v>0</v>
          </cell>
          <cell r="M498">
            <v>515</v>
          </cell>
          <cell r="N498" t="str">
            <v>A</v>
          </cell>
          <cell r="O498">
            <v>42192</v>
          </cell>
          <cell r="P498" t="str">
            <v/>
          </cell>
          <cell r="Q498">
            <v>0</v>
          </cell>
          <cell r="R498">
            <v>0</v>
          </cell>
          <cell r="S498">
            <v>0</v>
          </cell>
          <cell r="T498">
            <v>13924</v>
          </cell>
          <cell r="U498">
            <v>0</v>
          </cell>
          <cell r="V498" t="str">
            <v/>
          </cell>
          <cell r="W498" t="str">
            <v/>
          </cell>
          <cell r="X498" t="str">
            <v/>
          </cell>
        </row>
        <row r="499">
          <cell r="A499">
            <v>2400</v>
          </cell>
          <cell r="B499" t="str">
            <v>CATALINA RIVERA MOLINA (ACAMBAY)</v>
          </cell>
          <cell r="C499" t="str">
            <v/>
          </cell>
          <cell r="D499" t="str">
            <v>AV. CONSTITUCION NO. 1</v>
          </cell>
          <cell r="E499" t="str">
            <v>ACAMBAY, EDO. DE MEXICO</v>
          </cell>
          <cell r="F499" t="str">
            <v/>
          </cell>
          <cell r="G499" t="str">
            <v>(712) 163-5886</v>
          </cell>
          <cell r="H499" t="str">
            <v/>
          </cell>
          <cell r="I499" t="str">
            <v/>
          </cell>
          <cell r="J499" t="str">
            <v>L08</v>
          </cell>
          <cell r="K499" t="str">
            <v/>
          </cell>
          <cell r="L499">
            <v>0</v>
          </cell>
          <cell r="M499">
            <v>516</v>
          </cell>
          <cell r="N499" t="str">
            <v>A</v>
          </cell>
          <cell r="O499">
            <v>42165</v>
          </cell>
          <cell r="P499" t="str">
            <v/>
          </cell>
          <cell r="Q499">
            <v>0</v>
          </cell>
          <cell r="R499">
            <v>0</v>
          </cell>
          <cell r="S499">
            <v>480</v>
          </cell>
          <cell r="T499">
            <v>2830</v>
          </cell>
          <cell r="U499">
            <v>0</v>
          </cell>
          <cell r="V499" t="str">
            <v>CENTRO</v>
          </cell>
          <cell r="W499" t="str">
            <v/>
          </cell>
          <cell r="X499" t="str">
            <v/>
          </cell>
        </row>
        <row r="500">
          <cell r="A500">
            <v>2401</v>
          </cell>
          <cell r="B500" t="str">
            <v>CRUZ VARGAS BECERRIL</v>
          </cell>
          <cell r="C500" t="str">
            <v/>
          </cell>
          <cell r="D500" t="str">
            <v/>
          </cell>
          <cell r="E500" t="str">
            <v>EDO. MEXICO</v>
          </cell>
          <cell r="F500" t="str">
            <v/>
          </cell>
          <cell r="G500" t="str">
            <v/>
          </cell>
          <cell r="H500" t="str">
            <v/>
          </cell>
          <cell r="I500" t="str">
            <v/>
          </cell>
          <cell r="J500" t="str">
            <v>M01</v>
          </cell>
          <cell r="K500" t="str">
            <v/>
          </cell>
          <cell r="L500">
            <v>0</v>
          </cell>
          <cell r="M500">
            <v>517</v>
          </cell>
          <cell r="N500" t="str">
            <v>A</v>
          </cell>
          <cell r="O500">
            <v>42158</v>
          </cell>
          <cell r="P500" t="str">
            <v/>
          </cell>
          <cell r="Q500">
            <v>0</v>
          </cell>
          <cell r="R500">
            <v>0</v>
          </cell>
          <cell r="S500">
            <v>0</v>
          </cell>
          <cell r="T500">
            <v>1541</v>
          </cell>
          <cell r="U500">
            <v>0</v>
          </cell>
          <cell r="V500" t="str">
            <v>CUAHUTITLAN IZCALLI</v>
          </cell>
          <cell r="W500" t="str">
            <v/>
          </cell>
          <cell r="X500" t="str">
            <v/>
          </cell>
        </row>
        <row r="501">
          <cell r="A501">
            <v>2402</v>
          </cell>
          <cell r="B501" t="str">
            <v>ARCADIA HERNANDEZ HERNANDEZ (IXMIQUILPAN)</v>
          </cell>
          <cell r="C501" t="str">
            <v/>
          </cell>
          <cell r="D501" t="str">
            <v>ANTONIO MAGOS</v>
          </cell>
          <cell r="E501" t="str">
            <v>IXMIQUILPAN, HGO.</v>
          </cell>
          <cell r="F501" t="str">
            <v/>
          </cell>
          <cell r="G501" t="str">
            <v>(772) 133-0439 CEL</v>
          </cell>
          <cell r="H501" t="str">
            <v/>
          </cell>
          <cell r="I501" t="str">
            <v/>
          </cell>
          <cell r="J501" t="str">
            <v>F02</v>
          </cell>
          <cell r="K501" t="str">
            <v/>
          </cell>
          <cell r="L501">
            <v>0</v>
          </cell>
          <cell r="M501">
            <v>518</v>
          </cell>
          <cell r="N501" t="str">
            <v>A</v>
          </cell>
          <cell r="O501">
            <v>42361</v>
          </cell>
          <cell r="P501" t="str">
            <v/>
          </cell>
          <cell r="Q501">
            <v>0</v>
          </cell>
          <cell r="R501">
            <v>0</v>
          </cell>
          <cell r="S501">
            <v>0</v>
          </cell>
          <cell r="T501">
            <v>9658</v>
          </cell>
          <cell r="U501">
            <v>0</v>
          </cell>
          <cell r="V501" t="str">
            <v/>
          </cell>
          <cell r="W501" t="str">
            <v/>
          </cell>
          <cell r="X501" t="str">
            <v/>
          </cell>
        </row>
        <row r="502">
          <cell r="A502">
            <v>2403</v>
          </cell>
          <cell r="B502" t="str">
            <v>NORMA GARCIA HERNANDEZ (IXMIQUILPAN)</v>
          </cell>
          <cell r="C502" t="str">
            <v/>
          </cell>
          <cell r="D502" t="str">
            <v>JUAREZ 23</v>
          </cell>
          <cell r="E502" t="str">
            <v>IXMIQUILPAN, HGO.</v>
          </cell>
          <cell r="F502" t="str">
            <v/>
          </cell>
          <cell r="G502" t="str">
            <v>01759-723-3319</v>
          </cell>
          <cell r="H502" t="str">
            <v/>
          </cell>
          <cell r="I502" t="str">
            <v/>
          </cell>
          <cell r="J502" t="str">
            <v>F02</v>
          </cell>
          <cell r="K502" t="str">
            <v/>
          </cell>
          <cell r="L502">
            <v>0</v>
          </cell>
          <cell r="M502">
            <v>519</v>
          </cell>
          <cell r="N502" t="str">
            <v>A</v>
          </cell>
          <cell r="O502">
            <v>42163</v>
          </cell>
          <cell r="P502" t="str">
            <v/>
          </cell>
          <cell r="Q502">
            <v>0</v>
          </cell>
          <cell r="R502">
            <v>0</v>
          </cell>
          <cell r="S502">
            <v>0</v>
          </cell>
          <cell r="T502">
            <v>912</v>
          </cell>
          <cell r="U502">
            <v>0</v>
          </cell>
          <cell r="V502" t="str">
            <v>CENTRO</v>
          </cell>
          <cell r="W502" t="str">
            <v>045772-108-1012</v>
          </cell>
          <cell r="X502" t="str">
            <v/>
          </cell>
        </row>
        <row r="503">
          <cell r="A503">
            <v>2404</v>
          </cell>
          <cell r="B503" t="str">
            <v>BRENDA SIERRA DURAN (ACAMBARO)</v>
          </cell>
          <cell r="C503" t="str">
            <v/>
          </cell>
          <cell r="D503" t="str">
            <v>GUERRERO No.1 A</v>
          </cell>
          <cell r="E503" t="str">
            <v>ACAMBARO, GTO.</v>
          </cell>
          <cell r="F503" t="str">
            <v/>
          </cell>
          <cell r="G503" t="str">
            <v>(417) 102-1005 CEL</v>
          </cell>
          <cell r="H503" t="str">
            <v/>
          </cell>
          <cell r="I503" t="str">
            <v/>
          </cell>
          <cell r="J503" t="str">
            <v>J06</v>
          </cell>
          <cell r="K503" t="str">
            <v/>
          </cell>
          <cell r="L503">
            <v>0</v>
          </cell>
          <cell r="M503">
            <v>521</v>
          </cell>
          <cell r="N503" t="str">
            <v>A</v>
          </cell>
          <cell r="O503">
            <v>42511</v>
          </cell>
          <cell r="P503" t="str">
            <v/>
          </cell>
          <cell r="Q503">
            <v>0</v>
          </cell>
          <cell r="R503">
            <v>0</v>
          </cell>
          <cell r="S503">
            <v>2526</v>
          </cell>
          <cell r="T503">
            <v>17091</v>
          </cell>
          <cell r="U503">
            <v>0</v>
          </cell>
          <cell r="V503" t="str">
            <v/>
          </cell>
          <cell r="W503" t="str">
            <v/>
          </cell>
          <cell r="X503" t="str">
            <v/>
          </cell>
        </row>
        <row r="504">
          <cell r="A504">
            <v>2405</v>
          </cell>
          <cell r="B504" t="str">
            <v>MA. ESTRELLA CHAVEZ GARZA (IXMIQUILPAN)</v>
          </cell>
          <cell r="C504" t="str">
            <v/>
          </cell>
          <cell r="D504" t="str">
            <v>FRANCISCO VILLA NO. 1</v>
          </cell>
          <cell r="E504" t="str">
            <v>IXMIQUILPAN, HGO.</v>
          </cell>
          <cell r="F504" t="str">
            <v/>
          </cell>
          <cell r="G504" t="str">
            <v>(771)187-0651</v>
          </cell>
          <cell r="H504" t="str">
            <v/>
          </cell>
          <cell r="I504" t="str">
            <v/>
          </cell>
          <cell r="J504" t="str">
            <v>F02</v>
          </cell>
          <cell r="K504" t="str">
            <v/>
          </cell>
          <cell r="L504">
            <v>0</v>
          </cell>
          <cell r="M504">
            <v>522</v>
          </cell>
          <cell r="N504" t="str">
            <v>A</v>
          </cell>
          <cell r="O504">
            <v>42378</v>
          </cell>
          <cell r="P504" t="str">
            <v/>
          </cell>
          <cell r="Q504">
            <v>0</v>
          </cell>
          <cell r="R504">
            <v>0</v>
          </cell>
          <cell r="S504">
            <v>0</v>
          </cell>
          <cell r="T504">
            <v>5894</v>
          </cell>
          <cell r="U504">
            <v>0</v>
          </cell>
          <cell r="V504" t="str">
            <v/>
          </cell>
          <cell r="W504" t="str">
            <v>045-771-232-9430</v>
          </cell>
          <cell r="X504" t="str">
            <v/>
          </cell>
        </row>
        <row r="505">
          <cell r="A505">
            <v>2406</v>
          </cell>
          <cell r="B505" t="str">
            <v>JENIFER SORIANO (RUTA CHINO)</v>
          </cell>
          <cell r="C505" t="str">
            <v/>
          </cell>
          <cell r="F505" t="str">
            <v/>
          </cell>
          <cell r="H505" t="str">
            <v/>
          </cell>
          <cell r="I505" t="str">
            <v/>
          </cell>
          <cell r="J505" t="str">
            <v>C01</v>
          </cell>
          <cell r="K505" t="str">
            <v/>
          </cell>
          <cell r="L505">
            <v>0</v>
          </cell>
          <cell r="M505">
            <v>523</v>
          </cell>
          <cell r="N505" t="str">
            <v>A</v>
          </cell>
          <cell r="O505">
            <v>42353</v>
          </cell>
          <cell r="P505" t="str">
            <v/>
          </cell>
          <cell r="Q505">
            <v>0</v>
          </cell>
          <cell r="R505">
            <v>0</v>
          </cell>
          <cell r="S505">
            <v>0</v>
          </cell>
          <cell r="T505">
            <v>11862</v>
          </cell>
          <cell r="U505">
            <v>0</v>
          </cell>
          <cell r="V505" t="str">
            <v/>
          </cell>
          <cell r="W505" t="str">
            <v/>
          </cell>
          <cell r="X505" t="str">
            <v/>
          </cell>
        </row>
        <row r="506">
          <cell r="A506">
            <v>2407</v>
          </cell>
          <cell r="B506" t="str">
            <v>DORA MARIA CORNEJO VARGAS (TEZONTEPEC)</v>
          </cell>
          <cell r="C506" t="str">
            <v/>
          </cell>
          <cell r="D506" t="str">
            <v>AV. ALLENDE</v>
          </cell>
          <cell r="E506" t="str">
            <v>TEZONTEPEC, HGO.</v>
          </cell>
          <cell r="F506" t="str">
            <v/>
          </cell>
          <cell r="G506" t="str">
            <v>(771) 205-0985</v>
          </cell>
          <cell r="H506" t="str">
            <v/>
          </cell>
          <cell r="I506" t="str">
            <v/>
          </cell>
          <cell r="J506" t="str">
            <v>F02</v>
          </cell>
          <cell r="K506" t="str">
            <v/>
          </cell>
          <cell r="L506">
            <v>0</v>
          </cell>
          <cell r="M506">
            <v>524</v>
          </cell>
          <cell r="N506" t="str">
            <v>A</v>
          </cell>
          <cell r="O506">
            <v>42525</v>
          </cell>
          <cell r="P506" t="str">
            <v xml:space="preserve">    1</v>
          </cell>
          <cell r="Q506">
            <v>0</v>
          </cell>
          <cell r="R506">
            <v>0</v>
          </cell>
          <cell r="S506">
            <v>0</v>
          </cell>
          <cell r="T506">
            <v>3293</v>
          </cell>
          <cell r="U506">
            <v>0</v>
          </cell>
          <cell r="V506" t="str">
            <v>CENTRO</v>
          </cell>
          <cell r="W506" t="str">
            <v/>
          </cell>
          <cell r="X506" t="str">
            <v/>
          </cell>
        </row>
        <row r="507">
          <cell r="A507">
            <v>2408</v>
          </cell>
          <cell r="B507" t="str">
            <v>MARY (CADEREYTA)</v>
          </cell>
          <cell r="C507" t="str">
            <v/>
          </cell>
          <cell r="D507" t="str">
            <v>MADERO No. 38</v>
          </cell>
          <cell r="E507" t="str">
            <v>CADEREYTA, QRO.</v>
          </cell>
          <cell r="F507" t="str">
            <v/>
          </cell>
          <cell r="G507" t="str">
            <v>441-116-3088</v>
          </cell>
          <cell r="H507" t="str">
            <v/>
          </cell>
          <cell r="I507" t="str">
            <v/>
          </cell>
          <cell r="J507" t="str">
            <v>J02</v>
          </cell>
          <cell r="K507" t="str">
            <v/>
          </cell>
          <cell r="L507">
            <v>0</v>
          </cell>
          <cell r="M507">
            <v>525</v>
          </cell>
          <cell r="N507" t="str">
            <v>A</v>
          </cell>
          <cell r="O507">
            <v>42174</v>
          </cell>
          <cell r="P507" t="str">
            <v/>
          </cell>
          <cell r="Q507">
            <v>0</v>
          </cell>
          <cell r="R507">
            <v>0</v>
          </cell>
          <cell r="S507">
            <v>0</v>
          </cell>
          <cell r="T507">
            <v>4715</v>
          </cell>
          <cell r="U507">
            <v>0</v>
          </cell>
          <cell r="V507" t="str">
            <v>CENTRO</v>
          </cell>
          <cell r="W507" t="str">
            <v/>
          </cell>
          <cell r="X507" t="str">
            <v/>
          </cell>
        </row>
        <row r="508">
          <cell r="A508">
            <v>2409</v>
          </cell>
          <cell r="B508" t="str">
            <v xml:space="preserve">MARIA LUISA CORTES (CADEREYTA)                              </v>
          </cell>
          <cell r="C508" t="str">
            <v/>
          </cell>
          <cell r="D508" t="str">
            <v>MERCADO LOCAL 29</v>
          </cell>
          <cell r="E508" t="str">
            <v>CADEREYTA, QRO.</v>
          </cell>
          <cell r="F508" t="str">
            <v/>
          </cell>
          <cell r="G508" t="str">
            <v>441-105-2682</v>
          </cell>
          <cell r="H508" t="str">
            <v/>
          </cell>
          <cell r="I508" t="str">
            <v/>
          </cell>
          <cell r="J508" t="str">
            <v>J02</v>
          </cell>
          <cell r="K508" t="str">
            <v/>
          </cell>
          <cell r="L508">
            <v>0</v>
          </cell>
          <cell r="M508">
            <v>526</v>
          </cell>
          <cell r="N508" t="str">
            <v>A</v>
          </cell>
          <cell r="O508">
            <v>42473</v>
          </cell>
          <cell r="P508" t="str">
            <v/>
          </cell>
          <cell r="Q508">
            <v>0</v>
          </cell>
          <cell r="R508">
            <v>0</v>
          </cell>
          <cell r="S508">
            <v>0</v>
          </cell>
          <cell r="T508">
            <v>6301</v>
          </cell>
          <cell r="U508">
            <v>0</v>
          </cell>
          <cell r="V508" t="str">
            <v>CENTRO</v>
          </cell>
          <cell r="W508" t="str">
            <v/>
          </cell>
          <cell r="X508" t="str">
            <v/>
          </cell>
        </row>
        <row r="509">
          <cell r="A509">
            <v>2410</v>
          </cell>
          <cell r="B509" t="str">
            <v>GUADALUPE GUEVARA (ATOTONILCO)</v>
          </cell>
          <cell r="C509" t="str">
            <v/>
          </cell>
          <cell r="D509" t="str">
            <v>URUGUAY ESQ. PANAMA</v>
          </cell>
          <cell r="E509" t="str">
            <v>ATOTONILCO, HGO.</v>
          </cell>
          <cell r="F509" t="str">
            <v/>
          </cell>
          <cell r="G509" t="str">
            <v>(773) 101-1938</v>
          </cell>
          <cell r="H509" t="str">
            <v/>
          </cell>
          <cell r="I509" t="str">
            <v/>
          </cell>
          <cell r="J509" t="str">
            <v>M04</v>
          </cell>
          <cell r="K509" t="str">
            <v/>
          </cell>
          <cell r="L509">
            <v>0</v>
          </cell>
          <cell r="M509">
            <v>527</v>
          </cell>
          <cell r="N509" t="str">
            <v>A</v>
          </cell>
          <cell r="O509">
            <v>42286</v>
          </cell>
          <cell r="P509" t="str">
            <v xml:space="preserve">    5</v>
          </cell>
          <cell r="Q509">
            <v>0</v>
          </cell>
          <cell r="R509">
            <v>0</v>
          </cell>
          <cell r="S509">
            <v>0</v>
          </cell>
          <cell r="T509">
            <v>6138</v>
          </cell>
          <cell r="U509">
            <v>0</v>
          </cell>
          <cell r="V509" t="str">
            <v>ANTES DE LA IGLESIA</v>
          </cell>
          <cell r="W509" t="str">
            <v/>
          </cell>
          <cell r="X509" t="str">
            <v/>
          </cell>
        </row>
        <row r="510">
          <cell r="A510">
            <v>2411</v>
          </cell>
          <cell r="B510" t="str">
            <v>ISABEL VALLE MELENDES (COYOTEPEC)</v>
          </cell>
          <cell r="C510" t="str">
            <v/>
          </cell>
          <cell r="D510" t="str">
            <v>AV. HIDALGO #7</v>
          </cell>
          <cell r="E510" t="str">
            <v>COYOTEPEC, EDO. DE MEXICO</v>
          </cell>
          <cell r="F510" t="str">
            <v/>
          </cell>
          <cell r="G510" t="str">
            <v/>
          </cell>
          <cell r="H510" t="str">
            <v/>
          </cell>
          <cell r="I510" t="str">
            <v/>
          </cell>
          <cell r="J510" t="str">
            <v>M01</v>
          </cell>
          <cell r="K510" t="str">
            <v/>
          </cell>
          <cell r="L510">
            <v>0</v>
          </cell>
          <cell r="M510">
            <v>528</v>
          </cell>
          <cell r="N510" t="str">
            <v>A</v>
          </cell>
          <cell r="O510">
            <v>42406</v>
          </cell>
          <cell r="P510" t="str">
            <v xml:space="preserve">    5</v>
          </cell>
          <cell r="Q510">
            <v>0</v>
          </cell>
          <cell r="R510">
            <v>0</v>
          </cell>
          <cell r="S510">
            <v>0</v>
          </cell>
          <cell r="T510">
            <v>6384</v>
          </cell>
          <cell r="U510">
            <v>0</v>
          </cell>
          <cell r="V510" t="str">
            <v/>
          </cell>
          <cell r="W510" t="str">
            <v/>
          </cell>
          <cell r="X510" t="str">
            <v/>
          </cell>
        </row>
        <row r="511">
          <cell r="A511">
            <v>2412</v>
          </cell>
          <cell r="B511" t="str">
            <v>EL POLLITO PIO (QUERETARO)</v>
          </cell>
          <cell r="C511" t="str">
            <v/>
          </cell>
          <cell r="D511" t="str">
            <v>CALZ. BELEN #1104</v>
          </cell>
          <cell r="E511" t="str">
            <v>QUERETARO, QRO.</v>
          </cell>
          <cell r="F511" t="str">
            <v/>
          </cell>
          <cell r="G511" t="str">
            <v>(442) 119-2019 CEL JOSEFI</v>
          </cell>
          <cell r="H511" t="str">
            <v/>
          </cell>
          <cell r="I511" t="str">
            <v/>
          </cell>
          <cell r="J511" t="str">
            <v>L04P</v>
          </cell>
          <cell r="K511" t="str">
            <v/>
          </cell>
          <cell r="L511">
            <v>0</v>
          </cell>
          <cell r="M511">
            <v>529</v>
          </cell>
          <cell r="N511" t="str">
            <v>A</v>
          </cell>
          <cell r="O511">
            <v>42368</v>
          </cell>
          <cell r="P511" t="str">
            <v xml:space="preserve">   97</v>
          </cell>
          <cell r="Q511">
            <v>0</v>
          </cell>
          <cell r="R511">
            <v>0</v>
          </cell>
          <cell r="S511">
            <v>0</v>
          </cell>
          <cell r="T511">
            <v>6408</v>
          </cell>
          <cell r="U511">
            <v>0</v>
          </cell>
          <cell r="V511" t="str">
            <v>EL VERGEL</v>
          </cell>
          <cell r="W511" t="str">
            <v/>
          </cell>
          <cell r="X511" t="str">
            <v/>
          </cell>
        </row>
        <row r="512">
          <cell r="A512">
            <v>2413</v>
          </cell>
          <cell r="B512" t="str">
            <v>TERE NIETO (ACAMBARO)</v>
          </cell>
          <cell r="C512" t="str">
            <v/>
          </cell>
          <cell r="D512" t="str">
            <v/>
          </cell>
          <cell r="E512" t="str">
            <v>ACAMBARO, GTO.</v>
          </cell>
          <cell r="F512" t="str">
            <v/>
          </cell>
          <cell r="G512" t="str">
            <v/>
          </cell>
          <cell r="H512" t="str">
            <v/>
          </cell>
          <cell r="I512" t="str">
            <v/>
          </cell>
          <cell r="J512" t="str">
            <v>J06</v>
          </cell>
          <cell r="K512" t="str">
            <v/>
          </cell>
          <cell r="L512">
            <v>0</v>
          </cell>
          <cell r="M512">
            <v>530</v>
          </cell>
          <cell r="N512" t="str">
            <v>A</v>
          </cell>
          <cell r="O512">
            <v>42343</v>
          </cell>
          <cell r="P512" t="str">
            <v xml:space="preserve">    2</v>
          </cell>
          <cell r="Q512">
            <v>0</v>
          </cell>
          <cell r="R512">
            <v>0</v>
          </cell>
          <cell r="S512">
            <v>0</v>
          </cell>
          <cell r="T512">
            <v>2700</v>
          </cell>
          <cell r="U512">
            <v>0</v>
          </cell>
          <cell r="V512" t="str">
            <v/>
          </cell>
          <cell r="W512" t="str">
            <v/>
          </cell>
          <cell r="X512" t="str">
            <v/>
          </cell>
        </row>
        <row r="513">
          <cell r="A513">
            <v>2414</v>
          </cell>
          <cell r="B513" t="str">
            <v>BRYAN VEGA (APASEO EL ALTO)</v>
          </cell>
          <cell r="C513" t="str">
            <v/>
          </cell>
          <cell r="D513" t="str">
            <v>SALVADOR DIAZ MIRON #110</v>
          </cell>
          <cell r="E513" t="str">
            <v>APASEO EL ALTO, GTO.</v>
          </cell>
          <cell r="F513" t="str">
            <v/>
          </cell>
          <cell r="G513" t="str">
            <v>(413) 101-6047 CEL</v>
          </cell>
          <cell r="H513" t="str">
            <v/>
          </cell>
          <cell r="I513" t="str">
            <v/>
          </cell>
          <cell r="J513" t="str">
            <v>J05</v>
          </cell>
          <cell r="K513" t="str">
            <v/>
          </cell>
          <cell r="L513">
            <v>0</v>
          </cell>
          <cell r="M513">
            <v>531</v>
          </cell>
          <cell r="N513" t="str">
            <v>A</v>
          </cell>
          <cell r="O513">
            <v>42410</v>
          </cell>
          <cell r="P513" t="str">
            <v xml:space="preserve">    2</v>
          </cell>
          <cell r="Q513">
            <v>0</v>
          </cell>
          <cell r="R513">
            <v>0</v>
          </cell>
          <cell r="S513">
            <v>0</v>
          </cell>
          <cell r="T513">
            <v>26041</v>
          </cell>
          <cell r="U513">
            <v>0</v>
          </cell>
          <cell r="V513" t="str">
            <v>STA. ELENA NTE</v>
          </cell>
          <cell r="W513" t="str">
            <v/>
          </cell>
          <cell r="X513" t="str">
            <v/>
          </cell>
        </row>
        <row r="514">
          <cell r="A514">
            <v>2415</v>
          </cell>
          <cell r="B514" t="str">
            <v>ALICIA TRONCO PERTELA (TULA)</v>
          </cell>
          <cell r="C514" t="str">
            <v/>
          </cell>
          <cell r="D514" t="str">
            <v>PASAJE ZARAGOZA #103</v>
          </cell>
          <cell r="E514" t="str">
            <v>TULA, HGO.</v>
          </cell>
          <cell r="F514" t="str">
            <v>42800</v>
          </cell>
          <cell r="G514" t="str">
            <v>(443)732-5374</v>
          </cell>
          <cell r="H514" t="str">
            <v/>
          </cell>
          <cell r="I514" t="str">
            <v/>
          </cell>
          <cell r="J514" t="str">
            <v>M04</v>
          </cell>
          <cell r="K514" t="str">
            <v/>
          </cell>
          <cell r="L514">
            <v>0</v>
          </cell>
          <cell r="M514">
            <v>532</v>
          </cell>
          <cell r="N514" t="str">
            <v>A</v>
          </cell>
          <cell r="O514">
            <v>42326</v>
          </cell>
          <cell r="P514" t="str">
            <v xml:space="preserve">    5</v>
          </cell>
          <cell r="Q514">
            <v>0</v>
          </cell>
          <cell r="R514">
            <v>0</v>
          </cell>
          <cell r="S514">
            <v>0</v>
          </cell>
          <cell r="T514">
            <v>1614</v>
          </cell>
          <cell r="U514">
            <v>0</v>
          </cell>
          <cell r="V514" t="str">
            <v>CENTRO</v>
          </cell>
          <cell r="W514" t="str">
            <v/>
          </cell>
          <cell r="X514" t="str">
            <v/>
          </cell>
        </row>
        <row r="515">
          <cell r="A515">
            <v>2416</v>
          </cell>
          <cell r="B515" t="str">
            <v>LUCILA CANO MARTINEZ (TEZONTEPEC)</v>
          </cell>
          <cell r="C515" t="str">
            <v/>
          </cell>
          <cell r="D515" t="str">
            <v>INSURGENTES S/N</v>
          </cell>
          <cell r="E515" t="str">
            <v>TEZONTEPEC, HGO.</v>
          </cell>
          <cell r="F515" t="str">
            <v/>
          </cell>
          <cell r="G515" t="str">
            <v>(773) 104-1114</v>
          </cell>
          <cell r="H515" t="str">
            <v/>
          </cell>
          <cell r="I515" t="str">
            <v/>
          </cell>
          <cell r="J515" t="str">
            <v>F02</v>
          </cell>
          <cell r="K515" t="str">
            <v/>
          </cell>
          <cell r="L515">
            <v>0</v>
          </cell>
          <cell r="M515">
            <v>533</v>
          </cell>
          <cell r="N515" t="str">
            <v>A</v>
          </cell>
          <cell r="O515">
            <v>42325</v>
          </cell>
          <cell r="P515" t="str">
            <v xml:space="preserve">    1</v>
          </cell>
          <cell r="Q515">
            <v>0</v>
          </cell>
          <cell r="R515">
            <v>0</v>
          </cell>
          <cell r="S515">
            <v>0</v>
          </cell>
          <cell r="T515">
            <v>635</v>
          </cell>
          <cell r="U515">
            <v>0</v>
          </cell>
          <cell r="V515" t="str">
            <v>CENTRO HUITEN</v>
          </cell>
          <cell r="W515" t="str">
            <v/>
          </cell>
          <cell r="X515" t="str">
            <v/>
          </cell>
        </row>
        <row r="516">
          <cell r="A516">
            <v>2417</v>
          </cell>
          <cell r="B516" t="str">
            <v>EDUARDO URBANO DE JESUS (ATLACOMULCO)</v>
          </cell>
          <cell r="C516" t="str">
            <v/>
          </cell>
          <cell r="D516" t="str">
            <v>MORELOS PTE. #7</v>
          </cell>
          <cell r="E516" t="str">
            <v>ATLACOMULCO, EDO. DE MEXICO</v>
          </cell>
          <cell r="F516" t="str">
            <v>50450</v>
          </cell>
          <cell r="G516" t="str">
            <v>(712) 170-9631</v>
          </cell>
          <cell r="H516" t="str">
            <v/>
          </cell>
          <cell r="I516" t="str">
            <v/>
          </cell>
          <cell r="J516" t="str">
            <v>L08</v>
          </cell>
          <cell r="K516" t="str">
            <v/>
          </cell>
          <cell r="L516">
            <v>0</v>
          </cell>
          <cell r="M516">
            <v>534</v>
          </cell>
          <cell r="N516" t="str">
            <v>A</v>
          </cell>
          <cell r="O516">
            <v>42429</v>
          </cell>
          <cell r="P516" t="str">
            <v xml:space="preserve">   97</v>
          </cell>
          <cell r="Q516">
            <v>0</v>
          </cell>
          <cell r="R516">
            <v>0</v>
          </cell>
          <cell r="S516">
            <v>210</v>
          </cell>
          <cell r="T516">
            <v>6012</v>
          </cell>
          <cell r="U516">
            <v>0</v>
          </cell>
          <cell r="V516" t="str">
            <v>CENTRO</v>
          </cell>
          <cell r="W516" t="str">
            <v>(712) 170-9631 CEL</v>
          </cell>
          <cell r="X516" t="str">
            <v/>
          </cell>
        </row>
        <row r="517">
          <cell r="A517">
            <v>2418</v>
          </cell>
          <cell r="B517" t="str">
            <v>ALEJANDRO FLORES BUSTOS (QUERETARO)</v>
          </cell>
          <cell r="C517" t="str">
            <v/>
          </cell>
          <cell r="D517" t="str">
            <v>HDA. ESCOLASTICAS #904</v>
          </cell>
          <cell r="E517" t="str">
            <v>QUERETARO, QRO.</v>
          </cell>
          <cell r="F517" t="str">
            <v/>
          </cell>
          <cell r="G517" t="str">
            <v/>
          </cell>
          <cell r="H517" t="str">
            <v/>
          </cell>
          <cell r="I517" t="str">
            <v/>
          </cell>
          <cell r="J517" t="str">
            <v>L04P</v>
          </cell>
          <cell r="K517" t="str">
            <v/>
          </cell>
          <cell r="L517">
            <v>0</v>
          </cell>
          <cell r="M517">
            <v>535</v>
          </cell>
          <cell r="N517" t="str">
            <v>A</v>
          </cell>
          <cell r="O517">
            <v>42368</v>
          </cell>
          <cell r="P517" t="str">
            <v xml:space="preserve">   97</v>
          </cell>
          <cell r="Q517">
            <v>0</v>
          </cell>
          <cell r="R517">
            <v>0</v>
          </cell>
          <cell r="S517">
            <v>0</v>
          </cell>
          <cell r="T517">
            <v>9381</v>
          </cell>
          <cell r="U517">
            <v>0</v>
          </cell>
          <cell r="V517" t="str">
            <v>JARDINES DE LA HACIE</v>
          </cell>
          <cell r="W517" t="str">
            <v/>
          </cell>
          <cell r="X517" t="str">
            <v/>
          </cell>
        </row>
        <row r="518">
          <cell r="A518">
            <v>2419</v>
          </cell>
          <cell r="B518" t="str">
            <v>VIRGINIA SOLANO (TULTEPEC)</v>
          </cell>
          <cell r="C518" t="str">
            <v/>
          </cell>
          <cell r="D518" t="str">
            <v>ALLENDE #5</v>
          </cell>
          <cell r="E518" t="str">
            <v>TULTEPEC, EDO. DE MEXICO</v>
          </cell>
          <cell r="F518" t="str">
            <v/>
          </cell>
          <cell r="G518" t="str">
            <v/>
          </cell>
          <cell r="H518" t="str">
            <v/>
          </cell>
          <cell r="I518" t="str">
            <v/>
          </cell>
          <cell r="J518" t="str">
            <v>M01P</v>
          </cell>
          <cell r="K518" t="str">
            <v/>
          </cell>
          <cell r="L518">
            <v>0</v>
          </cell>
          <cell r="M518">
            <v>536</v>
          </cell>
          <cell r="N518" t="str">
            <v>A</v>
          </cell>
          <cell r="O518">
            <v>42341</v>
          </cell>
          <cell r="P518" t="str">
            <v xml:space="preserve">    5</v>
          </cell>
          <cell r="Q518">
            <v>0</v>
          </cell>
          <cell r="R518">
            <v>0</v>
          </cell>
          <cell r="S518">
            <v>0</v>
          </cell>
          <cell r="T518">
            <v>2161</v>
          </cell>
          <cell r="U518">
            <v>0</v>
          </cell>
          <cell r="V518" t="str">
            <v>CENTRO</v>
          </cell>
          <cell r="W518" t="str">
            <v/>
          </cell>
          <cell r="X518" t="str">
            <v/>
          </cell>
        </row>
        <row r="519">
          <cell r="A519">
            <v>2420</v>
          </cell>
          <cell r="B519" t="str">
            <v>ANGEL JIMENEZ CORREA (QUERETARO)</v>
          </cell>
          <cell r="C519" t="str">
            <v/>
          </cell>
          <cell r="D519" t="str">
            <v>PROL. CORREGIDORA NTE. #907-A</v>
          </cell>
          <cell r="E519" t="str">
            <v>QUERETARO, QRO.</v>
          </cell>
          <cell r="F519" t="str">
            <v>76060</v>
          </cell>
          <cell r="G519" t="str">
            <v/>
          </cell>
          <cell r="H519" t="str">
            <v/>
          </cell>
          <cell r="I519" t="str">
            <v/>
          </cell>
          <cell r="J519" t="str">
            <v>L04P</v>
          </cell>
          <cell r="K519" t="str">
            <v/>
          </cell>
          <cell r="L519">
            <v>0</v>
          </cell>
          <cell r="M519">
            <v>537</v>
          </cell>
          <cell r="N519" t="str">
            <v>A</v>
          </cell>
          <cell r="O519">
            <v>42408</v>
          </cell>
          <cell r="P519" t="str">
            <v xml:space="preserve">   97</v>
          </cell>
          <cell r="Q519">
            <v>0</v>
          </cell>
          <cell r="R519">
            <v>0</v>
          </cell>
          <cell r="S519">
            <v>0</v>
          </cell>
          <cell r="T519">
            <v>11350</v>
          </cell>
          <cell r="U519">
            <v>0</v>
          </cell>
          <cell r="V519" t="str">
            <v>PARQUES INDUSTRIALES</v>
          </cell>
          <cell r="W519" t="str">
            <v/>
          </cell>
          <cell r="X519" t="str">
            <v/>
          </cell>
        </row>
        <row r="520">
          <cell r="A520">
            <v>2421</v>
          </cell>
          <cell r="B520" t="str">
            <v>YURIDIANA FUENTES TOLEDO (AMEALCO)</v>
          </cell>
          <cell r="C520" t="str">
            <v/>
          </cell>
          <cell r="D520" t="str">
            <v>PINO SUAREZ #34</v>
          </cell>
          <cell r="E520" t="str">
            <v>AMEALCO, QRO.</v>
          </cell>
          <cell r="F520" t="str">
            <v>76850</v>
          </cell>
          <cell r="G520" t="str">
            <v>(448) 110-4820</v>
          </cell>
          <cell r="H520" t="str">
            <v/>
          </cell>
          <cell r="I520" t="str">
            <v/>
          </cell>
          <cell r="J520" t="str">
            <v>L06</v>
          </cell>
          <cell r="K520" t="str">
            <v/>
          </cell>
          <cell r="L520">
            <v>0</v>
          </cell>
          <cell r="M520">
            <v>538</v>
          </cell>
          <cell r="N520" t="str">
            <v>A</v>
          </cell>
          <cell r="O520">
            <v>42347</v>
          </cell>
          <cell r="P520" t="str">
            <v xml:space="preserve">   97</v>
          </cell>
          <cell r="Q520">
            <v>0</v>
          </cell>
          <cell r="R520">
            <v>0</v>
          </cell>
          <cell r="S520">
            <v>0</v>
          </cell>
          <cell r="T520">
            <v>228</v>
          </cell>
          <cell r="U520">
            <v>0</v>
          </cell>
          <cell r="V520" t="str">
            <v>CENTRO</v>
          </cell>
          <cell r="W520" t="str">
            <v/>
          </cell>
          <cell r="X520" t="str">
            <v/>
          </cell>
        </row>
        <row r="521">
          <cell r="A521">
            <v>2422</v>
          </cell>
          <cell r="B521" t="str">
            <v>DESIREE LOPEZ (ACAMBARO)</v>
          </cell>
          <cell r="C521" t="str">
            <v/>
          </cell>
          <cell r="D521" t="str">
            <v>AV. 1º DE MAYO</v>
          </cell>
          <cell r="E521" t="str">
            <v>ACAMBARO, GTO.</v>
          </cell>
          <cell r="F521" t="str">
            <v/>
          </cell>
          <cell r="G521" t="str">
            <v>(417) 102-1697 CEL</v>
          </cell>
          <cell r="H521" t="str">
            <v/>
          </cell>
          <cell r="I521" t="str">
            <v/>
          </cell>
          <cell r="J521" t="str">
            <v>J06P</v>
          </cell>
          <cell r="K521" t="str">
            <v/>
          </cell>
          <cell r="L521">
            <v>0</v>
          </cell>
          <cell r="M521">
            <v>539</v>
          </cell>
          <cell r="N521" t="str">
            <v>A</v>
          </cell>
          <cell r="O521">
            <v>42349</v>
          </cell>
          <cell r="P521" t="str">
            <v xml:space="preserve">    2</v>
          </cell>
          <cell r="Q521">
            <v>0</v>
          </cell>
          <cell r="R521">
            <v>0</v>
          </cell>
          <cell r="S521">
            <v>0</v>
          </cell>
          <cell r="T521">
            <v>1267</v>
          </cell>
          <cell r="U521">
            <v>0</v>
          </cell>
          <cell r="V521" t="str">
            <v>CENTRO</v>
          </cell>
          <cell r="W521" t="str">
            <v/>
          </cell>
          <cell r="X521" t="str">
            <v/>
          </cell>
        </row>
        <row r="522">
          <cell r="A522">
            <v>2423</v>
          </cell>
          <cell r="B522" t="str">
            <v>MA. DE LOS ANGELES ESCAMILLA GOMEZ (TEPOTZOTLAN)</v>
          </cell>
          <cell r="C522" t="str">
            <v/>
          </cell>
          <cell r="D522" t="str">
            <v>MZ. 3 LT. 7 CASA 49</v>
          </cell>
          <cell r="E522" t="str">
            <v>TEPOTZOTLAN, EDO. DE MEXICO</v>
          </cell>
          <cell r="F522" t="str">
            <v/>
          </cell>
          <cell r="G522" t="str">
            <v>(55) 5876-2902</v>
          </cell>
          <cell r="H522" t="str">
            <v/>
          </cell>
          <cell r="I522" t="str">
            <v/>
          </cell>
          <cell r="J522" t="str">
            <v>M01</v>
          </cell>
          <cell r="K522" t="str">
            <v/>
          </cell>
          <cell r="L522">
            <v>0</v>
          </cell>
          <cell r="M522">
            <v>540</v>
          </cell>
          <cell r="N522" t="str">
            <v>A</v>
          </cell>
          <cell r="O522">
            <v>42509</v>
          </cell>
          <cell r="P522" t="str">
            <v xml:space="preserve">    5</v>
          </cell>
          <cell r="Q522">
            <v>0</v>
          </cell>
          <cell r="R522">
            <v>0</v>
          </cell>
          <cell r="S522">
            <v>1171</v>
          </cell>
          <cell r="T522">
            <v>15745</v>
          </cell>
          <cell r="U522">
            <v>0</v>
          </cell>
          <cell r="V522" t="str">
            <v>FRACC. EL TREBOL</v>
          </cell>
          <cell r="W522" t="str">
            <v>(55) 5876-4030</v>
          </cell>
          <cell r="X522" t="str">
            <v/>
          </cell>
        </row>
        <row r="523">
          <cell r="A523">
            <v>2424</v>
          </cell>
          <cell r="B523" t="str">
            <v>ANA LILIA RAZZO GONZALEZ (VILLA)</v>
          </cell>
          <cell r="C523" t="str">
            <v/>
          </cell>
          <cell r="D523" t="str">
            <v>BLVD. COACALCO #181</v>
          </cell>
          <cell r="E523" t="str">
            <v>COACALCO, EDO. DE MEXICO</v>
          </cell>
          <cell r="F523" t="str">
            <v/>
          </cell>
          <cell r="G523" t="str">
            <v>(55) 5419-3779</v>
          </cell>
          <cell r="H523" t="str">
            <v/>
          </cell>
          <cell r="I523" t="str">
            <v/>
          </cell>
          <cell r="J523" t="str">
            <v>M01</v>
          </cell>
          <cell r="K523" t="str">
            <v/>
          </cell>
          <cell r="L523">
            <v>0</v>
          </cell>
          <cell r="M523">
            <v>541</v>
          </cell>
          <cell r="N523" t="str">
            <v>A</v>
          </cell>
          <cell r="O523">
            <v>42404</v>
          </cell>
          <cell r="P523" t="str">
            <v xml:space="preserve">    5</v>
          </cell>
          <cell r="Q523">
            <v>0</v>
          </cell>
          <cell r="R523">
            <v>0</v>
          </cell>
          <cell r="S523">
            <v>0</v>
          </cell>
          <cell r="T523">
            <v>1243</v>
          </cell>
          <cell r="U523">
            <v>0</v>
          </cell>
          <cell r="V523" t="str">
            <v>VILLA DE LAS FLORES</v>
          </cell>
          <cell r="W523" t="str">
            <v/>
          </cell>
          <cell r="X523" t="str">
            <v/>
          </cell>
        </row>
        <row r="524">
          <cell r="A524">
            <v>2425</v>
          </cell>
          <cell r="B524" t="str">
            <v>ADRIANA PEREZ LORA (TULTEPEC)</v>
          </cell>
          <cell r="C524" t="str">
            <v/>
          </cell>
          <cell r="D524" t="str">
            <v>AV. DE LAS ROSAS LOCAL 2</v>
          </cell>
          <cell r="E524" t="str">
            <v>TULTEPEC, EDO. DE MEXICO</v>
          </cell>
          <cell r="F524" t="str">
            <v/>
          </cell>
          <cell r="G524" t="str">
            <v>(55) 4887-2650</v>
          </cell>
          <cell r="H524" t="str">
            <v/>
          </cell>
          <cell r="I524" t="str">
            <v/>
          </cell>
          <cell r="J524" t="str">
            <v>M01</v>
          </cell>
          <cell r="K524" t="str">
            <v/>
          </cell>
          <cell r="L524">
            <v>0</v>
          </cell>
          <cell r="M524">
            <v>542</v>
          </cell>
          <cell r="N524" t="str">
            <v>A</v>
          </cell>
          <cell r="O524">
            <v>42375</v>
          </cell>
          <cell r="P524" t="str">
            <v xml:space="preserve">    5</v>
          </cell>
          <cell r="Q524">
            <v>0</v>
          </cell>
          <cell r="R524">
            <v>0</v>
          </cell>
          <cell r="S524">
            <v>0</v>
          </cell>
          <cell r="T524">
            <v>961</v>
          </cell>
          <cell r="U524">
            <v>0</v>
          </cell>
          <cell r="V524" t="str">
            <v>REAL DE TULTEPEC</v>
          </cell>
          <cell r="W524" t="str">
            <v/>
          </cell>
          <cell r="X524" t="str">
            <v/>
          </cell>
        </row>
        <row r="525">
          <cell r="A525">
            <v>2426</v>
          </cell>
          <cell r="B525" t="str">
            <v>LA CASA DE MICKEY (QUERETARO)</v>
          </cell>
          <cell r="C525" t="str">
            <v/>
          </cell>
          <cell r="D525" t="str">
            <v>AMSTERDAM #185 INT.1</v>
          </cell>
          <cell r="E525" t="str">
            <v>QUERETARO, QRO.</v>
          </cell>
          <cell r="F525" t="str">
            <v/>
          </cell>
          <cell r="G525" t="str">
            <v>(442) 388-2650 LOCAL</v>
          </cell>
          <cell r="H525" t="str">
            <v/>
          </cell>
          <cell r="I525" t="str">
            <v/>
          </cell>
          <cell r="J525" t="str">
            <v>L04P</v>
          </cell>
          <cell r="K525" t="str">
            <v/>
          </cell>
          <cell r="L525">
            <v>0</v>
          </cell>
          <cell r="M525">
            <v>543</v>
          </cell>
          <cell r="N525" t="str">
            <v>A</v>
          </cell>
          <cell r="O525">
            <v>42419</v>
          </cell>
          <cell r="P525" t="str">
            <v xml:space="preserve">   97</v>
          </cell>
          <cell r="Q525">
            <v>0</v>
          </cell>
          <cell r="R525">
            <v>0</v>
          </cell>
          <cell r="S525">
            <v>4400</v>
          </cell>
          <cell r="T525">
            <v>22034</v>
          </cell>
          <cell r="U525">
            <v>0</v>
          </cell>
          <cell r="V525" t="str">
            <v>TEJEDA</v>
          </cell>
          <cell r="W525" t="str">
            <v/>
          </cell>
          <cell r="X525" t="str">
            <v/>
          </cell>
        </row>
        <row r="526">
          <cell r="A526">
            <v>2427</v>
          </cell>
          <cell r="B526" t="str">
            <v>ADRIANA DIAZ BARRIGA (COACALCO)</v>
          </cell>
          <cell r="C526" t="str">
            <v/>
          </cell>
          <cell r="D526" t="str">
            <v>16 DE SEPTIEMBRE #14</v>
          </cell>
          <cell r="E526" t="str">
            <v>COACALCO, EDO. DE MEXICO</v>
          </cell>
          <cell r="F526" t="str">
            <v/>
          </cell>
          <cell r="G526" t="str">
            <v/>
          </cell>
          <cell r="H526" t="str">
            <v/>
          </cell>
          <cell r="I526" t="str">
            <v/>
          </cell>
          <cell r="J526" t="str">
            <v>M01</v>
          </cell>
          <cell r="K526" t="str">
            <v/>
          </cell>
          <cell r="L526">
            <v>0</v>
          </cell>
          <cell r="M526">
            <v>544</v>
          </cell>
          <cell r="N526" t="str">
            <v>A</v>
          </cell>
          <cell r="O526">
            <v>42387</v>
          </cell>
          <cell r="P526" t="str">
            <v xml:space="preserve">    5</v>
          </cell>
          <cell r="Q526">
            <v>0</v>
          </cell>
          <cell r="R526">
            <v>0</v>
          </cell>
          <cell r="S526">
            <v>0</v>
          </cell>
          <cell r="T526">
            <v>3661</v>
          </cell>
          <cell r="U526">
            <v>0</v>
          </cell>
          <cell r="V526" t="str">
            <v>CENTRO</v>
          </cell>
          <cell r="W526" t="str">
            <v/>
          </cell>
          <cell r="X526" t="str">
            <v/>
          </cell>
        </row>
        <row r="527">
          <cell r="A527">
            <v>2428</v>
          </cell>
          <cell r="B527" t="str">
            <v>MAURO RAMIREZ MARTINEZ (TLAHUELILPAN)</v>
          </cell>
          <cell r="C527" t="str">
            <v/>
          </cell>
          <cell r="D527" t="str">
            <v>NICOLAS BRAVO #16</v>
          </cell>
          <cell r="E527" t="str">
            <v>TLAHUELILPAN, HGO.</v>
          </cell>
          <cell r="F527" t="str">
            <v/>
          </cell>
          <cell r="G527" t="str">
            <v>(55) 4808-478</v>
          </cell>
          <cell r="H527" t="str">
            <v/>
          </cell>
          <cell r="I527" t="str">
            <v/>
          </cell>
          <cell r="J527" t="str">
            <v>M02</v>
          </cell>
          <cell r="K527" t="str">
            <v/>
          </cell>
          <cell r="L527">
            <v>0</v>
          </cell>
          <cell r="M527">
            <v>545</v>
          </cell>
          <cell r="N527" t="str">
            <v>A</v>
          </cell>
          <cell r="O527">
            <v>42410</v>
          </cell>
          <cell r="P527" t="str">
            <v xml:space="preserve">    5</v>
          </cell>
          <cell r="Q527">
            <v>0</v>
          </cell>
          <cell r="R527">
            <v>0</v>
          </cell>
          <cell r="S527">
            <v>0</v>
          </cell>
          <cell r="T527">
            <v>2679</v>
          </cell>
          <cell r="U527">
            <v>0</v>
          </cell>
          <cell r="V527" t="str">
            <v/>
          </cell>
          <cell r="W527" t="str">
            <v/>
          </cell>
          <cell r="X527" t="str">
            <v/>
          </cell>
        </row>
        <row r="528">
          <cell r="A528">
            <v>2438</v>
          </cell>
          <cell r="B528" t="str">
            <v>LETICIA GONZALEZ CRUZ (TEZONTEPEC)</v>
          </cell>
          <cell r="C528" t="str">
            <v/>
          </cell>
          <cell r="D528" t="str">
            <v>JUAN ALDAMA S/N</v>
          </cell>
          <cell r="E528" t="str">
            <v>TEZONTEPEC, HGO.</v>
          </cell>
          <cell r="F528" t="str">
            <v/>
          </cell>
          <cell r="H528" t="str">
            <v/>
          </cell>
          <cell r="I528" t="str">
            <v/>
          </cell>
          <cell r="J528" t="str">
            <v>F02</v>
          </cell>
          <cell r="K528" t="str">
            <v/>
          </cell>
          <cell r="L528">
            <v>0</v>
          </cell>
          <cell r="M528">
            <v>556</v>
          </cell>
          <cell r="N528" t="str">
            <v>A</v>
          </cell>
          <cell r="O528">
            <v>42454</v>
          </cell>
          <cell r="P528" t="str">
            <v xml:space="preserve">    1</v>
          </cell>
          <cell r="Q528">
            <v>0</v>
          </cell>
          <cell r="R528">
            <v>0</v>
          </cell>
          <cell r="S528">
            <v>0</v>
          </cell>
          <cell r="T528">
            <v>700</v>
          </cell>
          <cell r="U528">
            <v>0</v>
          </cell>
          <cell r="V528" t="str">
            <v>CENTRO</v>
          </cell>
          <cell r="W528" t="str">
            <v/>
          </cell>
          <cell r="X528" t="str">
            <v/>
          </cell>
        </row>
        <row r="529">
          <cell r="A529">
            <v>2430</v>
          </cell>
          <cell r="B529" t="str">
            <v>MARIA CONCEPCION BARCENAS RAMIREZ (QRO)</v>
          </cell>
          <cell r="C529" t="str">
            <v/>
          </cell>
          <cell r="D529" t="str">
            <v>PRIV. DOROTEO ARANGO #2</v>
          </cell>
          <cell r="E529" t="str">
            <v>QUERETARO, QRO.</v>
          </cell>
          <cell r="F529" t="str">
            <v/>
          </cell>
          <cell r="G529" t="str">
            <v>(442) 235-0353 CASA</v>
          </cell>
          <cell r="H529" t="str">
            <v/>
          </cell>
          <cell r="I529" t="str">
            <v/>
          </cell>
          <cell r="J529" t="str">
            <v>L04P</v>
          </cell>
          <cell r="K529" t="str">
            <v/>
          </cell>
          <cell r="L529">
            <v>0</v>
          </cell>
          <cell r="M529">
            <v>547</v>
          </cell>
          <cell r="N529" t="str">
            <v>A</v>
          </cell>
          <cell r="P529" t="str">
            <v xml:space="preserve">   97</v>
          </cell>
          <cell r="Q529">
            <v>0</v>
          </cell>
          <cell r="R529">
            <v>0</v>
          </cell>
          <cell r="S529">
            <v>0</v>
          </cell>
          <cell r="T529">
            <v>0</v>
          </cell>
          <cell r="U529">
            <v>0</v>
          </cell>
          <cell r="V529" t="str">
            <v>SAN FCO DE LA PALMA</v>
          </cell>
          <cell r="W529" t="str">
            <v>(442) 121-2642 CEL</v>
          </cell>
          <cell r="X529" t="str">
            <v/>
          </cell>
        </row>
        <row r="530">
          <cell r="A530">
            <v>2431</v>
          </cell>
          <cell r="B530" t="str">
            <v>GIZEL ZATRATE HERNANDEZ (COACALCO)</v>
          </cell>
          <cell r="C530" t="str">
            <v/>
          </cell>
          <cell r="D530" t="str">
            <v>SERBALES #</v>
          </cell>
          <cell r="E530" t="str">
            <v>COACALCO, EDO. DE MEXICO</v>
          </cell>
          <cell r="F530" t="str">
            <v/>
          </cell>
          <cell r="G530" t="str">
            <v>(55) 6931-0751</v>
          </cell>
          <cell r="H530" t="str">
            <v/>
          </cell>
          <cell r="I530" t="str">
            <v/>
          </cell>
          <cell r="J530" t="str">
            <v>M01</v>
          </cell>
          <cell r="K530" t="str">
            <v/>
          </cell>
          <cell r="L530">
            <v>0</v>
          </cell>
          <cell r="M530">
            <v>548</v>
          </cell>
          <cell r="N530" t="str">
            <v>A</v>
          </cell>
          <cell r="O530">
            <v>42433</v>
          </cell>
          <cell r="P530" t="str">
            <v xml:space="preserve">    5</v>
          </cell>
          <cell r="Q530">
            <v>0</v>
          </cell>
          <cell r="R530">
            <v>0</v>
          </cell>
          <cell r="S530">
            <v>0</v>
          </cell>
          <cell r="T530">
            <v>2500</v>
          </cell>
          <cell r="U530">
            <v>0</v>
          </cell>
          <cell r="V530" t="str">
            <v>VILLA DE LAS FLORES</v>
          </cell>
          <cell r="W530" t="str">
            <v/>
          </cell>
          <cell r="X530" t="str">
            <v/>
          </cell>
        </row>
        <row r="531">
          <cell r="A531">
            <v>2432</v>
          </cell>
          <cell r="B531" t="str">
            <v>MA. ESPERANZA VILLA CAÑA (ACAMBARO)</v>
          </cell>
          <cell r="C531" t="str">
            <v/>
          </cell>
          <cell r="D531" t="str">
            <v>HIDALGO #307-A</v>
          </cell>
          <cell r="E531" t="str">
            <v>ACAMBARO, GTO.</v>
          </cell>
          <cell r="F531" t="str">
            <v/>
          </cell>
          <cell r="G531" t="str">
            <v>(417) 172-1443 LOCAL</v>
          </cell>
          <cell r="H531" t="str">
            <v/>
          </cell>
          <cell r="I531" t="str">
            <v/>
          </cell>
          <cell r="J531" t="str">
            <v>J06P</v>
          </cell>
          <cell r="K531" t="str">
            <v/>
          </cell>
          <cell r="L531">
            <v>0</v>
          </cell>
          <cell r="M531">
            <v>550</v>
          </cell>
          <cell r="N531" t="str">
            <v>A</v>
          </cell>
          <cell r="O531">
            <v>42410</v>
          </cell>
          <cell r="P531" t="str">
            <v xml:space="preserve">    2</v>
          </cell>
          <cell r="Q531">
            <v>0</v>
          </cell>
          <cell r="R531">
            <v>0</v>
          </cell>
          <cell r="S531">
            <v>0</v>
          </cell>
          <cell r="T531">
            <v>1755</v>
          </cell>
          <cell r="U531">
            <v>0</v>
          </cell>
          <cell r="V531" t="str">
            <v>CENTRO</v>
          </cell>
          <cell r="W531" t="str">
            <v/>
          </cell>
          <cell r="X531" t="str">
            <v/>
          </cell>
        </row>
        <row r="532">
          <cell r="A532">
            <v>2433</v>
          </cell>
          <cell r="B532" t="str">
            <v>TIENDA DE REGALOS "DETALLES" (ACAMBARO)</v>
          </cell>
          <cell r="C532" t="str">
            <v>MOAM710706LW6</v>
          </cell>
          <cell r="D532" t="str">
            <v>MORELOS #295</v>
          </cell>
          <cell r="E532" t="str">
            <v>ACAMBARO, GTO.</v>
          </cell>
          <cell r="F532" t="str">
            <v/>
          </cell>
          <cell r="G532" t="str">
            <v>(417) 160-1278 LOCAL</v>
          </cell>
          <cell r="H532" t="str">
            <v>MARIBEL MONTOYA</v>
          </cell>
          <cell r="J532" t="str">
            <v>J06P</v>
          </cell>
          <cell r="K532" t="str">
            <v/>
          </cell>
          <cell r="L532">
            <v>0</v>
          </cell>
          <cell r="M532">
            <v>551</v>
          </cell>
          <cell r="N532" t="str">
            <v>A</v>
          </cell>
          <cell r="O532">
            <v>42406</v>
          </cell>
          <cell r="P532" t="str">
            <v xml:space="preserve">    2</v>
          </cell>
          <cell r="Q532">
            <v>0</v>
          </cell>
          <cell r="R532">
            <v>0</v>
          </cell>
          <cell r="S532">
            <v>0</v>
          </cell>
          <cell r="T532">
            <v>382</v>
          </cell>
          <cell r="U532">
            <v>0</v>
          </cell>
          <cell r="V532" t="str">
            <v>CENTRO</v>
          </cell>
          <cell r="W532" t="str">
            <v>(417) 120-1505 CEL</v>
          </cell>
          <cell r="X532" t="str">
            <v>mcv127@hotmail.com</v>
          </cell>
        </row>
        <row r="533">
          <cell r="A533">
            <v>2434</v>
          </cell>
          <cell r="B533" t="str">
            <v>MA. CONCEPCION BARCENAS RAMIREZ (QUERETARO)</v>
          </cell>
          <cell r="C533" t="str">
            <v/>
          </cell>
          <cell r="D533" t="str">
            <v>PRIV. DOROTEO ARANGO #2</v>
          </cell>
          <cell r="E533" t="str">
            <v>QUERETARO, QRO.</v>
          </cell>
          <cell r="F533" t="str">
            <v>76229</v>
          </cell>
          <cell r="G533" t="str">
            <v>(442) 235-0353</v>
          </cell>
          <cell r="H533" t="str">
            <v/>
          </cell>
          <cell r="I533" t="str">
            <v/>
          </cell>
          <cell r="J533" t="str">
            <v>L04P</v>
          </cell>
          <cell r="K533" t="str">
            <v/>
          </cell>
          <cell r="L533">
            <v>0</v>
          </cell>
          <cell r="M533">
            <v>552</v>
          </cell>
          <cell r="N533" t="str">
            <v>A</v>
          </cell>
          <cell r="O533">
            <v>42406</v>
          </cell>
          <cell r="P533" t="str">
            <v xml:space="preserve">   97</v>
          </cell>
          <cell r="Q533">
            <v>0</v>
          </cell>
          <cell r="R533">
            <v>0</v>
          </cell>
          <cell r="S533">
            <v>0</v>
          </cell>
          <cell r="T533">
            <v>6187</v>
          </cell>
          <cell r="U533">
            <v>0</v>
          </cell>
          <cell r="V533" t="str">
            <v>SAN FCO. DE LA PALMA</v>
          </cell>
          <cell r="W533" t="str">
            <v>(442) 121-2642 CEL</v>
          </cell>
          <cell r="X533" t="str">
            <v/>
          </cell>
        </row>
        <row r="534">
          <cell r="A534">
            <v>2435</v>
          </cell>
          <cell r="B534" t="str">
            <v>MATILDE RESENDIZ (SAN JUAN)</v>
          </cell>
          <cell r="C534" t="str">
            <v/>
          </cell>
          <cell r="D534" t="str">
            <v>MIJAEL BORBACHOV #85</v>
          </cell>
          <cell r="E534" t="str">
            <v>SAN JUAN DEL RIO, QRO.</v>
          </cell>
          <cell r="F534" t="str">
            <v/>
          </cell>
          <cell r="G534" t="str">
            <v>(427) 108-1025 CEL</v>
          </cell>
          <cell r="H534" t="str">
            <v/>
          </cell>
          <cell r="I534" t="str">
            <v/>
          </cell>
          <cell r="J534" t="str">
            <v>L01P</v>
          </cell>
          <cell r="K534" t="str">
            <v/>
          </cell>
          <cell r="L534">
            <v>0</v>
          </cell>
          <cell r="M534">
            <v>553</v>
          </cell>
          <cell r="N534" t="str">
            <v>A</v>
          </cell>
          <cell r="O534">
            <v>42409</v>
          </cell>
          <cell r="P534" t="str">
            <v xml:space="preserve">   97</v>
          </cell>
          <cell r="Q534">
            <v>0</v>
          </cell>
          <cell r="R534">
            <v>0</v>
          </cell>
          <cell r="S534">
            <v>186</v>
          </cell>
          <cell r="T534">
            <v>1377</v>
          </cell>
          <cell r="U534">
            <v>0</v>
          </cell>
          <cell r="V534" t="str">
            <v>LA PAZ</v>
          </cell>
          <cell r="W534" t="str">
            <v/>
          </cell>
          <cell r="X534" t="str">
            <v/>
          </cell>
        </row>
        <row r="535">
          <cell r="A535">
            <v>2436</v>
          </cell>
          <cell r="B535" t="str">
            <v>BERTHA MARIA YEPEZ LOPEZ (YURIRIA)</v>
          </cell>
          <cell r="C535" t="str">
            <v/>
          </cell>
          <cell r="D535" t="str">
            <v>MORELOS #75</v>
          </cell>
          <cell r="E535" t="str">
            <v>YURIRIA, GTO.</v>
          </cell>
          <cell r="F535" t="str">
            <v/>
          </cell>
          <cell r="G535" t="str">
            <v/>
          </cell>
          <cell r="H535" t="str">
            <v/>
          </cell>
          <cell r="I535" t="str">
            <v/>
          </cell>
          <cell r="J535" t="str">
            <v>J06</v>
          </cell>
          <cell r="K535" t="str">
            <v/>
          </cell>
          <cell r="L535">
            <v>0</v>
          </cell>
          <cell r="M535">
            <v>554</v>
          </cell>
          <cell r="N535" t="str">
            <v>A</v>
          </cell>
          <cell r="O535">
            <v>42426</v>
          </cell>
          <cell r="P535" t="str">
            <v xml:space="preserve">    2</v>
          </cell>
          <cell r="Q535">
            <v>0</v>
          </cell>
          <cell r="R535">
            <v>0</v>
          </cell>
          <cell r="S535">
            <v>0</v>
          </cell>
          <cell r="T535">
            <v>1941</v>
          </cell>
          <cell r="U535">
            <v>0</v>
          </cell>
          <cell r="V535" t="str">
            <v>CENTRO</v>
          </cell>
          <cell r="W535" t="str">
            <v/>
          </cell>
          <cell r="X535" t="str">
            <v/>
          </cell>
        </row>
        <row r="536">
          <cell r="A536">
            <v>2437</v>
          </cell>
          <cell r="B536" t="str">
            <v>MANINALY GARCIA ANGELES (TEZONTEPEC)</v>
          </cell>
          <cell r="C536" t="str">
            <v/>
          </cell>
          <cell r="D536" t="str">
            <v>AV. JUAN ALDAMA</v>
          </cell>
          <cell r="E536" t="str">
            <v>TEZONTEPEC, HGO.</v>
          </cell>
          <cell r="F536" t="str">
            <v/>
          </cell>
          <cell r="G536" t="str">
            <v>(55) 6074-5495</v>
          </cell>
          <cell r="H536" t="str">
            <v/>
          </cell>
          <cell r="I536" t="str">
            <v/>
          </cell>
          <cell r="J536" t="str">
            <v>F02</v>
          </cell>
          <cell r="K536" t="str">
            <v/>
          </cell>
          <cell r="L536">
            <v>0</v>
          </cell>
          <cell r="M536">
            <v>555</v>
          </cell>
          <cell r="N536" t="str">
            <v>A</v>
          </cell>
          <cell r="O536">
            <v>42429</v>
          </cell>
          <cell r="P536" t="str">
            <v xml:space="preserve">    1</v>
          </cell>
          <cell r="Q536">
            <v>0</v>
          </cell>
          <cell r="R536">
            <v>0</v>
          </cell>
          <cell r="S536">
            <v>0</v>
          </cell>
          <cell r="T536">
            <v>2046</v>
          </cell>
          <cell r="U536">
            <v>0</v>
          </cell>
          <cell r="V536" t="str">
            <v>CENTRO</v>
          </cell>
          <cell r="W536" t="str">
            <v/>
          </cell>
          <cell r="X536" t="str">
            <v/>
          </cell>
        </row>
        <row r="537">
          <cell r="A537">
            <v>2444</v>
          </cell>
          <cell r="B537" t="str">
            <v>ELVIRA GUERRERO ESPINDOLA (A. EL GRANDE)</v>
          </cell>
          <cell r="C537" t="str">
            <v/>
          </cell>
          <cell r="D537" t="str">
            <v>PIPILA #119-B</v>
          </cell>
          <cell r="E537" t="str">
            <v>APASEO EL GRANDE, GTO.</v>
          </cell>
          <cell r="F537" t="str">
            <v/>
          </cell>
          <cell r="G537" t="str">
            <v>(413) 103-0805 CEL</v>
          </cell>
          <cell r="H537" t="str">
            <v/>
          </cell>
          <cell r="I537" t="str">
            <v/>
          </cell>
          <cell r="J537" t="str">
            <v>F04</v>
          </cell>
          <cell r="K537" t="str">
            <v/>
          </cell>
          <cell r="L537">
            <v>0</v>
          </cell>
          <cell r="M537">
            <v>563</v>
          </cell>
          <cell r="N537" t="str">
            <v>A</v>
          </cell>
          <cell r="O537">
            <v>42518</v>
          </cell>
          <cell r="P537" t="str">
            <v xml:space="preserve">    1</v>
          </cell>
          <cell r="Q537">
            <v>0</v>
          </cell>
          <cell r="R537">
            <v>0</v>
          </cell>
          <cell r="S537">
            <v>2415</v>
          </cell>
          <cell r="T537">
            <v>3315</v>
          </cell>
          <cell r="U537">
            <v>0</v>
          </cell>
          <cell r="V537" t="str">
            <v>CENTRO</v>
          </cell>
          <cell r="W537" t="str">
            <v/>
          </cell>
          <cell r="X537" t="str">
            <v/>
          </cell>
        </row>
        <row r="538">
          <cell r="A538">
            <v>2439</v>
          </cell>
          <cell r="B538" t="str">
            <v>CHRISTIAN RESENDIS DIAZ</v>
          </cell>
          <cell r="C538" t="str">
            <v/>
          </cell>
          <cell r="D538" t="str">
            <v/>
          </cell>
          <cell r="E538" t="str">
            <v>ACTOPAN, HGO.</v>
          </cell>
          <cell r="F538" t="str">
            <v/>
          </cell>
          <cell r="G538" t="str">
            <v>(772) 120-7677</v>
          </cell>
          <cell r="H538" t="str">
            <v/>
          </cell>
          <cell r="I538" t="str">
            <v/>
          </cell>
          <cell r="J538" t="str">
            <v>F02</v>
          </cell>
          <cell r="K538" t="str">
            <v/>
          </cell>
          <cell r="L538">
            <v>0</v>
          </cell>
          <cell r="M538">
            <v>558</v>
          </cell>
          <cell r="N538" t="str">
            <v>A</v>
          </cell>
          <cell r="P538" t="str">
            <v xml:space="preserve">    1</v>
          </cell>
          <cell r="Q538">
            <v>0</v>
          </cell>
          <cell r="R538">
            <v>0</v>
          </cell>
          <cell r="S538">
            <v>0</v>
          </cell>
          <cell r="T538">
            <v>0</v>
          </cell>
          <cell r="U538">
            <v>0</v>
          </cell>
          <cell r="V538" t="str">
            <v>CENTRO</v>
          </cell>
          <cell r="W538" t="str">
            <v/>
          </cell>
          <cell r="X538" t="str">
            <v/>
          </cell>
        </row>
        <row r="539">
          <cell r="A539">
            <v>2440</v>
          </cell>
          <cell r="B539" t="str">
            <v>LUZ MARIA FLORES (ATLACOMULCO)</v>
          </cell>
          <cell r="C539" t="str">
            <v/>
          </cell>
          <cell r="D539" t="str">
            <v/>
          </cell>
          <cell r="E539" t="str">
            <v>ATLACOMULCO, EDO. DE MEXICO</v>
          </cell>
          <cell r="F539" t="str">
            <v/>
          </cell>
          <cell r="G539" t="str">
            <v/>
          </cell>
          <cell r="H539" t="str">
            <v/>
          </cell>
          <cell r="I539" t="str">
            <v/>
          </cell>
          <cell r="J539" t="str">
            <v>L08</v>
          </cell>
          <cell r="K539" t="str">
            <v/>
          </cell>
          <cell r="L539">
            <v>0</v>
          </cell>
          <cell r="M539">
            <v>559</v>
          </cell>
          <cell r="N539" t="str">
            <v>A</v>
          </cell>
          <cell r="O539">
            <v>42485</v>
          </cell>
          <cell r="P539" t="str">
            <v xml:space="preserve">   97</v>
          </cell>
          <cell r="Q539">
            <v>0</v>
          </cell>
          <cell r="R539">
            <v>0</v>
          </cell>
          <cell r="S539">
            <v>0</v>
          </cell>
          <cell r="T539">
            <v>545</v>
          </cell>
          <cell r="U539">
            <v>0</v>
          </cell>
          <cell r="V539" t="str">
            <v/>
          </cell>
          <cell r="W539" t="str">
            <v/>
          </cell>
          <cell r="X539" t="str">
            <v/>
          </cell>
        </row>
        <row r="540">
          <cell r="A540">
            <v>2441</v>
          </cell>
          <cell r="B540" t="str">
            <v>PATRICIA BARCA HERNANDEZ (MIXQUIAHUALA)</v>
          </cell>
          <cell r="C540" t="str">
            <v/>
          </cell>
          <cell r="D540" t="str">
            <v>MELCHOR OCAMPO #15</v>
          </cell>
          <cell r="E540" t="str">
            <v>MIXQUIAHUALA, HGO.</v>
          </cell>
          <cell r="F540" t="str">
            <v/>
          </cell>
          <cell r="G540" t="str">
            <v>(55) 2971-4139</v>
          </cell>
          <cell r="H540" t="str">
            <v/>
          </cell>
          <cell r="I540" t="str">
            <v/>
          </cell>
          <cell r="J540" t="str">
            <v>F02</v>
          </cell>
          <cell r="K540" t="str">
            <v/>
          </cell>
          <cell r="L540">
            <v>0</v>
          </cell>
          <cell r="M540">
            <v>560</v>
          </cell>
          <cell r="N540" t="str">
            <v>A</v>
          </cell>
          <cell r="O540">
            <v>42495</v>
          </cell>
          <cell r="P540" t="str">
            <v xml:space="preserve">    1</v>
          </cell>
          <cell r="Q540">
            <v>0</v>
          </cell>
          <cell r="R540">
            <v>0</v>
          </cell>
          <cell r="S540">
            <v>0</v>
          </cell>
          <cell r="T540">
            <v>1724</v>
          </cell>
          <cell r="U540">
            <v>0</v>
          </cell>
          <cell r="V540" t="str">
            <v>CENTRO</v>
          </cell>
          <cell r="W540" t="str">
            <v/>
          </cell>
          <cell r="X540" t="str">
            <v/>
          </cell>
        </row>
        <row r="541">
          <cell r="A541">
            <v>2442</v>
          </cell>
          <cell r="B541" t="str">
            <v>JUANITA PEREZ FUENTES (TULA)</v>
          </cell>
          <cell r="C541" t="str">
            <v/>
          </cell>
          <cell r="D541" t="str">
            <v>MANUEL ROJO DEL RIO #3 LOC. A</v>
          </cell>
          <cell r="E541" t="str">
            <v>TULA, HGO.</v>
          </cell>
          <cell r="F541" t="str">
            <v/>
          </cell>
          <cell r="G541" t="str">
            <v>(773) 731-120-137</v>
          </cell>
          <cell r="H541" t="str">
            <v/>
          </cell>
          <cell r="I541" t="str">
            <v/>
          </cell>
          <cell r="J541" t="str">
            <v>F02</v>
          </cell>
          <cell r="K541" t="str">
            <v/>
          </cell>
          <cell r="L541">
            <v>0</v>
          </cell>
          <cell r="M541">
            <v>561</v>
          </cell>
          <cell r="N541" t="str">
            <v>A</v>
          </cell>
          <cell r="O541">
            <v>42511</v>
          </cell>
          <cell r="P541" t="str">
            <v xml:space="preserve">    1</v>
          </cell>
          <cell r="Q541">
            <v>0</v>
          </cell>
          <cell r="R541">
            <v>0</v>
          </cell>
          <cell r="S541">
            <v>0</v>
          </cell>
          <cell r="T541">
            <v>3676</v>
          </cell>
          <cell r="U541">
            <v>0</v>
          </cell>
          <cell r="V541" t="str">
            <v>CENTRO</v>
          </cell>
          <cell r="W541" t="str">
            <v/>
          </cell>
          <cell r="X541" t="str">
            <v/>
          </cell>
        </row>
        <row r="542">
          <cell r="A542">
            <v>2443</v>
          </cell>
          <cell r="B542" t="str">
            <v>CHRISTIAN MIGUEL RESENDIZ DIAZ (ACTOPAN)</v>
          </cell>
          <cell r="C542" t="str">
            <v/>
          </cell>
          <cell r="D542" t="str">
            <v/>
          </cell>
          <cell r="E542" t="str">
            <v>ACTOPAN, HGO.</v>
          </cell>
          <cell r="F542" t="str">
            <v/>
          </cell>
          <cell r="G542" t="str">
            <v/>
          </cell>
          <cell r="H542" t="str">
            <v/>
          </cell>
          <cell r="I542" t="str">
            <v/>
          </cell>
          <cell r="J542" t="str">
            <v>F02</v>
          </cell>
          <cell r="K542" t="str">
            <v/>
          </cell>
          <cell r="L542">
            <v>0</v>
          </cell>
          <cell r="M542">
            <v>562</v>
          </cell>
          <cell r="N542" t="str">
            <v>A</v>
          </cell>
          <cell r="O542">
            <v>42511</v>
          </cell>
          <cell r="P542" t="str">
            <v xml:space="preserve">    1</v>
          </cell>
          <cell r="Q542">
            <v>0</v>
          </cell>
          <cell r="R542">
            <v>0</v>
          </cell>
          <cell r="S542">
            <v>1932</v>
          </cell>
          <cell r="T542">
            <v>4932</v>
          </cell>
          <cell r="U542">
            <v>0</v>
          </cell>
          <cell r="V542" t="str">
            <v/>
          </cell>
          <cell r="W542" t="str">
            <v/>
          </cell>
          <cell r="X542" t="str">
            <v/>
          </cell>
        </row>
        <row r="543">
          <cell r="A543">
            <v>2358</v>
          </cell>
          <cell r="B543" t="str">
            <v>MARGARITA MONTIEL MENDOZA (SALAMANCA)</v>
          </cell>
          <cell r="C543" t="str">
            <v/>
          </cell>
          <cell r="D543" t="str">
            <v>TENIXTEPEC #208A</v>
          </cell>
          <cell r="E543" t="str">
            <v>SALAMANCA, GTO.</v>
          </cell>
          <cell r="F543" t="str">
            <v/>
          </cell>
          <cell r="G543" t="str">
            <v>(464) 639-5119</v>
          </cell>
          <cell r="H543" t="str">
            <v>MARGARITA MONTIEL M.</v>
          </cell>
          <cell r="I543" t="str">
            <v>MARGARITA MONTIEL M.</v>
          </cell>
          <cell r="J543" t="str">
            <v>F04P</v>
          </cell>
          <cell r="K543" t="str">
            <v/>
          </cell>
          <cell r="L543">
            <v>0</v>
          </cell>
          <cell r="M543">
            <v>471</v>
          </cell>
          <cell r="N543" t="str">
            <v>A</v>
          </cell>
          <cell r="O543">
            <v>41902</v>
          </cell>
          <cell r="P543" t="str">
            <v xml:space="preserve">    1</v>
          </cell>
          <cell r="Q543">
            <v>0</v>
          </cell>
          <cell r="R543">
            <v>0</v>
          </cell>
          <cell r="S543">
            <v>0</v>
          </cell>
          <cell r="T543">
            <v>1808</v>
          </cell>
          <cell r="U543">
            <v>0</v>
          </cell>
          <cell r="V543" t="str">
            <v>BELLA VISTA</v>
          </cell>
          <cell r="W543" t="str">
            <v/>
          </cell>
          <cell r="X543" t="str">
            <v/>
          </cell>
        </row>
        <row r="544">
          <cell r="A544">
            <v>2445</v>
          </cell>
          <cell r="B544" t="str">
            <v xml:space="preserve">BRENDA ESCOBAR LOPEZ (TOLUCA)                               </v>
          </cell>
          <cell r="C544" t="str">
            <v/>
          </cell>
          <cell r="D544" t="str">
            <v xml:space="preserve">16 DE SEPTIEMBRE #200                   </v>
          </cell>
          <cell r="E544" t="str">
            <v xml:space="preserve">TOLUCA, EDO. DE MEXICO        </v>
          </cell>
          <cell r="F544" t="str">
            <v/>
          </cell>
          <cell r="H544" t="str">
            <v/>
          </cell>
          <cell r="I544" t="str">
            <v/>
          </cell>
          <cell r="J544" t="str">
            <v>L08</v>
          </cell>
          <cell r="K544" t="str">
            <v/>
          </cell>
          <cell r="L544">
            <v>0</v>
          </cell>
          <cell r="M544">
            <v>564</v>
          </cell>
          <cell r="N544" t="str">
            <v>A</v>
          </cell>
          <cell r="O544">
            <v>42516</v>
          </cell>
          <cell r="P544" t="str">
            <v xml:space="preserve">    5</v>
          </cell>
          <cell r="Q544">
            <v>0</v>
          </cell>
          <cell r="R544">
            <v>0</v>
          </cell>
          <cell r="S544">
            <v>3177</v>
          </cell>
          <cell r="T544">
            <v>3177</v>
          </cell>
          <cell r="U544">
            <v>0</v>
          </cell>
          <cell r="V544" t="str">
            <v>CENTRO</v>
          </cell>
          <cell r="W544" t="str">
            <v/>
          </cell>
          <cell r="X544" t="str">
            <v/>
          </cell>
        </row>
        <row r="545">
          <cell r="A545">
            <v>2446</v>
          </cell>
          <cell r="B545" t="str">
            <v>GEORGINA GALVEZ (MIXQUIAHUALA)</v>
          </cell>
          <cell r="C545" t="str">
            <v/>
          </cell>
          <cell r="D545" t="str">
            <v>CORREGIDORA ESQ. 16 DE SEPTIEMBRE</v>
          </cell>
          <cell r="E545" t="str">
            <v>MIXQUIAHUALA, HGO.</v>
          </cell>
          <cell r="F545" t="str">
            <v/>
          </cell>
          <cell r="G545" t="str">
            <v/>
          </cell>
          <cell r="H545" t="str">
            <v/>
          </cell>
          <cell r="I545" t="str">
            <v/>
          </cell>
          <cell r="J545" t="str">
            <v>F02</v>
          </cell>
          <cell r="K545" t="str">
            <v/>
          </cell>
          <cell r="L545">
            <v>0</v>
          </cell>
          <cell r="M545">
            <v>565</v>
          </cell>
          <cell r="N545" t="str">
            <v>A</v>
          </cell>
          <cell r="O545">
            <v>42525</v>
          </cell>
          <cell r="P545" t="str">
            <v xml:space="preserve">    1</v>
          </cell>
          <cell r="Q545">
            <v>0</v>
          </cell>
          <cell r="R545">
            <v>0</v>
          </cell>
          <cell r="S545">
            <v>0</v>
          </cell>
          <cell r="T545">
            <v>867</v>
          </cell>
          <cell r="U545">
            <v>0</v>
          </cell>
          <cell r="V545" t="str">
            <v>CENTRO</v>
          </cell>
          <cell r="W545" t="str">
            <v/>
          </cell>
          <cell r="X545" t="str">
            <v/>
          </cell>
        </row>
        <row r="546">
          <cell r="A546">
            <v>2447</v>
          </cell>
          <cell r="B546" t="str">
            <v>MARCO POLO SALDIVAR (ATLACOMULCO)</v>
          </cell>
          <cell r="E546" t="str">
            <v>ATLACOMULCO, EDO. DE MEXICO</v>
          </cell>
          <cell r="J546" t="str">
            <v>L08</v>
          </cell>
        </row>
        <row r="547">
          <cell r="A547">
            <v>2448</v>
          </cell>
          <cell r="B547" t="str">
            <v>MAYRA GABRIELA TAPIA TRUJILLO (TLAHUELILPAN)</v>
          </cell>
          <cell r="C547" t="str">
            <v/>
          </cell>
          <cell r="D547" t="str">
            <v>NICOLAS BRAVO ESQ. SILVESTRE PADILLA</v>
          </cell>
          <cell r="E547" t="str">
            <v>TLAHUELILPAN, HGO.</v>
          </cell>
          <cell r="F547" t="str">
            <v/>
          </cell>
          <cell r="G547" t="str">
            <v>(763) 786-1237</v>
          </cell>
          <cell r="H547" t="str">
            <v>MAYRA GABRIELA TAPIA</v>
          </cell>
          <cell r="I547" t="str">
            <v>MAYRA GABRIELA TAPIA</v>
          </cell>
          <cell r="J547" t="str">
            <v>M04</v>
          </cell>
          <cell r="K547" t="str">
            <v/>
          </cell>
          <cell r="L547">
            <v>0</v>
          </cell>
          <cell r="M547">
            <v>211</v>
          </cell>
          <cell r="N547" t="str">
            <v>A</v>
          </cell>
          <cell r="O547">
            <v>42525</v>
          </cell>
          <cell r="P547" t="str">
            <v xml:space="preserve">    1</v>
          </cell>
          <cell r="Q547">
            <v>0</v>
          </cell>
          <cell r="R547">
            <v>0</v>
          </cell>
          <cell r="S547">
            <v>71798</v>
          </cell>
          <cell r="T547">
            <v>318258</v>
          </cell>
          <cell r="U547">
            <v>5</v>
          </cell>
          <cell r="V547" t="str">
            <v>CENTRO</v>
          </cell>
          <cell r="W547" t="str">
            <v>(773) 101-7232 CEL</v>
          </cell>
          <cell r="X547" t="str">
            <v/>
          </cell>
        </row>
        <row r="548">
          <cell r="A548">
            <v>2449</v>
          </cell>
          <cell r="B548" t="str">
            <v xml:space="preserve">IVAN OLVERA (SALAMANCA)           </v>
          </cell>
          <cell r="D548" t="str">
            <v xml:space="preserve">TOMASA ESTEBES #108                     </v>
          </cell>
          <cell r="E548" t="str">
            <v xml:space="preserve">SALAMANCA, GTO.               </v>
          </cell>
          <cell r="G548" t="str">
            <v>(464) 125-3549</v>
          </cell>
          <cell r="J548" t="str">
            <v>F04</v>
          </cell>
          <cell r="V548" t="str">
            <v>CENTRO</v>
          </cell>
        </row>
        <row r="549">
          <cell r="A549">
            <v>2450</v>
          </cell>
          <cell r="B549" t="str">
            <v>FABIOLA QUINTANAR (POLOTITLAN)</v>
          </cell>
          <cell r="D549" t="str">
            <v xml:space="preserve">NICOLAS BRAVO #17                       </v>
          </cell>
          <cell r="E549" t="str">
            <v xml:space="preserve">POLOTITLAN, EDO. DE MEXICO    </v>
          </cell>
          <cell r="G549" t="str">
            <v>(427) 272-2544 RAUL</v>
          </cell>
          <cell r="J549" t="str">
            <v>F02</v>
          </cell>
          <cell r="P549">
            <v>1</v>
          </cell>
          <cell r="V549" t="str">
            <v>CENTRO</v>
          </cell>
        </row>
        <row r="550">
          <cell r="A550">
            <v>2451</v>
          </cell>
          <cell r="B550" t="str">
            <v>LORENA MUÑOZ "LUZ MARIAN" (COACALCO)</v>
          </cell>
          <cell r="D550" t="str">
            <v>16 DE SEPTIEMBRE #19</v>
          </cell>
          <cell r="E550" t="str">
            <v>COACALCO, EDO. DE MEXICO</v>
          </cell>
          <cell r="G550" t="str">
            <v>(55) 4420-1976</v>
          </cell>
          <cell r="J550" t="str">
            <v>F02A</v>
          </cell>
          <cell r="V550" t="str">
            <v>CENTRO</v>
          </cell>
        </row>
        <row r="551">
          <cell r="A551">
            <v>2452</v>
          </cell>
          <cell r="B551" t="str">
            <v>LAURA MARGARITA RAMOS MEZA</v>
          </cell>
          <cell r="D551" t="str">
            <v>VERBASCO #104, SOBRE BLVD. VICENTE VALTIERRA</v>
          </cell>
          <cell r="E551" t="str">
            <v>LEON, GTO.</v>
          </cell>
          <cell r="F551" t="str">
            <v>37296</v>
          </cell>
          <cell r="G551" t="str">
            <v>(477) 558-4120</v>
          </cell>
          <cell r="V551" t="str">
            <v>SOBERNA RESIDENCIAL</v>
          </cell>
        </row>
        <row r="552">
          <cell r="A552">
            <v>2453</v>
          </cell>
          <cell r="B552" t="str">
            <v>JUANA SIMON (TEZONTEPEC)</v>
          </cell>
          <cell r="D552" t="str">
            <v>INSURGENTES #1</v>
          </cell>
          <cell r="E552" t="str">
            <v>TEZONTEPEC, HGO.</v>
          </cell>
          <cell r="G552" t="str">
            <v>(763) 737-5022 LOCAL</v>
          </cell>
          <cell r="J552" t="str">
            <v>F02</v>
          </cell>
          <cell r="V552" t="str">
            <v>CENTRO</v>
          </cell>
        </row>
        <row r="553">
          <cell r="A553">
            <v>2454</v>
          </cell>
          <cell r="B553" t="str">
            <v>MARIA EUGENIA CHAVEZ (HUICHAPAN)</v>
          </cell>
          <cell r="D553" t="str">
            <v xml:space="preserve">AV. QUINTA RUEDA S/N                    </v>
          </cell>
          <cell r="E553" t="str">
            <v xml:space="preserve">HUICHAPAN, HGO.               </v>
          </cell>
          <cell r="V553" t="str">
            <v>CENTRO</v>
          </cell>
        </row>
        <row r="554">
          <cell r="A554">
            <v>2455</v>
          </cell>
          <cell r="B554" t="str">
            <v xml:space="preserve">ANTONIO PAMPLONA                                            </v>
          </cell>
          <cell r="D554" t="str">
            <v xml:space="preserve">TODO PARA SU BEBE                       </v>
          </cell>
          <cell r="G554" t="str">
            <v>(55) 3555-2197</v>
          </cell>
          <cell r="J554" t="str">
            <v>F02A</v>
          </cell>
        </row>
        <row r="555">
          <cell r="A555">
            <v>2456</v>
          </cell>
          <cell r="B555" t="str">
            <v>DIANA RAMIREZ (A. EL GRANDE)</v>
          </cell>
          <cell r="E555" t="str">
            <v>APASEO EL GRANDE, GTO.</v>
          </cell>
          <cell r="J555" t="str">
            <v>F04</v>
          </cell>
        </row>
        <row r="556">
          <cell r="A556">
            <v>2457</v>
          </cell>
          <cell r="B556" t="str">
            <v>CECILIA LOPEZ (TLAXCOAPAN)</v>
          </cell>
          <cell r="D556" t="str">
            <v>AV. REFORMA, INT. PLAZA SAN JUAN</v>
          </cell>
          <cell r="E556" t="str">
            <v>TLAXCOAPAN, HGO.</v>
          </cell>
          <cell r="G556" t="str">
            <v>(333) 440-4779</v>
          </cell>
          <cell r="J556" t="str">
            <v>F02B</v>
          </cell>
          <cell r="V556" t="str">
            <v>CENTRO</v>
          </cell>
        </row>
        <row r="557">
          <cell r="A557">
            <v>2458</v>
          </cell>
          <cell r="B557" t="str">
            <v>ADELI CHAVEZ TORREZ (E. MONTES)</v>
          </cell>
          <cell r="D557" t="str">
            <v>HEROICO COLOGIO MILITAR</v>
          </cell>
          <cell r="E557" t="str">
            <v>EZEQUIEL MONTES, QRO.</v>
          </cell>
          <cell r="J557" t="str">
            <v>J02</v>
          </cell>
        </row>
        <row r="558">
          <cell r="A558">
            <v>2459</v>
          </cell>
          <cell r="B558" t="str">
            <v xml:space="preserve">ALDO ROMERO (TULANCINGO)                                    </v>
          </cell>
          <cell r="D558" t="str">
            <v xml:space="preserve">JUAREZ SUR #206                         </v>
          </cell>
          <cell r="E558" t="str">
            <v>TULANCINGO, HGO.</v>
          </cell>
          <cell r="G558" t="str">
            <v>(775) 180-8923</v>
          </cell>
          <cell r="J558" t="str">
            <v>F02B</v>
          </cell>
          <cell r="V558" t="str">
            <v>CENTRO</v>
          </cell>
        </row>
        <row r="559">
          <cell r="A559">
            <v>2460</v>
          </cell>
          <cell r="B559" t="str">
            <v xml:space="preserve">MARIA GRACIA HERNADEZ (SAN JUAN)    </v>
          </cell>
          <cell r="D559" t="str">
            <v xml:space="preserve">MERCADO REFORMA LOC. 149-A              </v>
          </cell>
          <cell r="E559" t="str">
            <v xml:space="preserve">SAN JUAN DEL RIO, QRO.        </v>
          </cell>
          <cell r="G559" t="str">
            <v>(427) 120-4049</v>
          </cell>
          <cell r="J559" t="str">
            <v>J01</v>
          </cell>
          <cell r="V559" t="str">
            <v>CENTRO</v>
          </cell>
        </row>
        <row r="560">
          <cell r="A560">
            <v>2461</v>
          </cell>
          <cell r="B560" t="str">
            <v>ANA LEON ROJAS (A. EL GRANDE)</v>
          </cell>
          <cell r="D560" t="str">
            <v>GUADALUPE VICTORIA #209</v>
          </cell>
          <cell r="E560" t="str">
            <v>APASEO EL GRANDE, GTO.</v>
          </cell>
          <cell r="G560" t="str">
            <v>(413) 129-4214</v>
          </cell>
          <cell r="J560" t="str">
            <v>F04</v>
          </cell>
          <cell r="V560" t="str">
            <v>CENTRO</v>
          </cell>
        </row>
        <row r="561">
          <cell r="A561">
            <v>2462</v>
          </cell>
          <cell r="B561" t="str">
            <v>FRANCISCO JAVIER DEL ANGEL BAUTISTA (TEXAS)</v>
          </cell>
          <cell r="D561" t="str">
            <v>210 NORTH MADISSON MOUNT PLEASANT</v>
          </cell>
          <cell r="E561" t="str">
            <v>TEXAS</v>
          </cell>
          <cell r="F561" t="str">
            <v>75455</v>
          </cell>
          <cell r="G561" t="str">
            <v>903 285 8179</v>
          </cell>
        </row>
        <row r="562">
          <cell r="A562">
            <v>2463</v>
          </cell>
          <cell r="B562" t="str">
            <v>ERIKA BECERRA (QUERETARO)</v>
          </cell>
          <cell r="C562" t="str">
            <v>PAPELERIA LA RED</v>
          </cell>
          <cell r="D562" t="str">
            <v>MERCADO ESCOBEDO LOCAL 14</v>
          </cell>
          <cell r="E562" t="str">
            <v>QUERETARO, QRO.</v>
          </cell>
          <cell r="G562" t="str">
            <v>(442) 149-1895</v>
          </cell>
          <cell r="J562" t="str">
            <v>L04</v>
          </cell>
        </row>
        <row r="563">
          <cell r="A563">
            <v>2464</v>
          </cell>
          <cell r="B563" t="str">
            <v>LETICIA VILLEDA (ESCOBEDO)</v>
          </cell>
          <cell r="D563" t="str">
            <v>PANAMERICANA #11</v>
          </cell>
          <cell r="E563" t="str">
            <v>PEDRO ESCOBEDO, QRO.</v>
          </cell>
          <cell r="G563" t="str">
            <v>(442) 300-0166</v>
          </cell>
          <cell r="J563" t="str">
            <v>L04</v>
          </cell>
          <cell r="V563" t="str">
            <v>CENTRO</v>
          </cell>
        </row>
        <row r="564">
          <cell r="A564">
            <v>2465</v>
          </cell>
          <cell r="B564" t="str">
            <v>ARACELI SALGADO (IXTLAHUACA)</v>
          </cell>
          <cell r="D564" t="str">
            <v>VICENTE VILLADA #6</v>
          </cell>
          <cell r="E564" t="str">
            <v>IXTLAHUACA, EDO. DE MEXICO</v>
          </cell>
          <cell r="G564" t="str">
            <v>(712) 114-1986</v>
          </cell>
          <cell r="J564" t="str">
            <v>L08</v>
          </cell>
        </row>
        <row r="565">
          <cell r="A565">
            <v>2466</v>
          </cell>
          <cell r="B565" t="str">
            <v>GLORIA DE LA CRUZ (IXTLAHUACA)</v>
          </cell>
          <cell r="D565" t="str">
            <v>JUAREZ #208</v>
          </cell>
          <cell r="E565" t="str">
            <v>IXTLAHUACA, EDO. DE MEXICO</v>
          </cell>
          <cell r="J565" t="str">
            <v>L08</v>
          </cell>
          <cell r="V565" t="str">
            <v>CENTRO</v>
          </cell>
        </row>
        <row r="566">
          <cell r="A566">
            <v>2467</v>
          </cell>
          <cell r="B566" t="str">
            <v>LETY (TOLUCA)</v>
          </cell>
          <cell r="D566" t="str">
            <v>MERCADO LOCAL 8-9-10</v>
          </cell>
          <cell r="E566" t="str">
            <v xml:space="preserve">TOLUCA, EDO. DE MEXICO        </v>
          </cell>
          <cell r="G566" t="str">
            <v>(55) 2913-5454</v>
          </cell>
          <cell r="J566" t="str">
            <v>L08</v>
          </cell>
          <cell r="V566" t="str">
            <v>CENTRO</v>
          </cell>
        </row>
        <row r="567">
          <cell r="A567">
            <v>2468</v>
          </cell>
          <cell r="B567" t="str">
            <v>LIZETH FLORES OLVERA (COYOTEPEC)</v>
          </cell>
          <cell r="D567" t="str">
            <v>MERCADO MUNICIPAL LOC. 23</v>
          </cell>
          <cell r="E567" t="str">
            <v>COYOTEPEC, EDO. DE MEXICO</v>
          </cell>
          <cell r="G567" t="str">
            <v>(55) 4778-9244</v>
          </cell>
          <cell r="J567" t="str">
            <v>F02</v>
          </cell>
          <cell r="V567" t="str">
            <v>CENTRO</v>
          </cell>
        </row>
        <row r="568">
          <cell r="A568">
            <v>2469</v>
          </cell>
          <cell r="B568" t="str">
            <v>ADRIANA VEGA (E. MONTES)</v>
          </cell>
          <cell r="D568" t="str">
            <v>BY MOMENTS</v>
          </cell>
          <cell r="E568" t="str">
            <v>EZEQUIEL MONTES, QRO.</v>
          </cell>
          <cell r="G568" t="str">
            <v>(441) 114-5080</v>
          </cell>
          <cell r="J568" t="str">
            <v>J02</v>
          </cell>
        </row>
        <row r="569">
          <cell r="A569">
            <v>2470</v>
          </cell>
          <cell r="B569" t="str">
            <v>ELIUD MEDRANO (MARAVATIO)</v>
          </cell>
          <cell r="D569" t="str">
            <v>AQUILE SERDAN #414</v>
          </cell>
          <cell r="E569" t="str">
            <v>MARAVATIO, MICH.</v>
          </cell>
          <cell r="V569" t="str">
            <v>CENTRO</v>
          </cell>
        </row>
        <row r="570">
          <cell r="A570">
            <v>2471</v>
          </cell>
          <cell r="B570" t="str">
            <v>LAURA ELENA ANAYA GONZALEZ (IRAPUATO)</v>
          </cell>
          <cell r="E570" t="str">
            <v>IRAPUATO, GTO.</v>
          </cell>
          <cell r="J570" t="str">
            <v>F04</v>
          </cell>
        </row>
        <row r="571">
          <cell r="A571">
            <v>2472</v>
          </cell>
          <cell r="B571" t="str">
            <v xml:space="preserve">MA. DE LA LUZ BAUTISTA (ZUMPANGO)                                   </v>
          </cell>
          <cell r="C571" t="str">
            <v/>
          </cell>
          <cell r="E571" t="str">
            <v xml:space="preserve">ZUMPANGO, EDO. DE MEXICO      </v>
          </cell>
          <cell r="F571" t="str">
            <v/>
          </cell>
          <cell r="H571" t="str">
            <v>MARICELA MUÑOZ</v>
          </cell>
          <cell r="I571" t="str">
            <v>MARICELA MUÑOZ</v>
          </cell>
          <cell r="J571" t="str">
            <v>F02A</v>
          </cell>
          <cell r="K571" t="str">
            <v/>
          </cell>
          <cell r="L571">
            <v>0</v>
          </cell>
          <cell r="M571">
            <v>488</v>
          </cell>
          <cell r="N571" t="str">
            <v>A</v>
          </cell>
          <cell r="O571">
            <v>41957</v>
          </cell>
          <cell r="P571" t="str">
            <v xml:space="preserve">    2</v>
          </cell>
          <cell r="Q571">
            <v>0</v>
          </cell>
          <cell r="R571">
            <v>0</v>
          </cell>
          <cell r="S571">
            <v>0</v>
          </cell>
          <cell r="T571">
            <v>1535</v>
          </cell>
          <cell r="U571">
            <v>0</v>
          </cell>
          <cell r="W571" t="str">
            <v/>
          </cell>
          <cell r="X571" t="str">
            <v>atzimbaprodule@hotmail.com</v>
          </cell>
        </row>
        <row r="572">
          <cell r="A572">
            <v>2473</v>
          </cell>
          <cell r="B572" t="str">
            <v>EDITH SERVIN (A. EL ALTO)</v>
          </cell>
          <cell r="D572" t="str">
            <v>5 DE MAYO #205</v>
          </cell>
          <cell r="E572" t="str">
            <v>APASEO EL ALTO, GTO.</v>
          </cell>
          <cell r="V572" t="str">
            <v>CENTRO</v>
          </cell>
        </row>
        <row r="573">
          <cell r="A573">
            <v>2474</v>
          </cell>
          <cell r="B573" t="str">
            <v>CARLA MARIA CHAVEZ FLORES (QUERETARO)</v>
          </cell>
          <cell r="D573" t="str">
            <v>16 DE SEPTIEMPBRE #36</v>
          </cell>
          <cell r="E573" t="str">
            <v>QUERETARO, QRO.</v>
          </cell>
          <cell r="G573" t="str">
            <v>(448) 121-2720</v>
          </cell>
          <cell r="V573" t="str">
            <v>CENTRO</v>
          </cell>
        </row>
        <row r="574">
          <cell r="A574">
            <v>2475</v>
          </cell>
          <cell r="B574" t="str">
            <v>ALICIA SANCHEZ (QUERETARO)</v>
          </cell>
          <cell r="E574" t="str">
            <v>QUERETARO, QRO.</v>
          </cell>
        </row>
        <row r="575">
          <cell r="A575">
            <v>2476</v>
          </cell>
          <cell r="B575" t="str">
            <v>ANA KAREN (ACTOPAN)</v>
          </cell>
          <cell r="E575" t="str">
            <v>ACTOPAN, HGO.</v>
          </cell>
        </row>
        <row r="576">
          <cell r="A576">
            <v>2477</v>
          </cell>
          <cell r="B576" t="str">
            <v>CELERINA FAJARDO ARELLANO (MICHOACAN)</v>
          </cell>
          <cell r="D576" t="str">
            <v>AV. SIXTO VERDUZCO #59</v>
          </cell>
          <cell r="E576" t="str">
            <v>TUZANTLA, MICH.</v>
          </cell>
          <cell r="F576" t="str">
            <v>61540</v>
          </cell>
          <cell r="G576" t="str">
            <v>(786) 104-8865</v>
          </cell>
        </row>
        <row r="577">
          <cell r="A577">
            <v>2478</v>
          </cell>
          <cell r="B577" t="str">
            <v>MALE (JILOTEPEC)</v>
          </cell>
          <cell r="E577" t="str">
            <v>JILOTEPEC, EDO. DE MEXICO</v>
          </cell>
        </row>
        <row r="578">
          <cell r="A578">
            <v>2479</v>
          </cell>
          <cell r="B578" t="str">
            <v>IVONNE LUJANO M. (JUVENTINO ROSAS)</v>
          </cell>
          <cell r="E578" t="str">
            <v>JUVENTINO ROSAS, GTO.</v>
          </cell>
        </row>
        <row r="579">
          <cell r="A579">
            <v>2480</v>
          </cell>
          <cell r="B579" t="str">
            <v>NOVIAS ELIA (SALAMACA)</v>
          </cell>
          <cell r="E579" t="str">
            <v>SALAMANCA, GTO.</v>
          </cell>
        </row>
        <row r="580">
          <cell r="A580">
            <v>2481</v>
          </cell>
          <cell r="B580" t="str">
            <v>ADRIAN URBIOLA (ACTOPAN)</v>
          </cell>
          <cell r="E580" t="str">
            <v>ACTOPAN, HGO.</v>
          </cell>
        </row>
        <row r="581">
          <cell r="A581">
            <v>2482</v>
          </cell>
          <cell r="B581" t="str">
            <v>LEO (MIXQUIAHIALA)</v>
          </cell>
          <cell r="E581" t="str">
            <v>MIXQUIAHUALA, HGO.</v>
          </cell>
        </row>
        <row r="582">
          <cell r="A582">
            <v>2483</v>
          </cell>
          <cell r="B582" t="str">
            <v>VANESSA GARCIA (IXMIQUILPAN)</v>
          </cell>
          <cell r="E582" t="str">
            <v>IXMIQUILPAN, HGO.</v>
          </cell>
        </row>
        <row r="583">
          <cell r="A583">
            <v>2484</v>
          </cell>
          <cell r="B583" t="str">
            <v>ANDREA SAAVEDRA (JUVENTINO)</v>
          </cell>
          <cell r="E583" t="str">
            <v>JUVENTINO ROSAS, GTO.</v>
          </cell>
        </row>
        <row r="584">
          <cell r="A584">
            <v>2485</v>
          </cell>
          <cell r="B584" t="str">
            <v>LETICIA MIRANDA (ATLACOMULCO)</v>
          </cell>
          <cell r="E584" t="str">
            <v>ATLACOMULCO, EDO. DE MEXICO</v>
          </cell>
        </row>
        <row r="585">
          <cell r="A585">
            <v>2486</v>
          </cell>
          <cell r="B585" t="str">
            <v>ITTA PEREZ (TULA)</v>
          </cell>
          <cell r="E585" t="str">
            <v>TULA, HGO.</v>
          </cell>
        </row>
        <row r="586">
          <cell r="A586">
            <v>2487</v>
          </cell>
          <cell r="B586" t="str">
            <v>DAVID CARDENAS (ZUMPANGO)</v>
          </cell>
          <cell r="E586" t="str">
            <v xml:space="preserve">ZUMPANGO, EDO. DE MEXICO      </v>
          </cell>
        </row>
        <row r="587">
          <cell r="A587">
            <v>2488</v>
          </cell>
          <cell r="B587" t="str">
            <v>FLOR (JILOTEPEC)</v>
          </cell>
          <cell r="E587" t="str">
            <v>JILOTEPEC, EDO. DE MEXICO</v>
          </cell>
        </row>
        <row r="588">
          <cell r="A588">
            <v>2489</v>
          </cell>
        </row>
        <row r="589">
          <cell r="A589">
            <v>2490</v>
          </cell>
        </row>
        <row r="590">
          <cell r="B590" t="str">
            <v>MARICEL (TOLUCA)</v>
          </cell>
          <cell r="D590" t="str">
            <v>LOCAL 890</v>
          </cell>
          <cell r="E590" t="str">
            <v xml:space="preserve">TOLUCA, EDO. DE MEXICO        </v>
          </cell>
          <cell r="J590" t="str">
            <v>L08</v>
          </cell>
        </row>
        <row r="591">
          <cell r="B591" t="str">
            <v>MARTHA GUTIERREZ (TOLUCA)</v>
          </cell>
          <cell r="D591" t="str">
            <v>16 DE SEPTIEMBRE LOCAL 31 Y 33</v>
          </cell>
          <cell r="E591" t="str">
            <v xml:space="preserve">TOLUCA, EDO. DE MEXICO        </v>
          </cell>
          <cell r="J591" t="str">
            <v>L08</v>
          </cell>
          <cell r="V591" t="str">
            <v>CENTRO</v>
          </cell>
        </row>
        <row r="592">
          <cell r="A592" t="str">
            <v>A8034</v>
          </cell>
          <cell r="B592" t="str">
            <v>JORGE DIAZ (TULTEPEC)</v>
          </cell>
          <cell r="C592" t="str">
            <v/>
          </cell>
          <cell r="D592" t="str">
            <v>AV. BENITO JUAREZ S/N</v>
          </cell>
          <cell r="E592" t="str">
            <v>TULTEPEC, EDO. DE MEXICO</v>
          </cell>
          <cell r="F592" t="str">
            <v/>
          </cell>
          <cell r="G592" t="str">
            <v>(55) 5498-4756</v>
          </cell>
          <cell r="H592" t="str">
            <v/>
          </cell>
          <cell r="I592" t="str">
            <v/>
          </cell>
          <cell r="J592" t="str">
            <v>M01</v>
          </cell>
          <cell r="K592" t="str">
            <v/>
          </cell>
          <cell r="L592">
            <v>0</v>
          </cell>
          <cell r="M592">
            <v>557</v>
          </cell>
          <cell r="N592" t="str">
            <v>A</v>
          </cell>
          <cell r="O592">
            <v>42509</v>
          </cell>
          <cell r="P592" t="str">
            <v xml:space="preserve">    5</v>
          </cell>
          <cell r="Q592">
            <v>0</v>
          </cell>
          <cell r="R592">
            <v>0</v>
          </cell>
          <cell r="S592">
            <v>859</v>
          </cell>
          <cell r="T592">
            <v>1859</v>
          </cell>
          <cell r="U592">
            <v>0</v>
          </cell>
          <cell r="V592" t="str">
            <v>TUYEHUALCO</v>
          </cell>
          <cell r="W592" t="str">
            <v/>
          </cell>
          <cell r="X592" t="str">
            <v/>
          </cell>
        </row>
        <row r="593">
          <cell r="A593">
            <v>9901</v>
          </cell>
          <cell r="B593" t="str">
            <v>VENTA DIRECTA</v>
          </cell>
          <cell r="C593" t="str">
            <v/>
          </cell>
          <cell r="D593" t="str">
            <v>PABLO CABRERA #82</v>
          </cell>
          <cell r="E593" t="str">
            <v>SAN JUAN DEL RIO, QRO.</v>
          </cell>
          <cell r="F593" t="str">
            <v>76800</v>
          </cell>
          <cell r="G593" t="str">
            <v>(427) 272-6715</v>
          </cell>
          <cell r="H593" t="str">
            <v/>
          </cell>
          <cell r="I593" t="str">
            <v/>
          </cell>
          <cell r="J593" t="str">
            <v>A01</v>
          </cell>
          <cell r="K593" t="str">
            <v/>
          </cell>
          <cell r="L593">
            <v>0</v>
          </cell>
          <cell r="M593">
            <v>49</v>
          </cell>
          <cell r="N593" t="str">
            <v>A</v>
          </cell>
          <cell r="O593">
            <v>42511</v>
          </cell>
          <cell r="P593" t="str">
            <v xml:space="preserve">    1</v>
          </cell>
          <cell r="Q593">
            <v>0</v>
          </cell>
          <cell r="R593">
            <v>0</v>
          </cell>
          <cell r="S593">
            <v>1573</v>
          </cell>
          <cell r="T593">
            <v>159283</v>
          </cell>
          <cell r="U593">
            <v>0</v>
          </cell>
          <cell r="V593" t="str">
            <v>CENTRO</v>
          </cell>
          <cell r="W593" t="str">
            <v/>
          </cell>
          <cell r="X593" t="str">
            <v/>
          </cell>
        </row>
        <row r="594">
          <cell r="A594">
            <v>9902</v>
          </cell>
          <cell r="B594" t="str">
            <v>LUPITA GARCIA</v>
          </cell>
          <cell r="C594" t="str">
            <v/>
          </cell>
          <cell r="D594" t="str">
            <v>MORELOS #54</v>
          </cell>
          <cell r="E594" t="str">
            <v>SAN JUAN DEL RIO, QRO.</v>
          </cell>
          <cell r="F594" t="str">
            <v>76800</v>
          </cell>
          <cell r="G594" t="str">
            <v>(55) 36244892</v>
          </cell>
          <cell r="H594" t="str">
            <v>LUPITA GARCIA</v>
          </cell>
          <cell r="I594" t="str">
            <v>LUPITA GARCIA</v>
          </cell>
          <cell r="J594" t="str">
            <v>A01</v>
          </cell>
          <cell r="K594" t="str">
            <v/>
          </cell>
          <cell r="L594">
            <v>0</v>
          </cell>
          <cell r="M594">
            <v>136</v>
          </cell>
          <cell r="N594" t="str">
            <v>A</v>
          </cell>
          <cell r="O594">
            <v>41839</v>
          </cell>
          <cell r="P594" t="str">
            <v xml:space="preserve">    1</v>
          </cell>
          <cell r="Q594">
            <v>0</v>
          </cell>
          <cell r="R594">
            <v>0</v>
          </cell>
          <cell r="S594">
            <v>0</v>
          </cell>
          <cell r="T594">
            <v>24492.18</v>
          </cell>
          <cell r="U594">
            <v>0</v>
          </cell>
          <cell r="V594" t="str">
            <v>CENTRO</v>
          </cell>
          <cell r="W594" t="str">
            <v/>
          </cell>
          <cell r="X594" t="str">
            <v/>
          </cell>
        </row>
        <row r="595">
          <cell r="A595">
            <v>9903</v>
          </cell>
          <cell r="B595" t="str">
            <v>ROSY GARCIA ESPINOSA</v>
          </cell>
          <cell r="C595" t="str">
            <v/>
          </cell>
          <cell r="D595" t="str">
            <v/>
          </cell>
          <cell r="E595" t="str">
            <v>COACALCO, EDO. DE MEXICO</v>
          </cell>
          <cell r="F595" t="str">
            <v/>
          </cell>
          <cell r="G595" t="str">
            <v/>
          </cell>
          <cell r="H595" t="str">
            <v>ROSY GARCIA ESPINOSA</v>
          </cell>
          <cell r="I595" t="str">
            <v>ROSY GARCIA ESPINOSA</v>
          </cell>
          <cell r="J595" t="str">
            <v>M01</v>
          </cell>
          <cell r="K595" t="str">
            <v/>
          </cell>
          <cell r="L595">
            <v>0</v>
          </cell>
          <cell r="M595">
            <v>239</v>
          </cell>
          <cell r="N595" t="str">
            <v>A</v>
          </cell>
          <cell r="O595">
            <v>41776</v>
          </cell>
          <cell r="P595" t="str">
            <v xml:space="preserve">    1</v>
          </cell>
          <cell r="Q595">
            <v>0</v>
          </cell>
          <cell r="R595">
            <v>0</v>
          </cell>
          <cell r="S595">
            <v>1838.53</v>
          </cell>
          <cell r="T595">
            <v>43381.53</v>
          </cell>
          <cell r="U595">
            <v>0</v>
          </cell>
          <cell r="V595" t="str">
            <v>VILLA DE LAS FLORES</v>
          </cell>
          <cell r="W595" t="str">
            <v/>
          </cell>
          <cell r="X595" t="str">
            <v/>
          </cell>
        </row>
        <row r="596">
          <cell r="A596">
            <v>9904</v>
          </cell>
          <cell r="B596" t="str">
            <v>GUSTAVO GARCIA ESPINOSA (SJR)</v>
          </cell>
          <cell r="C596" t="str">
            <v/>
          </cell>
          <cell r="D596" t="str">
            <v/>
          </cell>
          <cell r="E596" t="str">
            <v>SAN JUAN DEL RIO, QRO.</v>
          </cell>
          <cell r="F596" t="str">
            <v/>
          </cell>
          <cell r="G596" t="str">
            <v/>
          </cell>
          <cell r="H596" t="str">
            <v/>
          </cell>
          <cell r="I596" t="str">
            <v/>
          </cell>
          <cell r="J596" t="str">
            <v>A01</v>
          </cell>
          <cell r="K596" t="str">
            <v/>
          </cell>
          <cell r="L596">
            <v>0</v>
          </cell>
          <cell r="M596">
            <v>268</v>
          </cell>
          <cell r="N596" t="str">
            <v>A</v>
          </cell>
          <cell r="O596">
            <v>41130</v>
          </cell>
          <cell r="P596" t="str">
            <v xml:space="preserve">    1</v>
          </cell>
          <cell r="Q596">
            <v>0</v>
          </cell>
          <cell r="R596">
            <v>0</v>
          </cell>
          <cell r="S596">
            <v>0</v>
          </cell>
          <cell r="T596">
            <v>5821</v>
          </cell>
          <cell r="U596">
            <v>0</v>
          </cell>
          <cell r="V596" t="str">
            <v/>
          </cell>
          <cell r="W596" t="str">
            <v/>
          </cell>
          <cell r="X596" t="str">
            <v/>
          </cell>
        </row>
        <row r="597">
          <cell r="A597">
            <v>9905</v>
          </cell>
          <cell r="B597" t="str">
            <v>MARICELA GARCIA ESPINOSA</v>
          </cell>
          <cell r="C597" t="str">
            <v/>
          </cell>
          <cell r="D597" t="str">
            <v>CAPULINES #118</v>
          </cell>
          <cell r="E597" t="str">
            <v>COACALCO, EDO. DE MEXICO</v>
          </cell>
          <cell r="F597" t="str">
            <v/>
          </cell>
          <cell r="G597" t="str">
            <v/>
          </cell>
          <cell r="H597" t="str">
            <v>MARICELA GARCIA E</v>
          </cell>
          <cell r="I597" t="str">
            <v>MARICELA GARCIA E</v>
          </cell>
          <cell r="J597" t="str">
            <v>M01</v>
          </cell>
          <cell r="K597" t="str">
            <v/>
          </cell>
          <cell r="L597">
            <v>0</v>
          </cell>
          <cell r="M597">
            <v>430</v>
          </cell>
          <cell r="N597" t="str">
            <v>A</v>
          </cell>
          <cell r="O597">
            <v>41517</v>
          </cell>
          <cell r="P597" t="str">
            <v xml:space="preserve">   16</v>
          </cell>
          <cell r="Q597">
            <v>0</v>
          </cell>
          <cell r="R597">
            <v>0</v>
          </cell>
          <cell r="S597">
            <v>0</v>
          </cell>
          <cell r="T597">
            <v>2345</v>
          </cell>
          <cell r="U597">
            <v>0</v>
          </cell>
          <cell r="V597" t="str">
            <v>VILLA DE LAS FLORES</v>
          </cell>
          <cell r="W597" t="str">
            <v/>
          </cell>
          <cell r="X597" t="str">
            <v/>
          </cell>
        </row>
        <row r="598">
          <cell r="A598">
            <v>9999</v>
          </cell>
          <cell r="B598" t="str">
            <v>CANCELADA</v>
          </cell>
          <cell r="D598" t="str">
            <v>-</v>
          </cell>
          <cell r="E598" t="str">
            <v>-</v>
          </cell>
          <cell r="F598" t="str">
            <v>-</v>
          </cell>
          <cell r="G598" t="str">
            <v>-</v>
          </cell>
          <cell r="H598" t="str">
            <v>-</v>
          </cell>
          <cell r="I598" t="str">
            <v>-</v>
          </cell>
          <cell r="J598" t="str">
            <v>-</v>
          </cell>
          <cell r="K598" t="str">
            <v>-</v>
          </cell>
          <cell r="L598" t="str">
            <v>-</v>
          </cell>
          <cell r="M598" t="str">
            <v>-</v>
          </cell>
          <cell r="N598" t="str">
            <v>-</v>
          </cell>
          <cell r="O598" t="str">
            <v>-</v>
          </cell>
          <cell r="P598" t="str">
            <v>-</v>
          </cell>
          <cell r="Q598" t="str">
            <v>-</v>
          </cell>
          <cell r="R598" t="str">
            <v>-</v>
          </cell>
          <cell r="S598" t="str">
            <v>-</v>
          </cell>
          <cell r="T598" t="str">
            <v>-</v>
          </cell>
          <cell r="U598" t="str">
            <v>-</v>
          </cell>
          <cell r="V598" t="str">
            <v>-</v>
          </cell>
        </row>
        <row r="599">
          <cell r="A599">
            <v>6050</v>
          </cell>
          <cell r="B599" t="str">
            <v>PEDRO ALBERTO TREJO BARRERA</v>
          </cell>
          <cell r="D599" t="str">
            <v>SAN ANTONIO #19</v>
          </cell>
          <cell r="E599" t="str">
            <v>IXMIQUILPAN, HGO.</v>
          </cell>
          <cell r="F599" t="str">
            <v xml:space="preserve"> 4230</v>
          </cell>
          <cell r="G599" t="str">
            <v>(771) 567-1009 CEL</v>
          </cell>
          <cell r="H599" t="str">
            <v/>
          </cell>
          <cell r="I599" t="str">
            <v/>
          </cell>
          <cell r="J599" t="str">
            <v>F02</v>
          </cell>
          <cell r="K599" t="str">
            <v>Ma</v>
          </cell>
          <cell r="L599">
            <v>0</v>
          </cell>
          <cell r="M599">
            <v>548</v>
          </cell>
          <cell r="N599" t="str">
            <v>A</v>
          </cell>
          <cell r="O599">
            <v>42588</v>
          </cell>
          <cell r="P599" t="str">
            <v xml:space="preserve">   16</v>
          </cell>
          <cell r="Q599">
            <v>0</v>
          </cell>
          <cell r="R599">
            <v>0</v>
          </cell>
          <cell r="S599">
            <v>1456</v>
          </cell>
          <cell r="T599">
            <v>170939</v>
          </cell>
          <cell r="U599">
            <v>0</v>
          </cell>
          <cell r="V599" t="str">
            <v>BARRIO SAN ANTONIO</v>
          </cell>
          <cell r="W599" t="str">
            <v/>
          </cell>
          <cell r="X599" t="str">
            <v>pittsystems@hotmail.com</v>
          </cell>
        </row>
        <row r="600">
          <cell r="A600">
            <v>5061</v>
          </cell>
          <cell r="B600" t="str">
            <v>ISRAEL RICO</v>
          </cell>
        </row>
        <row r="601">
          <cell r="A601">
            <v>7001</v>
          </cell>
          <cell r="B601" t="str">
            <v>MARIA ISABEL</v>
          </cell>
          <cell r="J601" t="str">
            <v>C01</v>
          </cell>
        </row>
        <row r="602">
          <cell r="A602">
            <v>7002</v>
          </cell>
          <cell r="B602" t="str">
            <v>ROCIO OSORNIO BARRIENTO (SAN JUAN)</v>
          </cell>
          <cell r="C602" t="str">
            <v/>
          </cell>
          <cell r="D602" t="str">
            <v>AV. MERCEDES CAMACHO #202 LOCAL 2</v>
          </cell>
          <cell r="E602" t="str">
            <v>SAN JUAN DEL RIO, QRO.</v>
          </cell>
          <cell r="F602" t="str">
            <v/>
          </cell>
          <cell r="G602" t="str">
            <v>(427) 142-1759</v>
          </cell>
          <cell r="H602" t="str">
            <v>ROCIO OSORNIO B.</v>
          </cell>
          <cell r="I602" t="str">
            <v>ROCIO OSORNIO B.</v>
          </cell>
          <cell r="J602" t="str">
            <v>L01P</v>
          </cell>
          <cell r="K602" t="str">
            <v/>
          </cell>
          <cell r="L602">
            <v>0</v>
          </cell>
          <cell r="M602">
            <v>467</v>
          </cell>
          <cell r="N602" t="str">
            <v>A</v>
          </cell>
          <cell r="O602">
            <v>42418</v>
          </cell>
          <cell r="P602" t="str">
            <v xml:space="preserve">   97</v>
          </cell>
          <cell r="Q602">
            <v>0</v>
          </cell>
          <cell r="R602">
            <v>0</v>
          </cell>
          <cell r="S602">
            <v>4045</v>
          </cell>
          <cell r="T602">
            <v>82896</v>
          </cell>
          <cell r="U602">
            <v>0</v>
          </cell>
          <cell r="V602" t="str">
            <v>CENTRO</v>
          </cell>
          <cell r="W602" t="str">
            <v>(427) 278-8881 CEL</v>
          </cell>
          <cell r="X602" t="str">
            <v/>
          </cell>
        </row>
        <row r="603">
          <cell r="A603">
            <v>7004</v>
          </cell>
          <cell r="B603" t="str">
            <v>SAMUEL RICO ESPINO (QUERETARO)</v>
          </cell>
          <cell r="C603" t="str">
            <v/>
          </cell>
          <cell r="D603" t="str">
            <v>MELCHOR OCAMPO SUR #67</v>
          </cell>
          <cell r="E603" t="str">
            <v>QUERETARO, QRO.</v>
          </cell>
          <cell r="F603" t="str">
            <v/>
          </cell>
          <cell r="G603" t="str">
            <v/>
          </cell>
          <cell r="H603" t="str">
            <v>SAMUEL RICO ESPINO</v>
          </cell>
          <cell r="I603" t="str">
            <v>SAMUEL RICO ESPINO</v>
          </cell>
          <cell r="J603" t="str">
            <v>L04</v>
          </cell>
          <cell r="K603" t="str">
            <v/>
          </cell>
          <cell r="L603">
            <v>0</v>
          </cell>
          <cell r="M603">
            <v>478</v>
          </cell>
          <cell r="N603" t="str">
            <v>A</v>
          </cell>
          <cell r="O603">
            <v>41860</v>
          </cell>
          <cell r="P603" t="str">
            <v xml:space="preserve">   97</v>
          </cell>
          <cell r="Q603">
            <v>0</v>
          </cell>
          <cell r="R603">
            <v>0</v>
          </cell>
          <cell r="S603">
            <v>0</v>
          </cell>
          <cell r="T603">
            <v>161.5</v>
          </cell>
          <cell r="U603">
            <v>0</v>
          </cell>
          <cell r="V603" t="str">
            <v/>
          </cell>
          <cell r="W603" t="str">
            <v/>
          </cell>
          <cell r="X603" t="str">
            <v/>
          </cell>
        </row>
        <row r="604">
          <cell r="A604">
            <v>7006</v>
          </cell>
          <cell r="B604" t="str">
            <v>REYNA QUIJANO ZARAZUA (ESCOBEDO)</v>
          </cell>
          <cell r="C604" t="str">
            <v/>
          </cell>
          <cell r="D604" t="str">
            <v>CUAUHTEMOC #3</v>
          </cell>
          <cell r="E604" t="str">
            <v>PEDRO ESCOBEDO, QRO.</v>
          </cell>
          <cell r="F604" t="str">
            <v>76700</v>
          </cell>
          <cell r="G604" t="str">
            <v>(448) 275-0073</v>
          </cell>
          <cell r="H604" t="str">
            <v>REYNA QUIJANO Z.</v>
          </cell>
          <cell r="I604" t="str">
            <v>REYNA QUIJANO Z.</v>
          </cell>
          <cell r="J604" t="str">
            <v>J03P</v>
          </cell>
          <cell r="K604" t="str">
            <v/>
          </cell>
          <cell r="L604">
            <v>0</v>
          </cell>
          <cell r="M604">
            <v>465</v>
          </cell>
          <cell r="N604" t="str">
            <v>A</v>
          </cell>
          <cell r="O604">
            <v>42419</v>
          </cell>
          <cell r="P604" t="str">
            <v xml:space="preserve">   97</v>
          </cell>
          <cell r="Q604">
            <v>0</v>
          </cell>
          <cell r="R604">
            <v>0</v>
          </cell>
          <cell r="S604">
            <v>0</v>
          </cell>
          <cell r="T604">
            <v>96750</v>
          </cell>
          <cell r="U604">
            <v>0</v>
          </cell>
          <cell r="V604" t="str">
            <v>CENTRO</v>
          </cell>
          <cell r="W604" t="str">
            <v>(442) 190-8227 NEXTEL</v>
          </cell>
          <cell r="X604" t="str">
            <v/>
          </cell>
        </row>
        <row r="605">
          <cell r="A605">
            <v>7008</v>
          </cell>
          <cell r="B605" t="str">
            <v>ANA LAURA ROCHA FERRE (ESCOBEDO)</v>
          </cell>
          <cell r="C605" t="str">
            <v/>
          </cell>
          <cell r="D605" t="str">
            <v>CUAUHTEMOC #8</v>
          </cell>
          <cell r="E605" t="str">
            <v>PEDRO ESCOBEDO, QRO.</v>
          </cell>
          <cell r="F605" t="str">
            <v/>
          </cell>
          <cell r="G605" t="str">
            <v>(427) 130-9565 CEL</v>
          </cell>
          <cell r="H605" t="str">
            <v>ANA LAURA ROCHA F.</v>
          </cell>
          <cell r="I605" t="str">
            <v>ANA LAURA ROCHA F.</v>
          </cell>
          <cell r="J605" t="str">
            <v>J03P</v>
          </cell>
          <cell r="K605" t="str">
            <v/>
          </cell>
          <cell r="L605">
            <v>0</v>
          </cell>
          <cell r="M605">
            <v>466</v>
          </cell>
          <cell r="N605" t="str">
            <v>A</v>
          </cell>
          <cell r="O605">
            <v>41858</v>
          </cell>
          <cell r="P605" t="str">
            <v xml:space="preserve">   97</v>
          </cell>
          <cell r="Q605">
            <v>0</v>
          </cell>
          <cell r="R605">
            <v>0</v>
          </cell>
          <cell r="S605">
            <v>0</v>
          </cell>
          <cell r="T605">
            <v>6341</v>
          </cell>
          <cell r="U605">
            <v>0</v>
          </cell>
          <cell r="V605" t="str">
            <v>CENTRO</v>
          </cell>
          <cell r="W605" t="str">
            <v/>
          </cell>
          <cell r="X605" t="str">
            <v/>
          </cell>
        </row>
        <row r="606">
          <cell r="A606">
            <v>7009</v>
          </cell>
          <cell r="B606" t="str">
            <v>SALVADOR ZAVALA (COYOTEPEC)</v>
          </cell>
          <cell r="C606" t="str">
            <v/>
          </cell>
          <cell r="D606" t="str">
            <v>MARIANO PANTALEON</v>
          </cell>
          <cell r="E606" t="str">
            <v>COYOTEPEC, EDO. DE MEXICO</v>
          </cell>
          <cell r="F606" t="str">
            <v/>
          </cell>
          <cell r="G606" t="str">
            <v>(55) 4134-0258</v>
          </cell>
          <cell r="H606" t="str">
            <v>SALVADOR ZAVALA</v>
          </cell>
          <cell r="I606" t="str">
            <v>SALVADOR ZAVALA</v>
          </cell>
          <cell r="J606" t="str">
            <v>M01</v>
          </cell>
          <cell r="K606" t="str">
            <v/>
          </cell>
          <cell r="L606">
            <v>0</v>
          </cell>
          <cell r="M606">
            <v>451</v>
          </cell>
          <cell r="N606" t="str">
            <v>A</v>
          </cell>
          <cell r="O606">
            <v>42462</v>
          </cell>
          <cell r="P606" t="str">
            <v xml:space="preserve">    9</v>
          </cell>
          <cell r="Q606">
            <v>0</v>
          </cell>
          <cell r="R606">
            <v>0</v>
          </cell>
          <cell r="S606">
            <v>425</v>
          </cell>
          <cell r="T606">
            <v>24707</v>
          </cell>
          <cell r="U606">
            <v>0</v>
          </cell>
          <cell r="V606" t="str">
            <v>BARRIO REYES</v>
          </cell>
          <cell r="W606" t="str">
            <v/>
          </cell>
          <cell r="X606" t="str">
            <v/>
          </cell>
        </row>
        <row r="607">
          <cell r="A607">
            <v>7011</v>
          </cell>
          <cell r="B607" t="str">
            <v>KARINA GAYTAN GARCIA (QUERETARO)</v>
          </cell>
          <cell r="C607" t="str">
            <v/>
          </cell>
          <cell r="D607" t="str">
            <v>PEDRO URTIAGA #40 (EL PUEBLITO)</v>
          </cell>
          <cell r="E607" t="str">
            <v>EL PUEBLITO, QRO.</v>
          </cell>
          <cell r="F607" t="str">
            <v/>
          </cell>
          <cell r="G607" t="str">
            <v>(442) 266-4557 CEL</v>
          </cell>
          <cell r="H607" t="str">
            <v>KARINA GAYTAN GARCIA</v>
          </cell>
          <cell r="I607" t="str">
            <v>KARINA GAYTAN GARCIA</v>
          </cell>
          <cell r="J607" t="str">
            <v>L04</v>
          </cell>
          <cell r="K607" t="str">
            <v/>
          </cell>
          <cell r="L607">
            <v>0</v>
          </cell>
          <cell r="M607">
            <v>464</v>
          </cell>
          <cell r="N607" t="str">
            <v>A</v>
          </cell>
          <cell r="O607">
            <v>41881</v>
          </cell>
          <cell r="P607" t="str">
            <v xml:space="preserve">    3</v>
          </cell>
          <cell r="Q607">
            <v>0</v>
          </cell>
          <cell r="R607">
            <v>0</v>
          </cell>
          <cell r="S607">
            <v>0</v>
          </cell>
          <cell r="T607">
            <v>917</v>
          </cell>
          <cell r="U607">
            <v>12</v>
          </cell>
          <cell r="V607" t="str">
            <v>CENTRO</v>
          </cell>
          <cell r="W607" t="str">
            <v>(442) 225-0760</v>
          </cell>
          <cell r="X607" t="str">
            <v/>
          </cell>
        </row>
        <row r="608">
          <cell r="A608">
            <v>7016</v>
          </cell>
          <cell r="B608" t="str">
            <v>CARLOS MERINO (CUAUTITLAN)</v>
          </cell>
        </row>
        <row r="609">
          <cell r="A609">
            <v>7046</v>
          </cell>
          <cell r="B609" t="str">
            <v>LIZBETH CRUZ (TEZONTEPEC)</v>
          </cell>
          <cell r="C609" t="str">
            <v/>
          </cell>
          <cell r="D609" t="str">
            <v>AV. JUAN ALDAMA S/N</v>
          </cell>
          <cell r="E609" t="str">
            <v>TEZONTEPEC, HGO.</v>
          </cell>
          <cell r="F609" t="str">
            <v/>
          </cell>
          <cell r="G609" t="str">
            <v>(773) 150-6673</v>
          </cell>
          <cell r="H609" t="str">
            <v/>
          </cell>
          <cell r="I609" t="str">
            <v/>
          </cell>
          <cell r="J609" t="str">
            <v>F02</v>
          </cell>
          <cell r="K609" t="str">
            <v/>
          </cell>
          <cell r="L609">
            <v>0</v>
          </cell>
          <cell r="M609">
            <v>566</v>
          </cell>
          <cell r="N609" t="str">
            <v>A</v>
          </cell>
          <cell r="O609">
            <v>42525</v>
          </cell>
          <cell r="P609" t="str">
            <v xml:space="preserve">    1</v>
          </cell>
          <cell r="Q609">
            <v>0</v>
          </cell>
          <cell r="R609">
            <v>0</v>
          </cell>
          <cell r="S609">
            <v>0</v>
          </cell>
          <cell r="T609">
            <v>760</v>
          </cell>
          <cell r="U609">
            <v>0</v>
          </cell>
          <cell r="V609" t="str">
            <v>CENTRO</v>
          </cell>
          <cell r="W609" t="str">
            <v>(773) 125-2894 TANI</v>
          </cell>
          <cell r="X609" t="str">
            <v/>
          </cell>
        </row>
        <row r="610">
          <cell r="A610">
            <v>7052</v>
          </cell>
          <cell r="B610" t="str">
            <v>RAMON URIBE ZAVALA (VALLE)</v>
          </cell>
          <cell r="C610" t="str">
            <v/>
          </cell>
          <cell r="D610" t="str">
            <v>DEMOCRACIA NORTE H 1-A</v>
          </cell>
          <cell r="E610" t="str">
            <v>VALLE DE SANTIAGO, GTO.</v>
          </cell>
          <cell r="F610" t="str">
            <v/>
          </cell>
          <cell r="G610" t="str">
            <v>(456) 643-2057 LOCAL</v>
          </cell>
          <cell r="H610" t="str">
            <v/>
          </cell>
          <cell r="I610" t="str">
            <v/>
          </cell>
          <cell r="J610" t="str">
            <v>F04P</v>
          </cell>
          <cell r="K610" t="str">
            <v/>
          </cell>
          <cell r="L610">
            <v>0</v>
          </cell>
          <cell r="M610">
            <v>549</v>
          </cell>
          <cell r="N610" t="str">
            <v>A</v>
          </cell>
          <cell r="O610">
            <v>42406</v>
          </cell>
          <cell r="P610" t="str">
            <v xml:space="preserve">    1</v>
          </cell>
          <cell r="Q610">
            <v>0</v>
          </cell>
          <cell r="R610">
            <v>0</v>
          </cell>
          <cell r="S610">
            <v>0</v>
          </cell>
          <cell r="T610">
            <v>395</v>
          </cell>
          <cell r="U610">
            <v>0</v>
          </cell>
          <cell r="V610" t="str">
            <v>CENTRO</v>
          </cell>
          <cell r="W610" t="str">
            <v/>
          </cell>
          <cell r="X610" t="str">
            <v/>
          </cell>
        </row>
        <row r="611">
          <cell r="A611">
            <v>7017</v>
          </cell>
          <cell r="B611" t="str">
            <v>JOSUE GASCA (A. EL GRANDE)</v>
          </cell>
          <cell r="D611" t="str">
            <v>VENUSTIANO CARRANZA #307</v>
          </cell>
          <cell r="E611" t="str">
            <v>APASEO EL GRANDE, GTO.</v>
          </cell>
          <cell r="V611" t="str">
            <v>CENTRO</v>
          </cell>
        </row>
        <row r="612">
          <cell r="A612">
            <v>7018</v>
          </cell>
          <cell r="B612" t="str">
            <v>BRENDA BELMAN (JUVENTINO)</v>
          </cell>
          <cell r="D612" t="str">
            <v>MORELOS #432</v>
          </cell>
          <cell r="E612" t="str">
            <v>JUVENTINO ROSAS, GTO.</v>
          </cell>
          <cell r="G612" t="str">
            <v>(461) 135-1258</v>
          </cell>
          <cell r="V612" t="str">
            <v>CENTRO</v>
          </cell>
        </row>
        <row r="613">
          <cell r="A613">
            <v>7019</v>
          </cell>
          <cell r="B613" t="str">
            <v>ABARROTES ESCOBAR (IMIQUILPAN)</v>
          </cell>
        </row>
        <row r="614">
          <cell r="A614">
            <v>7022</v>
          </cell>
          <cell r="B614" t="str">
            <v>SHARON MENDOZAROMERO (APASEO EL GRANDE)</v>
          </cell>
          <cell r="E614" t="str">
            <v>APASEO EL GRANDE, GTO.</v>
          </cell>
        </row>
        <row r="615">
          <cell r="A615">
            <v>7023</v>
          </cell>
          <cell r="B615" t="str">
            <v>IVAN RAMOS (JUVENTINO ROSAS)</v>
          </cell>
        </row>
        <row r="616">
          <cell r="A616">
            <v>7024</v>
          </cell>
          <cell r="B616" t="str">
            <v>HILDA POLO (VILLAGRAN)</v>
          </cell>
        </row>
        <row r="617">
          <cell r="A617">
            <v>7025</v>
          </cell>
          <cell r="B617" t="str">
            <v>JORGE SALVADOR PEREZ (APASEO EL GRANDE)</v>
          </cell>
        </row>
        <row r="618">
          <cell r="A618">
            <v>7026</v>
          </cell>
          <cell r="B618" t="str">
            <v>YOLANDA ARROMIZ (APASEO EL GRANDE)</v>
          </cell>
        </row>
        <row r="619">
          <cell r="A619">
            <v>7027</v>
          </cell>
          <cell r="B619" t="str">
            <v>BASILIO ROJAS (APASEO EL GRANDE)</v>
          </cell>
        </row>
        <row r="620">
          <cell r="A620">
            <v>7028</v>
          </cell>
          <cell r="B620" t="str">
            <v>GEORGINA VILLEDA CHAVEZ (HUICHAPAN)</v>
          </cell>
        </row>
        <row r="621">
          <cell r="A621">
            <v>7029</v>
          </cell>
          <cell r="B621" t="str">
            <v>VICTOR MANUEL PEREZ "PAPELERIA ALE" (HUICHAPAN)</v>
          </cell>
        </row>
        <row r="622">
          <cell r="A622">
            <v>7030</v>
          </cell>
          <cell r="B622" t="str">
            <v>JAIME DARIO RAMIREZ C. (MIXQUIAHUALA)</v>
          </cell>
        </row>
        <row r="623">
          <cell r="A623">
            <v>7031</v>
          </cell>
          <cell r="B623" t="str">
            <v>SARITA BARRERA CORNEJO (TEZONTEPEC)</v>
          </cell>
          <cell r="D623" t="str">
            <v>VENUSTIANO CARRANZA S/N</v>
          </cell>
          <cell r="E623" t="str">
            <v>TEZONTEPEC, HGO.</v>
          </cell>
          <cell r="G623" t="str">
            <v>(773) 111-3391</v>
          </cell>
          <cell r="V623" t="str">
            <v>SAN JUAN</v>
          </cell>
        </row>
        <row r="624">
          <cell r="A624">
            <v>7032</v>
          </cell>
          <cell r="B624" t="str">
            <v>GUADALUPE CHAIRES BLANCO (IXMIQUILPAN)</v>
          </cell>
          <cell r="D624" t="str">
            <v>RAUL GUERRERO #16</v>
          </cell>
          <cell r="E624" t="str">
            <v>IXMIQUILPAN, HGO.</v>
          </cell>
          <cell r="G624" t="str">
            <v>(772) 157-4923 CEL.</v>
          </cell>
          <cell r="V624" t="str">
            <v>CENTRO</v>
          </cell>
        </row>
        <row r="625">
          <cell r="A625">
            <v>7033</v>
          </cell>
          <cell r="B625" t="str">
            <v>MARIA LUISA NUÑEZ (A. EL GRANDE)</v>
          </cell>
          <cell r="D625" t="str">
            <v>ALLENDE #222</v>
          </cell>
          <cell r="E625" t="str">
            <v>APASEO EL GRANDE, GTO.</v>
          </cell>
          <cell r="G625" t="str">
            <v>(413) 110-6106 GUADALUPE</v>
          </cell>
          <cell r="V625" t="str">
            <v>CENTRO</v>
          </cell>
        </row>
        <row r="626">
          <cell r="A626">
            <v>7034</v>
          </cell>
          <cell r="B626" t="str">
            <v>LUIS REY CARDENAS ENRIQUEZ (A. EL GRANDE)</v>
          </cell>
          <cell r="D626" t="str">
            <v>ALDAMA #118</v>
          </cell>
          <cell r="E626" t="str">
            <v>APASEO EL GRANDE, GTO.</v>
          </cell>
          <cell r="V626" t="str">
            <v>CENTRO</v>
          </cell>
        </row>
        <row r="627">
          <cell r="A627">
            <v>7035</v>
          </cell>
          <cell r="B627" t="str">
            <v>ABEL RICO ARELLANO (JUVENTINO)</v>
          </cell>
          <cell r="D627" t="str">
            <v>BLVD. MANUEL MORENO #624</v>
          </cell>
          <cell r="E627" t="str">
            <v>JUVENTINO ROSAS, GTO.</v>
          </cell>
          <cell r="V627" t="str">
            <v>CENTRO</v>
          </cell>
        </row>
        <row r="628">
          <cell r="A628">
            <v>7036</v>
          </cell>
          <cell r="B628" t="str">
            <v>OSCAR AVILA (APASEO EL GRANDE)</v>
          </cell>
          <cell r="E628" t="str">
            <v>APASEO EL GRANDE, GTO.</v>
          </cell>
        </row>
        <row r="629">
          <cell r="A629">
            <v>7037</v>
          </cell>
          <cell r="B629" t="str">
            <v>ELSA MUSIÑO HERNANDEZ (APAXCO)</v>
          </cell>
          <cell r="D629" t="str">
            <v>ESTRELLA #11</v>
          </cell>
          <cell r="E629" t="str">
            <v>APAXCO, EDO. DE MEXICO</v>
          </cell>
          <cell r="V629" t="str">
            <v>CENTRO</v>
          </cell>
        </row>
        <row r="630">
          <cell r="A630">
            <v>7038</v>
          </cell>
          <cell r="B630" t="str">
            <v>NANCY AQUINO (COACALCO)</v>
          </cell>
          <cell r="D630" t="str">
            <v>CANOSAS</v>
          </cell>
          <cell r="E630" t="str">
            <v>COACALCO, EDO. DE MEXICO</v>
          </cell>
          <cell r="V630" t="str">
            <v>VILLA DE LAS FLORES</v>
          </cell>
        </row>
        <row r="631">
          <cell r="A631">
            <v>7039</v>
          </cell>
          <cell r="B631" t="str">
            <v>FELIPE ANDRES RODRIGUEZ LAGUNA (QUERETARO)</v>
          </cell>
          <cell r="C631" t="str">
            <v>CHURPS</v>
          </cell>
          <cell r="D631" t="str">
            <v>CHABACANO #74</v>
          </cell>
          <cell r="E631" t="str">
            <v>QUERETARO, QRO.</v>
          </cell>
          <cell r="G631" t="str">
            <v>(442) 319-4361</v>
          </cell>
          <cell r="V631" t="str">
            <v>EL PORTICO</v>
          </cell>
        </row>
        <row r="632">
          <cell r="A632">
            <v>7040</v>
          </cell>
          <cell r="B632" t="str">
            <v>AURELIA CRUZ (HUICHAPAN)</v>
          </cell>
          <cell r="E632" t="str">
            <v>HUICHAPAN, HGO.</v>
          </cell>
        </row>
        <row r="633">
          <cell r="A633">
            <v>7041</v>
          </cell>
          <cell r="B633" t="str">
            <v>ARODITH GARCIA ORTEGA (ACTOPAN)</v>
          </cell>
          <cell r="D633" t="str">
            <v>ZARAGOZA #35</v>
          </cell>
          <cell r="E633" t="str">
            <v>ACTOPAN, HGO.</v>
          </cell>
          <cell r="V633" t="str">
            <v>CENTRO</v>
          </cell>
        </row>
        <row r="634">
          <cell r="A634">
            <v>7042</v>
          </cell>
          <cell r="B634" t="str">
            <v>ALFONSO RAMIREZ AVILES (ACTOPAN)</v>
          </cell>
          <cell r="D634" t="str">
            <v>DURANGO #2</v>
          </cell>
          <cell r="E634" t="str">
            <v>ACTOPAN, HGO.</v>
          </cell>
          <cell r="G634" t="str">
            <v>(772) 155-1341</v>
          </cell>
          <cell r="V634" t="str">
            <v>LOS OLIVOS</v>
          </cell>
        </row>
        <row r="635">
          <cell r="A635">
            <v>7043</v>
          </cell>
          <cell r="B635" t="str">
            <v>JORGE SIMAE ORTIZ (MIXQUIAHUALA)</v>
          </cell>
          <cell r="E635" t="str">
            <v>MIXQUIAHUALA, HGO.</v>
          </cell>
        </row>
        <row r="636">
          <cell r="A636">
            <v>7044</v>
          </cell>
          <cell r="B636" t="str">
            <v>IVONE ROQUE AVILA (POLOTITLAN)</v>
          </cell>
          <cell r="D636" t="str">
            <v>16 DE SEPTIEMBRE #13</v>
          </cell>
          <cell r="E636" t="str">
            <v>POLOTITLAN, EDO. DE MEXICO</v>
          </cell>
          <cell r="G636" t="str">
            <v>(427) 127-1041</v>
          </cell>
          <cell r="V636" t="str">
            <v>CENTRO</v>
          </cell>
        </row>
        <row r="637">
          <cell r="A637">
            <v>7045</v>
          </cell>
          <cell r="B637" t="str">
            <v>HERLINDA URBINA SILVA (SALAMANCA)</v>
          </cell>
          <cell r="D637" t="str">
            <v>EZEQUIEL ORDOÑEZ #112 A</v>
          </cell>
          <cell r="E637" t="str">
            <v>SALAMANCA, GTO.</v>
          </cell>
          <cell r="F637" t="str">
            <v>36730</v>
          </cell>
          <cell r="G637" t="str">
            <v>(464) 157-0354</v>
          </cell>
          <cell r="V637" t="str">
            <v>BELLA VISTA</v>
          </cell>
        </row>
        <row r="638">
          <cell r="A638">
            <v>7047</v>
          </cell>
          <cell r="B638" t="str">
            <v>FLOR BARBOSA SANCHEZ (GUANAJUATO)</v>
          </cell>
          <cell r="E638" t="str">
            <v>GUANAJUATO, GTO.</v>
          </cell>
        </row>
        <row r="639">
          <cell r="A639">
            <v>7048</v>
          </cell>
          <cell r="B639" t="str">
            <v>JOSEFINA PAREDES RODRIGUEZ (A. EL ALTO)</v>
          </cell>
          <cell r="E639" t="str">
            <v>APASEO EL ALTO, GTO.</v>
          </cell>
          <cell r="G639" t="str">
            <v>640</v>
          </cell>
        </row>
        <row r="640">
          <cell r="A640">
            <v>7049</v>
          </cell>
          <cell r="B640" t="str">
            <v>BLANCA ISELA REYES (TLAHUELILPAN)</v>
          </cell>
          <cell r="D640" t="str">
            <v>HOMBRES ILUSTRES #14</v>
          </cell>
          <cell r="E640" t="str">
            <v>TLAHUELILPAN, HGO.</v>
          </cell>
          <cell r="G640" t="str">
            <v>1019</v>
          </cell>
          <cell r="V640" t="str">
            <v>CENTRO</v>
          </cell>
        </row>
        <row r="641">
          <cell r="A641">
            <v>7050</v>
          </cell>
          <cell r="B641" t="str">
            <v>FRANCISCO LOPEZ VIEYRA (ATLACOMULCO)</v>
          </cell>
          <cell r="D641" t="str">
            <v>AV. ISIDRO FABELA #12 Y 19 "A"</v>
          </cell>
          <cell r="E641" t="str">
            <v>ATLACOMULCO, EDO. DE MEXICO</v>
          </cell>
          <cell r="G641" t="str">
            <v>400</v>
          </cell>
          <cell r="V641" t="str">
            <v>CENTRO</v>
          </cell>
        </row>
        <row r="642">
          <cell r="A642">
            <v>7051</v>
          </cell>
          <cell r="B642" t="str">
            <v>SRA. ACAMBAY</v>
          </cell>
          <cell r="E642" t="str">
            <v>ACAMBAY, EDO. DE MEXICO</v>
          </cell>
          <cell r="G642" t="str">
            <v>1332</v>
          </cell>
        </row>
        <row r="643">
          <cell r="A643">
            <v>7054</v>
          </cell>
          <cell r="B643" t="str">
            <v>ERIKA SERRANO LEMUS (CUAUTITLAN)</v>
          </cell>
          <cell r="E643" t="str">
            <v>CUAUTITLAN, EDO. DE MEXICO</v>
          </cell>
          <cell r="G643" t="str">
            <v>(55) 6657-8802</v>
          </cell>
        </row>
        <row r="644">
          <cell r="A644">
            <v>7055</v>
          </cell>
          <cell r="B644" t="str">
            <v>ARACELI HERNANDEZ GOMEZ (QUERETARO)</v>
          </cell>
          <cell r="D644" t="str">
            <v>CARR. SAN PEDRO MARTIR LOCAL A-1</v>
          </cell>
          <cell r="E644" t="str">
            <v>QUERETARO, QRO.</v>
          </cell>
          <cell r="V644" t="str">
            <v>EL ROCIO</v>
          </cell>
        </row>
        <row r="645">
          <cell r="A645">
            <v>7056</v>
          </cell>
          <cell r="B645" t="str">
            <v>MA. HORRTENCIA SANCHEZ CHAVEZ (SJR)</v>
          </cell>
          <cell r="D645" t="str">
            <v>FRANCISCO ZARCO #51</v>
          </cell>
          <cell r="E645" t="str">
            <v>SAN JUAN DEL RIO, QRO.</v>
          </cell>
          <cell r="V645" t="str">
            <v>FATIMA</v>
          </cell>
        </row>
        <row r="646">
          <cell r="A646">
            <v>7057</v>
          </cell>
          <cell r="B646" t="str">
            <v>PATY "MERCADO" (VILLA)</v>
          </cell>
          <cell r="E646" t="str">
            <v>COACALCO, EDO. DE MEXICO</v>
          </cell>
          <cell r="V646" t="str">
            <v>VILLA DE LAS FLORES</v>
          </cell>
        </row>
        <row r="647">
          <cell r="A647">
            <v>7058</v>
          </cell>
          <cell r="B647" t="str">
            <v>ALICIA SOSA YAÑEZ (TULA)</v>
          </cell>
          <cell r="E647" t="str">
            <v>TULA, HGO.</v>
          </cell>
        </row>
        <row r="648">
          <cell r="A648">
            <v>7059</v>
          </cell>
          <cell r="B648" t="str">
            <v>BENJAMIN DE ANDA (SJR)</v>
          </cell>
          <cell r="D648" t="str">
            <v>MOCTEZUMA #57</v>
          </cell>
          <cell r="E648" t="str">
            <v>SAN JUAN DEL RIO, QRO.</v>
          </cell>
          <cell r="G648" t="str">
            <v>(427) 132-2006</v>
          </cell>
          <cell r="V648" t="str">
            <v>SAN CAYETANO</v>
          </cell>
        </row>
        <row r="649">
          <cell r="A649">
            <v>7060</v>
          </cell>
          <cell r="B649" t="str">
            <v>ERICA RAMIREZ (IXMIQUILPAN)</v>
          </cell>
          <cell r="D649" t="str">
            <v>ADOLFO LOPEZ MATEOS #32</v>
          </cell>
          <cell r="E649" t="str">
            <v>IXMIQUILPAN, HGO.</v>
          </cell>
          <cell r="G649" t="str">
            <v>(772) 126-9263</v>
          </cell>
        </row>
        <row r="650">
          <cell r="A650">
            <v>7061</v>
          </cell>
          <cell r="B650" t="str">
            <v>ERNESTINA TREJO CASAS (IXMIQUILPAN)</v>
          </cell>
          <cell r="D650" t="str">
            <v>PEÑA Y RAMIREZ #11</v>
          </cell>
          <cell r="E650" t="str">
            <v>IXMIQUILPAN, HGO.</v>
          </cell>
          <cell r="V650" t="str">
            <v>CENTRO</v>
          </cell>
        </row>
        <row r="651">
          <cell r="A651">
            <v>7062</v>
          </cell>
          <cell r="B651" t="str">
            <v>EL RINCON DE VANESU</v>
          </cell>
          <cell r="E651" t="str">
            <v>-</v>
          </cell>
          <cell r="G651" t="str">
            <v>(773) 734-1894</v>
          </cell>
        </row>
        <row r="652">
          <cell r="A652">
            <v>7063</v>
          </cell>
          <cell r="B652" t="str">
            <v>LUCIA VELAZQUEZ (SAN JUAN)</v>
          </cell>
          <cell r="D652" t="str">
            <v>MORELOS</v>
          </cell>
          <cell r="E652" t="str">
            <v>SAN JUAN DEL RIO, QRO.</v>
          </cell>
          <cell r="V652" t="str">
            <v>CENTRO</v>
          </cell>
        </row>
        <row r="653">
          <cell r="A653">
            <v>7064</v>
          </cell>
          <cell r="B653" t="str">
            <v>ALMA GUTIERREZ RODRIGUEZ</v>
          </cell>
          <cell r="D653" t="str">
            <v>MERCADO 54</v>
          </cell>
          <cell r="E653" t="str">
            <v>-</v>
          </cell>
        </row>
        <row r="654">
          <cell r="A654">
            <v>7065</v>
          </cell>
          <cell r="B654" t="str">
            <v>MINERVA PEREZ HERNANDEZ (ECATEPEC)</v>
          </cell>
          <cell r="D654" t="str">
            <v>HIDALGO #16</v>
          </cell>
          <cell r="E654" t="str">
            <v>ECATEPEC, EDO. DE MEXICO</v>
          </cell>
          <cell r="G654" t="str">
            <v>(55) 7190-0034</v>
          </cell>
          <cell r="V654" t="str">
            <v>CENTRO</v>
          </cell>
        </row>
        <row r="655">
          <cell r="A655">
            <v>7066</v>
          </cell>
          <cell r="B655" t="str">
            <v>AMADA SANCHEZ (GUANAJUATO)</v>
          </cell>
          <cell r="D655" t="str">
            <v>BLVD. LUTERIO GUERRERO KM 7.5</v>
          </cell>
          <cell r="E655" t="str">
            <v>GUANAJUATO, GTO.</v>
          </cell>
        </row>
        <row r="656">
          <cell r="A656">
            <v>7067</v>
          </cell>
          <cell r="B656" t="str">
            <v>ADRIANA LABRA TORREZ (IXMIQUILPAN)</v>
          </cell>
          <cell r="D656" t="str">
            <v>FRANCISCO I. MADERO #16</v>
          </cell>
          <cell r="E656" t="str">
            <v>IXMIQUILPAN, HGO.</v>
          </cell>
          <cell r="G656" t="str">
            <v>(772) 736-3594</v>
          </cell>
          <cell r="V656" t="str">
            <v>EL FITZI</v>
          </cell>
        </row>
        <row r="657">
          <cell r="A657">
            <v>7068</v>
          </cell>
          <cell r="B657" t="str">
            <v>MIRNA TORREZ (QUERETARO)</v>
          </cell>
          <cell r="D657" t="str">
            <v>AV. BELEN #537</v>
          </cell>
          <cell r="E657" t="str">
            <v>QUERETARO, QRO.</v>
          </cell>
          <cell r="V657" t="str">
            <v>SAN PEDRITO PEÑUELOS</v>
          </cell>
        </row>
        <row r="658">
          <cell r="A658">
            <v>7069</v>
          </cell>
          <cell r="B658" t="str">
            <v>ESMERALDA MALDONADO (SAN JUAN)</v>
          </cell>
          <cell r="D658" t="str">
            <v>AV. DE LAS GARZAS #9</v>
          </cell>
          <cell r="E658" t="str">
            <v>SAN JUAN DEL RIO, QRO.</v>
          </cell>
          <cell r="G658" t="str">
            <v>(427) 226-0737</v>
          </cell>
          <cell r="V658" t="str">
            <v>INDECO</v>
          </cell>
        </row>
        <row r="659">
          <cell r="A659">
            <v>7070</v>
          </cell>
          <cell r="B659" t="str">
            <v>CECILIA MANDUJANO HERNANDEZ  (EL COLORADO)</v>
          </cell>
          <cell r="D659" t="str">
            <v>ADOLFO LOPEZ MATEOS #30</v>
          </cell>
          <cell r="E659" t="str">
            <v>EL COLORADO, QRO.</v>
          </cell>
          <cell r="V659" t="str">
            <v>CENTRO</v>
          </cell>
        </row>
        <row r="660">
          <cell r="A660">
            <v>7071</v>
          </cell>
          <cell r="B660" t="str">
            <v>ARACELI MARTINEZ ARROYO (SAN JUAN)</v>
          </cell>
          <cell r="D660" t="str">
            <v>CARLOS SAAVEDRA LAMAS #56</v>
          </cell>
          <cell r="E660" t="str">
            <v>SAN JUAN DEL RIO, QRO.</v>
          </cell>
          <cell r="V660" t="str">
            <v>LA FLORESTA</v>
          </cell>
        </row>
        <row r="661">
          <cell r="A661">
            <v>7072</v>
          </cell>
          <cell r="B661" t="str">
            <v>JESSICA (HUICHAPAN)</v>
          </cell>
          <cell r="E661" t="str">
            <v>HUICHAPAN, HGO.</v>
          </cell>
        </row>
        <row r="662">
          <cell r="A662">
            <v>7073</v>
          </cell>
          <cell r="B662" t="str">
            <v>MAGDALENA LARRIETA ANAYA (ESCOBEDO)</v>
          </cell>
          <cell r="D662" t="str">
            <v>PANAMERICANA #60 LOCAL D "VIDARY"</v>
          </cell>
          <cell r="E662" t="str">
            <v>PEDRO ESCOBEDO, QRO.</v>
          </cell>
          <cell r="G662" t="str">
            <v>(442) 468-3540</v>
          </cell>
          <cell r="V662" t="str">
            <v>CENTRO</v>
          </cell>
        </row>
        <row r="663">
          <cell r="A663">
            <v>7074</v>
          </cell>
          <cell r="B663" t="str">
            <v>JONNY CANDELARIO (ACTOPAN)</v>
          </cell>
          <cell r="E663" t="str">
            <v>ACTOPAN, HGO.</v>
          </cell>
        </row>
        <row r="664">
          <cell r="A664">
            <v>7075</v>
          </cell>
          <cell r="B664" t="str">
            <v>MARIBEL OLVERA (SALAMANCA)</v>
          </cell>
          <cell r="D664" t="str">
            <v>TOMAS ESTEVES #108 LOC. C</v>
          </cell>
          <cell r="E664" t="str">
            <v>SALAMANCA, GTO.</v>
          </cell>
          <cell r="G664" t="str">
            <v>(464) 157-0723 CEL</v>
          </cell>
          <cell r="V664" t="str">
            <v>CENTRO</v>
          </cell>
        </row>
        <row r="665">
          <cell r="A665">
            <v>7076</v>
          </cell>
          <cell r="B665" t="str">
            <v>MA. DOLORES ABONCE (SALVATIERRA)</v>
          </cell>
          <cell r="D665" t="str">
            <v>HIDALGO #517</v>
          </cell>
          <cell r="E665" t="str">
            <v>SALVATIERRA, GTO.</v>
          </cell>
          <cell r="G665" t="str">
            <v>(466) 115-8785</v>
          </cell>
          <cell r="V665" t="str">
            <v>CENTRO</v>
          </cell>
        </row>
        <row r="666">
          <cell r="A666">
            <v>7077</v>
          </cell>
          <cell r="B666" t="str">
            <v>FRIDA SOLORIO (SAN JUAN)</v>
          </cell>
          <cell r="D666" t="str">
            <v>DALAILAMA #108</v>
          </cell>
          <cell r="E666" t="str">
            <v>SAN JUAN DEL RIO, QRO.</v>
          </cell>
          <cell r="G666" t="str">
            <v>(427) 119-9826 CEL</v>
          </cell>
          <cell r="V666" t="str">
            <v>PRADERAS DEL SOL</v>
          </cell>
        </row>
        <row r="667">
          <cell r="A667">
            <v>7078</v>
          </cell>
          <cell r="B667" t="str">
            <v>ANA LUISA HERNANDESZ CUELLAR (SILAO)</v>
          </cell>
          <cell r="D667" t="str">
            <v>GUERRERO #56</v>
          </cell>
          <cell r="E667" t="str">
            <v>SILAO, GTO.</v>
          </cell>
          <cell r="G667" t="str">
            <v>(472) 738-1107</v>
          </cell>
          <cell r="V667" t="str">
            <v>CENTRO</v>
          </cell>
        </row>
        <row r="668">
          <cell r="A668">
            <v>7079</v>
          </cell>
          <cell r="B668" t="str">
            <v>ROSA MONROY SOTELO (TLAXCOAPAN)</v>
          </cell>
          <cell r="D668" t="str">
            <v>PLAZA JUAREZ #27</v>
          </cell>
          <cell r="E668" t="str">
            <v>TLAXCOAPAN, HGO.</v>
          </cell>
          <cell r="G668" t="str">
            <v>(773) 102-4716</v>
          </cell>
          <cell r="V668" t="str">
            <v>CENTRO</v>
          </cell>
        </row>
        <row r="669">
          <cell r="A669">
            <v>7080</v>
          </cell>
          <cell r="B669" t="str">
            <v>KARLA AGUILAR (TLAHUELILPAN)</v>
          </cell>
          <cell r="D669" t="str">
            <v>HOTEL</v>
          </cell>
          <cell r="E669" t="str">
            <v>-</v>
          </cell>
          <cell r="G669" t="str">
            <v>(773-148-4146</v>
          </cell>
        </row>
        <row r="670">
          <cell r="A670">
            <v>7081</v>
          </cell>
          <cell r="B670" t="str">
            <v>BLANCA ZARASUA (APASEO)</v>
          </cell>
          <cell r="D670" t="str">
            <v>C. GUADALUPE VICTORIA #600-D</v>
          </cell>
          <cell r="E670" t="str">
            <v>APASEO EL GRANDE, GTO.</v>
          </cell>
        </row>
        <row r="671">
          <cell r="A671">
            <v>7082</v>
          </cell>
          <cell r="B671" t="str">
            <v>MIRIAM ARIAS JURADO (CORONEO)</v>
          </cell>
          <cell r="D671" t="str">
            <v>HEROICO COLOGIO MILITAR #37</v>
          </cell>
          <cell r="E671" t="str">
            <v>CORONEO, GTO.</v>
          </cell>
          <cell r="G671" t="str">
            <v>(421) 102-6815</v>
          </cell>
          <cell r="V671" t="str">
            <v>CENTRO</v>
          </cell>
        </row>
        <row r="672">
          <cell r="A672">
            <v>7083</v>
          </cell>
          <cell r="B672" t="str">
            <v>CONCEPCION SANCHEZ ESPINOZA (TEPEJI)</v>
          </cell>
          <cell r="D672" t="str">
            <v>IGNACIO COMONFORT E/N</v>
          </cell>
          <cell r="E672" t="str">
            <v>TEPEJI DEL RIO, HGO.</v>
          </cell>
          <cell r="G672" t="str">
            <v>(773) 101-7960 ESTEBAN</v>
          </cell>
          <cell r="V672" t="str">
            <v>EL EDEN</v>
          </cell>
        </row>
        <row r="673">
          <cell r="A673">
            <v>7084</v>
          </cell>
          <cell r="B673" t="str">
            <v>ELIZABETH ESPINOZA BRIONES (COACALCO)</v>
          </cell>
          <cell r="E673" t="str">
            <v>COACALCO, EDO. DE MEXICO</v>
          </cell>
          <cell r="V673" t="str">
            <v>PARQUE RESIDENCIAL</v>
          </cell>
        </row>
        <row r="674">
          <cell r="A674">
            <v>7085</v>
          </cell>
          <cell r="B674" t="str">
            <v>ATALA CASTAÑEDA (ATITALAQUIA)</v>
          </cell>
          <cell r="D674" t="str">
            <v>MELCHOR OCAMPO #18</v>
          </cell>
          <cell r="E674" t="str">
            <v>ATITALAQUIA, HGO.</v>
          </cell>
          <cell r="V674" t="str">
            <v>CENTRO</v>
          </cell>
        </row>
        <row r="675">
          <cell r="A675">
            <v>7086</v>
          </cell>
          <cell r="B675" t="str">
            <v>MARTHA VAZQUEZ TORREZ (ATITALAQUIA)</v>
          </cell>
          <cell r="D675" t="str">
            <v>AV. DEL NORTE #2</v>
          </cell>
          <cell r="E675" t="str">
            <v>ATITALAQUIA, HGO.</v>
          </cell>
          <cell r="G675" t="str">
            <v>(778) 737-0114</v>
          </cell>
          <cell r="V675" t="str">
            <v>TLALMINULPA</v>
          </cell>
        </row>
        <row r="676">
          <cell r="A676">
            <v>7087</v>
          </cell>
          <cell r="B676" t="str">
            <v>JAIME PEREZ GALVAN (ALFAJAYUCAN)</v>
          </cell>
          <cell r="E676" t="str">
            <v>ALFAJAYUCAN, HGO.</v>
          </cell>
        </row>
        <row r="677">
          <cell r="A677">
            <v>7088</v>
          </cell>
          <cell r="B677" t="str">
            <v>OLIVIA PAZ ESTRELLA (HUICHAPAN)</v>
          </cell>
          <cell r="D677" t="str">
            <v>PLAZA JUAREZ #61</v>
          </cell>
          <cell r="E677" t="str">
            <v>HUICHAPAN, HGO.</v>
          </cell>
          <cell r="G677" t="str">
            <v>(773) 137-9351</v>
          </cell>
          <cell r="V677" t="str">
            <v>CENTRO</v>
          </cell>
        </row>
        <row r="678">
          <cell r="A678">
            <v>7089</v>
          </cell>
          <cell r="B678" t="str">
            <v>GEMA VAZQUEZ F. (SILAO)</v>
          </cell>
          <cell r="E678" t="str">
            <v>SILAO, GTO.</v>
          </cell>
        </row>
        <row r="679">
          <cell r="A679">
            <v>7090</v>
          </cell>
          <cell r="B679" t="str">
            <v>ISIDRA FLORES VAZQUEZ (E. MONTES)</v>
          </cell>
          <cell r="D679" t="str">
            <v>JOSEFA ORTIZ DE DOMINGUEZ #97</v>
          </cell>
          <cell r="E679" t="str">
            <v>EZEQUIEL MONTES, QRO.</v>
          </cell>
          <cell r="V679" t="str">
            <v>CENTRO</v>
          </cell>
        </row>
        <row r="680">
          <cell r="A680">
            <v>7091</v>
          </cell>
          <cell r="B680" t="str">
            <v>ALICIA GOMEZ (IXMIQUILPAN)</v>
          </cell>
          <cell r="D680" t="str">
            <v>PALLARES #9</v>
          </cell>
          <cell r="E680" t="str">
            <v>IXMIQUILPAN, HGO.</v>
          </cell>
          <cell r="V680" t="str">
            <v>CENTRO</v>
          </cell>
        </row>
        <row r="681">
          <cell r="A681">
            <v>7092</v>
          </cell>
          <cell r="B681" t="str">
            <v>RUBI MORENO (IXMIQUILPAN)</v>
          </cell>
          <cell r="D681" t="str">
            <v>ANTONIO ALZAPE #6 "B"</v>
          </cell>
          <cell r="E681" t="str">
            <v>IXMIQUILPAN, HGO.</v>
          </cell>
          <cell r="G681" t="str">
            <v>(772) 104-6412</v>
          </cell>
          <cell r="V681" t="str">
            <v>CENTRO</v>
          </cell>
        </row>
        <row r="682">
          <cell r="A682">
            <v>7093</v>
          </cell>
          <cell r="B682" t="str">
            <v>GUILLERMINA GONZALEZ ALCANTAR (AMEALCO)</v>
          </cell>
          <cell r="D682" t="str">
            <v>4TO. CENTENARIO #95</v>
          </cell>
          <cell r="E682" t="str">
            <v>AMEALCO, QRO.</v>
          </cell>
          <cell r="V682" t="str">
            <v>CENTRO</v>
          </cell>
        </row>
        <row r="683">
          <cell r="A683">
            <v>7094</v>
          </cell>
          <cell r="B683" t="str">
            <v>MARIPAZ MORALES MEJIA (AMEALCO)</v>
          </cell>
          <cell r="D683" t="str">
            <v>ALLENDE #50</v>
          </cell>
          <cell r="E683" t="str">
            <v>AMEALCO, QRO.</v>
          </cell>
          <cell r="V683" t="str">
            <v>CENTRO</v>
          </cell>
        </row>
        <row r="684">
          <cell r="A684">
            <v>7095</v>
          </cell>
          <cell r="B684" t="str">
            <v>JORGE RODRIGUEZ (SILAO)</v>
          </cell>
          <cell r="E684" t="str">
            <v>SILAO, GTO.</v>
          </cell>
        </row>
        <row r="685">
          <cell r="A685">
            <v>7096</v>
          </cell>
          <cell r="B685" t="str">
            <v>IMELDA SANCHEZ PISAÑA (TLAXCOAPAN)</v>
          </cell>
          <cell r="D685" t="str">
            <v>AV. REFORMA S/N</v>
          </cell>
          <cell r="E685" t="str">
            <v>TLAXCOAPAN, HGO.</v>
          </cell>
          <cell r="V685" t="str">
            <v>CENTRO</v>
          </cell>
        </row>
        <row r="686">
          <cell r="A686">
            <v>7097</v>
          </cell>
          <cell r="B686" t="str">
            <v>JOSE MARTIN CORCHADO OLVERA (ESCOBEDO)</v>
          </cell>
          <cell r="D686" t="str">
            <v>FRANCISCO I. MADERO NORIA</v>
          </cell>
          <cell r="E686" t="str">
            <v>PEDRO ESCOBEDO, QRO.</v>
          </cell>
          <cell r="G686" t="str">
            <v>(427) 166-7599</v>
          </cell>
          <cell r="V686" t="str">
            <v>NUEVA</v>
          </cell>
        </row>
        <row r="687">
          <cell r="A687">
            <v>7098</v>
          </cell>
          <cell r="B687" t="str">
            <v>VERONICA JIMENEZ (APASEO EL ALTO)</v>
          </cell>
          <cell r="D687" t="str">
            <v>CONSTITUYENTES #407</v>
          </cell>
          <cell r="E687" t="str">
            <v>APASEO EL ALTO, GTO.</v>
          </cell>
          <cell r="G687" t="str">
            <v>(413) 102-1474</v>
          </cell>
          <cell r="V687" t="str">
            <v>CENTRO</v>
          </cell>
        </row>
        <row r="688">
          <cell r="A688">
            <v>7099</v>
          </cell>
          <cell r="B688" t="str">
            <v>ELENA ROMERO MUÑOZ (QUERETARO)</v>
          </cell>
          <cell r="D688" t="str">
            <v>MERCADO ESCOBEDO LOC. 33 Y 34</v>
          </cell>
          <cell r="E688" t="str">
            <v>QUERETARO, QRO.</v>
          </cell>
          <cell r="F688" t="str">
            <v/>
          </cell>
          <cell r="G688" t="str">
            <v>(442) 274-2263 CEL</v>
          </cell>
          <cell r="H688" t="str">
            <v>ELENA ROMERO MUÑOZ</v>
          </cell>
          <cell r="I688" t="str">
            <v>ELENA ROMERO MUÑOZ</v>
          </cell>
          <cell r="J688" t="str">
            <v>L04</v>
          </cell>
          <cell r="K688" t="str">
            <v/>
          </cell>
          <cell r="L688">
            <v>0</v>
          </cell>
          <cell r="M688">
            <v>380</v>
          </cell>
          <cell r="N688" t="str">
            <v>A</v>
          </cell>
          <cell r="O688">
            <v>41290</v>
          </cell>
          <cell r="P688" t="str">
            <v xml:space="preserve">    1</v>
          </cell>
          <cell r="Q688">
            <v>0</v>
          </cell>
          <cell r="R688">
            <v>0</v>
          </cell>
          <cell r="S688">
            <v>0</v>
          </cell>
          <cell r="T688">
            <v>3789</v>
          </cell>
          <cell r="U688">
            <v>0</v>
          </cell>
          <cell r="V688" t="str">
            <v>CENTRO</v>
          </cell>
        </row>
        <row r="689">
          <cell r="A689">
            <v>7100</v>
          </cell>
          <cell r="B689" t="str">
            <v>MA. ISABEL ACEVEDO MARTINEZ (JERECUARO)</v>
          </cell>
          <cell r="D689" t="str">
            <v>AGUILAR Y MAYA #20</v>
          </cell>
          <cell r="E689" t="str">
            <v>JERECUARO, GTO.</v>
          </cell>
          <cell r="V689" t="str">
            <v>CENTRO</v>
          </cell>
        </row>
        <row r="690">
          <cell r="A690">
            <v>7101</v>
          </cell>
          <cell r="B690" t="str">
            <v>FLORENCIA VELAZQUEZ OROZCO (SAN JUAN DEL RIO)</v>
          </cell>
          <cell r="C690" t="str">
            <v>VEOF-651018-PC5</v>
          </cell>
          <cell r="D690" t="str">
            <v>PINO SUAREZ #58 LOCAL 10, PLANTA BAJA</v>
          </cell>
          <cell r="E690" t="str">
            <v>SAN JUAN DEL RIO, QRO.</v>
          </cell>
          <cell r="F690" t="str">
            <v>76800</v>
          </cell>
          <cell r="G690" t="str">
            <v>(427) 272-4690</v>
          </cell>
          <cell r="V690" t="str">
            <v>CENTRO</v>
          </cell>
        </row>
        <row r="691">
          <cell r="A691">
            <v>7102</v>
          </cell>
          <cell r="B691" t="str">
            <v>AMALIA MARTINEZ B. (QUERETARO)</v>
          </cell>
          <cell r="D691" t="str">
            <v>AV. SAN AGUSTIN DEL RETABLO 114-B</v>
          </cell>
          <cell r="E691" t="str">
            <v>QUERETARO, QRO.</v>
          </cell>
          <cell r="V691" t="str">
            <v>LA ERA</v>
          </cell>
        </row>
        <row r="692">
          <cell r="A692">
            <v>7103</v>
          </cell>
          <cell r="B692" t="str">
            <v>EDNA AMBROCIO (APAXCO)</v>
          </cell>
          <cell r="E692" t="str">
            <v>APAXCO, EDO. DE MEXICO</v>
          </cell>
        </row>
        <row r="693">
          <cell r="A693">
            <v>7104</v>
          </cell>
          <cell r="B693" t="str">
            <v>LUCILA (PROGRESO)</v>
          </cell>
          <cell r="E693" t="str">
            <v>PROGRESO, HGO.</v>
          </cell>
        </row>
        <row r="694">
          <cell r="A694">
            <v>7105</v>
          </cell>
          <cell r="B694" t="str">
            <v>DAMARIS TUNALES NIÑO (GUANAJUATO)</v>
          </cell>
          <cell r="D694" t="str">
            <v>MORELOS #203</v>
          </cell>
          <cell r="E694" t="str">
            <v>JARAL DEL PROGRESO, GTO.</v>
          </cell>
          <cell r="F694" t="str">
            <v>38470</v>
          </cell>
          <cell r="V694" t="str">
            <v>CENTRO</v>
          </cell>
        </row>
        <row r="695">
          <cell r="A695">
            <v>7106</v>
          </cell>
          <cell r="B695" t="str">
            <v>WENDY CASTRO CASTRO (QUERETARO)</v>
          </cell>
          <cell r="C695" t="str">
            <v>CACW-770420-5W7</v>
          </cell>
          <cell r="D695" t="str">
            <v>AV. HIDALGO #173-A PTE.</v>
          </cell>
          <cell r="E695" t="str">
            <v>QUERETARO, QRO.</v>
          </cell>
          <cell r="F695" t="str">
            <v/>
          </cell>
          <cell r="G695" t="str">
            <v>(442) 125-8583</v>
          </cell>
          <cell r="H695" t="str">
            <v>WENDY CASTRO CASTRO</v>
          </cell>
          <cell r="I695" t="str">
            <v>WENDY CASTRO CASTRO</v>
          </cell>
          <cell r="J695" t="str">
            <v>BAJA</v>
          </cell>
          <cell r="K695" t="str">
            <v/>
          </cell>
          <cell r="L695">
            <v>0</v>
          </cell>
          <cell r="M695">
            <v>378</v>
          </cell>
          <cell r="N695" t="str">
            <v>A</v>
          </cell>
          <cell r="O695">
            <v>41295</v>
          </cell>
          <cell r="P695" t="str">
            <v xml:space="preserve">    1</v>
          </cell>
          <cell r="Q695">
            <v>0</v>
          </cell>
          <cell r="R695">
            <v>0</v>
          </cell>
          <cell r="S695">
            <v>0</v>
          </cell>
          <cell r="T695">
            <v>3089</v>
          </cell>
          <cell r="U695">
            <v>0</v>
          </cell>
          <cell r="V695" t="str">
            <v>CENTRO</v>
          </cell>
          <cell r="W695" t="str">
            <v>GLOBOMAGIC TEJEDA</v>
          </cell>
          <cell r="X695" t="str">
            <v>GLOBOMAGIC HIDALGO</v>
          </cell>
        </row>
        <row r="696">
          <cell r="A696">
            <v>7107</v>
          </cell>
          <cell r="B696" t="str">
            <v>MARCO ANTONIO CASTRO (QUERETARO)</v>
          </cell>
          <cell r="D696" t="str">
            <v>MADERO #267 INT. 3</v>
          </cell>
          <cell r="E696" t="str">
            <v>QUERETARO, QRO.</v>
          </cell>
          <cell r="F696" t="str">
            <v>76000</v>
          </cell>
          <cell r="V696" t="str">
            <v>CENTRO</v>
          </cell>
        </row>
        <row r="697">
          <cell r="A697">
            <v>7108</v>
          </cell>
          <cell r="B697" t="str">
            <v>FABIOLA (SAN JOSE ITURBIDE)</v>
          </cell>
          <cell r="E697" t="str">
            <v>SAN JOSE ITURBIDE, GTO.</v>
          </cell>
        </row>
        <row r="698">
          <cell r="A698">
            <v>7109</v>
          </cell>
          <cell r="B698" t="str">
            <v>JULIO VIQUEZ (CUAUTITLAN)</v>
          </cell>
          <cell r="D698" t="str">
            <v>MERCADO CUAUTITLAN</v>
          </cell>
          <cell r="E698" t="str">
            <v>CUAUTITLAN, EDO. DE MEXICO</v>
          </cell>
        </row>
        <row r="699">
          <cell r="A699">
            <v>7110</v>
          </cell>
          <cell r="B699" t="str">
            <v>ROSALINDA VALLEJO PLAZA (SALAMANCA)</v>
          </cell>
          <cell r="D699" t="str">
            <v>MERCADO SALAMANCA</v>
          </cell>
          <cell r="E699" t="str">
            <v>SALAMANCA, GTO.</v>
          </cell>
        </row>
        <row r="700">
          <cell r="A700">
            <v>7111</v>
          </cell>
          <cell r="B700" t="str">
            <v>ADRIANA AYALA (PARQUE)</v>
          </cell>
          <cell r="E700" t="str">
            <v>COACALCO, EDO. DE MEXICO</v>
          </cell>
        </row>
        <row r="701">
          <cell r="A701">
            <v>7112</v>
          </cell>
          <cell r="B701" t="str">
            <v>CECILIA CRUZ RODRIGUEZ (SILAO)</v>
          </cell>
          <cell r="D701" t="str">
            <v>FUNDACION #17</v>
          </cell>
          <cell r="E701" t="str">
            <v>SILAO, GTO.</v>
          </cell>
          <cell r="F701" t="str">
            <v>36100</v>
          </cell>
          <cell r="G701" t="str">
            <v>(472) 738-8370</v>
          </cell>
          <cell r="V701" t="str">
            <v>CENTRO</v>
          </cell>
        </row>
        <row r="702">
          <cell r="A702">
            <v>7113</v>
          </cell>
          <cell r="B702" t="str">
            <v>MARTHA MONROY (VILLA)</v>
          </cell>
          <cell r="E702" t="str">
            <v>COACALCO, EDO. DE MEXICO</v>
          </cell>
        </row>
        <row r="703">
          <cell r="A703">
            <v>7114</v>
          </cell>
          <cell r="B703" t="str">
            <v>ELISA MONDRAGON (QUERETARO)</v>
          </cell>
          <cell r="D703" t="str">
            <v>ANDADOR 16 DE SEPTIEMBRE #25</v>
          </cell>
          <cell r="E703" t="str">
            <v>QUERETARO, QRO.</v>
          </cell>
          <cell r="V703" t="str">
            <v>CENTRO</v>
          </cell>
        </row>
        <row r="704">
          <cell r="A704">
            <v>7115</v>
          </cell>
          <cell r="B704" t="str">
            <v>LA FIESTA DE VALENTINA (QUERETARO(</v>
          </cell>
          <cell r="D704" t="str">
            <v>SOMBRETE #1080, LOCAL 12</v>
          </cell>
          <cell r="E704" t="str">
            <v>QUERETARO, QRO.</v>
          </cell>
        </row>
        <row r="705">
          <cell r="A705">
            <v>7116</v>
          </cell>
          <cell r="B705" t="str">
            <v>FATIMA HERRERA "REGALOS FIORY" (QUERETARO)</v>
          </cell>
          <cell r="D705" t="str">
            <v>HDA. EL JACAL #410</v>
          </cell>
          <cell r="E705" t="str">
            <v>QUERETARO, QRO.</v>
          </cell>
          <cell r="G705" t="str">
            <v>(442) 119-2608</v>
          </cell>
          <cell r="V705" t="str">
            <v>JARDINES DE LA HDA.</v>
          </cell>
        </row>
        <row r="706">
          <cell r="A706">
            <v>7117</v>
          </cell>
          <cell r="B706" t="str">
            <v>CLAUDIA "PARTY LAND"</v>
          </cell>
          <cell r="E706" t="str">
            <v>QUERETARO, QRO.</v>
          </cell>
        </row>
        <row r="707">
          <cell r="A707">
            <v>7118</v>
          </cell>
          <cell r="B707" t="str">
            <v>LAURA CARLA OROZCO (QUERETARO)</v>
          </cell>
          <cell r="D707" t="str">
            <v>AV. PASEO DE LA REFORMA #111, LOCAL 7</v>
          </cell>
          <cell r="E707" t="str">
            <v>QUERETARO, QRO.</v>
          </cell>
          <cell r="V707" t="str">
            <v>LOMAS DEL MARQUEZ</v>
          </cell>
        </row>
        <row r="708">
          <cell r="A708">
            <v>7119</v>
          </cell>
          <cell r="B708" t="str">
            <v>MARINA GARCIA (CUAUTITLAN)</v>
          </cell>
          <cell r="E708" t="str">
            <v>CUAUTITLAN, EDO. DE MEXICO</v>
          </cell>
          <cell r="G708" t="str">
            <v>(56) 2124-0979</v>
          </cell>
        </row>
        <row r="709">
          <cell r="A709">
            <v>7120</v>
          </cell>
          <cell r="B709" t="str">
            <v>ALICIA OLVERA (A. EL ALTO)</v>
          </cell>
          <cell r="D709" t="str">
            <v>INDEPENDENCIA #10</v>
          </cell>
          <cell r="E709" t="str">
            <v>APASEO EL ALTO, GTO.</v>
          </cell>
          <cell r="G709" t="str">
            <v>(413) 113-3665</v>
          </cell>
          <cell r="V709" t="str">
            <v>CENTRO</v>
          </cell>
        </row>
        <row r="710">
          <cell r="A710">
            <v>7121</v>
          </cell>
          <cell r="B710" t="str">
            <v>RAQUEL NAVARRO (APAXCO)</v>
          </cell>
          <cell r="D710" t="str">
            <v>AV. JUAREZ ESQ. PINO SUAREZ S/N</v>
          </cell>
          <cell r="E710" t="str">
            <v>APAXCO, EDO. DE MEXICO</v>
          </cell>
          <cell r="G710" t="str">
            <v>(55) 3931-3393</v>
          </cell>
          <cell r="V710" t="str">
            <v>CENTRO</v>
          </cell>
        </row>
        <row r="711">
          <cell r="A711">
            <v>7122</v>
          </cell>
          <cell r="B711" t="str">
            <v>ANGELICA REYES (TEQUISQUIAC)</v>
          </cell>
          <cell r="D711" t="str">
            <v>PORFIRIO DIAZ S/N</v>
          </cell>
          <cell r="E711" t="str">
            <v>TEQUISQUIAC, EDO. DE MEXICO</v>
          </cell>
        </row>
        <row r="712">
          <cell r="A712">
            <v>7123</v>
          </cell>
          <cell r="B712" t="str">
            <v>BRIANDA MONTES (E. MONTES)</v>
          </cell>
          <cell r="D712" t="str">
            <v>EMILIANO ZAPATA #109-A</v>
          </cell>
          <cell r="E712" t="str">
            <v>EZEQUIEL MONTES, QRO.</v>
          </cell>
          <cell r="G712" t="str">
            <v>(441) 109-0189</v>
          </cell>
          <cell r="V712" t="str">
            <v>CENTRO</v>
          </cell>
        </row>
        <row r="713">
          <cell r="A713">
            <v>7124</v>
          </cell>
          <cell r="B713" t="str">
            <v>ADRIANA CABALLERO (ACAMBARO)</v>
          </cell>
          <cell r="D713" t="str">
            <v>MORELOS ESQ. ABASOLO</v>
          </cell>
          <cell r="E713" t="str">
            <v>ACAMBARO, GTO.</v>
          </cell>
          <cell r="G713" t="str">
            <v>(417) 110-0028</v>
          </cell>
          <cell r="V713" t="str">
            <v>CENTRO</v>
          </cell>
        </row>
        <row r="714">
          <cell r="A714">
            <v>7125</v>
          </cell>
          <cell r="B714" t="str">
            <v>KARLA OROZCO (QUERETARO)</v>
          </cell>
          <cell r="E714" t="str">
            <v>QUERETARO, QRO.</v>
          </cell>
        </row>
        <row r="715">
          <cell r="A715">
            <v>7126</v>
          </cell>
          <cell r="B715" t="str">
            <v>SANDRA HERNANDEZ (COACALCO)</v>
          </cell>
          <cell r="E715" t="str">
            <v>COACALCO, EDO. DE MEXICO</v>
          </cell>
        </row>
        <row r="716">
          <cell r="A716">
            <v>7127</v>
          </cell>
          <cell r="B716" t="str">
            <v>MONSERRAT MUSIÑO (APAXCO)</v>
          </cell>
          <cell r="D716" t="str">
            <v>ESTRELLA #11</v>
          </cell>
          <cell r="E716" t="str">
            <v>APAXCO, EDO. DE MEXICO</v>
          </cell>
          <cell r="V716" t="str">
            <v>CENTRO</v>
          </cell>
        </row>
        <row r="717">
          <cell r="A717">
            <v>7128</v>
          </cell>
          <cell r="B717" t="str">
            <v>KAREN CRUZ AGUILAR (TEZONTEPEC)</v>
          </cell>
          <cell r="E717" t="str">
            <v>TEZONTEPEC, HGO.</v>
          </cell>
        </row>
        <row r="718">
          <cell r="A718">
            <v>7129</v>
          </cell>
          <cell r="B718" t="str">
            <v>ELYUD PUANTA (TEQUIS)</v>
          </cell>
          <cell r="E718" t="str">
            <v>TEQUISQUIAPAN, QRO.</v>
          </cell>
          <cell r="G718" t="str">
            <v>(55) 6942-0521</v>
          </cell>
        </row>
        <row r="719">
          <cell r="A719">
            <v>7130</v>
          </cell>
          <cell r="B719" t="str">
            <v>CARLOS EDUARDO GUEVARA SORIA (QUERETARO)</v>
          </cell>
          <cell r="D719" t="str">
            <v>ZARAGOZA #39 ORIENTE, ENTRE PASTEUR Y VERGARA</v>
          </cell>
          <cell r="E719" t="str">
            <v>QUERETARO, QRO.</v>
          </cell>
          <cell r="V719" t="str">
            <v>CENTRO</v>
          </cell>
        </row>
        <row r="720">
          <cell r="A720">
            <v>7131</v>
          </cell>
          <cell r="B720" t="str">
            <v>BLANCA REYES (TEZONTEPEC)</v>
          </cell>
          <cell r="E720" t="str">
            <v>-</v>
          </cell>
        </row>
        <row r="721">
          <cell r="A721">
            <v>7132</v>
          </cell>
          <cell r="B721" t="str">
            <v>MARCO CASTRO "ENGLOBATE" (QUERETARO)</v>
          </cell>
          <cell r="E721" t="str">
            <v>QUERETARO, QRO.</v>
          </cell>
          <cell r="G721" t="str">
            <v>(442) 343-4413</v>
          </cell>
        </row>
        <row r="722">
          <cell r="A722">
            <v>7133</v>
          </cell>
          <cell r="B722" t="str">
            <v>ALEJANDRO CAMARENA "HAPPY BOX" (QUERETARO)</v>
          </cell>
          <cell r="E722" t="str">
            <v>QUERETARO, QRO.</v>
          </cell>
          <cell r="G722" t="str">
            <v>(442) 608-9743</v>
          </cell>
        </row>
        <row r="723">
          <cell r="A723">
            <v>7134</v>
          </cell>
          <cell r="B723" t="str">
            <v>ANGEL CRUZ / JUDITH MENDOZA (ATLACOMULCO)</v>
          </cell>
          <cell r="D723" t="str">
            <v>MERCADO LA MADRID LOC. 8</v>
          </cell>
          <cell r="E723" t="str">
            <v>ATLACOMULCO, EDO. DE MEXICO</v>
          </cell>
          <cell r="G723" t="str">
            <v>(712) 149-8625</v>
          </cell>
          <cell r="V723" t="str">
            <v>CENTRO</v>
          </cell>
        </row>
        <row r="724">
          <cell r="A724">
            <v>7135</v>
          </cell>
          <cell r="B724" t="str">
            <v>IVEN OLVERA (SALAMANCA)</v>
          </cell>
          <cell r="E724" t="str">
            <v>SALAMANCA, GTO.</v>
          </cell>
          <cell r="G724" t="str">
            <v>(464) 125-3549</v>
          </cell>
        </row>
        <row r="725">
          <cell r="A725">
            <v>7136</v>
          </cell>
          <cell r="B725" t="str">
            <v>ANTONIO HERNANDEZ MACIAS (QUERETARO)</v>
          </cell>
          <cell r="D725" t="str">
            <v>EZEQUIEL MONTES #47</v>
          </cell>
          <cell r="E725" t="str">
            <v>QUERETARO, QRO.</v>
          </cell>
          <cell r="F725" t="str">
            <v>76000</v>
          </cell>
          <cell r="G725" t="str">
            <v>(444) 848-7174</v>
          </cell>
          <cell r="V725" t="str">
            <v>CENTRO</v>
          </cell>
        </row>
        <row r="726">
          <cell r="A726">
            <v>7137</v>
          </cell>
          <cell r="B726" t="str">
            <v>TERESA RODRIGUEZ (COACALCO)</v>
          </cell>
          <cell r="D726" t="str">
            <v>16 DE SEPTIEMBRE #17</v>
          </cell>
          <cell r="E726" t="str">
            <v>COACALCO, EDO. DE MEXICO</v>
          </cell>
          <cell r="J726" t="str">
            <v>F02A</v>
          </cell>
          <cell r="V726" t="str">
            <v>CENTRO</v>
          </cell>
        </row>
        <row r="727">
          <cell r="A727">
            <v>7138</v>
          </cell>
          <cell r="B727" t="str">
            <v>FELICITAS OROPEZA (TEZONTEPEC)</v>
          </cell>
          <cell r="D727" t="str">
            <v>INSURGENTES #8</v>
          </cell>
          <cell r="E727" t="str">
            <v>TEZONTEPEC, HGO.</v>
          </cell>
          <cell r="G727" t="str">
            <v>(773) 138-6336</v>
          </cell>
          <cell r="J727" t="str">
            <v>F02</v>
          </cell>
          <cell r="V727" t="str">
            <v>CENTRO</v>
          </cell>
        </row>
        <row r="728">
          <cell r="A728">
            <v>7139</v>
          </cell>
          <cell r="B728" t="str">
            <v>ROSALIA GRANADOS (TEPEJI)</v>
          </cell>
          <cell r="D728" t="str">
            <v>AV. HIDALGO S/N</v>
          </cell>
          <cell r="E728" t="str">
            <v>TEXCOCO, EDO. DE MEXICO</v>
          </cell>
          <cell r="G728" t="str">
            <v>(55) 4948-2124</v>
          </cell>
          <cell r="J728" t="str">
            <v>F02</v>
          </cell>
          <cell r="V728" t="str">
            <v>SANTA MARIA</v>
          </cell>
        </row>
        <row r="729">
          <cell r="A729">
            <v>7140</v>
          </cell>
          <cell r="B729" t="str">
            <v>KARINA RIVERA RAMIREZ (CUERAMARO)</v>
          </cell>
          <cell r="D729" t="str">
            <v>PORTAL MADERO #115</v>
          </cell>
          <cell r="E729" t="str">
            <v>CUERAMARO, GTO.</v>
          </cell>
          <cell r="J729" t="str">
            <v>F04</v>
          </cell>
          <cell r="V729" t="str">
            <v>CENTRO</v>
          </cell>
        </row>
        <row r="730">
          <cell r="A730">
            <v>7141</v>
          </cell>
          <cell r="B730" t="str">
            <v>ANGELICA HERNANDEZ (CUERAMARO)</v>
          </cell>
          <cell r="D730" t="str">
            <v>VENUSTIANO CARRANZA #105</v>
          </cell>
          <cell r="E730" t="str">
            <v>CUERAMARO, GTO.</v>
          </cell>
          <cell r="J730" t="str">
            <v>F04</v>
          </cell>
          <cell r="V730" t="str">
            <v>CENTRO</v>
          </cell>
        </row>
        <row r="731">
          <cell r="A731">
            <v>7142</v>
          </cell>
          <cell r="B731" t="str">
            <v>LUPITA RICO ESPINO (SAN JUAN)</v>
          </cell>
          <cell r="D731" t="str">
            <v>AV. JUAREZ</v>
          </cell>
          <cell r="E731" t="str">
            <v>SAN JUAN DEL RIO, QRO.</v>
          </cell>
          <cell r="J731" t="str">
            <v>L04</v>
          </cell>
          <cell r="V731" t="str">
            <v>CENTRO</v>
          </cell>
        </row>
        <row r="732">
          <cell r="A732">
            <v>7143</v>
          </cell>
          <cell r="B732" t="str">
            <v>SARA GUILLERMINA BARRON ROSAS (ESCOBEDO)</v>
          </cell>
          <cell r="D732" t="str">
            <v>PLAZA PRINCIPAL #4</v>
          </cell>
          <cell r="E732" t="str">
            <v>PEDRO ESCOBEDO, QRO.</v>
          </cell>
          <cell r="G732" t="str">
            <v>(448) 105-1924 CEL SARITA</v>
          </cell>
          <cell r="J732" t="str">
            <v>L04</v>
          </cell>
          <cell r="V732" t="str">
            <v>CENTRO</v>
          </cell>
        </row>
        <row r="733">
          <cell r="A733">
            <v>7144</v>
          </cell>
          <cell r="B733" t="str">
            <v>CINTHIA MARTINEZ (ESCOBEDO)</v>
          </cell>
          <cell r="D733" t="str">
            <v>CUAUHTEMOC #9</v>
          </cell>
          <cell r="E733" t="str">
            <v>PEDRO ESCOBEDO, QRO.</v>
          </cell>
          <cell r="G733" t="str">
            <v>(448) 111-8698</v>
          </cell>
          <cell r="J733" t="str">
            <v>L04</v>
          </cell>
          <cell r="V733" t="str">
            <v>CENTRO</v>
          </cell>
        </row>
        <row r="734">
          <cell r="A734">
            <v>7145</v>
          </cell>
          <cell r="B734" t="str">
            <v>CELIA RAMIREZ R. (CADEREYTA)</v>
          </cell>
          <cell r="D734" t="str">
            <v>CONJUNTO COMERCIAL</v>
          </cell>
          <cell r="E734" t="str">
            <v>CADEREYTA, QRO.</v>
          </cell>
          <cell r="G734" t="str">
            <v>(441) 100-3075</v>
          </cell>
          <cell r="J734" t="str">
            <v>J02</v>
          </cell>
          <cell r="V734" t="str">
            <v>CENTRO</v>
          </cell>
        </row>
        <row r="735">
          <cell r="A735">
            <v>7146</v>
          </cell>
          <cell r="B735" t="str">
            <v>ALBERTO BRAVO (NOPALA DE HIDALGO)</v>
          </cell>
          <cell r="D735" t="str">
            <v>AV. VILLAGRAN S/N</v>
          </cell>
          <cell r="E735" t="str">
            <v>NOPALA DE VILLAGRAN, HGO.</v>
          </cell>
          <cell r="G735" t="str">
            <v>(773) 156-0977</v>
          </cell>
          <cell r="J735" t="str">
            <v>F01</v>
          </cell>
          <cell r="V735" t="str">
            <v>CENTRO</v>
          </cell>
        </row>
        <row r="736">
          <cell r="A736">
            <v>7147</v>
          </cell>
          <cell r="B736" t="str">
            <v>PATRICIA RESENDIS (APAXCO)</v>
          </cell>
          <cell r="D736" t="str">
            <v>ALLENDE #39</v>
          </cell>
          <cell r="E736" t="str">
            <v>APAXCO, EDO. DE MEXICO</v>
          </cell>
          <cell r="J736" t="str">
            <v>F02B</v>
          </cell>
          <cell r="V736" t="str">
            <v>CENTRO</v>
          </cell>
        </row>
        <row r="737">
          <cell r="A737">
            <v>7148</v>
          </cell>
          <cell r="B737" t="str">
            <v>MARTHA GONZALEZ (ACAMBAY)</v>
          </cell>
          <cell r="D737" t="str">
            <v>5 DE MAYO #20</v>
          </cell>
          <cell r="E737" t="str">
            <v>ACAMBAY, EDO. DE MEXICO</v>
          </cell>
          <cell r="G737" t="str">
            <v>(712) 108-6573</v>
          </cell>
          <cell r="J737" t="str">
            <v>L08</v>
          </cell>
          <cell r="V737" t="str">
            <v>CENTRO</v>
          </cell>
        </row>
        <row r="738">
          <cell r="A738">
            <v>7149</v>
          </cell>
          <cell r="B738" t="str">
            <v>ALMA DELIA RANGEL "ALEBRIJE SHOP" (SAN JUAN)</v>
          </cell>
          <cell r="E738" t="str">
            <v>SAN JUAN DEL RIO, QRO.</v>
          </cell>
          <cell r="G738" t="str">
            <v>(427) 150-2594</v>
          </cell>
          <cell r="J738" t="str">
            <v>J01</v>
          </cell>
        </row>
        <row r="739">
          <cell r="A739">
            <v>7150</v>
          </cell>
          <cell r="B739" t="str">
            <v>GILBERTO ELIZONDE OROPEZA (SAN JUAN DEL RIO)</v>
          </cell>
          <cell r="D739" t="str">
            <v>AGUILA MAYA #101-8B</v>
          </cell>
          <cell r="E739" t="str">
            <v>SAN JUAN DEL RIO, QRO.</v>
          </cell>
          <cell r="G739" t="str">
            <v>(427) 122-7305 / (427) 219-9105</v>
          </cell>
          <cell r="J739" t="str">
            <v>J01</v>
          </cell>
          <cell r="V739" t="str">
            <v>LAS AGUILAS</v>
          </cell>
        </row>
        <row r="740">
          <cell r="A740">
            <v>7151</v>
          </cell>
          <cell r="B740" t="str">
            <v>MIRNA MONROY (POLOTITLAN)</v>
          </cell>
          <cell r="E740" t="str">
            <v>POLOTITLAN, EDO. DE MEXICO</v>
          </cell>
          <cell r="G740" t="str">
            <v>(55) 5460-4122</v>
          </cell>
          <cell r="J740" t="str">
            <v>F02B</v>
          </cell>
        </row>
        <row r="741">
          <cell r="A741">
            <v>7152</v>
          </cell>
          <cell r="B741" t="str">
            <v>ANA LAURA CAMACHO (JILOTEPEC)</v>
          </cell>
          <cell r="E741" t="str">
            <v>JILOTEPEC, EDO. DE MEXICO</v>
          </cell>
          <cell r="G741" t="str">
            <v>(761) 734-0152 LOCAL</v>
          </cell>
          <cell r="J741" t="str">
            <v>F02B</v>
          </cell>
        </row>
        <row r="742">
          <cell r="A742">
            <v>7153</v>
          </cell>
          <cell r="B742" t="str">
            <v>AMELIA FUENTES (PROGRESO)</v>
          </cell>
          <cell r="D742" t="str">
            <v>AV. DEL TRABAJO</v>
          </cell>
          <cell r="E742" t="str">
            <v>PROGRESO, HGO.</v>
          </cell>
          <cell r="G742" t="str">
            <v>(773) 128-1719</v>
          </cell>
          <cell r="J742" t="str">
            <v>F02B</v>
          </cell>
        </row>
        <row r="743">
          <cell r="A743">
            <v>7154</v>
          </cell>
          <cell r="B743" t="str">
            <v>IVAN PEREZ (TEZONTEPEC)</v>
          </cell>
          <cell r="E743" t="str">
            <v>TEZONTEPEC, HGO.</v>
          </cell>
          <cell r="G743" t="str">
            <v>(773) 107-4445</v>
          </cell>
          <cell r="J743" t="str">
            <v>F02B</v>
          </cell>
        </row>
        <row r="744">
          <cell r="A744">
            <v>7155</v>
          </cell>
          <cell r="B744" t="str">
            <v>LUZ GARCIA VELAZQUEZ (TLAXCOAPAN)</v>
          </cell>
          <cell r="D744" t="str">
            <v>20 DE NOVIEMBRE</v>
          </cell>
          <cell r="E744" t="str">
            <v>TLAXCOAPAN, HGO.</v>
          </cell>
          <cell r="G744" t="str">
            <v>(773) 114-5548</v>
          </cell>
          <cell r="J744" t="str">
            <v>F02B</v>
          </cell>
          <cell r="V744" t="str">
            <v>CENTRO</v>
          </cell>
        </row>
        <row r="745">
          <cell r="A745">
            <v>7156</v>
          </cell>
          <cell r="B745" t="str">
            <v>KARLA DIEGO (SILAO)</v>
          </cell>
          <cell r="D745" t="str">
            <v>PLAZA PRINCIPAL #24</v>
          </cell>
          <cell r="E745" t="str">
            <v>SILAO, GTO.</v>
          </cell>
          <cell r="J745" t="str">
            <v>F04</v>
          </cell>
          <cell r="V745" t="str">
            <v>CENTRO</v>
          </cell>
        </row>
        <row r="746">
          <cell r="A746">
            <v>7157</v>
          </cell>
          <cell r="B746" t="str">
            <v>PERLA IVONNE ABASTA GARCIA (HUIXQUILUCAN)</v>
          </cell>
          <cell r="D746" t="str">
            <v>SAN MARTIN SANTOS DEGOLLADOS #25</v>
          </cell>
          <cell r="E746" t="str">
            <v>HUIXQUILUCAN, EDO. DE MEXICO</v>
          </cell>
          <cell r="G746" t="str">
            <v>(712) 185-8015</v>
          </cell>
          <cell r="J746" t="str">
            <v>L08</v>
          </cell>
          <cell r="V746" t="str">
            <v>CENTRO</v>
          </cell>
        </row>
        <row r="747">
          <cell r="A747">
            <v>7158</v>
          </cell>
          <cell r="B747" t="str">
            <v>GUADALUPE AGUILAR (APAXCO)</v>
          </cell>
          <cell r="E747" t="str">
            <v>APAXCO, EDO. DE MEXICO</v>
          </cell>
          <cell r="J747" t="str">
            <v>F02B</v>
          </cell>
        </row>
        <row r="748">
          <cell r="A748">
            <v>7159</v>
          </cell>
          <cell r="B748" t="str">
            <v>LOGANDRUS (APAXCO)</v>
          </cell>
          <cell r="E748" t="str">
            <v>APAXCO, EDO. DE MEXICO</v>
          </cell>
          <cell r="J748" t="str">
            <v>F02B</v>
          </cell>
        </row>
        <row r="749">
          <cell r="A749">
            <v>7160</v>
          </cell>
          <cell r="B749" t="str">
            <v>KARLA VIRIDIANA CONTRERAS DIAZ (TLALMINULPAN)</v>
          </cell>
          <cell r="D749" t="str">
            <v>AV. DEL NORTE S/N</v>
          </cell>
          <cell r="E749" t="str">
            <v>TLALMINULPA, HGO.</v>
          </cell>
          <cell r="J749" t="str">
            <v>F02B</v>
          </cell>
        </row>
        <row r="750">
          <cell r="A750">
            <v>7161</v>
          </cell>
          <cell r="B750" t="str">
            <v>CIBER CITY (HUICHAPAN)</v>
          </cell>
          <cell r="D750" t="str">
            <v>JORGE ROJO LUGO #15</v>
          </cell>
          <cell r="E750" t="str">
            <v>HUICHAPAN, HGO.</v>
          </cell>
          <cell r="G750" t="str">
            <v>(773) 131-3338</v>
          </cell>
          <cell r="J750" t="str">
            <v>F02</v>
          </cell>
          <cell r="V750" t="str">
            <v>CENTRO</v>
          </cell>
        </row>
        <row r="751">
          <cell r="A751">
            <v>7162</v>
          </cell>
          <cell r="B751" t="str">
            <v>SERGIO HERNANDEZ "EL GLOBO ROJO" (IRAPUATO)</v>
          </cell>
          <cell r="D751" t="str">
            <v>BLVD. LAZARO CARDENAS #411-B</v>
          </cell>
          <cell r="E751" t="str">
            <v>IRAPUATO, GTO.</v>
          </cell>
          <cell r="G751" t="str">
            <v>(462) 124-3611</v>
          </cell>
          <cell r="J751" t="str">
            <v>F04</v>
          </cell>
        </row>
        <row r="752">
          <cell r="A752">
            <v>7163</v>
          </cell>
          <cell r="B752" t="str">
            <v>SOLEDAD SERVIN (SALAMANCA)</v>
          </cell>
          <cell r="D752" t="str">
            <v>JUAREZ #127</v>
          </cell>
          <cell r="E752" t="str">
            <v>SALAMANCA, GTO.</v>
          </cell>
          <cell r="G752" t="str">
            <v>(464) 134-7128</v>
          </cell>
          <cell r="J752" t="str">
            <v>F04</v>
          </cell>
          <cell r="V752" t="str">
            <v>CENTRO</v>
          </cell>
        </row>
        <row r="753">
          <cell r="A753">
            <v>7164</v>
          </cell>
          <cell r="B753" t="str">
            <v>FABIOLA LOPEZ TORRES (APAXCO)</v>
          </cell>
          <cell r="D753" t="str">
            <v>HIDALGO #113</v>
          </cell>
          <cell r="E753" t="str">
            <v>APAXCO, EDO. DE MEXICO</v>
          </cell>
          <cell r="J753" t="str">
            <v>F02B</v>
          </cell>
          <cell r="V753" t="str">
            <v>CENTRO</v>
          </cell>
        </row>
        <row r="754">
          <cell r="A754">
            <v>7165</v>
          </cell>
          <cell r="B754" t="str">
            <v>PAULA CRUZ PAREDES (TEZONTEPEC)</v>
          </cell>
          <cell r="D754" t="str">
            <v>JUAN ALDAMA</v>
          </cell>
          <cell r="E754" t="str">
            <v>TEZONTEPEC, HGO.</v>
          </cell>
          <cell r="G754" t="str">
            <v>(773)130-8318</v>
          </cell>
          <cell r="J754" t="str">
            <v>F02B</v>
          </cell>
        </row>
        <row r="755">
          <cell r="A755">
            <v>7166</v>
          </cell>
          <cell r="B755" t="str">
            <v>ANGELICA MORALES (AMEALCO)</v>
          </cell>
          <cell r="D755" t="str">
            <v>ALLENDE S/N</v>
          </cell>
          <cell r="E755" t="str">
            <v>AMEALCO, QRO.</v>
          </cell>
          <cell r="J755" t="str">
            <v>L06</v>
          </cell>
          <cell r="V755" t="str">
            <v>CENTRO</v>
          </cell>
        </row>
        <row r="756">
          <cell r="A756">
            <v>7167</v>
          </cell>
          <cell r="B756" t="str">
            <v>BLANCA MARTINEZ (ACAMBARO)</v>
          </cell>
          <cell r="D756" t="str">
            <v>GUERRERO #14</v>
          </cell>
          <cell r="E756" t="str">
            <v>ACAMBARO, GTO.</v>
          </cell>
          <cell r="G756" t="str">
            <v>(417) 103-4870 ELISEO</v>
          </cell>
          <cell r="J756" t="str">
            <v>J06</v>
          </cell>
          <cell r="V756" t="str">
            <v>CENTRO</v>
          </cell>
        </row>
        <row r="757">
          <cell r="A757">
            <v>7168</v>
          </cell>
          <cell r="B757" t="str">
            <v>ARACELI PINEDA (COACALCO)</v>
          </cell>
          <cell r="D757" t="str">
            <v>PASEO DE LAS JOYAS</v>
          </cell>
          <cell r="E757" t="str">
            <v>COACALCO, EDO. DE MEXICO</v>
          </cell>
          <cell r="J757" t="str">
            <v>F02A</v>
          </cell>
        </row>
        <row r="758">
          <cell r="A758">
            <v>7169</v>
          </cell>
          <cell r="B758" t="str">
            <v>PILAR REYES AGUILAR (APAXCO)</v>
          </cell>
          <cell r="E758" t="str">
            <v>APAXCO, EDO. DE MEXICO</v>
          </cell>
          <cell r="J758" t="str">
            <v>F02B</v>
          </cell>
        </row>
        <row r="759">
          <cell r="A759">
            <v>7170</v>
          </cell>
          <cell r="B759" t="str">
            <v>MERCEDES PEREZ SANTIAGO (ATITALAQUIA)</v>
          </cell>
          <cell r="E759" t="str">
            <v>ATITALAQUIA, HGO.</v>
          </cell>
          <cell r="J759" t="str">
            <v>F02B</v>
          </cell>
        </row>
        <row r="760">
          <cell r="A760">
            <v>7171</v>
          </cell>
          <cell r="B760" t="str">
            <v>MARIA DE LA LUZ (TLAXCOAPAN)</v>
          </cell>
          <cell r="E760" t="str">
            <v>TLAXCOAPAN, HGO.</v>
          </cell>
          <cell r="J760" t="str">
            <v>F02B</v>
          </cell>
        </row>
        <row r="761">
          <cell r="A761">
            <v>7172</v>
          </cell>
          <cell r="B761" t="str">
            <v>EDITH MIRANDA (IZCALLI)</v>
          </cell>
          <cell r="D761" t="str">
            <v>PLAZA CAPRICORNIO LOCAL 5</v>
          </cell>
          <cell r="E761" t="str">
            <v>C. IZCALLI, ESTADO DE MEXICO</v>
          </cell>
          <cell r="J761" t="str">
            <v>F02A</v>
          </cell>
        </row>
        <row r="762">
          <cell r="A762">
            <v>7173</v>
          </cell>
          <cell r="B762" t="str">
            <v>MAYRA NAVA (COACALCO)</v>
          </cell>
          <cell r="D762" t="str">
            <v>VILLA DE LAS FLORES</v>
          </cell>
          <cell r="E762" t="str">
            <v>COACALCO, EDO. DE MEXICO</v>
          </cell>
          <cell r="J762" t="str">
            <v>F02A</v>
          </cell>
        </row>
        <row r="763">
          <cell r="A763">
            <v>7174</v>
          </cell>
          <cell r="B763" t="str">
            <v>LAURA ORTEGA (ZARZAPARRILLAS)</v>
          </cell>
          <cell r="D763" t="str">
            <v>ZARZAPARRILLAS</v>
          </cell>
          <cell r="E763" t="str">
            <v>COACALCO, EDO. DE MEXICO</v>
          </cell>
          <cell r="J763" t="str">
            <v>F02A</v>
          </cell>
        </row>
        <row r="764">
          <cell r="A764">
            <v>7175</v>
          </cell>
          <cell r="B764" t="str">
            <v>ANDREA MEZA BARRANCO (TLAHUELILPAN)</v>
          </cell>
          <cell r="D764" t="str">
            <v>AV. REFORMA #53</v>
          </cell>
          <cell r="E764" t="str">
            <v>TLAHUELILPAN, HGO.</v>
          </cell>
          <cell r="J764" t="str">
            <v>F02B</v>
          </cell>
          <cell r="V764" t="str">
            <v>CENTRO</v>
          </cell>
        </row>
        <row r="765">
          <cell r="A765">
            <v>7176</v>
          </cell>
          <cell r="B765" t="str">
            <v>CARLOS JIMENEZ (TLAXCOAPAN)</v>
          </cell>
          <cell r="D765" t="str">
            <v>AV. 16 DE SEPTIEMBRE #1</v>
          </cell>
          <cell r="E765" t="str">
            <v>TLAXCOAPAN, HGO.</v>
          </cell>
          <cell r="J765" t="str">
            <v>F02B</v>
          </cell>
          <cell r="V765" t="str">
            <v>CENTRO</v>
          </cell>
        </row>
        <row r="766">
          <cell r="A766">
            <v>7177</v>
          </cell>
          <cell r="B766" t="str">
            <v>RODRIGO LEDESMA (SILAO)</v>
          </cell>
          <cell r="D766" t="str">
            <v>ALVARO OBREGON #64</v>
          </cell>
          <cell r="E766" t="str">
            <v>SILAO, GTO.</v>
          </cell>
          <cell r="J766" t="str">
            <v>F04</v>
          </cell>
          <cell r="V766" t="str">
            <v>CENTRO</v>
          </cell>
        </row>
        <row r="767">
          <cell r="A767">
            <v>7178</v>
          </cell>
          <cell r="B767" t="str">
            <v>ALMA LUCIA RANGEL (SALAMANCA)</v>
          </cell>
          <cell r="D767" t="str">
            <v>HIDALGO #108</v>
          </cell>
          <cell r="E767" t="str">
            <v>SALAMANCA, GTO.</v>
          </cell>
          <cell r="G767" t="str">
            <v>(464) 579-2882</v>
          </cell>
          <cell r="J767" t="str">
            <v>F04</v>
          </cell>
          <cell r="V767" t="str">
            <v>CENTRO</v>
          </cell>
        </row>
        <row r="768">
          <cell r="A768">
            <v>7179</v>
          </cell>
          <cell r="B768" t="str">
            <v>MARICELA CHAVEZ SOSA (TEQUISQUIAPAN)</v>
          </cell>
          <cell r="D768" t="str">
            <v>PLAZA ARCOS #3</v>
          </cell>
          <cell r="E768" t="str">
            <v>TEQUISQUIAPAN, QRO.</v>
          </cell>
          <cell r="G768" t="str">
            <v>(55) 2077-6312</v>
          </cell>
          <cell r="J768" t="str">
            <v>T02</v>
          </cell>
          <cell r="V768" t="str">
            <v>CENTRO</v>
          </cell>
        </row>
        <row r="769">
          <cell r="A769">
            <v>7180</v>
          </cell>
          <cell r="B769" t="str">
            <v>REGALOS D'ARI</v>
          </cell>
          <cell r="D769" t="str">
            <v>MORELOS #3</v>
          </cell>
          <cell r="E769" t="str">
            <v>SAN JUAN DEL RIO, QRO.</v>
          </cell>
          <cell r="F769" t="str">
            <v>76800</v>
          </cell>
          <cell r="G769" t="str">
            <v>(427) 127-5004</v>
          </cell>
          <cell r="J769" t="str">
            <v>T01</v>
          </cell>
          <cell r="V769" t="str">
            <v>CENTRO</v>
          </cell>
        </row>
        <row r="770">
          <cell r="A770">
            <v>7181</v>
          </cell>
          <cell r="B770" t="str">
            <v>KARLA TREJO UGALDE (TEQUIS)</v>
          </cell>
          <cell r="D770" t="str">
            <v>PLAZA PEDREGAL</v>
          </cell>
          <cell r="E770" t="str">
            <v>TEQUISQUIAPAN, QRO.</v>
          </cell>
          <cell r="G770" t="str">
            <v>(414) 273-4124 / (442) 266-1433</v>
          </cell>
          <cell r="J770" t="str">
            <v>T02</v>
          </cell>
          <cell r="V770" t="str">
            <v>CENTRO</v>
          </cell>
        </row>
        <row r="771">
          <cell r="A771">
            <v>7182</v>
          </cell>
          <cell r="B771" t="str">
            <v>LILIANA MARTINEZ (ATLACOMULCO)</v>
          </cell>
          <cell r="E771" t="str">
            <v>ATLACOMULCO, EDO. DE MEXICO</v>
          </cell>
          <cell r="G771" t="str">
            <v>(712) 135-5378</v>
          </cell>
          <cell r="J771" t="str">
            <v>L08</v>
          </cell>
        </row>
        <row r="772">
          <cell r="A772">
            <v>7183</v>
          </cell>
          <cell r="B772" t="str">
            <v>KAZANA TIENDA DE REGALOS (E. MONTES)</v>
          </cell>
          <cell r="D772" t="str">
            <v>AV. PRINCIPAL</v>
          </cell>
          <cell r="E772" t="str">
            <v>EZEQUIEL MONTES, QRO.</v>
          </cell>
          <cell r="J772" t="str">
            <v>J02</v>
          </cell>
        </row>
        <row r="773">
          <cell r="A773">
            <v>7184</v>
          </cell>
          <cell r="B773" t="str">
            <v>GUSTAVO MEJIA (CADEREYTA)</v>
          </cell>
          <cell r="D773" t="str">
            <v>FCO. I. MADERO #17</v>
          </cell>
          <cell r="E773" t="str">
            <v>CADEREYTA, QRO.</v>
          </cell>
          <cell r="G773" t="str">
            <v>(442) 281-3466</v>
          </cell>
          <cell r="J773" t="str">
            <v>J02</v>
          </cell>
          <cell r="V773" t="str">
            <v>CENTRO</v>
          </cell>
        </row>
        <row r="774">
          <cell r="A774">
            <v>7185</v>
          </cell>
          <cell r="B774" t="str">
            <v>"LA PAPE" ANGELINA MORALES (AMEALCO)</v>
          </cell>
          <cell r="D774" t="str">
            <v>CENTENARIO S/N</v>
          </cell>
          <cell r="E774" t="str">
            <v>AMEALCO, QRO.</v>
          </cell>
          <cell r="F774" t="str">
            <v>76850</v>
          </cell>
          <cell r="G774" t="str">
            <v>(448) 169-7213</v>
          </cell>
          <cell r="J774" t="str">
            <v>L06</v>
          </cell>
        </row>
        <row r="775">
          <cell r="A775">
            <v>7186</v>
          </cell>
          <cell r="B775" t="str">
            <v>BENJAMIN CARDENAS (A. EL GRANDE)</v>
          </cell>
          <cell r="E775" t="str">
            <v>APASEO EL GRANDE, GTO.</v>
          </cell>
          <cell r="J775" t="str">
            <v>F04</v>
          </cell>
        </row>
        <row r="776">
          <cell r="A776">
            <v>7187</v>
          </cell>
          <cell r="B776" t="str">
            <v>ALMENDRA VALADEZ (SIALO)</v>
          </cell>
          <cell r="D776" t="str">
            <v>COSTA RICA #5</v>
          </cell>
          <cell r="E776" t="str">
            <v>SILAO, GTO.</v>
          </cell>
          <cell r="J776" t="str">
            <v>F04</v>
          </cell>
          <cell r="V776" t="str">
            <v>VIA II</v>
          </cell>
        </row>
        <row r="777">
          <cell r="A777">
            <v>7188</v>
          </cell>
          <cell r="B777" t="str">
            <v>ESTHER NIETO NIETO (LA TRINIDAD)</v>
          </cell>
          <cell r="D777" t="str">
            <v>5 DE FEBRERO #19</v>
          </cell>
          <cell r="E777" t="str">
            <v>LA TRINIDAD, QRO.</v>
          </cell>
          <cell r="G777" t="str">
            <v>(414) 104-5725</v>
          </cell>
          <cell r="J777" t="str">
            <v>J02</v>
          </cell>
        </row>
        <row r="778">
          <cell r="A778">
            <v>7189</v>
          </cell>
          <cell r="B778" t="str">
            <v>ISABELA (LA TRINIDAD)</v>
          </cell>
          <cell r="D778" t="str">
            <v>21 DE MARZO ESQ. 5 DE FEBRERO</v>
          </cell>
          <cell r="E778" t="str">
            <v>LA TRINIDAD, QRO.</v>
          </cell>
          <cell r="G778" t="str">
            <v>(414) 226-6253</v>
          </cell>
          <cell r="J778" t="str">
            <v>J02</v>
          </cell>
        </row>
        <row r="779">
          <cell r="A779">
            <v>7190</v>
          </cell>
          <cell r="B779" t="str">
            <v>IRENE VILLAGOMEZ (TEQUIS)</v>
          </cell>
          <cell r="D779" t="str">
            <v xml:space="preserve">CARR. E. MONTES #5 LOC. C               </v>
          </cell>
          <cell r="E779" t="str">
            <v xml:space="preserve">TEQUISQUIAPAN, QRO.           </v>
          </cell>
          <cell r="G779" t="str">
            <v>(414) 280-3159</v>
          </cell>
          <cell r="J779" t="str">
            <v>F02</v>
          </cell>
          <cell r="V779" t="str">
            <v xml:space="preserve">LOPEZ MATEOS        </v>
          </cell>
        </row>
        <row r="780">
          <cell r="A780">
            <v>7191</v>
          </cell>
          <cell r="B780" t="str">
            <v>ELIZABETH "PAPELERIA" (JERECUARO)</v>
          </cell>
          <cell r="D780" t="str">
            <v>CALZ. JUAREZ #02</v>
          </cell>
          <cell r="E780" t="str">
            <v>JERECUARO, GTO.</v>
          </cell>
          <cell r="J780" t="str">
            <v>J06</v>
          </cell>
          <cell r="V780" t="str">
            <v>CENTRO</v>
          </cell>
        </row>
        <row r="781">
          <cell r="A781">
            <v>7192</v>
          </cell>
          <cell r="B781" t="str">
            <v>NORA NELLY FUENTES (TEQUISQUIAPAN)</v>
          </cell>
          <cell r="D781" t="str">
            <v>BELISARIO DOMINGUEZ #52</v>
          </cell>
          <cell r="E781" t="str">
            <v>TEQUISQUIAPAN, QRO.</v>
          </cell>
          <cell r="G781" t="str">
            <v>(414) 104-1987</v>
          </cell>
          <cell r="J781" t="str">
            <v>J02</v>
          </cell>
        </row>
        <row r="782">
          <cell r="A782">
            <v>7193</v>
          </cell>
          <cell r="B782" t="str">
            <v>ALICIA ZUÑIGA TORRES (MIXQUIAHUALA)</v>
          </cell>
          <cell r="D782" t="str">
            <v>PLAZA CAISTI LUCIA #18</v>
          </cell>
          <cell r="E782" t="str">
            <v>MIXQUIAHUALA, HGO.</v>
          </cell>
          <cell r="G782" t="str">
            <v>(772) 121-0217</v>
          </cell>
          <cell r="J782" t="str">
            <v>F02</v>
          </cell>
        </row>
        <row r="783">
          <cell r="A783">
            <v>7194</v>
          </cell>
          <cell r="B783" t="str">
            <v>NAYELI GARCIA (COACALCO)</v>
          </cell>
          <cell r="E783" t="str">
            <v>COACALCO, EDO. DE MEXICO</v>
          </cell>
          <cell r="J783" t="str">
            <v>F02</v>
          </cell>
          <cell r="V783" t="str">
            <v>VILLA DE LAS FLORES</v>
          </cell>
        </row>
        <row r="784">
          <cell r="A784">
            <v>7195</v>
          </cell>
          <cell r="B784" t="str">
            <v>PAOLA ALEJANDRA FLORES FUENTES (QUERETARO)</v>
          </cell>
          <cell r="D784" t="str">
            <v>PROL. ZARAGOZA #1063 LOCAL 4</v>
          </cell>
          <cell r="E784" t="str">
            <v>QUERETARO, QRO.</v>
          </cell>
          <cell r="J784" t="str">
            <v>L04</v>
          </cell>
          <cell r="V784" t="str">
            <v>SAN JOSE DE LOS OLVERA</v>
          </cell>
        </row>
        <row r="785">
          <cell r="A785">
            <v>7196</v>
          </cell>
          <cell r="B785" t="str">
            <v>KARLA MARTINEZ (COACALCO)</v>
          </cell>
          <cell r="D785" t="str">
            <v>AV. 16 DE SEPTIEMBRE</v>
          </cell>
          <cell r="E785" t="str">
            <v>COACALCO, EDO. DE MEXICO</v>
          </cell>
          <cell r="J785" t="str">
            <v>F02A</v>
          </cell>
        </row>
        <row r="786">
          <cell r="A786">
            <v>7197</v>
          </cell>
          <cell r="B786" t="str">
            <v>ALMA RANGEL ESPAÑA (VILLA)</v>
          </cell>
          <cell r="D786" t="str">
            <v>HARIMOSAS S/N LOCAL 5</v>
          </cell>
          <cell r="E786" t="str">
            <v>COACALCO, EDO. DE MEXICO</v>
          </cell>
          <cell r="G786" t="str">
            <v>(55) 5437-6392</v>
          </cell>
          <cell r="J786" t="str">
            <v>F02A</v>
          </cell>
          <cell r="V786" t="str">
            <v>VILLA DE LAS FLORES</v>
          </cell>
        </row>
        <row r="787">
          <cell r="A787">
            <v>7198</v>
          </cell>
          <cell r="B787" t="str">
            <v>MALENA LUNA (TULTEPEC)</v>
          </cell>
          <cell r="E787" t="str">
            <v>TULTEPEC, EDO. DE MEXICO</v>
          </cell>
          <cell r="J787" t="str">
            <v>F02A</v>
          </cell>
        </row>
        <row r="788">
          <cell r="A788">
            <v>7199</v>
          </cell>
          <cell r="B788" t="str">
            <v>ALEJANDRO BAUTISTA (TULTEPEC)</v>
          </cell>
          <cell r="D788" t="str">
            <v>DIAGONAL JAGUEY #8</v>
          </cell>
          <cell r="E788" t="str">
            <v>TULTEPEC, EDO. DE MEXICO</v>
          </cell>
          <cell r="J788" t="str">
            <v>F02A</v>
          </cell>
        </row>
        <row r="789">
          <cell r="A789">
            <v>7200</v>
          </cell>
          <cell r="B789" t="str">
            <v>NEIRY CORTES SANCHEZ (A. EL GRANDE)</v>
          </cell>
          <cell r="D789" t="str">
            <v>PIPILA #115</v>
          </cell>
          <cell r="E789" t="str">
            <v>APASEO EL GRANDE, GTO.</v>
          </cell>
          <cell r="G789" t="str">
            <v>(413) 115-7909</v>
          </cell>
          <cell r="J789" t="str">
            <v>F04</v>
          </cell>
          <cell r="V789" t="str">
            <v>CENTRO</v>
          </cell>
        </row>
        <row r="790">
          <cell r="A790">
            <v>7201</v>
          </cell>
          <cell r="B790" t="str">
            <v>GLADIS HERMAMDEZ GARCIA (ATITALAQUIA)</v>
          </cell>
          <cell r="D790" t="str">
            <v>ESQ. DEL MAGUEY Y EL CORDONAL</v>
          </cell>
          <cell r="E790" t="str">
            <v>ATITALAQUIA, HGO.</v>
          </cell>
          <cell r="G790" t="str">
            <v>(773) 115-7986</v>
          </cell>
          <cell r="J790" t="str">
            <v>F02</v>
          </cell>
          <cell r="V790" t="str">
            <v>CENTRO</v>
          </cell>
        </row>
        <row r="791">
          <cell r="A791">
            <v>7202</v>
          </cell>
          <cell r="B791" t="str">
            <v>ANA CARMEN MANCILLA (PEDRO ESCOBEDO)</v>
          </cell>
          <cell r="D791" t="str">
            <v>CUAUHTEMOC #45</v>
          </cell>
          <cell r="E791" t="str">
            <v>PEDRO ESCOBEDO, QRO.</v>
          </cell>
          <cell r="G791" t="str">
            <v>(442) 487-8718</v>
          </cell>
          <cell r="J791" t="str">
            <v>L04</v>
          </cell>
          <cell r="V791" t="str">
            <v>CENTRO</v>
          </cell>
        </row>
        <row r="792">
          <cell r="A792">
            <v>7203</v>
          </cell>
          <cell r="B792" t="str">
            <v>JULIO LICEO MONROY (A. EL GRANDE)</v>
          </cell>
          <cell r="D792" t="str">
            <v>GUADALUPE VICTORIA #209</v>
          </cell>
          <cell r="E792" t="str">
            <v>APASEO EL GRANDE, GTO.</v>
          </cell>
          <cell r="G792" t="str">
            <v>(413) 129-4214</v>
          </cell>
          <cell r="J792" t="str">
            <v>F04</v>
          </cell>
          <cell r="V792" t="str">
            <v>CENTRO</v>
          </cell>
        </row>
        <row r="793">
          <cell r="A793">
            <v>7204</v>
          </cell>
          <cell r="B793" t="str">
            <v>LUIS GARCIA MIRANDA (SILAO)</v>
          </cell>
          <cell r="D793" t="str">
            <v>16 DE SEPTIEMBRE #77</v>
          </cell>
          <cell r="E793" t="str">
            <v>SILAO, GTO.</v>
          </cell>
          <cell r="G793" t="str">
            <v>(472) 121-240</v>
          </cell>
          <cell r="J793" t="str">
            <v>F04</v>
          </cell>
          <cell r="V793" t="str">
            <v>CENTRO</v>
          </cell>
        </row>
        <row r="794">
          <cell r="A794">
            <v>7205</v>
          </cell>
          <cell r="B794" t="str">
            <v>LUCIA RAMIREZ TORRES (TLALMINULPAN)</v>
          </cell>
          <cell r="D794" t="str">
            <v>AV. DEL NORTE S/N</v>
          </cell>
          <cell r="E794" t="str">
            <v>TLALMINULPA, HGO.</v>
          </cell>
          <cell r="G794" t="str">
            <v>(773) 113-6804</v>
          </cell>
          <cell r="J794" t="str">
            <v>F02</v>
          </cell>
        </row>
        <row r="795">
          <cell r="A795">
            <v>7206</v>
          </cell>
          <cell r="B795" t="str">
            <v>BEATRIZ JOAQUIN (IXMIQUILPAN)</v>
          </cell>
          <cell r="D795" t="str">
            <v>MERCADO LOCAL.184</v>
          </cell>
          <cell r="E795" t="str">
            <v>IXMIQUILPAN, HGO.</v>
          </cell>
          <cell r="G795" t="str">
            <v>(772) 137-5329</v>
          </cell>
          <cell r="J795" t="str">
            <v>F02</v>
          </cell>
        </row>
        <row r="796">
          <cell r="A796">
            <v>7207</v>
          </cell>
          <cell r="B796" t="str">
            <v>MARIA DE LA LUZ RAMIREZ (CADEREYTA)</v>
          </cell>
          <cell r="D796" t="str">
            <v>FCO. I. MADERO #37</v>
          </cell>
          <cell r="E796" t="str">
            <v>CADEREYTA, QRO.</v>
          </cell>
          <cell r="G796" t="str">
            <v>(441) 100-9589</v>
          </cell>
          <cell r="J796" t="str">
            <v>J02</v>
          </cell>
          <cell r="V796" t="str">
            <v>CENTRO</v>
          </cell>
        </row>
        <row r="797">
          <cell r="A797">
            <v>7208</v>
          </cell>
          <cell r="B797" t="str">
            <v>ERICK OSORNIO (SILAO)</v>
          </cell>
          <cell r="E797" t="str">
            <v>-</v>
          </cell>
        </row>
        <row r="798">
          <cell r="A798">
            <v>7209</v>
          </cell>
          <cell r="B798" t="str">
            <v>VIRGINIA CRUZ (SAN JUAN)</v>
          </cell>
          <cell r="E798" t="str">
            <v>-</v>
          </cell>
        </row>
        <row r="799">
          <cell r="A799">
            <v>7210</v>
          </cell>
          <cell r="B799" t="str">
            <v>OLIVIA RESENDIZ ARTEAGA (TEQUIS)</v>
          </cell>
          <cell r="D799" t="str">
            <v>SOMBRERETE</v>
          </cell>
          <cell r="E799" t="str">
            <v>TEQUISQUIAPAN, QRO.</v>
          </cell>
          <cell r="G799" t="str">
            <v>(414) 226-3685</v>
          </cell>
          <cell r="J799" t="str">
            <v>J02</v>
          </cell>
        </row>
        <row r="800">
          <cell r="A800">
            <v>7211</v>
          </cell>
          <cell r="B800" t="str">
            <v>ROSALIA GRANADOS CRUZ (SAN JUAN)</v>
          </cell>
          <cell r="D800" t="str">
            <v>ALVARO OBREGON #3</v>
          </cell>
          <cell r="E800" t="str">
            <v>SAN JUAN DEL RIO, QRO.</v>
          </cell>
          <cell r="G800" t="str">
            <v>(427) 103-7258</v>
          </cell>
          <cell r="V800" t="str">
            <v>SANTA FE</v>
          </cell>
        </row>
        <row r="801">
          <cell r="A801">
            <v>7212</v>
          </cell>
          <cell r="B801" t="str">
            <v>MARCOS LINARES ROCIO (ACAMBAY)</v>
          </cell>
          <cell r="D801" t="str">
            <v>AV. CONSTITUYENTES S/N "NOVEDADES DON LUPE"</v>
          </cell>
          <cell r="E801" t="str">
            <v>ACAMBAY, EDO. DE MEXICO</v>
          </cell>
          <cell r="G801" t="str">
            <v>(712) 258-4390</v>
          </cell>
          <cell r="J801" t="str">
            <v>L08</v>
          </cell>
          <cell r="V801" t="str">
            <v>CENTRO</v>
          </cell>
        </row>
        <row r="802">
          <cell r="A802">
            <v>7213</v>
          </cell>
          <cell r="B802" t="str">
            <v>ANGELES JENNYFER GUADARRAMA VELAZCO (ATLACOMULCO)</v>
          </cell>
          <cell r="D802" t="str">
            <v>ISIDRO FABELA NTE.</v>
          </cell>
          <cell r="E802" t="str">
            <v>ATLACOMULCO, EDO. DE MEXICO</v>
          </cell>
          <cell r="J802" t="str">
            <v>L08</v>
          </cell>
        </row>
        <row r="803">
          <cell r="A803">
            <v>7214</v>
          </cell>
          <cell r="B803" t="str">
            <v>JESSICA MIGUEL (TEQUIXQUIAC)</v>
          </cell>
          <cell r="D803" t="str">
            <v>AV. HIDALGO S/N</v>
          </cell>
          <cell r="E803" t="str">
            <v>TEQUISQUIAC, EDO. DE MEXICO</v>
          </cell>
          <cell r="G803" t="str">
            <v>(55) 3427-3652</v>
          </cell>
          <cell r="J803" t="str">
            <v>J02A</v>
          </cell>
          <cell r="V803" t="str">
            <v>CENTRO</v>
          </cell>
        </row>
        <row r="804">
          <cell r="A804">
            <v>7215</v>
          </cell>
          <cell r="B804" t="str">
            <v>YESENIA MARTINEZ (JERECUARO)</v>
          </cell>
          <cell r="D804" t="str">
            <v>ABASOLO #4</v>
          </cell>
          <cell r="E804" t="str">
            <v>JERECUARO, GTO.</v>
          </cell>
          <cell r="J804" t="str">
            <v>J06</v>
          </cell>
          <cell r="V804" t="str">
            <v>CENTRO</v>
          </cell>
        </row>
        <row r="805">
          <cell r="A805">
            <v>7216</v>
          </cell>
          <cell r="B805" t="str">
            <v>CYNTHIA ESPITIA (VILLA)</v>
          </cell>
          <cell r="E805" t="str">
            <v>COACALCO, EDO. DE MEXICO</v>
          </cell>
          <cell r="J805" t="str">
            <v>F02A</v>
          </cell>
          <cell r="V805" t="str">
            <v>VILLA DE LAS FLORES</v>
          </cell>
        </row>
        <row r="806">
          <cell r="A806">
            <v>7217</v>
          </cell>
          <cell r="B806" t="str">
            <v>ERICK LOPEZ GUZMAN (ATLACOMULCO)</v>
          </cell>
          <cell r="D806" t="str">
            <v>ALFREDO DEL MAZO OTE #15</v>
          </cell>
          <cell r="E806" t="str">
            <v>ATLACOMULCO, EDO. DE MEXICO</v>
          </cell>
          <cell r="G806" t="str">
            <v>(951) 252-6911</v>
          </cell>
          <cell r="J806" t="str">
            <v>L08</v>
          </cell>
          <cell r="V806" t="str">
            <v>CENTRO</v>
          </cell>
        </row>
        <row r="807">
          <cell r="A807">
            <v>7218</v>
          </cell>
          <cell r="B807" t="str">
            <v>BLANCA ESTELA MARTINEZ U. (ACAMBARO)</v>
          </cell>
          <cell r="D807" t="str">
            <v>EL LAPIZ ROJO</v>
          </cell>
          <cell r="E807" t="str">
            <v>ACAMBARO, GTO.</v>
          </cell>
          <cell r="G807" t="str">
            <v>(312) 148-0098</v>
          </cell>
          <cell r="J807" t="str">
            <v>J06</v>
          </cell>
        </row>
        <row r="808">
          <cell r="A808">
            <v>7219</v>
          </cell>
          <cell r="B808" t="str">
            <v>MARICELA MUÑOZ RODRIGUEZ (ZINAPECUARO)</v>
          </cell>
          <cell r="D808" t="str">
            <v>RAFAEL CARRILLO #59</v>
          </cell>
          <cell r="E808" t="str">
            <v>ZINAPECUARO, MICH.</v>
          </cell>
          <cell r="F808" t="str">
            <v/>
          </cell>
          <cell r="H808" t="str">
            <v>MARICELA MUÑOZ</v>
          </cell>
          <cell r="I808" t="str">
            <v>MARICELA MUÑOZ</v>
          </cell>
          <cell r="J808" t="str">
            <v>J06</v>
          </cell>
          <cell r="K808" t="str">
            <v/>
          </cell>
          <cell r="L808">
            <v>0</v>
          </cell>
          <cell r="M808">
            <v>488</v>
          </cell>
          <cell r="N808" t="str">
            <v>A</v>
          </cell>
          <cell r="O808">
            <v>41957</v>
          </cell>
          <cell r="P808" t="str">
            <v xml:space="preserve">    2</v>
          </cell>
          <cell r="Q808">
            <v>0</v>
          </cell>
          <cell r="R808">
            <v>0</v>
          </cell>
          <cell r="S808">
            <v>0</v>
          </cell>
          <cell r="T808">
            <v>1535</v>
          </cell>
          <cell r="U808">
            <v>0</v>
          </cell>
          <cell r="V808" t="str">
            <v>CENTRO</v>
          </cell>
        </row>
        <row r="809">
          <cell r="A809">
            <v>7220</v>
          </cell>
          <cell r="B809" t="str">
            <v>PATRICIA ARELLANO (VILLAGRAN)</v>
          </cell>
          <cell r="D809" t="str">
            <v>ALLENDE #302 INT. 1</v>
          </cell>
          <cell r="E809" t="str">
            <v>VILLAGRAN, GTO.</v>
          </cell>
          <cell r="G809" t="str">
            <v>(461) 186-1154</v>
          </cell>
          <cell r="J809" t="str">
            <v>J06</v>
          </cell>
          <cell r="V809" t="str">
            <v>CENTRO</v>
          </cell>
        </row>
        <row r="810">
          <cell r="A810">
            <v>7221</v>
          </cell>
          <cell r="B810" t="str">
            <v>MARIA ELENA MARTINEZ (TEOLOYUCAN)</v>
          </cell>
          <cell r="C810" t="str">
            <v>REGALOS ARY</v>
          </cell>
          <cell r="D810" t="str">
            <v>AV. 5 DE MAYO  #5</v>
          </cell>
          <cell r="E810" t="str">
            <v>TEOLOYUCAN, EDO. DE MEXICO</v>
          </cell>
          <cell r="G810" t="str">
            <v>(55) 1731-4912</v>
          </cell>
          <cell r="J810" t="str">
            <v>F02A</v>
          </cell>
        </row>
        <row r="811">
          <cell r="A811">
            <v>7222</v>
          </cell>
          <cell r="B811" t="str">
            <v>MARIA LUISA SANTIAGO / MARCO (TEZONTEPEC)</v>
          </cell>
          <cell r="D811" t="str">
            <v>REGALOS ZOE</v>
          </cell>
          <cell r="E811" t="str">
            <v>TEZONTEPEC, HGO.</v>
          </cell>
          <cell r="G811" t="str">
            <v>(773) 130-2321</v>
          </cell>
          <cell r="J811" t="str">
            <v>F02</v>
          </cell>
        </row>
        <row r="812">
          <cell r="A812">
            <v>7223</v>
          </cell>
          <cell r="B812" t="str">
            <v>LAURA LUGO PEREZ (TEZONTEPEC)</v>
          </cell>
          <cell r="D812" t="str">
            <v>PANUAGUA S/N</v>
          </cell>
          <cell r="E812" t="str">
            <v>TEZONTEPEC, HGO.</v>
          </cell>
          <cell r="G812" t="str">
            <v>(773) 114-2296</v>
          </cell>
          <cell r="J812" t="str">
            <v>F02</v>
          </cell>
        </row>
        <row r="813">
          <cell r="A813">
            <v>7224</v>
          </cell>
          <cell r="B813" t="str">
            <v>MARGARITA CONEJO (JUVENTINO)</v>
          </cell>
          <cell r="D813" t="str">
            <v>ALDAMA #622</v>
          </cell>
          <cell r="E813" t="str">
            <v>JUVENTINO ROSAS, GTO.</v>
          </cell>
          <cell r="G813" t="str">
            <v>(412) 120-7052</v>
          </cell>
          <cell r="J813" t="str">
            <v>F04</v>
          </cell>
          <cell r="V813" t="str">
            <v>CENTRO</v>
          </cell>
        </row>
        <row r="814">
          <cell r="A814">
            <v>7225</v>
          </cell>
          <cell r="B814" t="str">
            <v>LILIANA SERNA OSORNIO "CAPERUCITA"</v>
          </cell>
          <cell r="D814" t="str">
            <v>EJE 8 LT. 17 MZ. 5</v>
          </cell>
          <cell r="E814" t="str">
            <v>COACALCO, EDO. DE MEXICO</v>
          </cell>
          <cell r="J814" t="str">
            <v>F02</v>
          </cell>
        </row>
        <row r="815">
          <cell r="A815">
            <v>7226</v>
          </cell>
          <cell r="B815" t="str">
            <v>JUAN MANUEL JUAREZ (ATOTONILCO)</v>
          </cell>
          <cell r="D815" t="str">
            <v>REPUBLICA DEL SALVADOR #38</v>
          </cell>
          <cell r="E815" t="str">
            <v>ATOTONILCO, HGO.</v>
          </cell>
          <cell r="J815" t="str">
            <v>F02</v>
          </cell>
          <cell r="V815" t="str">
            <v>CENTRO</v>
          </cell>
        </row>
        <row r="816">
          <cell r="A816">
            <v>7227</v>
          </cell>
          <cell r="B816" t="str">
            <v>MARISOL SEGURA ROJAS (TEPEJI)</v>
          </cell>
          <cell r="D816" t="str">
            <v>AV. MELCHOR ACAMPO #32</v>
          </cell>
          <cell r="E816" t="str">
            <v>TEPEJI DEL RIO, HGO.</v>
          </cell>
          <cell r="G816" t="str">
            <v>(773) 731-2231</v>
          </cell>
          <cell r="J816" t="str">
            <v>F02</v>
          </cell>
          <cell r="V816" t="str">
            <v>SAN FRANCISCO 1RA SECC.</v>
          </cell>
        </row>
        <row r="817">
          <cell r="A817">
            <v>7228</v>
          </cell>
          <cell r="B817" t="str">
            <v>MARIANA IBARRA (A. EL ALTO)</v>
          </cell>
          <cell r="D817" t="str">
            <v>ITURBIDE #120</v>
          </cell>
          <cell r="E817" t="str">
            <v>APASEO EL ALTO, GTO.</v>
          </cell>
          <cell r="G817" t="str">
            <v>(442) 109 2571</v>
          </cell>
          <cell r="J817" t="str">
            <v>F04</v>
          </cell>
          <cell r="V817" t="str">
            <v>CENTRO</v>
          </cell>
        </row>
        <row r="818">
          <cell r="A818">
            <v>7229</v>
          </cell>
          <cell r="B818" t="str">
            <v>OLGA MIRANDA (JILOTEPEC)</v>
          </cell>
          <cell r="D818" t="str">
            <v>REFORMA ESQ. LAZARO CARDENAS</v>
          </cell>
          <cell r="E818" t="str">
            <v>JILOTEPEC, EDO. DE MEXICO</v>
          </cell>
          <cell r="G818" t="str">
            <v>(55) 7104-7789</v>
          </cell>
          <cell r="J818" t="str">
            <v>L08</v>
          </cell>
        </row>
        <row r="819">
          <cell r="A819">
            <v>7230</v>
          </cell>
          <cell r="B819" t="str">
            <v>KIMBERLY PALACIOS (MARAVATIO)</v>
          </cell>
          <cell r="D819" t="str">
            <v>AQUILES SERDAN #156</v>
          </cell>
          <cell r="E819" t="str">
            <v>MARAVATIO, MICH.</v>
          </cell>
          <cell r="J819" t="str">
            <v>J06</v>
          </cell>
          <cell r="V819" t="str">
            <v>CENTRO</v>
          </cell>
        </row>
        <row r="820">
          <cell r="A820">
            <v>7231</v>
          </cell>
          <cell r="B820" t="str">
            <v>PAPELERIA "LA ESCOLAR" (MARAVATIO)</v>
          </cell>
          <cell r="D820" t="str">
            <v>HIDALGO #63</v>
          </cell>
          <cell r="E820" t="str">
            <v>MARAVATIO, MICH.</v>
          </cell>
          <cell r="G820" t="str">
            <v>(443) 106-0360</v>
          </cell>
          <cell r="J820" t="str">
            <v>J06</v>
          </cell>
          <cell r="V820" t="str">
            <v>CENTRO</v>
          </cell>
        </row>
        <row r="821">
          <cell r="A821">
            <v>7232</v>
          </cell>
          <cell r="B821" t="str">
            <v>LIBRE</v>
          </cell>
          <cell r="E821" t="str">
            <v>-</v>
          </cell>
        </row>
        <row r="822">
          <cell r="A822">
            <v>7233</v>
          </cell>
          <cell r="B822" t="str">
            <v>ALEJANDRA GONZALEZ HERNANDEZ (SJR)</v>
          </cell>
          <cell r="D822" t="str">
            <v>MERCEDES CAMACHO NTE. #204</v>
          </cell>
          <cell r="E822" t="str">
            <v>SAN JUAN DEL RIO, QRO.</v>
          </cell>
          <cell r="J822" t="str">
            <v>J01</v>
          </cell>
          <cell r="V822" t="str">
            <v>PRADERAS DEL SOL</v>
          </cell>
        </row>
        <row r="823">
          <cell r="A823">
            <v>7234</v>
          </cell>
          <cell r="B823" t="str">
            <v>GUADALUPE CASTRO (ZINAPECUARO)</v>
          </cell>
          <cell r="D823" t="str">
            <v>HIDALGO #63</v>
          </cell>
          <cell r="E823" t="str">
            <v>ZINAPECUARO, MICH.</v>
          </cell>
          <cell r="J823" t="str">
            <v>J06</v>
          </cell>
          <cell r="V823" t="str">
            <v>CENTRO</v>
          </cell>
        </row>
        <row r="824">
          <cell r="A824">
            <v>7235</v>
          </cell>
          <cell r="B824" t="str">
            <v>PATRICIA GRANADOS (TEPEJI)</v>
          </cell>
          <cell r="E824" t="str">
            <v>TEPEJI DEL RIO, HGO.</v>
          </cell>
          <cell r="G824" t="str">
            <v>(773) 138-7830</v>
          </cell>
          <cell r="J824" t="str">
            <v>F02</v>
          </cell>
        </row>
        <row r="825">
          <cell r="A825">
            <v>7236</v>
          </cell>
          <cell r="B825" t="str">
            <v>NORMA JUDITH PEREZ FUNEZ (COMITAN)</v>
          </cell>
          <cell r="D825" t="str">
            <v>PRIMERA CALLE NTE. PTE. S/N</v>
          </cell>
          <cell r="E825" t="str">
            <v>COMITAN DE DOMINGUEZ, CHIS.</v>
          </cell>
          <cell r="F825" t="str">
            <v>30020</v>
          </cell>
          <cell r="G825" t="str">
            <v>(963) 105-6655</v>
          </cell>
          <cell r="J825" t="str">
            <v>FB</v>
          </cell>
          <cell r="V825" t="str">
            <v>GUADALUPE</v>
          </cell>
        </row>
        <row r="826">
          <cell r="A826">
            <v>7237</v>
          </cell>
          <cell r="B826" t="str">
            <v>LILIANA PACHECO RAMIREZ (SAN JUAN)</v>
          </cell>
          <cell r="E826" t="str">
            <v>SAN JUAN DEL RIO, QRO.</v>
          </cell>
          <cell r="G826" t="str">
            <v>(427) 191-9292</v>
          </cell>
          <cell r="J826" t="str">
            <v>J01</v>
          </cell>
        </row>
        <row r="827">
          <cell r="A827">
            <v>7238</v>
          </cell>
          <cell r="B827" t="str">
            <v>MARICELA GUEMEZ (TULANCINGO)</v>
          </cell>
          <cell r="D827" t="str">
            <v>MORELOS #302</v>
          </cell>
          <cell r="E827" t="str">
            <v>TULANCINGO, HGO.</v>
          </cell>
          <cell r="G827" t="str">
            <v>(775) 118-9701</v>
          </cell>
          <cell r="J827" t="str">
            <v>F02</v>
          </cell>
          <cell r="V827" t="str">
            <v>CENTRO</v>
          </cell>
        </row>
        <row r="828">
          <cell r="A828">
            <v>7239</v>
          </cell>
          <cell r="B828" t="str">
            <v>CECILIA ORTEGA (TULANCINGO)</v>
          </cell>
          <cell r="D828" t="str">
            <v>FERNANDO SOTO #307</v>
          </cell>
          <cell r="E828" t="str">
            <v>TULANCINGO, HGO.</v>
          </cell>
          <cell r="J828" t="str">
            <v>F02</v>
          </cell>
          <cell r="V828" t="str">
            <v>CENTRO</v>
          </cell>
        </row>
        <row r="829">
          <cell r="A829">
            <v>7240</v>
          </cell>
          <cell r="B829" t="str">
            <v>NATALY JUAREZ (TULANCINGO)</v>
          </cell>
          <cell r="D829" t="str">
            <v>NAYARIT #604</v>
          </cell>
          <cell r="E829" t="str">
            <v>TULANCINGO, HGO.</v>
          </cell>
          <cell r="J829" t="str">
            <v>F02</v>
          </cell>
          <cell r="V829" t="str">
            <v>VICENTE GUERRERO</v>
          </cell>
        </row>
        <row r="830">
          <cell r="A830">
            <v>7241</v>
          </cell>
          <cell r="B830" t="str">
            <v>MARISOL CORTES (TULANCINGO)</v>
          </cell>
          <cell r="D830" t="str">
            <v>LUIS PONCE Y DORIA</v>
          </cell>
          <cell r="E830" t="str">
            <v>TULANCINGO, HGO.</v>
          </cell>
          <cell r="J830" t="str">
            <v>F02</v>
          </cell>
          <cell r="V830" t="str">
            <v>CENTRO</v>
          </cell>
        </row>
        <row r="831">
          <cell r="A831">
            <v>7242</v>
          </cell>
          <cell r="B831" t="str">
            <v>SILVIA GARCIA (CADEREYTA)</v>
          </cell>
          <cell r="D831" t="str">
            <v>MADERO #19-A</v>
          </cell>
          <cell r="E831" t="str">
            <v>CADEREYTA, QRO.</v>
          </cell>
          <cell r="G831" t="str">
            <v>(441) 103-7499</v>
          </cell>
          <cell r="J831" t="str">
            <v>J02</v>
          </cell>
          <cell r="V831" t="str">
            <v>CENTRO</v>
          </cell>
        </row>
        <row r="832">
          <cell r="A832">
            <v>7243</v>
          </cell>
          <cell r="B832" t="str">
            <v>SANTA VALERIO ALMARAZ (ESCOBEDO)</v>
          </cell>
          <cell r="D832" t="str">
            <v>MARIANO JIMENEZ #4</v>
          </cell>
          <cell r="E832" t="str">
            <v>PEDRO ESCOBEDO, QRO.</v>
          </cell>
          <cell r="G832" t="str">
            <v>(442) 490-1715</v>
          </cell>
          <cell r="J832" t="str">
            <v>L04</v>
          </cell>
          <cell r="V832" t="str">
            <v>SAN CLEMENTE</v>
          </cell>
        </row>
        <row r="833">
          <cell r="A833">
            <v>7244</v>
          </cell>
          <cell r="B833" t="str">
            <v>IRMA ESLAVA (PROGRESO)</v>
          </cell>
          <cell r="D833" t="str">
            <v>AV. TITO ESTRADA #4</v>
          </cell>
          <cell r="E833" t="str">
            <v>PROGRESO, HGO.</v>
          </cell>
          <cell r="J833" t="str">
            <v>F02</v>
          </cell>
        </row>
        <row r="834">
          <cell r="A834">
            <v>7245</v>
          </cell>
          <cell r="B834" t="str">
            <v>VICTORIA MORALES (QUERETARO)</v>
          </cell>
          <cell r="C834" t="str">
            <v>REGALOS Y NOVEDADES ESTRELLA</v>
          </cell>
          <cell r="D834" t="str">
            <v>AV. DE LA LUZ #1325</v>
          </cell>
          <cell r="E834" t="str">
            <v>QUERETARO, QRO.</v>
          </cell>
          <cell r="J834" t="str">
            <v>L04</v>
          </cell>
          <cell r="V834" t="str">
            <v>CERRITO COLORADO</v>
          </cell>
        </row>
        <row r="835">
          <cell r="A835">
            <v>7246</v>
          </cell>
          <cell r="B835" t="str">
            <v>LIDIA ELIZONDO GARCIA (ESCOBEDO)</v>
          </cell>
          <cell r="D835" t="str">
            <v>MERCURIO #26</v>
          </cell>
          <cell r="E835" t="str">
            <v>PEDRO ESCOBEDO, QRO.</v>
          </cell>
          <cell r="J835" t="str">
            <v>L04</v>
          </cell>
          <cell r="V835" t="str">
            <v>ESTRELLA</v>
          </cell>
        </row>
        <row r="836">
          <cell r="A836">
            <v>7247</v>
          </cell>
          <cell r="B836" t="str">
            <v xml:space="preserve">LUCY ROA (QUERETARO) </v>
          </cell>
          <cell r="D836" t="str">
            <v>FRANCISCO CARBAJAL ESQ. FCO. I. MADERO #21</v>
          </cell>
          <cell r="E836" t="str">
            <v>CORREGIDORA, QRO.</v>
          </cell>
          <cell r="J836" t="str">
            <v>L04</v>
          </cell>
          <cell r="V836" t="str">
            <v>STA. BARBARA</v>
          </cell>
        </row>
        <row r="837">
          <cell r="A837">
            <v>7248</v>
          </cell>
          <cell r="B837" t="str">
            <v>MARCOS (ATLACOMULCO)</v>
          </cell>
          <cell r="E837" t="str">
            <v>ATLACOMULCO, EDO. DE MEXICO</v>
          </cell>
          <cell r="J837" t="str">
            <v>L08</v>
          </cell>
        </row>
        <row r="838">
          <cell r="A838">
            <v>7249</v>
          </cell>
          <cell r="B838" t="str">
            <v>ANA GABRIELA RAMIREZ VALENCIA (QUERETARO)</v>
          </cell>
          <cell r="D838" t="str">
            <v>TROJE DE PEÑUELOS #214 "B"</v>
          </cell>
          <cell r="E838" t="str">
            <v>QUERETARO, QRO.</v>
          </cell>
          <cell r="J838" t="str">
            <v>L04</v>
          </cell>
          <cell r="V838" t="str">
            <v>LAS TROJES</v>
          </cell>
        </row>
        <row r="839">
          <cell r="A839">
            <v>7250</v>
          </cell>
          <cell r="B839" t="str">
            <v>ALBERTO HERNANDEZ (MARAVATIO)</v>
          </cell>
          <cell r="E839" t="str">
            <v>MARAVATIO, MICH.</v>
          </cell>
          <cell r="J839" t="str">
            <v>J06</v>
          </cell>
        </row>
        <row r="840">
          <cell r="A840">
            <v>7251</v>
          </cell>
          <cell r="B840" t="str">
            <v>REGALOS ABRIL (MARAVATIO)</v>
          </cell>
          <cell r="D840" t="str">
            <v>AQUILES SERDAN #156</v>
          </cell>
          <cell r="E840" t="str">
            <v>MARAVATIO, MICH.</v>
          </cell>
          <cell r="J840" t="str">
            <v>J06</v>
          </cell>
          <cell r="V840" t="str">
            <v>CENTRO</v>
          </cell>
        </row>
        <row r="841">
          <cell r="A841">
            <v>7252</v>
          </cell>
          <cell r="B841" t="str">
            <v>ALEJANDRO MUÑOZ (TARANDACUAO)</v>
          </cell>
          <cell r="D841" t="str">
            <v>JUAREZ ESQ. CON HIDALGO 513</v>
          </cell>
          <cell r="E841" t="str">
            <v>TARANDACUAO, GTO.</v>
          </cell>
          <cell r="J841" t="str">
            <v>J06</v>
          </cell>
        </row>
        <row r="842">
          <cell r="A842">
            <v>7253</v>
          </cell>
          <cell r="B842" t="str">
            <v>MARCO ANTONIO CONTRERAS (JERECUARO)</v>
          </cell>
          <cell r="E842" t="str">
            <v>JERECUARO, GTO.</v>
          </cell>
          <cell r="G842" t="str">
            <v>(421) 110-7069</v>
          </cell>
          <cell r="J842" t="str">
            <v>J06</v>
          </cell>
        </row>
        <row r="843">
          <cell r="A843">
            <v>7254</v>
          </cell>
          <cell r="B843" t="str">
            <v>GUADALUPE SUAREZ (QUERETARO)</v>
          </cell>
          <cell r="E843" t="str">
            <v>QUERETARO, QRO.</v>
          </cell>
          <cell r="H843" t="str">
            <v>L04</v>
          </cell>
          <cell r="J843" t="str">
            <v>L04</v>
          </cell>
        </row>
        <row r="844">
          <cell r="A844">
            <v>7255</v>
          </cell>
          <cell r="B844" t="str">
            <v>YADIRA SEBASTIAN CRUZ (MIXQUIAHUALA)</v>
          </cell>
          <cell r="C844" t="str">
            <v/>
          </cell>
          <cell r="D844" t="str">
            <v>PLAZA DE LA CONSTITUCION #5</v>
          </cell>
          <cell r="E844" t="str">
            <v>MIXQUIAHUALA, HGO.</v>
          </cell>
          <cell r="F844" t="str">
            <v/>
          </cell>
          <cell r="G844" t="str">
            <v>(772) 136-2231</v>
          </cell>
          <cell r="H844" t="str">
            <v>YADIRA SEBASTIAN C.</v>
          </cell>
          <cell r="I844" t="str">
            <v>YADIRA SEBASTIAN C.</v>
          </cell>
          <cell r="J844" t="str">
            <v>F02</v>
          </cell>
          <cell r="K844" t="str">
            <v/>
          </cell>
          <cell r="L844">
            <v>0</v>
          </cell>
          <cell r="M844">
            <v>477</v>
          </cell>
          <cell r="N844" t="str">
            <v>A</v>
          </cell>
          <cell r="O844">
            <v>42411</v>
          </cell>
          <cell r="P844" t="str">
            <v xml:space="preserve">    1</v>
          </cell>
          <cell r="Q844">
            <v>0</v>
          </cell>
          <cell r="R844">
            <v>0</v>
          </cell>
          <cell r="S844">
            <v>0</v>
          </cell>
          <cell r="T844">
            <v>51015</v>
          </cell>
          <cell r="U844">
            <v>0</v>
          </cell>
          <cell r="V844" t="str">
            <v>CENTRO</v>
          </cell>
          <cell r="W844" t="str">
            <v>(772) 101-9562 CEL</v>
          </cell>
        </row>
        <row r="845">
          <cell r="A845">
            <v>7256</v>
          </cell>
          <cell r="B845" t="str">
            <v>ROCIO HERNANDEZ (MARAVATIO)</v>
          </cell>
          <cell r="E845" t="str">
            <v>MARAVATIO, MICH.</v>
          </cell>
          <cell r="G845" t="str">
            <v>(447) 103-0113</v>
          </cell>
          <cell r="J845" t="str">
            <v>J06</v>
          </cell>
        </row>
        <row r="846">
          <cell r="A846">
            <v>7257</v>
          </cell>
          <cell r="B846" t="str">
            <v>ARMANDO ALBA (CELAYA)</v>
          </cell>
          <cell r="D846" t="str">
            <v>PASAJE GUADALUPE #108 LOC. 8</v>
          </cell>
          <cell r="E846" t="str">
            <v>CELAYA, GTO.</v>
          </cell>
          <cell r="G846" t="str">
            <v>(461) 101-0258</v>
          </cell>
          <cell r="J846" t="str">
            <v>F04</v>
          </cell>
        </row>
        <row r="847">
          <cell r="A847">
            <v>7258</v>
          </cell>
          <cell r="B847" t="str">
            <v>M´ENCANTA (CELAYA)</v>
          </cell>
          <cell r="D847" t="str">
            <v>VENUSTIANO CARRANZA #215</v>
          </cell>
          <cell r="E847" t="str">
            <v>CELAYA, GTO.</v>
          </cell>
          <cell r="G847" t="str">
            <v>(461) 230-7862</v>
          </cell>
          <cell r="J847" t="str">
            <v>F04</v>
          </cell>
        </row>
        <row r="848">
          <cell r="A848">
            <v>7259</v>
          </cell>
          <cell r="B848" t="str">
            <v>MIRIAM TORRES (TULA)</v>
          </cell>
          <cell r="E848" t="str">
            <v>TULA, HGO.</v>
          </cell>
          <cell r="J848" t="str">
            <v>F01</v>
          </cell>
        </row>
        <row r="849">
          <cell r="A849">
            <v>7260</v>
          </cell>
          <cell r="B849" t="str">
            <v>LORENA HERNANDEZ (SJR)</v>
          </cell>
          <cell r="D849" t="str">
            <v>20 DE NOVIEMBRE #10</v>
          </cell>
          <cell r="E849" t="str">
            <v>SAN JUAN DEL RIO, QRO.</v>
          </cell>
          <cell r="G849" t="str">
            <v>(427) 100-7000</v>
          </cell>
          <cell r="J849" t="str">
            <v>L01</v>
          </cell>
          <cell r="V849" t="str">
            <v>LA VALLA</v>
          </cell>
        </row>
        <row r="850">
          <cell r="A850">
            <v>7261</v>
          </cell>
          <cell r="B850" t="str">
            <v>SARAI MEJIA (MARAVATIO)</v>
          </cell>
          <cell r="D850" t="str">
            <v>NICOLAS BRAVO #22</v>
          </cell>
          <cell r="E850" t="str">
            <v>MARAVATIO, MICH.</v>
          </cell>
          <cell r="J850" t="str">
            <v>J06</v>
          </cell>
          <cell r="V850" t="str">
            <v>CENTRO</v>
          </cell>
        </row>
        <row r="851">
          <cell r="A851">
            <v>7262</v>
          </cell>
          <cell r="B851" t="str">
            <v>PAPELERIA Y MERCERIA RAMIREZ (TARANDA)</v>
          </cell>
          <cell r="E851" t="str">
            <v>TARANDACUAO, GTO.</v>
          </cell>
          <cell r="J851" t="str">
            <v>F06</v>
          </cell>
        </row>
        <row r="852">
          <cell r="A852">
            <v>7263</v>
          </cell>
          <cell r="B852" t="str">
            <v>REGALOS ARIS (AMEALCO)</v>
          </cell>
          <cell r="E852" t="str">
            <v>AMEALCO, QRO.</v>
          </cell>
          <cell r="J852" t="str">
            <v>L06</v>
          </cell>
        </row>
        <row r="853">
          <cell r="A853">
            <v>7264</v>
          </cell>
          <cell r="B853" t="str">
            <v>DANIEL CASTRO SOTO (SAN JUAN)</v>
          </cell>
          <cell r="C853" t="str">
            <v>CASD801024J71</v>
          </cell>
          <cell r="D853" t="str">
            <v xml:space="preserve">PAPELERIA AMERICA </v>
          </cell>
          <cell r="E853" t="str">
            <v>SAN JUAN DEL RIO, QRO.</v>
          </cell>
          <cell r="F853" t="str">
            <v>76800</v>
          </cell>
          <cell r="V853" t="str">
            <v>CENTRO</v>
          </cell>
          <cell r="W853" t="str">
            <v>*USO CFDI*</v>
          </cell>
        </row>
        <row r="854">
          <cell r="A854">
            <v>7265</v>
          </cell>
          <cell r="B854" t="str">
            <v>JAEL DAMIAN (TLAXCOAPAN)</v>
          </cell>
          <cell r="E854" t="str">
            <v>TLAXCOAPAN, HGO.</v>
          </cell>
          <cell r="J854" t="str">
            <v>F02</v>
          </cell>
        </row>
        <row r="855">
          <cell r="A855">
            <v>7266</v>
          </cell>
          <cell r="B855" t="str">
            <v>LENIN (E. MONTES)</v>
          </cell>
          <cell r="E855" t="str">
            <v>EZEQUIEL MONTES, QRO.</v>
          </cell>
          <cell r="J855" t="str">
            <v>J04</v>
          </cell>
        </row>
        <row r="856">
          <cell r="A856">
            <v>7267</v>
          </cell>
          <cell r="B856" t="str">
            <v>GRACIELA LOPEZ M. (CORONEO)</v>
          </cell>
          <cell r="D856" t="str">
            <v>ZARAGOZA #43</v>
          </cell>
          <cell r="E856" t="str">
            <v>CORONEO, GTO.</v>
          </cell>
          <cell r="G856" t="str">
            <v>(421) 102-2770</v>
          </cell>
          <cell r="J856" t="str">
            <v>J06</v>
          </cell>
          <cell r="V856" t="str">
            <v>CENTRO</v>
          </cell>
        </row>
        <row r="857">
          <cell r="A857">
            <v>7268</v>
          </cell>
          <cell r="B857" t="str">
            <v>ANDREA BECERRA RODRIGUEZ (AMEALCO)</v>
          </cell>
          <cell r="D857" t="str">
            <v>PINO SUAREZ #31</v>
          </cell>
          <cell r="E857" t="str">
            <v>AMEALCO, QRO.</v>
          </cell>
          <cell r="G857" t="str">
            <v>(448) 121-8065</v>
          </cell>
          <cell r="J857" t="str">
            <v>L06</v>
          </cell>
          <cell r="V857" t="str">
            <v>CENTRO</v>
          </cell>
        </row>
        <row r="858">
          <cell r="A858">
            <v>7269</v>
          </cell>
          <cell r="B858" t="str">
            <v>GUADALUPE RAMIREZ VALDEZ (QUERETARO)</v>
          </cell>
          <cell r="C858" t="str">
            <v>PAPELERIA DIAMANTE</v>
          </cell>
          <cell r="D858" t="str">
            <v>VALLA DEL SOL #15</v>
          </cell>
          <cell r="E858" t="str">
            <v>QUERETARO, QRO.</v>
          </cell>
          <cell r="J858" t="str">
            <v>L04</v>
          </cell>
          <cell r="V858" t="str">
            <v>LOMAS DEL VALLE</v>
          </cell>
        </row>
        <row r="859">
          <cell r="A859">
            <v>7270</v>
          </cell>
          <cell r="B859" t="str">
            <v>MIRIAM ZUÑIGA FERNANDEZ (QUERETARO)</v>
          </cell>
          <cell r="D859" t="str">
            <v>AV. CERRO DEL SOMBRERETE #1301 INT. 2</v>
          </cell>
          <cell r="E859" t="str">
            <v>QUERETARO, QRO.</v>
          </cell>
          <cell r="G859" t="str">
            <v>(442) 170 4651</v>
          </cell>
          <cell r="J859" t="str">
            <v>L04</v>
          </cell>
          <cell r="V859" t="str">
            <v>EL VERGEL</v>
          </cell>
        </row>
        <row r="860">
          <cell r="A860">
            <v>7271</v>
          </cell>
          <cell r="B860" t="str">
            <v>ANA KAREN IRINEO MARTINEZ (ESCOBEDO)</v>
          </cell>
          <cell r="D860" t="str">
            <v>FRANCISCO MARQUEZ</v>
          </cell>
          <cell r="E860" t="str">
            <v>PEDRO ESCOBEDO, QRO.</v>
          </cell>
          <cell r="G860" t="str">
            <v>(448) 111-0915</v>
          </cell>
          <cell r="J860" t="str">
            <v>L04</v>
          </cell>
        </row>
        <row r="861">
          <cell r="A861">
            <v>7272</v>
          </cell>
          <cell r="B861" t="str">
            <v>FELIPE DE JESUS VAZQUEZ (IRAPUATO)</v>
          </cell>
          <cell r="E861" t="str">
            <v>IRAPUATO, GTO.</v>
          </cell>
          <cell r="J861" t="str">
            <v>F04</v>
          </cell>
        </row>
        <row r="862">
          <cell r="A862">
            <v>7273</v>
          </cell>
          <cell r="B862" t="str">
            <v>CINTHIA VEGA GARCIA (TECOZAHUTLA)</v>
          </cell>
          <cell r="E862" t="str">
            <v>TECOZAHUTLA, HGO.</v>
          </cell>
          <cell r="G862" t="str">
            <v>(771) 295-3255</v>
          </cell>
          <cell r="J862" t="str">
            <v>J02</v>
          </cell>
        </row>
        <row r="863">
          <cell r="A863">
            <v>7274</v>
          </cell>
          <cell r="B863" t="str">
            <v>PERLA (ATLACOMULCO)</v>
          </cell>
          <cell r="E863" t="str">
            <v>ATLACOMULCO, EDO. DE MEXICO</v>
          </cell>
          <cell r="J863" t="str">
            <v>L08</v>
          </cell>
        </row>
        <row r="864">
          <cell r="A864">
            <v>7275</v>
          </cell>
          <cell r="B864" t="str">
            <v>NORMA ANGELICA ROMERO (HUICHAPAN)</v>
          </cell>
          <cell r="D864" t="str">
            <v>CENTRAL</v>
          </cell>
          <cell r="E864" t="str">
            <v>HUICHAPAN, HGO.</v>
          </cell>
          <cell r="J864" t="str">
            <v>J01</v>
          </cell>
        </row>
        <row r="865">
          <cell r="A865">
            <v>7276</v>
          </cell>
          <cell r="B865" t="str">
            <v>MARIA GUADALUPE AVILA (MARAVATIO)</v>
          </cell>
          <cell r="D865" t="str">
            <v>COMONFORT #10</v>
          </cell>
          <cell r="E865" t="str">
            <v>MARAVATIO, MICH.</v>
          </cell>
          <cell r="J865" t="str">
            <v>F06</v>
          </cell>
          <cell r="V865" t="str">
            <v>CENTRO</v>
          </cell>
        </row>
        <row r="866">
          <cell r="A866">
            <v>7277</v>
          </cell>
          <cell r="B866" t="str">
            <v>TANIA GABRIELA GARCIA (MARAVATIO)</v>
          </cell>
          <cell r="E866" t="str">
            <v>MARAVATIO, MICH.</v>
          </cell>
          <cell r="J866" t="str">
            <v>F06</v>
          </cell>
        </row>
        <row r="867">
          <cell r="A867">
            <v>7278</v>
          </cell>
          <cell r="B867" t="str">
            <v>IMELDA MEDRANO OLVERA (QUERETARO)</v>
          </cell>
          <cell r="C867" t="str">
            <v>CHURPS</v>
          </cell>
          <cell r="D867" t="str">
            <v>AV. DE LA PIEDRA #1009</v>
          </cell>
          <cell r="E867" t="str">
            <v>QUERETARO, QRO.</v>
          </cell>
          <cell r="G867" t="str">
            <v>(442) 359-8581</v>
          </cell>
          <cell r="J867" t="str">
            <v>L04</v>
          </cell>
          <cell r="V867" t="str">
            <v>SATELITE</v>
          </cell>
        </row>
        <row r="868">
          <cell r="A868">
            <v>7279</v>
          </cell>
          <cell r="B868" t="str">
            <v>JAQUELINE MEJIA MORA (MARAVATIO)</v>
          </cell>
          <cell r="C868" t="str">
            <v>NOHEMI</v>
          </cell>
          <cell r="D868" t="str">
            <v>AQUILES SERDAN #413 B</v>
          </cell>
          <cell r="E868" t="str">
            <v>MARAVATIO, MICH.</v>
          </cell>
          <cell r="J868" t="str">
            <v>F06</v>
          </cell>
          <cell r="V868" t="str">
            <v>CENTRO</v>
          </cell>
        </row>
        <row r="869">
          <cell r="A869">
            <v>7280</v>
          </cell>
          <cell r="B869" t="str">
            <v>ISABEL RUIZ "DETALLES"(QUERETARO)</v>
          </cell>
          <cell r="D869" t="str">
            <v>BENITO JUAREZ #15</v>
          </cell>
          <cell r="E869" t="str">
            <v>QUERETARO, QRO.</v>
          </cell>
          <cell r="J869" t="str">
            <v>L04</v>
          </cell>
          <cell r="V869" t="str">
            <v>STA. BARBARA</v>
          </cell>
        </row>
        <row r="870">
          <cell r="A870">
            <v>7281</v>
          </cell>
          <cell r="B870" t="str">
            <v>JESSICA FABIOLA ESPITIA (CORTAZAR)</v>
          </cell>
          <cell r="D870" t="str">
            <v>AV. CHAPINGO #412-A</v>
          </cell>
          <cell r="E870" t="str">
            <v>CORTAZAR, GTO.</v>
          </cell>
          <cell r="J870" t="str">
            <v>F06</v>
          </cell>
          <cell r="V870" t="str">
            <v>PRIMERO ES CORTAZAR</v>
          </cell>
        </row>
        <row r="871">
          <cell r="A871">
            <v>7282</v>
          </cell>
          <cell r="B871" t="str">
            <v>RODRIGO ACEVEDO (TEZONTEPEC)</v>
          </cell>
          <cell r="D871" t="str">
            <v>PAPELERIA FC</v>
          </cell>
          <cell r="E871" t="str">
            <v>TEZONTEPEC, HGO.</v>
          </cell>
          <cell r="G871" t="str">
            <v>(773) 144-8936</v>
          </cell>
          <cell r="J871" t="str">
            <v>F02</v>
          </cell>
        </row>
        <row r="872">
          <cell r="A872">
            <v>7283</v>
          </cell>
          <cell r="B872" t="str">
            <v>KADYABED RANGEL (MARAVATIO)</v>
          </cell>
          <cell r="E872" t="str">
            <v>MARAVATIO, MICH.</v>
          </cell>
          <cell r="J872" t="str">
            <v>F06</v>
          </cell>
        </row>
        <row r="873">
          <cell r="A873">
            <v>7284</v>
          </cell>
          <cell r="B873" t="str">
            <v>EDUARDO VALLEJO (COACALCO)</v>
          </cell>
          <cell r="E873" t="str">
            <v>-</v>
          </cell>
        </row>
        <row r="874">
          <cell r="A874">
            <v>7285</v>
          </cell>
          <cell r="B874" t="str">
            <v>ADAN RODRIGUEZ (ZUMPANGO)</v>
          </cell>
          <cell r="E874" t="str">
            <v>ZUMPANGO, EDO. DE MEXICO</v>
          </cell>
        </row>
        <row r="875">
          <cell r="A875">
            <v>7286</v>
          </cell>
          <cell r="B875" t="str">
            <v>EL REGALO (IRAPUATO)</v>
          </cell>
          <cell r="D875" t="str">
            <v>MANUEL DOBLADO #46 NTE.</v>
          </cell>
          <cell r="E875" t="str">
            <v>IRAPUATO, GTO.</v>
          </cell>
          <cell r="G875" t="str">
            <v>(462) 626-3366</v>
          </cell>
          <cell r="V875" t="str">
            <v>CENTRO</v>
          </cell>
        </row>
        <row r="876">
          <cell r="A876">
            <v>7287</v>
          </cell>
          <cell r="B876" t="str">
            <v>YOSELIN RODRIGUEZ RUIZ (P. ESCOBEDO)</v>
          </cell>
          <cell r="D876" t="str">
            <v>HACIENDA CHICHIMEQUILLAS #39</v>
          </cell>
          <cell r="E876" t="str">
            <v>PEDRO ESCOBEDO, QRO.</v>
          </cell>
          <cell r="G876" t="str">
            <v>(448) 116-5937</v>
          </cell>
          <cell r="V876" t="str">
            <v>ROMA LA LIRA</v>
          </cell>
        </row>
        <row r="877">
          <cell r="A877">
            <v>7288</v>
          </cell>
          <cell r="B877" t="str">
            <v>GUADALUPE CANTERA RAMIREZ (SJR)</v>
          </cell>
          <cell r="D877" t="str">
            <v>LABRADORITO #29</v>
          </cell>
          <cell r="E877" t="str">
            <v>SAN JUAN DEL RIO, QRO.</v>
          </cell>
          <cell r="V877" t="str">
            <v>EL PEDREGOSO</v>
          </cell>
        </row>
        <row r="878">
          <cell r="A878">
            <v>7289</v>
          </cell>
          <cell r="B878" t="str">
            <v>ROSARIO LICEA (A. EL GRANDE)</v>
          </cell>
          <cell r="D878" t="str">
            <v>GUADALUPE VICTORIA #209</v>
          </cell>
          <cell r="E878" t="str">
            <v>APASEO EL GRANDE, GTO.</v>
          </cell>
          <cell r="G878" t="str">
            <v>(413) 129-4214</v>
          </cell>
          <cell r="J878" t="str">
            <v>F04</v>
          </cell>
          <cell r="V878" t="str">
            <v>CENTRO</v>
          </cell>
        </row>
        <row r="879">
          <cell r="A879">
            <v>7290</v>
          </cell>
          <cell r="B879" t="str">
            <v>EDNA ANGELICA PEREZ NICOLAS (SJR)</v>
          </cell>
          <cell r="D879" t="str">
            <v>NUECES #72 "PAPELERIA ACUARELA"</v>
          </cell>
          <cell r="E879" t="str">
            <v>SAN JUAN DEL RIO, QRO.</v>
          </cell>
          <cell r="G879" t="str">
            <v>(427) 231-7631</v>
          </cell>
          <cell r="V879" t="str">
            <v>FRACC. LOS NOGALES</v>
          </cell>
        </row>
        <row r="880">
          <cell r="A880">
            <v>7291</v>
          </cell>
          <cell r="B880" t="str">
            <v>DULCE VIDA (TARANDA)</v>
          </cell>
          <cell r="E880" t="str">
            <v>TARANDACUAO, GTO.</v>
          </cell>
        </row>
        <row r="881">
          <cell r="A881">
            <v>7292</v>
          </cell>
          <cell r="B881" t="str">
            <v>LA SIRENITA (JERECUARO)</v>
          </cell>
          <cell r="E881" t="str">
            <v>JERECUARO, GTO.</v>
          </cell>
        </row>
        <row r="882">
          <cell r="A882">
            <v>7293</v>
          </cell>
          <cell r="B882" t="str">
            <v>ANA MARIA BAÑUELOS (QUERETARO)</v>
          </cell>
          <cell r="C882" t="str">
            <v>REGALOS ANITA</v>
          </cell>
          <cell r="D882" t="str">
            <v>ALFONSO REYES #521</v>
          </cell>
          <cell r="E882" t="str">
            <v>QUERETARO, QRO.</v>
          </cell>
          <cell r="G882" t="str">
            <v>(442) 282-0362</v>
          </cell>
          <cell r="V882" t="str">
            <v>EL TINTERO</v>
          </cell>
        </row>
        <row r="883">
          <cell r="A883">
            <v>7294</v>
          </cell>
          <cell r="B883" t="str">
            <v>VIRGINIA SANDOVAL (EPITACIO HUERTA)</v>
          </cell>
          <cell r="E883" t="str">
            <v>EPITACIO HUERTA, MICH.</v>
          </cell>
        </row>
        <row r="884">
          <cell r="A884">
            <v>7295</v>
          </cell>
          <cell r="B884" t="str">
            <v>LUIS MARTINEZ ROMERO (ATLACOMULCO)</v>
          </cell>
          <cell r="D884" t="str">
            <v>ALFREDO DEL MAZO S/N</v>
          </cell>
          <cell r="E884" t="str">
            <v>ATLACOMULCO, EDO. DE MEXICO</v>
          </cell>
        </row>
        <row r="885">
          <cell r="A885">
            <v>7296</v>
          </cell>
          <cell r="B885" t="str">
            <v>FLORERIA ETERNITY (SAN JUAN DEL RIO)</v>
          </cell>
          <cell r="D885" t="str">
            <v>20 DE NOVIEMBRE</v>
          </cell>
          <cell r="E885" t="str">
            <v>SAN JUAN DEL RIO, QRO.</v>
          </cell>
          <cell r="V885" t="str">
            <v>CENTRO</v>
          </cell>
        </row>
        <row r="886">
          <cell r="A886">
            <v>7297</v>
          </cell>
          <cell r="B886" t="str">
            <v>MARIA ELENA TORREJON (SAN JOSE ITURBIDE)</v>
          </cell>
          <cell r="E886" t="str">
            <v>SAN JOSE ITURBIDE, GTO.</v>
          </cell>
          <cell r="G886" t="str">
            <v>(419) 118-0340</v>
          </cell>
        </row>
        <row r="887">
          <cell r="A887">
            <v>7298</v>
          </cell>
          <cell r="B887" t="str">
            <v>ARACELI OLVERA CHAVEZ (SAN JOSE ITURBIDE)</v>
          </cell>
          <cell r="D887" t="str">
            <v>ALLENDE #57</v>
          </cell>
          <cell r="E887" t="str">
            <v>SAN JOSE ITURBIDE, GTO.</v>
          </cell>
          <cell r="G887" t="str">
            <v>(419) 105-2936</v>
          </cell>
          <cell r="V887" t="str">
            <v>CENTRO</v>
          </cell>
        </row>
        <row r="888">
          <cell r="A888">
            <v>7299</v>
          </cell>
          <cell r="B888" t="str">
            <v>MARIBEL PEREZ (AMEALCO)</v>
          </cell>
          <cell r="D888" t="str">
            <v>HIDALGO #386</v>
          </cell>
          <cell r="E888" t="str">
            <v>AMEALCO, QRO.</v>
          </cell>
          <cell r="V888" t="str">
            <v>CENTRO</v>
          </cell>
        </row>
        <row r="889">
          <cell r="A889">
            <v>7300</v>
          </cell>
          <cell r="B889" t="str">
            <v>OLIVIA FRIAS (CORONEO)</v>
          </cell>
          <cell r="D889" t="str">
            <v>ALDAMA #258</v>
          </cell>
          <cell r="E889" t="str">
            <v>CORONEO, GTO.</v>
          </cell>
          <cell r="V889" t="str">
            <v>CENTRO</v>
          </cell>
        </row>
        <row r="890">
          <cell r="A890">
            <v>7301</v>
          </cell>
          <cell r="B890" t="str">
            <v>DULCERIA JOVANI (ACAMBARO)</v>
          </cell>
          <cell r="D890" t="str">
            <v>ALLENDE / HIDALGO</v>
          </cell>
          <cell r="E890" t="str">
            <v>ACAMBARO, GTO.</v>
          </cell>
          <cell r="V890" t="str">
            <v>CENTRO</v>
          </cell>
        </row>
        <row r="891">
          <cell r="A891">
            <v>7302</v>
          </cell>
          <cell r="B891" t="str">
            <v>YURI - ABISAHI CORTEZ (PLAYA DEL CARMEN)</v>
          </cell>
          <cell r="D891" t="str">
            <v>PLAZA CHEDRAUI LT. 3 MZ. 13 LA CASA DE LOS REGALOS</v>
          </cell>
          <cell r="E891" t="str">
            <v>PLAYA DEL CARMEN, QUINTANA ROO</v>
          </cell>
          <cell r="F891" t="str">
            <v>77723</v>
          </cell>
          <cell r="G891" t="str">
            <v>(998) 844-5987</v>
          </cell>
          <cell r="V891" t="str">
            <v>VILLAS DEL SOL</v>
          </cell>
          <cell r="W891" t="str">
            <v>LOCAL "LA CASA DE LOS REGALOS"</v>
          </cell>
        </row>
        <row r="892">
          <cell r="A892">
            <v>7303</v>
          </cell>
          <cell r="B892" t="str">
            <v>LORENZO MARTINEZ (CORTAZAR)</v>
          </cell>
          <cell r="D892" t="str">
            <v>ZARAGOZA #205-A</v>
          </cell>
          <cell r="E892" t="str">
            <v>CORTAZAR, GTO.</v>
          </cell>
          <cell r="G892" t="str">
            <v>(442) 654-3635</v>
          </cell>
          <cell r="V892" t="str">
            <v>CENTRO</v>
          </cell>
        </row>
        <row r="893">
          <cell r="A893">
            <v>7304</v>
          </cell>
          <cell r="B893" t="str">
            <v>REINA GUZMAN NORIEGA (QUERETARO)</v>
          </cell>
          <cell r="C893" t="str">
            <v>GUNR570502SW3</v>
          </cell>
          <cell r="D893" t="str">
            <v>AV. CAMINO REAL DE CARRETAS #321 LOCAL 9</v>
          </cell>
          <cell r="E893" t="str">
            <v>QUERETARO, QRO.</v>
          </cell>
          <cell r="F893" t="str">
            <v>76060</v>
          </cell>
          <cell r="V893" t="str">
            <v>MILENIO III</v>
          </cell>
          <cell r="X893" t="str">
            <v>reina_42@hotmail.com</v>
          </cell>
        </row>
        <row r="894">
          <cell r="A894">
            <v>7305</v>
          </cell>
          <cell r="B894" t="str">
            <v>MAYRA SANCHEZ (TEQUISQUIAC)</v>
          </cell>
          <cell r="E894" t="str">
            <v>TEQUISQUIAC, EDO. DE MEXICO</v>
          </cell>
          <cell r="G894" t="str">
            <v>(55) 8182-5866</v>
          </cell>
        </row>
        <row r="895">
          <cell r="A895">
            <v>7306</v>
          </cell>
          <cell r="B895" t="str">
            <v>MARIA GUADALUPE OLVERA (ACTOPAN)</v>
          </cell>
          <cell r="E895" t="str">
            <v>ACTOPAN, HGO.</v>
          </cell>
          <cell r="G895" t="str">
            <v>(712) 120-1624</v>
          </cell>
        </row>
        <row r="896">
          <cell r="A896">
            <v>7307</v>
          </cell>
          <cell r="B896" t="str">
            <v>GLORIA CALIXTO FELIX</v>
          </cell>
          <cell r="E896" t="str">
            <v>-</v>
          </cell>
        </row>
        <row r="897">
          <cell r="A897">
            <v>7308</v>
          </cell>
          <cell r="B897" t="str">
            <v>CARMEN NIETO (QUERETARO)</v>
          </cell>
          <cell r="C897" t="str">
            <v>INDUSTRIAL PAPELERIA</v>
          </cell>
          <cell r="D897" t="str">
            <v>CORREGIDORA NTE. #457-B</v>
          </cell>
          <cell r="E897" t="str">
            <v>QUERETARO, QRO.</v>
          </cell>
          <cell r="F897" t="str">
            <v>76160</v>
          </cell>
          <cell r="G897" t="str">
            <v>(442) 460-8959</v>
          </cell>
          <cell r="V897" t="str">
            <v>LINDAVISTA</v>
          </cell>
        </row>
        <row r="898">
          <cell r="A898">
            <v>7309</v>
          </cell>
          <cell r="B898" t="str">
            <v>MARIA NIEVES (QUERETARO)</v>
          </cell>
          <cell r="C898" t="str">
            <v>LA PAPE</v>
          </cell>
          <cell r="D898" t="str">
            <v>MONTE SINAI #101-B</v>
          </cell>
          <cell r="E898" t="str">
            <v>QUERETARO, QRO.</v>
          </cell>
          <cell r="F898" t="str">
            <v>76063</v>
          </cell>
          <cell r="G898" t="str">
            <v>(442) 361-5806</v>
          </cell>
          <cell r="V898" t="str">
            <v>VISTA HERMOSA</v>
          </cell>
        </row>
        <row r="899">
          <cell r="A899">
            <v>7310</v>
          </cell>
          <cell r="B899" t="str">
            <v>MARIA BASALDUA (SAN JOSE ITURBIDE)</v>
          </cell>
          <cell r="D899" t="str">
            <v>ALDAMA #35</v>
          </cell>
          <cell r="E899" t="str">
            <v>SAN JOSE ITURBIDE, GTO.</v>
          </cell>
          <cell r="G899" t="str">
            <v>(419) 115-2144</v>
          </cell>
          <cell r="V899" t="str">
            <v>CENTRO</v>
          </cell>
        </row>
        <row r="900">
          <cell r="A900">
            <v>7311</v>
          </cell>
          <cell r="B900" t="str">
            <v>EVANGELINA GONZALEZ (SAN JOSE ITURBIDE)</v>
          </cell>
          <cell r="D900" t="str">
            <v>ZARAGOZA #8B, ESQUINA MINA</v>
          </cell>
          <cell r="E900" t="str">
            <v>SAN JOSE ITURBIDE, GTO.</v>
          </cell>
          <cell r="G900" t="str">
            <v>(419) 107-8507</v>
          </cell>
          <cell r="V900" t="str">
            <v>CENTRO</v>
          </cell>
        </row>
        <row r="901">
          <cell r="A901">
            <v>7312</v>
          </cell>
          <cell r="B901" t="str">
            <v>RICARDO MADRID (ACAMBARO)</v>
          </cell>
          <cell r="D901" t="str">
            <v>REGALOS PARIS</v>
          </cell>
          <cell r="E901" t="str">
            <v>ACAMBARO, GTO.</v>
          </cell>
          <cell r="G901" t="str">
            <v>(417)103-0074</v>
          </cell>
        </row>
        <row r="902">
          <cell r="A902">
            <v>7313</v>
          </cell>
          <cell r="B902" t="str">
            <v>MARIANA MENDOZA (SANTA ROSA)</v>
          </cell>
          <cell r="C902" t="str">
            <v>PA´LA FIESTA</v>
          </cell>
          <cell r="D902" t="str">
            <v>INDEPENDENCIA #30</v>
          </cell>
          <cell r="E902" t="str">
            <v>SANTA ROSA JAUREGUI, QRO.</v>
          </cell>
          <cell r="G902" t="str">
            <v>(442) 395-2482</v>
          </cell>
          <cell r="V902" t="str">
            <v>CENTRO</v>
          </cell>
        </row>
        <row r="903">
          <cell r="A903">
            <v>7314</v>
          </cell>
          <cell r="B903" t="str">
            <v>MISAEL MONTES/LILIANA ESPIOZA SANCHEZ (SANTA ROSA)</v>
          </cell>
          <cell r="C903" t="str">
            <v>PAPELERIA Y REGALOS FANTASIA</v>
          </cell>
          <cell r="D903" t="str">
            <v>INDEPENDENCIA #63 NTE.</v>
          </cell>
          <cell r="E903" t="str">
            <v>SANTA ROSA JAUREGUI, QRO.</v>
          </cell>
          <cell r="F903" t="str">
            <v>76220</v>
          </cell>
          <cell r="G903" t="str">
            <v>(442) 185-9764</v>
          </cell>
          <cell r="V903" t="str">
            <v>CENTRO</v>
          </cell>
        </row>
        <row r="904">
          <cell r="A904">
            <v>7315</v>
          </cell>
          <cell r="B904" t="str">
            <v>SHIOMARA GUTIERREZ (SANTA ROSA)</v>
          </cell>
          <cell r="D904" t="str">
            <v>PASEO JUAREZ S/N</v>
          </cell>
          <cell r="E904" t="str">
            <v>SANTA ROSA JAUREGUI, QRO.</v>
          </cell>
          <cell r="G904" t="str">
            <v>(442) 317-5898</v>
          </cell>
          <cell r="V904" t="str">
            <v>CENTRO</v>
          </cell>
        </row>
        <row r="905">
          <cell r="A905">
            <v>7316</v>
          </cell>
          <cell r="B905" t="str">
            <v>TERESA AGUILA LOPEZ (SANTA ROSA)</v>
          </cell>
          <cell r="D905" t="str">
            <v>INDEPENDENCIA #42 NTE.</v>
          </cell>
          <cell r="E905" t="str">
            <v>SANTA ROSA JAUREGUI, QRO.</v>
          </cell>
          <cell r="G905" t="str">
            <v>(442) 344-3959</v>
          </cell>
          <cell r="V905" t="str">
            <v>CENTRO</v>
          </cell>
        </row>
        <row r="906">
          <cell r="A906">
            <v>7317</v>
          </cell>
          <cell r="B906" t="str">
            <v>IRMA PEREZ (SAN LUIS DE LA PAZ)</v>
          </cell>
          <cell r="D906" t="str">
            <v>PLAZA EL ANGEL LOCAL 16</v>
          </cell>
          <cell r="E906" t="str">
            <v>SAN LUIS DE LA PAZ, GTO.</v>
          </cell>
          <cell r="G906" t="str">
            <v>(468)117-4978</v>
          </cell>
          <cell r="V906" t="str">
            <v>CENTRO</v>
          </cell>
        </row>
        <row r="907">
          <cell r="A907">
            <v>7318</v>
          </cell>
          <cell r="B907" t="str">
            <v>HILDA CARRANZA MONTES (SAN LUIS DE LA PAZ)</v>
          </cell>
          <cell r="D907" t="str">
            <v>PLAZA EL ANGEL LOCAL 12</v>
          </cell>
          <cell r="E907" t="str">
            <v>SAN LUIS DE LA PAZ, GTO.</v>
          </cell>
          <cell r="G907" t="str">
            <v>(468) 129-7425</v>
          </cell>
          <cell r="V907" t="str">
            <v>CENTRO</v>
          </cell>
        </row>
        <row r="908">
          <cell r="A908">
            <v>7319</v>
          </cell>
          <cell r="B908" t="str">
            <v>SERGIO ZALDIVAR (QUERETARO)</v>
          </cell>
          <cell r="E908" t="str">
            <v>QUERETARO, QRO.</v>
          </cell>
        </row>
        <row r="909">
          <cell r="A909">
            <v>7320</v>
          </cell>
          <cell r="B909" t="str">
            <v>GINA ZARAZUA (E. MONTES)</v>
          </cell>
          <cell r="E909" t="str">
            <v>EZEQUIEL MONTES, QRO.</v>
          </cell>
        </row>
        <row r="910">
          <cell r="A910">
            <v>7321</v>
          </cell>
          <cell r="B910" t="str">
            <v>ROCIO SANDOVAL (SAN LUIS DE LA PAZ)</v>
          </cell>
          <cell r="D910" t="str">
            <v>RAYON #108</v>
          </cell>
          <cell r="E910" t="str">
            <v>SAN LUIS DE LA PAZ, GTO.</v>
          </cell>
          <cell r="V910" t="str">
            <v>CENTRO</v>
          </cell>
        </row>
        <row r="911">
          <cell r="A911">
            <v>7322</v>
          </cell>
          <cell r="B911" t="str">
            <v>SIIJ (SAN JOSE ITURBIDE)</v>
          </cell>
          <cell r="D911" t="str">
            <v>ALLENDE #57</v>
          </cell>
          <cell r="E911" t="str">
            <v>SAN JOSE ITURBIDE, GTO.</v>
          </cell>
          <cell r="V911" t="str">
            <v>CENTRO</v>
          </cell>
        </row>
        <row r="912">
          <cell r="A912">
            <v>7323</v>
          </cell>
          <cell r="B912" t="str">
            <v>ROSA MARIA ORTIZ RAMIREZ (QUERETARO)</v>
          </cell>
          <cell r="C912" t="str">
            <v>PAPELERIA CAMPANITA</v>
          </cell>
          <cell r="D912" t="str">
            <v>AV. DE LA LUZ #1317</v>
          </cell>
          <cell r="E912" t="str">
            <v>QUERETARO, QRO.</v>
          </cell>
          <cell r="F912" t="str">
            <v>76116</v>
          </cell>
          <cell r="G912" t="str">
            <v>(442) 460-3066</v>
          </cell>
          <cell r="V912" t="str">
            <v>CERRITO COLORADO</v>
          </cell>
        </row>
        <row r="913">
          <cell r="A913">
            <v>7324</v>
          </cell>
          <cell r="B913" t="str">
            <v>RAQUEL GARCIA (QUERETARO)</v>
          </cell>
          <cell r="C913" t="str">
            <v>PAPELERIA BICOLOR</v>
          </cell>
          <cell r="D913" t="str">
            <v>CEDRO #34</v>
          </cell>
          <cell r="E913" t="str">
            <v>CORREGIDORA, QRO.</v>
          </cell>
          <cell r="G913" t="str">
            <v>(442) 338-1344</v>
          </cell>
          <cell r="V913" t="str">
            <v>LOS OLVERA</v>
          </cell>
        </row>
        <row r="914">
          <cell r="A914">
            <v>7325</v>
          </cell>
          <cell r="B914" t="str">
            <v>GABRIELA SANCHEZ (ACAMBAY)</v>
          </cell>
          <cell r="D914" t="str">
            <v>AV. CONSTITUCION S/N</v>
          </cell>
          <cell r="E914" t="str">
            <v>ACAMBAY, EDO. DE MEXICO</v>
          </cell>
          <cell r="V914" t="str">
            <v>CENTRO</v>
          </cell>
        </row>
        <row r="915">
          <cell r="A915">
            <v>7326</v>
          </cell>
          <cell r="B915" t="str">
            <v>MARIA GOMEZ (ESCOBEDO)</v>
          </cell>
          <cell r="D915" t="str">
            <v>CUAUHTEMOC #1</v>
          </cell>
          <cell r="E915" t="str">
            <v>PEDRO ESCOBEDO, QRO.</v>
          </cell>
          <cell r="G915" t="str">
            <v>(427) 116-3265</v>
          </cell>
          <cell r="V915" t="str">
            <v>CENTRO</v>
          </cell>
        </row>
        <row r="916">
          <cell r="A916">
            <v>7327</v>
          </cell>
          <cell r="B916" t="str">
            <v>GUADALUPE DORADO (ESCOBEDO)</v>
          </cell>
          <cell r="D916" t="str">
            <v>HERLINDA GALICIA #9</v>
          </cell>
          <cell r="E916" t="str">
            <v>PEDRO ESCOBEDO, QRO.</v>
          </cell>
          <cell r="G916" t="str">
            <v>(448) 106-8874</v>
          </cell>
        </row>
        <row r="917">
          <cell r="A917">
            <v>7328</v>
          </cell>
          <cell r="B917" t="str">
            <v>YOLANDA PAREDES (APASEO EL ALTO)</v>
          </cell>
          <cell r="D917" t="str">
            <v>16 DE SEPTIEMBRE #306</v>
          </cell>
          <cell r="E917" t="str">
            <v>APASEO EL ALTO, GTO.</v>
          </cell>
          <cell r="G917" t="str">
            <v>(413) 118-5194</v>
          </cell>
          <cell r="V917" t="str">
            <v>CENTRO</v>
          </cell>
        </row>
        <row r="918">
          <cell r="A918">
            <v>7329</v>
          </cell>
          <cell r="B918" t="str">
            <v>LETICIA HERNANDEZ (APASEO EL ALTO)</v>
          </cell>
          <cell r="D918" t="str">
            <v>JUAREZ #104</v>
          </cell>
          <cell r="E918" t="str">
            <v>APASEO EL ALTO, GTO.</v>
          </cell>
          <cell r="G918" t="str">
            <v>(413) 113-6834</v>
          </cell>
          <cell r="V918" t="str">
            <v>CENTRO</v>
          </cell>
        </row>
        <row r="919">
          <cell r="A919">
            <v>7330</v>
          </cell>
          <cell r="B919" t="str">
            <v>CECILIA ALVARADO / RICARDO AGUADO (SALAMANCA)</v>
          </cell>
          <cell r="D919" t="str">
            <v>EZEQUIEL ORDOÑEZ #122</v>
          </cell>
          <cell r="E919" t="str">
            <v>SALAMANCA, GTO.</v>
          </cell>
          <cell r="G919" t="str">
            <v>(464) 108-6093</v>
          </cell>
          <cell r="V919" t="str">
            <v>BELLA VISTA</v>
          </cell>
        </row>
        <row r="920">
          <cell r="A920">
            <v>7331</v>
          </cell>
          <cell r="B920" t="str">
            <v>PAPELERIA ARCOIRIS (SANTA ROSA)</v>
          </cell>
          <cell r="D920" t="str">
            <v>5 DE MAYO #911</v>
          </cell>
          <cell r="E920" t="str">
            <v>SANTA ROSA JAUREGUI, QRO.</v>
          </cell>
          <cell r="G920" t="str">
            <v>(442) 352-1376</v>
          </cell>
          <cell r="V920" t="str">
            <v>CENTRO</v>
          </cell>
        </row>
        <row r="921">
          <cell r="A921">
            <v>7332</v>
          </cell>
          <cell r="B921" t="str">
            <v>GRISELDA MUÑOZ (SANTA ROSA)</v>
          </cell>
          <cell r="D921" t="str">
            <v>INDEPUDIA NTE. #57</v>
          </cell>
          <cell r="E921" t="str">
            <v>SANTA ROSA JAUREGUI, QRO.</v>
          </cell>
          <cell r="G921" t="str">
            <v>(442) 704-4591</v>
          </cell>
        </row>
        <row r="922">
          <cell r="A922">
            <v>7333</v>
          </cell>
          <cell r="B922" t="str">
            <v>GABRIELA CALLEJAS (POLOTITLAN)</v>
          </cell>
          <cell r="D922" t="str">
            <v>ABASOLO #98</v>
          </cell>
          <cell r="E922" t="str">
            <v>POLOTITLAN, EDO. DE MEXICO</v>
          </cell>
          <cell r="G922" t="str">
            <v>(427) 122-4498</v>
          </cell>
          <cell r="V922" t="str">
            <v>CENTRO</v>
          </cell>
        </row>
        <row r="923">
          <cell r="A923">
            <v>7334</v>
          </cell>
          <cell r="B923" t="str">
            <v>IRMA GARCIA (POLOTITLAN)</v>
          </cell>
          <cell r="D923" t="str">
            <v xml:space="preserve">PLAZA DE LA CONSTITUCION </v>
          </cell>
          <cell r="E923" t="str">
            <v>POLOTITLAN, EDO. DE MEXICO</v>
          </cell>
          <cell r="G923" t="str">
            <v>(427) 126-0841</v>
          </cell>
          <cell r="V923" t="str">
            <v>CENTRO</v>
          </cell>
        </row>
        <row r="924">
          <cell r="A924">
            <v>7335</v>
          </cell>
          <cell r="B924" t="str">
            <v>IVONE MAYA (POLOTITLAN)</v>
          </cell>
          <cell r="D924" t="str">
            <v>PLAZA DE LA CONSTITUCION #7</v>
          </cell>
          <cell r="E924" t="str">
            <v>POLOTITLAN, EDO. DE MEXICO</v>
          </cell>
          <cell r="G924" t="str">
            <v>(55) 4442-9530</v>
          </cell>
          <cell r="V924" t="str">
            <v>CENTRO</v>
          </cell>
        </row>
        <row r="925">
          <cell r="A925">
            <v>7336</v>
          </cell>
          <cell r="B925" t="str">
            <v>ENRIQUE RESENDIS (POLOTITLAN)</v>
          </cell>
          <cell r="D925" t="str">
            <v>ABASOLO #8</v>
          </cell>
          <cell r="E925" t="str">
            <v>POLOTITLAN, EDO. DE MEXICO</v>
          </cell>
          <cell r="G925" t="str">
            <v>(55) 2740-2628</v>
          </cell>
          <cell r="V925" t="str">
            <v>CENTRO</v>
          </cell>
        </row>
        <row r="926">
          <cell r="A926">
            <v>7337</v>
          </cell>
          <cell r="B926" t="str">
            <v>BELINDA</v>
          </cell>
          <cell r="E926" t="str">
            <v>SALAMANCA, GTO.</v>
          </cell>
        </row>
        <row r="927">
          <cell r="A927">
            <v>7338</v>
          </cell>
          <cell r="B927" t="str">
            <v>ANTONIO ANDRADE REYES "TONY" (JALISCO)</v>
          </cell>
          <cell r="D927" t="str">
            <v>FLORENCIA #70 ENTRE VENECIA Y MILAN</v>
          </cell>
          <cell r="E927" t="str">
            <v>LAGOS DE MORENO, JAL.</v>
          </cell>
          <cell r="F927" t="str">
            <v>47450</v>
          </cell>
          <cell r="G927" t="str">
            <v>(395) 106-8275</v>
          </cell>
          <cell r="V927" t="str">
            <v>FRACC. STA. CATALINA, CAÑADA DE RICOS</v>
          </cell>
        </row>
        <row r="928">
          <cell r="A928">
            <v>7339</v>
          </cell>
          <cell r="B928" t="str">
            <v>ELIZABETH GOPAR (QUERETARO)</v>
          </cell>
          <cell r="E928" t="str">
            <v>QUERETARO, QRO.</v>
          </cell>
        </row>
        <row r="929">
          <cell r="A929">
            <v>7340</v>
          </cell>
          <cell r="B929" t="str">
            <v>ARACELI MAYORGA (QUERETARO)</v>
          </cell>
          <cell r="C929" t="str">
            <v>PAPELERIA ANTONY</v>
          </cell>
          <cell r="E929" t="str">
            <v>QUERETARO, QRO.</v>
          </cell>
        </row>
        <row r="930">
          <cell r="A930">
            <v>7341</v>
          </cell>
          <cell r="B930" t="str">
            <v>FRANCELIA CADENA (QUERETARO)</v>
          </cell>
          <cell r="E930" t="str">
            <v>QUERETARO, QRO.</v>
          </cell>
        </row>
        <row r="931">
          <cell r="A931">
            <v>7342</v>
          </cell>
          <cell r="B931" t="str">
            <v>ARTURO GARAY (QUERETARO)</v>
          </cell>
          <cell r="D931" t="str">
            <v>CEDRO #60</v>
          </cell>
          <cell r="E931" t="str">
            <v>CORREGIDORA, QRO.</v>
          </cell>
          <cell r="G931" t="str">
            <v>(442) 516-1653</v>
          </cell>
          <cell r="V931" t="str">
            <v>LOS OLVERA</v>
          </cell>
        </row>
        <row r="932">
          <cell r="A932">
            <v>7343</v>
          </cell>
          <cell r="B932" t="str">
            <v>BEATRIZ RAMIREZ (QUERETARO)</v>
          </cell>
          <cell r="C932" t="str">
            <v>PAPELERIA RAMIREZ</v>
          </cell>
          <cell r="D932" t="str">
            <v>CAMINO A LOIS OLVERA #77 LOCAL 3</v>
          </cell>
          <cell r="E932" t="str">
            <v>CORREGIDORA, QRO.</v>
          </cell>
          <cell r="V932" t="str">
            <v>LOS OLVERA</v>
          </cell>
        </row>
        <row r="933">
          <cell r="A933">
            <v>7344</v>
          </cell>
          <cell r="B933" t="str">
            <v>LINDA BRETADO (QUERETARO)</v>
          </cell>
          <cell r="E933" t="str">
            <v>QUERETARO, QRO.</v>
          </cell>
        </row>
        <row r="934">
          <cell r="A934">
            <v>7345</v>
          </cell>
          <cell r="B934" t="str">
            <v>FRANCIS "PAPELERIA LA GOMITA" (QUERETARO)</v>
          </cell>
          <cell r="E934" t="str">
            <v>QUERETARO, QRO.</v>
          </cell>
        </row>
        <row r="935">
          <cell r="A935">
            <v>7346</v>
          </cell>
          <cell r="B935" t="str">
            <v>ADAN ALCANTAR (AMEALCO)</v>
          </cell>
          <cell r="E935" t="str">
            <v>AMEALCO, QRO.</v>
          </cell>
        </row>
        <row r="936">
          <cell r="A936">
            <v>7347</v>
          </cell>
          <cell r="B936" t="str">
            <v>JANET CRUZ CRUZ (SAN JUAN DEL RIO)</v>
          </cell>
          <cell r="C936" t="str">
            <v>RECUERDAME BONITO</v>
          </cell>
          <cell r="D936" t="str">
            <v>AV. REFORMA S/N</v>
          </cell>
          <cell r="E936" t="str">
            <v>SAN JUAN DEL RIO, QRO.</v>
          </cell>
          <cell r="F936" t="str">
            <v>46847</v>
          </cell>
          <cell r="V936" t="str">
            <v>SAN SEBASTIAN DE LAS BARRANCAS NTE.</v>
          </cell>
        </row>
        <row r="937">
          <cell r="A937">
            <v>7348</v>
          </cell>
          <cell r="B937" t="str">
            <v>MARIA DE LOURDES TREJO MORA - LULU (ACAMBARO)</v>
          </cell>
          <cell r="E937" t="str">
            <v>ACAMBARO, GTO.</v>
          </cell>
        </row>
        <row r="938">
          <cell r="A938">
            <v>7349</v>
          </cell>
          <cell r="B938" t="str">
            <v>ELBA ESCUTIA RAMOS (MICHOACAN)</v>
          </cell>
          <cell r="D938" t="str">
            <v>ANTONIO DE MENDOZA #23</v>
          </cell>
          <cell r="E938" t="str">
            <v>CUITZEO, MICHOACAN</v>
          </cell>
          <cell r="F938" t="str">
            <v>58840</v>
          </cell>
          <cell r="G938" t="str">
            <v>(443) 199-7458</v>
          </cell>
          <cell r="X938" t="str">
            <v>LEOVINO ZAVALA #84, INDEPENDENCIA, URIANGATO, GTO. CP 38980</v>
          </cell>
        </row>
        <row r="939">
          <cell r="A939">
            <v>7350</v>
          </cell>
          <cell r="B939" t="str">
            <v>SILVERIO RAMIREZ (TARANDA)</v>
          </cell>
          <cell r="E939" t="str">
            <v>TARANDACUAO, GTO.</v>
          </cell>
        </row>
        <row r="940">
          <cell r="A940">
            <v>7351</v>
          </cell>
          <cell r="B940" t="str">
            <v>FARMACIA VILLA (ZINAPECUARO)</v>
          </cell>
          <cell r="E940" t="str">
            <v>ZINAPECUARO, MICH.</v>
          </cell>
        </row>
        <row r="941">
          <cell r="A941">
            <v>7352</v>
          </cell>
          <cell r="B941" t="str">
            <v>GUADALUPE DE LA TORRE (QUERETARO)</v>
          </cell>
          <cell r="C941" t="str">
            <v>COPY FER</v>
          </cell>
          <cell r="D941" t="str">
            <v>HIDALGO #144</v>
          </cell>
          <cell r="E941" t="str">
            <v>QUERETARO, QRO.</v>
          </cell>
          <cell r="F941" t="str">
            <v>76000</v>
          </cell>
          <cell r="G941" t="str">
            <v>(442) 321-6251</v>
          </cell>
          <cell r="V941" t="str">
            <v>CENTRO</v>
          </cell>
        </row>
        <row r="942">
          <cell r="A942">
            <v>7353</v>
          </cell>
          <cell r="B942" t="str">
            <v>PAPELERIA GORRITA (QUERETARO)</v>
          </cell>
          <cell r="D942" t="str">
            <v>AV. PEÑA DE BERNAL REFUGIO MALL #113</v>
          </cell>
          <cell r="E942" t="str">
            <v>QUERETARO, QRO.</v>
          </cell>
          <cell r="V942" t="str">
            <v>FRACC. EL REFUGIO</v>
          </cell>
        </row>
        <row r="943">
          <cell r="A943">
            <v>7354</v>
          </cell>
          <cell r="B943" t="str">
            <v>MARISOL VILLANUEVA (QUERETARO)</v>
          </cell>
          <cell r="D943" t="str">
            <v>CANDILES #176 LOCAL B</v>
          </cell>
          <cell r="E943" t="str">
            <v>CORREGIDORA, QRO.</v>
          </cell>
          <cell r="F943" t="str">
            <v>76903</v>
          </cell>
          <cell r="V943" t="str">
            <v>CAMINO REAL</v>
          </cell>
        </row>
        <row r="944">
          <cell r="A944">
            <v>7355</v>
          </cell>
          <cell r="B944" t="str">
            <v>ENRIQUE TREJO (QUERETARO)</v>
          </cell>
          <cell r="C944" t="str">
            <v>FOREVER PARTY</v>
          </cell>
          <cell r="D944" t="str">
            <v>AV. PIE DE LA CUESTA #104-137</v>
          </cell>
          <cell r="E944" t="str">
            <v>QUERETARO, QRO.</v>
          </cell>
          <cell r="F944" t="str">
            <v>76125</v>
          </cell>
          <cell r="V944" t="str">
            <v>DESARRILLO SAN PABLO</v>
          </cell>
        </row>
        <row r="945">
          <cell r="A945">
            <v>7356</v>
          </cell>
          <cell r="B945" t="str">
            <v>MARISOL PEREZ (QUERETARO)</v>
          </cell>
          <cell r="C945" t="str">
            <v>PAPELERIA YO-YO</v>
          </cell>
          <cell r="E945" t="str">
            <v>QUERETARO, QRO.</v>
          </cell>
        </row>
        <row r="946">
          <cell r="A946">
            <v>7357</v>
          </cell>
          <cell r="B946" t="str">
            <v>GUADALUPE JUAREZ (SANTA ROSA)</v>
          </cell>
          <cell r="C946" t="str">
            <v>CIBER PAPELERIA ARCOIRIS</v>
          </cell>
          <cell r="D946" t="str">
            <v>5 DE MAYO #11</v>
          </cell>
          <cell r="E946" t="str">
            <v>SANTA ROSA JAUREGUI, QRO.</v>
          </cell>
          <cell r="V946" t="str">
            <v>CENTRO</v>
          </cell>
        </row>
        <row r="947">
          <cell r="A947">
            <v>7358</v>
          </cell>
          <cell r="B947" t="str">
            <v>ELIZABETH CARDENAS (SAN LUIS DE LA PAZ)</v>
          </cell>
          <cell r="C947" t="str">
            <v>ANDY REGALOS</v>
          </cell>
          <cell r="D947" t="str">
            <v>ZARAGOZA #416</v>
          </cell>
          <cell r="E947" t="str">
            <v>SAN LUIS DE LA PAZ, GTO.</v>
          </cell>
          <cell r="F947" t="str">
            <v>37900</v>
          </cell>
          <cell r="V947" t="str">
            <v>LA CENTRAL</v>
          </cell>
        </row>
        <row r="948">
          <cell r="A948">
            <v>7359</v>
          </cell>
          <cell r="B948" t="str">
            <v>JORGE RUBEN ROBLEDO VAZQUEZ (SALAMANCA)</v>
          </cell>
          <cell r="D948" t="str">
            <v>BLVD. LAS REYNAS #604-B</v>
          </cell>
          <cell r="E948" t="str">
            <v>SALAMANCA, GTO.</v>
          </cell>
          <cell r="F948" t="str">
            <v>76720</v>
          </cell>
          <cell r="V948" t="str">
            <v>LAS REYNAS</v>
          </cell>
        </row>
        <row r="949">
          <cell r="A949">
            <v>7360</v>
          </cell>
          <cell r="B949" t="str">
            <v>MARY GARCIA (A. EL GRANDE)</v>
          </cell>
          <cell r="D949" t="str">
            <v>ANTONIO PLAZA #101 D</v>
          </cell>
          <cell r="E949" t="str">
            <v>APASEO EL GRANDE, GTO.</v>
          </cell>
          <cell r="G949" t="str">
            <v>(413) 108-1690</v>
          </cell>
          <cell r="V949" t="str">
            <v>CENTRO</v>
          </cell>
        </row>
        <row r="950">
          <cell r="A950">
            <v>7361</v>
          </cell>
          <cell r="B950" t="str">
            <v>ADRIANA "NOVEDADES IKA" (POLOTITLAN)</v>
          </cell>
          <cell r="D950" t="str">
            <v>CUAUHTEMOC #21</v>
          </cell>
          <cell r="E950" t="str">
            <v>POLOTITLAN, EDO. DE MEXICO</v>
          </cell>
        </row>
        <row r="951">
          <cell r="A951">
            <v>7362</v>
          </cell>
          <cell r="B951" t="str">
            <v>ROSA ISABEL DOMINGUEZ MONDRAGON (TARANDA)</v>
          </cell>
          <cell r="C951" t="str">
            <v>KOOL PARTY</v>
          </cell>
          <cell r="D951" t="str">
            <v>JUAREZ #250 LOCAL B</v>
          </cell>
          <cell r="E951" t="str">
            <v>TARANDACUAO, GTO.</v>
          </cell>
          <cell r="F951" t="str">
            <v>38790</v>
          </cell>
          <cell r="G951" t="str">
            <v>(417) 116-1167</v>
          </cell>
          <cell r="V951" t="str">
            <v>CENTRO</v>
          </cell>
        </row>
        <row r="952">
          <cell r="A952">
            <v>7363</v>
          </cell>
          <cell r="B952" t="str">
            <v>JUAN FAUSTO HERNANDEZ (A. EL GRANDE)</v>
          </cell>
          <cell r="D952" t="str">
            <v>VENUSTIANO CARRANZA #215</v>
          </cell>
          <cell r="E952" t="str">
            <v>APASEO EL GRANDE, GTO.</v>
          </cell>
          <cell r="G952" t="str">
            <v>(461) 230-7862</v>
          </cell>
          <cell r="V952" t="str">
            <v>CENTRO</v>
          </cell>
        </row>
        <row r="953">
          <cell r="A953">
            <v>7364</v>
          </cell>
          <cell r="B953" t="str">
            <v>PATY GOMEZ (QUERETARO)</v>
          </cell>
          <cell r="D953" t="str">
            <v>AV. SONTERRA 3026 CASA 36</v>
          </cell>
          <cell r="E953" t="str">
            <v>QUERETARO, QRO.</v>
          </cell>
          <cell r="F953" t="str">
            <v>76235</v>
          </cell>
          <cell r="V953" t="str">
            <v>SONTERRA</v>
          </cell>
        </row>
        <row r="954">
          <cell r="A954">
            <v>7365</v>
          </cell>
          <cell r="B954" t="str">
            <v>MARIA DE LA PAZ MEJIA CHAPARRO (AMEALCO)</v>
          </cell>
          <cell r="D954" t="str">
            <v>PLAZA DE LA CONSTITUCION #18</v>
          </cell>
          <cell r="E954" t="str">
            <v>AMEALCO, QRO.</v>
          </cell>
          <cell r="V954" t="str">
            <v>CENTRO</v>
          </cell>
        </row>
        <row r="955">
          <cell r="A955">
            <v>7366</v>
          </cell>
          <cell r="B955" t="str">
            <v>JANETH RAMOS MATA (SJR)</v>
          </cell>
          <cell r="E955" t="str">
            <v>SAN JUAN DEL RIO, QRO.</v>
          </cell>
        </row>
        <row r="956">
          <cell r="A956">
            <v>7367</v>
          </cell>
          <cell r="B956" t="str">
            <v>JESSICA ZUÑIGA (TEPEJI)</v>
          </cell>
          <cell r="E956" t="str">
            <v>TEPEJI DEL RIO, HGO.</v>
          </cell>
        </row>
        <row r="957">
          <cell r="A957">
            <v>7368</v>
          </cell>
          <cell r="B957" t="str">
            <v>LUIS BARRERA (TEPEJI)</v>
          </cell>
          <cell r="E957" t="str">
            <v>TEPEJI DEL RIO, HGO.</v>
          </cell>
          <cell r="G957" t="str">
            <v>(777) 328-3087</v>
          </cell>
        </row>
        <row r="958">
          <cell r="A958">
            <v>7369</v>
          </cell>
          <cell r="B958" t="str">
            <v>BETTY BARRON (CADEREYTA)</v>
          </cell>
          <cell r="E958" t="str">
            <v>CADEREYTA, QRO.</v>
          </cell>
        </row>
        <row r="959">
          <cell r="A959">
            <v>7370</v>
          </cell>
          <cell r="B959" t="str">
            <v>YANELIS THELMA DE JESUS ZAMBRANO (OAXACA)</v>
          </cell>
          <cell r="D959" t="str">
            <v>ALLENDE #204</v>
          </cell>
          <cell r="E959" t="str">
            <v>SANTIAGO JUXTLAHUACA, OAXACA</v>
          </cell>
          <cell r="F959" t="str">
            <v>69700</v>
          </cell>
          <cell r="G959" t="str">
            <v>(953) 240-8000</v>
          </cell>
          <cell r="V959" t="str">
            <v>CENTRO</v>
          </cell>
          <cell r="W959" t="str">
            <v>MARIANO MATAMOROS Y MELCHOR OCAMPO</v>
          </cell>
        </row>
        <row r="960">
          <cell r="A960">
            <v>7371</v>
          </cell>
          <cell r="B960" t="str">
            <v>ANA "PAPELERIA LA MOCHILA" (QUERETARO)</v>
          </cell>
          <cell r="E960" t="str">
            <v>QUERETARO, QRO.</v>
          </cell>
        </row>
        <row r="961">
          <cell r="A961">
            <v>7372</v>
          </cell>
          <cell r="B961" t="str">
            <v>ALE (QUERETARO)</v>
          </cell>
          <cell r="E961" t="str">
            <v>QUERETARO, QRO.</v>
          </cell>
          <cell r="V961" t="str">
            <v>LOS OLVERA</v>
          </cell>
        </row>
        <row r="962">
          <cell r="A962">
            <v>7373</v>
          </cell>
          <cell r="B962" t="str">
            <v>PETRA GUZMAN (QRO.)</v>
          </cell>
          <cell r="E962" t="str">
            <v>QUERETARO, QRO.</v>
          </cell>
        </row>
        <row r="963">
          <cell r="A963">
            <v>7374</v>
          </cell>
          <cell r="B963" t="str">
            <v>MARIA DEL CARMEN ROSALES (URUAPAN)</v>
          </cell>
          <cell r="D963" t="str">
            <v>MARQUESA #155A</v>
          </cell>
          <cell r="E963" t="str">
            <v>URUAPAN, MICHOACAN</v>
          </cell>
          <cell r="F963" t="str">
            <v>60190</v>
          </cell>
          <cell r="G963" t="str">
            <v>(452) 180-9920</v>
          </cell>
          <cell r="V963" t="str">
            <v>REAL DE SANTA ROSA</v>
          </cell>
        </row>
        <row r="964">
          <cell r="A964">
            <v>7375</v>
          </cell>
          <cell r="B964" t="str">
            <v>MARIA DEL CONSUELO RIVAS CALDERA (ZACATECAS)</v>
          </cell>
          <cell r="D964" t="str">
            <v>BLVD. GENARO BORREGO #6</v>
          </cell>
          <cell r="E964" t="str">
            <v>CD. CUAUHTEMOC, ZACATECAS</v>
          </cell>
          <cell r="F964" t="str">
            <v>98692</v>
          </cell>
          <cell r="G964" t="str">
            <v>(449) 548-6646</v>
          </cell>
          <cell r="V964" t="str">
            <v>LAZARO CARDENAS</v>
          </cell>
        </row>
        <row r="965">
          <cell r="A965">
            <v>7376</v>
          </cell>
          <cell r="B965" t="str">
            <v>JUAN MANUEL AVALOS BAÑUELOS (TEPIC)</v>
          </cell>
          <cell r="E965" t="str">
            <v>TEPIC, NAYARIT</v>
          </cell>
          <cell r="F965" t="str">
            <v>63030</v>
          </cell>
          <cell r="G965" t="str">
            <v>(311) 120-8371</v>
          </cell>
        </row>
        <row r="966">
          <cell r="A966">
            <v>7377</v>
          </cell>
          <cell r="B966" t="str">
            <v>PAPELERIA LA GOMA (AMEALCO)</v>
          </cell>
          <cell r="E966" t="str">
            <v>AMEALCO, QRO.</v>
          </cell>
        </row>
        <row r="967">
          <cell r="A967">
            <v>7378</v>
          </cell>
          <cell r="B967" t="str">
            <v>CONCEPCION GUERRERO VILLA (CHIHUAHUA)</v>
          </cell>
          <cell r="D967" t="str">
            <v>LIBERTAD #1209</v>
          </cell>
          <cell r="E967" t="str">
            <v>OJINAGA, CHIHUAHUA</v>
          </cell>
          <cell r="F967" t="str">
            <v>32884</v>
          </cell>
          <cell r="G967" t="str">
            <v>(626) 100-7690</v>
          </cell>
          <cell r="V967" t="str">
            <v>PORFIRIO ORNELAS</v>
          </cell>
        </row>
        <row r="968">
          <cell r="A968">
            <v>7379</v>
          </cell>
          <cell r="B968" t="str">
            <v>AQUINOS (SAN JUAN)</v>
          </cell>
          <cell r="E968" t="str">
            <v>SAN JUAN DEL RIO, QRO.</v>
          </cell>
        </row>
        <row r="969">
          <cell r="A969">
            <v>7380</v>
          </cell>
          <cell r="B969" t="str">
            <v>CECILIA ALONSO REYES (PUEBLA)</v>
          </cell>
          <cell r="D969" t="str">
            <v>3 SUR S/N</v>
          </cell>
          <cell r="E969" t="str">
            <v>HUAQUECHULA, PUEBLA</v>
          </cell>
          <cell r="F969" t="str">
            <v>74375</v>
          </cell>
          <cell r="G969" t="str">
            <v>(244) 106-6212</v>
          </cell>
          <cell r="V969" t="str">
            <v>CACALOXUCHITL</v>
          </cell>
          <cell r="W969" t="str">
            <v>LOACAL COLOR NARANJA</v>
          </cell>
        </row>
        <row r="970">
          <cell r="A970">
            <v>7381</v>
          </cell>
          <cell r="B970" t="str">
            <v>VANE (MICHOACAN)</v>
          </cell>
          <cell r="E970" t="str">
            <v>MICHOACAN</v>
          </cell>
        </row>
        <row r="971">
          <cell r="A971">
            <v>7382</v>
          </cell>
          <cell r="B971" t="str">
            <v>MA. INES ZARAZUA (E. MONTES)</v>
          </cell>
          <cell r="E971" t="str">
            <v>EZEQUIEL MONTES, QRO.</v>
          </cell>
          <cell r="G971" t="str">
            <v xml:space="preserve">(441) 127-8303 </v>
          </cell>
        </row>
        <row r="972">
          <cell r="A972">
            <v>7383</v>
          </cell>
          <cell r="B972" t="str">
            <v>ANA LAURA VELAZQUEZ (QUERETARO)</v>
          </cell>
          <cell r="E972" t="str">
            <v>QUERETARO, QRO.</v>
          </cell>
        </row>
        <row r="973">
          <cell r="A973">
            <v>7384</v>
          </cell>
          <cell r="B973" t="str">
            <v>MONICA VILLEGAS (IZCALLI)</v>
          </cell>
          <cell r="D973" t="str">
            <v>CALLE DEL HAMBRE</v>
          </cell>
          <cell r="E973" t="str">
            <v>IZCALLI, EDO. DE MEXICO</v>
          </cell>
        </row>
        <row r="974">
          <cell r="A974">
            <v>7385</v>
          </cell>
          <cell r="B974" t="str">
            <v>AURORA ESPARZA (PARACUARO)</v>
          </cell>
          <cell r="D974" t="str">
            <v>ALLENDE #125</v>
          </cell>
          <cell r="E974" t="str">
            <v>PARACUARO, MICH.</v>
          </cell>
          <cell r="V974" t="str">
            <v>CENTRO</v>
          </cell>
        </row>
        <row r="975">
          <cell r="A975">
            <v>7386</v>
          </cell>
          <cell r="B975" t="str">
            <v>MIGUEL VALENCIA (CORTAZAR)</v>
          </cell>
          <cell r="D975" t="str">
            <v>IGNACIO RAMIREZ #121</v>
          </cell>
          <cell r="E975" t="str">
            <v>CORTAZAR, GTO.</v>
          </cell>
          <cell r="V975" t="str">
            <v>CENTRO</v>
          </cell>
        </row>
        <row r="976">
          <cell r="A976">
            <v>7387</v>
          </cell>
          <cell r="B976" t="str">
            <v>YOLANDA VILLEGAS (GTO.)</v>
          </cell>
          <cell r="E976" t="str">
            <v>SAN DIEGO DE LA UNION, GTO.</v>
          </cell>
        </row>
        <row r="977">
          <cell r="A977">
            <v>7388</v>
          </cell>
          <cell r="B977" t="str">
            <v>NOHEMI ZUÑIGA (TEPEJI)</v>
          </cell>
          <cell r="E977" t="str">
            <v>TEPEJI DEL RIO, HGO.</v>
          </cell>
        </row>
        <row r="978">
          <cell r="A978">
            <v>7389</v>
          </cell>
          <cell r="B978" t="str">
            <v>MARILUZ MONTIEL (APAXCO)</v>
          </cell>
          <cell r="D978" t="str">
            <v>VICTORIA ESQ, CON ALLENDE</v>
          </cell>
          <cell r="E978" t="str">
            <v>APAXCO, EDO. DE MEXICO</v>
          </cell>
        </row>
        <row r="979">
          <cell r="A979">
            <v>7390</v>
          </cell>
          <cell r="B979" t="str">
            <v>ARTURO NAVA (COAOCALCO)</v>
          </cell>
          <cell r="D979" t="str">
            <v>LOPEZ PORTILLO #201</v>
          </cell>
          <cell r="E979" t="str">
            <v>COACALCO, EDO. DE MEXICO</v>
          </cell>
        </row>
        <row r="980">
          <cell r="A980">
            <v>7391</v>
          </cell>
          <cell r="B980" t="str">
            <v>ROSAURA OLIVERA (MICHOACAN)</v>
          </cell>
          <cell r="D980" t="str">
            <v>ABASOLO #34</v>
          </cell>
          <cell r="E980" t="str">
            <v>TANCITARO, MICH.</v>
          </cell>
          <cell r="F980" t="str">
            <v>60460</v>
          </cell>
          <cell r="G980" t="str">
            <v>(351) 150-8727</v>
          </cell>
          <cell r="V980" t="str">
            <v>CENTRO</v>
          </cell>
        </row>
        <row r="981">
          <cell r="A981">
            <v>7392</v>
          </cell>
          <cell r="B981" t="str">
            <v>LIBRE</v>
          </cell>
          <cell r="E981" t="str">
            <v>-</v>
          </cell>
        </row>
        <row r="982">
          <cell r="A982">
            <v>7393</v>
          </cell>
          <cell r="B982" t="str">
            <v>ALICIA RODRIGUEZ (ATOTONILCO)</v>
          </cell>
          <cell r="E982" t="str">
            <v>ATOTONILCO, HGO.</v>
          </cell>
        </row>
        <row r="983">
          <cell r="A983">
            <v>7394</v>
          </cell>
          <cell r="B983" t="str">
            <v>AMANDA (VILLA)</v>
          </cell>
          <cell r="E983" t="str">
            <v>COACALCO, EDO. DE MEXICO</v>
          </cell>
        </row>
        <row r="984">
          <cell r="A984">
            <v>7395</v>
          </cell>
          <cell r="B984" t="str">
            <v>XOCHITL (ATITALAQUIA)</v>
          </cell>
          <cell r="E984" t="str">
            <v>ATITALAQUIA, HGO.</v>
          </cell>
        </row>
        <row r="985">
          <cell r="A985">
            <v>7396</v>
          </cell>
          <cell r="B985" t="str">
            <v>SELENA TENIENTE (VILLAGRAN)</v>
          </cell>
          <cell r="D985" t="str">
            <v>VICENTE GUERRERO #505</v>
          </cell>
          <cell r="E985" t="str">
            <v>VILLAGRAN, GTO.</v>
          </cell>
          <cell r="G985" t="str">
            <v>(411) 126-5293</v>
          </cell>
          <cell r="V985" t="str">
            <v>CENTRO</v>
          </cell>
        </row>
        <row r="986">
          <cell r="A986">
            <v>7397</v>
          </cell>
          <cell r="B986" t="str">
            <v>GUADALUPE OBREGON (AMELACO)</v>
          </cell>
          <cell r="E986" t="str">
            <v>AMEALCO, QRO.</v>
          </cell>
          <cell r="G986" t="str">
            <v>(442) 320-2866</v>
          </cell>
        </row>
        <row r="987">
          <cell r="A987">
            <v>7398</v>
          </cell>
          <cell r="B987" t="str">
            <v>ASHLEY (JUVENTINO)</v>
          </cell>
          <cell r="E987" t="str">
            <v>JUVENTINO ROSAS, GTO.</v>
          </cell>
          <cell r="J987" t="str">
            <v>F04</v>
          </cell>
        </row>
        <row r="988">
          <cell r="A988">
            <v>7399</v>
          </cell>
          <cell r="B988" t="str">
            <v>MIRIAM (TECOZAHUTLA)</v>
          </cell>
          <cell r="E988" t="str">
            <v>TECOZAHUTLA, HGO.</v>
          </cell>
        </row>
        <row r="989">
          <cell r="A989">
            <v>7400</v>
          </cell>
          <cell r="B989" t="str">
            <v>EVELYN SALDAÑA (TECOZAHUTLA)</v>
          </cell>
          <cell r="E989" t="str">
            <v>TECOZAHUTLA, HGO.</v>
          </cell>
        </row>
        <row r="990">
          <cell r="A990">
            <v>7401</v>
          </cell>
          <cell r="B990" t="str">
            <v>MARIA LUISA MIRANDA (AMEALCO)</v>
          </cell>
          <cell r="E990" t="str">
            <v>AMEALCO, QRO.</v>
          </cell>
        </row>
        <row r="991">
          <cell r="A991">
            <v>7402</v>
          </cell>
          <cell r="B991" t="str">
            <v>NUEVO SUPER DON NICO S. DE RL. DE C.V. (JILOTEPEC)</v>
          </cell>
          <cell r="C991" t="str">
            <v>NSD13101E26</v>
          </cell>
          <cell r="D991" t="str">
            <v>VICENTE GUERRERO #147</v>
          </cell>
          <cell r="E991" t="str">
            <v>JILOTEPEC, EDO. DE MEXICO</v>
          </cell>
          <cell r="F991" t="str">
            <v>54240</v>
          </cell>
          <cell r="V991" t="str">
            <v>CENTRO</v>
          </cell>
          <cell r="W991" t="str">
            <v>USO DE CFDI: G01 ADQUISICION DE MERCANCIA</v>
          </cell>
          <cell r="X991" t="str">
            <v>regalos@don-nico.com</v>
          </cell>
        </row>
        <row r="992">
          <cell r="A992">
            <v>7403</v>
          </cell>
          <cell r="B992" t="str">
            <v>GUADALUPE RUIZ (QUERETARO)</v>
          </cell>
          <cell r="E992" t="str">
            <v>QUERETARO, QRO.</v>
          </cell>
        </row>
        <row r="993">
          <cell r="A993">
            <v>7404</v>
          </cell>
          <cell r="B993" t="str">
            <v>ALEJANDRA MONTES DE OCA (QUERETARO)</v>
          </cell>
          <cell r="E993" t="str">
            <v>QUERETARO, QRO.</v>
          </cell>
        </row>
        <row r="994">
          <cell r="A994">
            <v>7405</v>
          </cell>
          <cell r="B994" t="str">
            <v>PAPELERIA SUEÑOS DE COLORES (A. EL ALTO)</v>
          </cell>
          <cell r="C994" t="str">
            <v>MARY</v>
          </cell>
          <cell r="D994" t="str">
            <v>INDEPENCENCIA #219B</v>
          </cell>
          <cell r="E994" t="str">
            <v>APASEO EL ALTO, GTO.</v>
          </cell>
          <cell r="F994" t="str">
            <v>38500</v>
          </cell>
          <cell r="G994" t="str">
            <v>(413) 103-1066</v>
          </cell>
          <cell r="V994" t="str">
            <v>CENTRO</v>
          </cell>
        </row>
        <row r="995">
          <cell r="A995">
            <v>7406</v>
          </cell>
          <cell r="B995" t="str">
            <v>JAN (QUERETARO)</v>
          </cell>
          <cell r="E995" t="str">
            <v>QUERETARO, QRO.</v>
          </cell>
        </row>
        <row r="996">
          <cell r="A996">
            <v>7407</v>
          </cell>
          <cell r="B996" t="str">
            <v>GEMA MALDONADO (JILOTEPEC)</v>
          </cell>
          <cell r="E996" t="str">
            <v>JILOTEPEC, EDO. DE MEXICO</v>
          </cell>
        </row>
        <row r="997">
          <cell r="A997">
            <v>7408</v>
          </cell>
          <cell r="B997" t="str">
            <v>LUIS OCTAVIO VELAZQUEZ (TULA)</v>
          </cell>
          <cell r="E997" t="str">
            <v>TULA, HGO.</v>
          </cell>
        </row>
        <row r="998">
          <cell r="A998">
            <v>7409</v>
          </cell>
          <cell r="B998" t="str">
            <v>MARY CRUZ MANDUJANO MARTINEZ (EL COLORADO)</v>
          </cell>
          <cell r="E998" t="str">
            <v>EL COLORADO, QRO.</v>
          </cell>
        </row>
        <row r="999">
          <cell r="A999">
            <v>7410</v>
          </cell>
          <cell r="B999" t="str">
            <v>MARIA IVONNE OLGUIN JIMENEZ (TULA)</v>
          </cell>
          <cell r="E999" t="str">
            <v>TULA, HGO.</v>
          </cell>
        </row>
        <row r="1000">
          <cell r="A1000">
            <v>7411</v>
          </cell>
          <cell r="B1000" t="str">
            <v>PAPELERIA IMAGEN (TEPEJI)</v>
          </cell>
          <cell r="E1000" t="str">
            <v>TEPEJI DEL RIO, HGO.</v>
          </cell>
        </row>
        <row r="1001">
          <cell r="A1001">
            <v>7412</v>
          </cell>
          <cell r="B1001" t="str">
            <v>ADRIANA ROA (QUERETARO)</v>
          </cell>
          <cell r="E1001" t="str">
            <v>QUERETARO, QRO.</v>
          </cell>
        </row>
        <row r="1002">
          <cell r="A1002">
            <v>7413</v>
          </cell>
          <cell r="B1002" t="str">
            <v>GABRIELA (TARANDA)</v>
          </cell>
          <cell r="E1002" t="str">
            <v>TARANDACUAO, GTO.</v>
          </cell>
        </row>
        <row r="1003">
          <cell r="A1003">
            <v>7414</v>
          </cell>
          <cell r="B1003" t="str">
            <v>LORENA ZARAZUA (E. MONTES)</v>
          </cell>
          <cell r="C1003" t="str">
            <v>BOUTIQUE TONY</v>
          </cell>
          <cell r="D1003" t="str">
            <v>BELISARIO DOMINGUEZ #119</v>
          </cell>
          <cell r="E1003" t="str">
            <v>EZEQUIEL MONTES, QRO.</v>
          </cell>
          <cell r="V1003" t="str">
            <v>CENTRO</v>
          </cell>
        </row>
        <row r="1004">
          <cell r="A1004">
            <v>7415</v>
          </cell>
          <cell r="B1004" t="str">
            <v>PAPELERIA Y REGALOS "SANTIAGO APOSTOL" (CORONEO)</v>
          </cell>
          <cell r="E1004" t="str">
            <v>CORONEO, GTO.</v>
          </cell>
        </row>
        <row r="1005">
          <cell r="A1005">
            <v>7416</v>
          </cell>
          <cell r="B1005" t="str">
            <v>ISRAEL, LOS OLVERA (QUERETARO)</v>
          </cell>
          <cell r="E1005" t="str">
            <v>QUERETARO, QRO.</v>
          </cell>
        </row>
        <row r="1006">
          <cell r="A1006">
            <v>7417</v>
          </cell>
          <cell r="B1006" t="str">
            <v>ELIZABETH MOLINA (QUERETARO)</v>
          </cell>
          <cell r="E1006" t="str">
            <v>QUERETARO, QRO.</v>
          </cell>
        </row>
        <row r="1007">
          <cell r="A1007">
            <v>7418</v>
          </cell>
          <cell r="B1007" t="str">
            <v>ANGELICA NAVARRO (SAN LUIS DE LA PAZ)</v>
          </cell>
          <cell r="E1007" t="str">
            <v>SAN LUIS DE LA PAZ, GTO.</v>
          </cell>
        </row>
        <row r="1008">
          <cell r="A1008">
            <v>7419</v>
          </cell>
          <cell r="B1008" t="str">
            <v>KATY (MIXQUIAHUALA)</v>
          </cell>
          <cell r="E1008" t="str">
            <v>MIXQUIAHUALA, HGO.</v>
          </cell>
        </row>
        <row r="1009">
          <cell r="A1009">
            <v>7420</v>
          </cell>
          <cell r="B1009" t="str">
            <v>JOSEFINA "PAPELERIA PIOLIN" (HUICHAPAN)</v>
          </cell>
          <cell r="E1009" t="str">
            <v>HUICHAPAN, HGO.</v>
          </cell>
        </row>
        <row r="1010">
          <cell r="A1010">
            <v>7421</v>
          </cell>
          <cell r="B1010" t="str">
            <v>PAPELERIA DE ANDY (CORTAZAR)</v>
          </cell>
          <cell r="D1010" t="str">
            <v>JUSTO SIERRA #500-B</v>
          </cell>
          <cell r="E1010" t="str">
            <v>CORTAZAR, GTO.</v>
          </cell>
          <cell r="G1010" t="str">
            <v>(461) 185-6214</v>
          </cell>
          <cell r="V1010" t="str">
            <v>CENTRO</v>
          </cell>
        </row>
        <row r="1011">
          <cell r="A1011">
            <v>7422</v>
          </cell>
          <cell r="B1011" t="str">
            <v>CAROLINA CALDERON (ACAMBARO)</v>
          </cell>
          <cell r="E1011" t="str">
            <v>ACAMBARO, GTO.</v>
          </cell>
        </row>
        <row r="1012">
          <cell r="A1012">
            <v>7423</v>
          </cell>
          <cell r="B1012" t="str">
            <v>MAGDA "DON NICO" (JILOTEPEC)</v>
          </cell>
          <cell r="E1012" t="str">
            <v>JILOTEPEC, EDO. DE MEXICO</v>
          </cell>
        </row>
        <row r="1013">
          <cell r="A1013">
            <v>7424</v>
          </cell>
          <cell r="B1013" t="str">
            <v>LAURA CORNEJO (TLAHUELILPAN)</v>
          </cell>
          <cell r="E1013" t="str">
            <v>TLAHUELILPAN, HGO.</v>
          </cell>
        </row>
        <row r="1014">
          <cell r="A1014">
            <v>7425</v>
          </cell>
          <cell r="B1014" t="str">
            <v>PAPELERIA CRAYOLA (ACAMBARO)</v>
          </cell>
          <cell r="E1014" t="str">
            <v>ACAMBARO, GTO.</v>
          </cell>
        </row>
        <row r="1015">
          <cell r="A1015">
            <v>7426</v>
          </cell>
          <cell r="B1015" t="str">
            <v>PAPELERIA DORITA (PROGRESO)</v>
          </cell>
          <cell r="E1015" t="str">
            <v>PROGRESO, HGO.</v>
          </cell>
        </row>
        <row r="1016">
          <cell r="A1016">
            <v>7427</v>
          </cell>
          <cell r="B1016" t="str">
            <v>LETICIA GRANADOS (CORONEO)</v>
          </cell>
          <cell r="E1016" t="str">
            <v>CORONEO, GTO.</v>
          </cell>
        </row>
        <row r="1017">
          <cell r="A1017">
            <v>7428</v>
          </cell>
          <cell r="B1017" t="str">
            <v>PEDRO AGUILAR (QUERETARO)</v>
          </cell>
          <cell r="E1017" t="str">
            <v>QUERETARO, QRO.</v>
          </cell>
        </row>
        <row r="1018">
          <cell r="A1018">
            <v>7429</v>
          </cell>
          <cell r="B1018" t="str">
            <v>CARMEN NIETO (TEQUISQUIAPAN)</v>
          </cell>
          <cell r="E1018" t="str">
            <v>TEQUISQUIAPAN, QRO.</v>
          </cell>
        </row>
        <row r="1019">
          <cell r="A1019">
            <v>7430</v>
          </cell>
          <cell r="B1019" t="str">
            <v>CARLOS SAUL MARES (SAN LUIS DE LA PAZ)</v>
          </cell>
          <cell r="E1019" t="str">
            <v>SAN LUIS DE LA PAZ, GTO.</v>
          </cell>
        </row>
        <row r="1020">
          <cell r="A1020">
            <v>7431</v>
          </cell>
          <cell r="B1020" t="str">
            <v>MONICA LUCKIE (QUERETARO)</v>
          </cell>
          <cell r="E1020" t="str">
            <v>QUERETARO, QRO.</v>
          </cell>
        </row>
        <row r="1021">
          <cell r="A1021">
            <v>7432</v>
          </cell>
          <cell r="B1021" t="str">
            <v>VICKY CRUZ (SAN JUAN)</v>
          </cell>
          <cell r="E1021" t="str">
            <v>SAN JUAN DEL RIO, QRO.</v>
          </cell>
        </row>
        <row r="1022">
          <cell r="A1022">
            <v>7433</v>
          </cell>
          <cell r="B1022" t="str">
            <v>ADRIANA NOLASCO (AMEALCO)</v>
          </cell>
          <cell r="E1022" t="str">
            <v>AMEALCO, QRO.</v>
          </cell>
        </row>
        <row r="1023">
          <cell r="A1023">
            <v>7434</v>
          </cell>
          <cell r="B1023" t="str">
            <v>ISELA MALDONADO (CADEREYTA)</v>
          </cell>
          <cell r="E1023" t="str">
            <v>CADEREYTA, QRO.</v>
          </cell>
        </row>
        <row r="1024">
          <cell r="A1024">
            <v>7435</v>
          </cell>
          <cell r="B1024" t="str">
            <v>BALBI (TECOZAHUTLA)</v>
          </cell>
          <cell r="D1024" t="str">
            <v>PLAZA DE LA CONSTITUCION S/N</v>
          </cell>
          <cell r="E1024" t="str">
            <v>TECOZAHUTLA, HGO.</v>
          </cell>
          <cell r="F1024" t="str">
            <v/>
          </cell>
          <cell r="G1024" t="str">
            <v>(773) 121-9685 CEL</v>
          </cell>
          <cell r="H1024" t="str">
            <v>IRENE SANCHEZ S.</v>
          </cell>
          <cell r="I1024" t="str">
            <v>IRENE SANCHEZ S.</v>
          </cell>
          <cell r="J1024" t="str">
            <v>F02</v>
          </cell>
          <cell r="K1024" t="str">
            <v/>
          </cell>
          <cell r="L1024">
            <v>0</v>
          </cell>
          <cell r="M1024">
            <v>372</v>
          </cell>
          <cell r="N1024" t="str">
            <v>A</v>
          </cell>
          <cell r="O1024">
            <v>42490</v>
          </cell>
          <cell r="P1024" t="str">
            <v xml:space="preserve">    1</v>
          </cell>
          <cell r="Q1024">
            <v>0</v>
          </cell>
          <cell r="R1024">
            <v>0</v>
          </cell>
          <cell r="S1024">
            <v>0</v>
          </cell>
          <cell r="T1024">
            <v>791801</v>
          </cell>
          <cell r="U1024">
            <v>0</v>
          </cell>
          <cell r="V1024" t="str">
            <v>CENTRO</v>
          </cell>
          <cell r="W1024" t="str">
            <v>(773) 739-8721 CEL</v>
          </cell>
          <cell r="X1024" t="str">
            <v>(773) 122-0156 CEL</v>
          </cell>
        </row>
        <row r="1025">
          <cell r="A1025">
            <v>7436</v>
          </cell>
          <cell r="B1025" t="str">
            <v>REGALOS MARU (ZINAPECUARO)</v>
          </cell>
          <cell r="E1025" t="str">
            <v>ZINAPECUARO, MICH.</v>
          </cell>
        </row>
        <row r="1026">
          <cell r="A1026">
            <v>7437</v>
          </cell>
          <cell r="B1026" t="str">
            <v>FARMACIA LA IDEAL / GRACIELA (ZINAPECUARO)</v>
          </cell>
          <cell r="E1026" t="str">
            <v>ZINAPECUARO, MICH.</v>
          </cell>
        </row>
        <row r="1027">
          <cell r="A1027">
            <v>7438</v>
          </cell>
          <cell r="B1027" t="str">
            <v>ANGEL HERNANDEZ FLORES (TULA)</v>
          </cell>
          <cell r="C1027" t="str">
            <v>PAPELERIA ERICKA</v>
          </cell>
          <cell r="D1027" t="str">
            <v>QUETZALCOATL #401</v>
          </cell>
          <cell r="E1027" t="str">
            <v>TULA, HGO.</v>
          </cell>
          <cell r="F1027" t="str">
            <v>42800</v>
          </cell>
          <cell r="G1027" t="str">
            <v>(55) 4913-3937</v>
          </cell>
          <cell r="V1027" t="str">
            <v>CENTRO</v>
          </cell>
        </row>
        <row r="1028">
          <cell r="A1028">
            <v>7439</v>
          </cell>
          <cell r="B1028" t="str">
            <v>ANA EDITH GARCIA MEJIA (E. MONTES)</v>
          </cell>
          <cell r="C1028" t="str">
            <v>SOBRINA SR. GUSTAVO</v>
          </cell>
          <cell r="D1028" t="str">
            <v>LERDO DE TEJADA #8</v>
          </cell>
          <cell r="E1028" t="str">
            <v>EZEQUIEL MONTES, QRO.</v>
          </cell>
          <cell r="V1028" t="str">
            <v>VILLA PROGRESO</v>
          </cell>
        </row>
        <row r="1029">
          <cell r="A1029">
            <v>7440</v>
          </cell>
          <cell r="B1029" t="str">
            <v>GUILLERMINA ZUÑIGA (PROGRESO)</v>
          </cell>
          <cell r="E1029" t="str">
            <v>PROGRESO, HGO.</v>
          </cell>
        </row>
        <row r="1030">
          <cell r="A1030">
            <v>7441</v>
          </cell>
          <cell r="B1030" t="str">
            <v>ANA MARIA DAVILA M. (NOPALA)</v>
          </cell>
          <cell r="E1030" t="str">
            <v>NOPALA DE VILLAGRAN, HGO.</v>
          </cell>
        </row>
        <row r="1031">
          <cell r="A1031">
            <v>7442</v>
          </cell>
          <cell r="B1031" t="str">
            <v>MARIA INES (TLAHUELILPAN)</v>
          </cell>
          <cell r="E1031" t="str">
            <v>TLAHUELILPAN, HGO.</v>
          </cell>
        </row>
        <row r="1032">
          <cell r="A1032">
            <v>7443</v>
          </cell>
          <cell r="B1032" t="str">
            <v>PEEKABOO (QUERETARO)</v>
          </cell>
          <cell r="E1032" t="str">
            <v>QUERETARO, QRO.</v>
          </cell>
        </row>
        <row r="1033">
          <cell r="A1033">
            <v>7444</v>
          </cell>
          <cell r="B1033" t="str">
            <v>PAPELERIA PAPELIN (NOPALA)</v>
          </cell>
          <cell r="E1033" t="str">
            <v>NOPALA DE VILLAGRAN, HGO.</v>
          </cell>
        </row>
        <row r="1034">
          <cell r="A1034">
            <v>7445</v>
          </cell>
          <cell r="B1034" t="str">
            <v>JESSENIA NAJERA (HUICHAPAN)</v>
          </cell>
          <cell r="E1034" t="str">
            <v>HUICHAPAN, HGO.</v>
          </cell>
        </row>
        <row r="1035">
          <cell r="A1035">
            <v>7446</v>
          </cell>
          <cell r="B1035" t="str">
            <v>NAYELI MENDOZA (CORONEO)</v>
          </cell>
          <cell r="E1035" t="str">
            <v>CORONEO, GTO.</v>
          </cell>
        </row>
        <row r="1036">
          <cell r="A1036">
            <v>7447</v>
          </cell>
          <cell r="B1036" t="str">
            <v>GRISELDA ARACELI AGUILAR FUENTES (QUERETARO)</v>
          </cell>
          <cell r="C1036" t="str">
            <v>AUFG6410204A6</v>
          </cell>
          <cell r="D1036" t="str">
            <v>FRAY LUIS DE LEON #7 EXT. 7071</v>
          </cell>
          <cell r="E1036" t="str">
            <v>QUERETARO, QRO.</v>
          </cell>
          <cell r="F1036" t="str">
            <v>76090</v>
          </cell>
          <cell r="V1036" t="str">
            <v>CENTRO SUR</v>
          </cell>
          <cell r="X1036" t="str">
            <v>PAULINA "EASY PARTY"</v>
          </cell>
        </row>
        <row r="1037">
          <cell r="A1037">
            <v>7448</v>
          </cell>
          <cell r="B1037" t="str">
            <v>MARIA PEREZ HERNANDEZ (EPITACIO HUERTA)</v>
          </cell>
          <cell r="E1037" t="str">
            <v>EPITACIO HUERTA, MICH.</v>
          </cell>
        </row>
        <row r="1038">
          <cell r="A1038">
            <v>7449</v>
          </cell>
          <cell r="B1038" t="str">
            <v xml:space="preserve">MAGDALENA ZUÑIGA (TEPEJI) </v>
          </cell>
          <cell r="E1038" t="str">
            <v>TEPEJI DEL RIO, HGO.</v>
          </cell>
        </row>
        <row r="1039">
          <cell r="A1039">
            <v>7450</v>
          </cell>
          <cell r="B1039" t="str">
            <v>REGALOS CHUY (AMEALCO)</v>
          </cell>
          <cell r="E1039" t="str">
            <v>AMEALCO, QRO.</v>
          </cell>
        </row>
        <row r="1040">
          <cell r="A1040">
            <v>7451</v>
          </cell>
          <cell r="B1040" t="str">
            <v>PAPELERIA REYNA (JILOTEPEC)</v>
          </cell>
          <cell r="E1040" t="str">
            <v>JILOTEPEC, EDO. DE MEXICO</v>
          </cell>
        </row>
        <row r="1041">
          <cell r="A1041">
            <v>7452</v>
          </cell>
          <cell r="B1041" t="str">
            <v>REGALOS GIO (A. EL GRANDE)</v>
          </cell>
          <cell r="E1041" t="str">
            <v xml:space="preserve">APASEO EL GRANDE, GTO.        </v>
          </cell>
        </row>
        <row r="1042">
          <cell r="A1042">
            <v>7453</v>
          </cell>
          <cell r="B1042" t="str">
            <v>DENISSE GIL VALENCIA (ACAMBAY)</v>
          </cell>
          <cell r="E1042" t="str">
            <v>ACAMBAY, EDO. DE MEXICO</v>
          </cell>
        </row>
        <row r="1043">
          <cell r="A1043">
            <v>7454</v>
          </cell>
          <cell r="B1043" t="str">
            <v>ROSA ISELA (TARANDA)</v>
          </cell>
          <cell r="E1043" t="str">
            <v>TARANDACUAO, GTO.</v>
          </cell>
        </row>
        <row r="1044">
          <cell r="A1044">
            <v>7455</v>
          </cell>
          <cell r="B1044" t="str">
            <v>MARIA GASCA (VILLAGRAN)</v>
          </cell>
          <cell r="E1044" t="str">
            <v>VILLAGRAN, GTO.</v>
          </cell>
        </row>
        <row r="1045">
          <cell r="A1045">
            <v>7456</v>
          </cell>
          <cell r="B1045" t="str">
            <v>MIJHO CHOCOLATES (SAN JOSE ITURBIDE)</v>
          </cell>
          <cell r="E1045" t="str">
            <v>SAN JOSE ITURBIDE, GTO.</v>
          </cell>
        </row>
        <row r="1046">
          <cell r="A1046">
            <v>7457</v>
          </cell>
          <cell r="B1046" t="str">
            <v>ANDREA "GLOBO ROSA" (QUERETARO)</v>
          </cell>
          <cell r="E1046" t="str">
            <v>QUERETARO, QRO.</v>
          </cell>
        </row>
        <row r="1047">
          <cell r="A1047">
            <v>7458</v>
          </cell>
          <cell r="B1047" t="str">
            <v>ARCELIA TORRES "EL DULCECITO" (QUERETARO)</v>
          </cell>
          <cell r="E1047" t="str">
            <v>QUERETARO, QRO.</v>
          </cell>
        </row>
        <row r="1048">
          <cell r="A1048">
            <v>7459</v>
          </cell>
          <cell r="B1048" t="str">
            <v>AL-FLOM (SAN JUAN)</v>
          </cell>
          <cell r="D1048" t="str">
            <v>PINO SUAREZ #25-B</v>
          </cell>
          <cell r="E1048" t="str">
            <v>SAN JUAN DEL RIO, QRO.</v>
          </cell>
          <cell r="G1048" t="str">
            <v>427 277-2697</v>
          </cell>
          <cell r="V1048" t="str">
            <v>AMP. SANTA CRUZ NIETO</v>
          </cell>
        </row>
        <row r="1049">
          <cell r="A1049">
            <v>7460</v>
          </cell>
          <cell r="B1049" t="str">
            <v>JAQUELINE (MIXQUIAHUALA)</v>
          </cell>
          <cell r="E1049" t="str">
            <v>MIXQUIAHUALA, HGO.</v>
          </cell>
        </row>
        <row r="1050">
          <cell r="A1050">
            <v>7461</v>
          </cell>
          <cell r="B1050" t="str">
            <v>LIBRE</v>
          </cell>
        </row>
        <row r="1051">
          <cell r="A1051">
            <v>7462</v>
          </cell>
          <cell r="B1051" t="str">
            <v>TODO AGRANEL (SALALMANCA)</v>
          </cell>
          <cell r="E1051" t="str">
            <v>SALAMANCA, GTO.</v>
          </cell>
        </row>
        <row r="1052">
          <cell r="A1052">
            <v>7463</v>
          </cell>
          <cell r="B1052" t="str">
            <v>MARIA ELENA (SALAMANCA)</v>
          </cell>
          <cell r="E1052" t="str">
            <v>SALAMANCA, GTO.</v>
          </cell>
        </row>
        <row r="1053">
          <cell r="A1053">
            <v>7464</v>
          </cell>
          <cell r="B1053" t="str">
            <v>PAPELERIA CONY (TULA)</v>
          </cell>
          <cell r="E1053" t="str">
            <v>TULA, HGO.</v>
          </cell>
        </row>
        <row r="1054">
          <cell r="A1054">
            <v>7465</v>
          </cell>
          <cell r="B1054" t="str">
            <v>PAPELERIA CENTENARIO (YURIRIA)</v>
          </cell>
          <cell r="E1054" t="str">
            <v>YURIRIA, GTO.</v>
          </cell>
        </row>
        <row r="1055">
          <cell r="A1055">
            <v>7466</v>
          </cell>
          <cell r="B1055" t="str">
            <v>VERONICA RAMIREZ VILLA (SALAMANCA)</v>
          </cell>
          <cell r="D1055" t="str">
            <v>TENIXTEPEC #304</v>
          </cell>
          <cell r="E1055" t="str">
            <v>SALAMANCA, GTO.</v>
          </cell>
          <cell r="F1055" t="str">
            <v>36730</v>
          </cell>
          <cell r="G1055" t="str">
            <v>(464) 566-7931</v>
          </cell>
          <cell r="V1055" t="str">
            <v>VELLA VISTA</v>
          </cell>
        </row>
        <row r="1056">
          <cell r="A1056">
            <v>7467</v>
          </cell>
          <cell r="B1056" t="str">
            <v>OFELIA GUTIERREZ (SAN JUAN)</v>
          </cell>
          <cell r="E1056" t="str">
            <v>SAN JUAN DEL RIO, QRO.</v>
          </cell>
        </row>
        <row r="1057">
          <cell r="A1057">
            <v>7468</v>
          </cell>
          <cell r="B1057" t="str">
            <v>MIRIAM ADRIANA MELO MUJICA (COAHUILA)</v>
          </cell>
          <cell r="C1057" t="str">
            <v>TODOGLOBOS RAMOS</v>
          </cell>
          <cell r="D1057" t="str">
            <v>BLVD. JAIME BENAVIDES POMPA #623, LOCAL 2</v>
          </cell>
          <cell r="E1057" t="str">
            <v xml:space="preserve">RAMOS ARIZPE, COAHUILA </v>
          </cell>
          <cell r="F1057" t="str">
            <v>25904</v>
          </cell>
          <cell r="V1057" t="str">
            <v>DEL VALLE</v>
          </cell>
        </row>
        <row r="1058">
          <cell r="A1058">
            <v>7469</v>
          </cell>
          <cell r="B1058" t="str">
            <v>VERONICA FERNANDEZ (QUERETARO)</v>
          </cell>
          <cell r="E1058" t="str">
            <v>QUERETARO, QRO.</v>
          </cell>
        </row>
        <row r="1059">
          <cell r="A1059">
            <v>7470</v>
          </cell>
          <cell r="B1059" t="str">
            <v>DOLORES FATIMA MORENO CARMONA (VILLAGRAN)</v>
          </cell>
          <cell r="D1059" t="str">
            <v>ALLENDE #321</v>
          </cell>
          <cell r="E1059" t="str">
            <v>VILLAGRAN, GTO.</v>
          </cell>
          <cell r="V1059" t="str">
            <v>CENTRO</v>
          </cell>
        </row>
        <row r="1060">
          <cell r="A1060">
            <v>7471</v>
          </cell>
          <cell r="B1060" t="str">
            <v>BEATRIZ "PAPELERIA PAPIRO" (QUERETARO)</v>
          </cell>
          <cell r="E1060" t="str">
            <v>QUERETARO, QRO.</v>
          </cell>
        </row>
        <row r="1061">
          <cell r="A1061">
            <v>7472</v>
          </cell>
          <cell r="B1061" t="str">
            <v>NADIA (MIXQUIAHUALA)</v>
          </cell>
          <cell r="E1061" t="str">
            <v>MIXQUIAHUALA, HGO.</v>
          </cell>
        </row>
        <row r="1062">
          <cell r="A1062">
            <v>7473</v>
          </cell>
          <cell r="B1062" t="str">
            <v>LA CAJITA DE SORPRESAS DE MAYRA (SAN LUIS DE LA PAZ)</v>
          </cell>
          <cell r="E1062" t="str">
            <v>SAN LUIS DE LA PAZ, GTO.</v>
          </cell>
        </row>
        <row r="1063">
          <cell r="A1063">
            <v>7474</v>
          </cell>
          <cell r="B1063" t="str">
            <v>FABY DEL REAL (QUERETARO)</v>
          </cell>
          <cell r="E1063" t="str">
            <v>QUERETARO, QRO.</v>
          </cell>
        </row>
        <row r="1064">
          <cell r="A1064">
            <v>7475</v>
          </cell>
          <cell r="B1064" t="str">
            <v>NANCY ZUÑIGA  (TEPEJI)</v>
          </cell>
          <cell r="E1064" t="str">
            <v>TEPEJI DEL RIO, HGO.</v>
          </cell>
        </row>
        <row r="1065">
          <cell r="A1065">
            <v>7476</v>
          </cell>
          <cell r="B1065" t="str">
            <v>JAVIER (MIXQUIAHUALA)</v>
          </cell>
          <cell r="E1065" t="str">
            <v>MIXQUIAHUALA, HGO.</v>
          </cell>
        </row>
        <row r="1066">
          <cell r="A1066">
            <v>7477</v>
          </cell>
          <cell r="B1066" t="str">
            <v>KATY CAMACHO (QUERETARO)</v>
          </cell>
          <cell r="E1066" t="str">
            <v>QUERETARO, QRO.</v>
          </cell>
        </row>
        <row r="1067">
          <cell r="A1067">
            <v>7478</v>
          </cell>
          <cell r="B1067" t="str">
            <v>YOLEANA (COACALCO)</v>
          </cell>
          <cell r="E1067" t="str">
            <v>COACALCO, EDO. DE MEXICO</v>
          </cell>
        </row>
        <row r="1068">
          <cell r="A1068">
            <v>7479</v>
          </cell>
          <cell r="B1068" t="str">
            <v>ERIKA MATEO (ATLACOMULCO)</v>
          </cell>
          <cell r="E1068" t="str">
            <v>ATLACOMULCO, EDO. DE MEXICO</v>
          </cell>
        </row>
        <row r="1069">
          <cell r="A1069">
            <v>7480</v>
          </cell>
          <cell r="B1069" t="str">
            <v>LA CASITA DEL REGALO (QUERETARO)</v>
          </cell>
          <cell r="E1069" t="str">
            <v>QUERETARO, QRO.</v>
          </cell>
        </row>
        <row r="1070">
          <cell r="A1070">
            <v>7481</v>
          </cell>
          <cell r="B1070" t="str">
            <v>JUANA CABELLO (QUERETARO)</v>
          </cell>
          <cell r="E1070" t="str">
            <v>QUERETARO, QRO.</v>
          </cell>
        </row>
        <row r="1071">
          <cell r="A1071">
            <v>7482</v>
          </cell>
          <cell r="B1071" t="str">
            <v>MARIA GUADALUPE SILVA GARCIA (TEOLOYUCAN)</v>
          </cell>
          <cell r="D1071" t="str">
            <v>ROSAL S/N</v>
          </cell>
          <cell r="E1071" t="str">
            <v>TEOLOYUCAN, EDO. DE MEXICO</v>
          </cell>
          <cell r="F1071" t="str">
            <v>54784</v>
          </cell>
          <cell r="V1071" t="str">
            <v>BARRIO SANTIAGO</v>
          </cell>
        </row>
        <row r="1072">
          <cell r="A1072">
            <v>7483</v>
          </cell>
          <cell r="B1072" t="str">
            <v>BOLSAS ROMINA (TLAXCOAPAN)</v>
          </cell>
          <cell r="E1072" t="str">
            <v>TLAXCOAPAN, HGO.</v>
          </cell>
        </row>
        <row r="1073">
          <cell r="A1073">
            <v>7484</v>
          </cell>
          <cell r="B1073" t="str">
            <v>AL FLOM (SJR)</v>
          </cell>
          <cell r="E1073" t="str">
            <v>SAN JUAN DEL RIO, QRO.</v>
          </cell>
        </row>
        <row r="1074">
          <cell r="A1074">
            <v>7485</v>
          </cell>
          <cell r="B1074" t="str">
            <v>PAZ ABOLENGO (SJR)</v>
          </cell>
          <cell r="E1074" t="str">
            <v>SAN JUAN DEL RIO, QRO.</v>
          </cell>
        </row>
        <row r="1075">
          <cell r="A1075">
            <v>7486</v>
          </cell>
          <cell r="B1075" t="str">
            <v>LETICIA CABRALES AGUILAR (NAYARIT)</v>
          </cell>
          <cell r="C1075" t="str">
            <v>PARA EL LADO DEL TORIL</v>
          </cell>
          <cell r="D1075" t="str">
            <v>EMILIANO ZAPATA #10</v>
          </cell>
          <cell r="E1075" t="str">
            <v>TUXPAN, NAYARIT</v>
          </cell>
          <cell r="F1075" t="str">
            <v>63660</v>
          </cell>
          <cell r="G1075" t="str">
            <v>(323) 117-7766</v>
          </cell>
          <cell r="V1075" t="str">
            <v>PALMA GRANDE</v>
          </cell>
        </row>
        <row r="1076">
          <cell r="A1076">
            <v>7487</v>
          </cell>
          <cell r="B1076" t="str">
            <v>ALEJANDRO FLORES (ROMITA)</v>
          </cell>
          <cell r="E1076" t="str">
            <v>ROMITA, GTO.</v>
          </cell>
        </row>
        <row r="1077">
          <cell r="A1077">
            <v>7488</v>
          </cell>
          <cell r="B1077" t="str">
            <v>YANELLI ORTEGA GARCIA (ACTOPAN)</v>
          </cell>
          <cell r="E1077" t="str">
            <v>ACTOPAN, HGO.</v>
          </cell>
        </row>
        <row r="1078">
          <cell r="A1078">
            <v>7489</v>
          </cell>
          <cell r="B1078" t="str">
            <v>MARIA LUISA IBARRA CECEÑA (SONORA)</v>
          </cell>
          <cell r="D1078" t="str">
            <v>CDA. VALLE ESCONDIDO #49</v>
          </cell>
          <cell r="E1078" t="str">
            <v>GUAYMAS, SONORA</v>
          </cell>
          <cell r="F1078" t="str">
            <v>85423</v>
          </cell>
          <cell r="G1078" t="str">
            <v>(622) 125-5141</v>
          </cell>
          <cell r="V1078" t="str">
            <v>FRACC. VALLE DEL MAR, GUAYMAS NTE.</v>
          </cell>
        </row>
        <row r="1079">
          <cell r="A1079">
            <v>7490</v>
          </cell>
          <cell r="B1079" t="str">
            <v>HERIBERTO CRUZ (ACAMBARO)</v>
          </cell>
          <cell r="E1079" t="str">
            <v>ACAMBARO, GTO.</v>
          </cell>
        </row>
        <row r="1080">
          <cell r="A1080">
            <v>7491</v>
          </cell>
          <cell r="B1080" t="str">
            <v>TERE MANDUJANO (EL COLORADO)</v>
          </cell>
          <cell r="E1080" t="str">
            <v>EL COLORADO, QRO.</v>
          </cell>
        </row>
        <row r="1081">
          <cell r="A1081">
            <v>7492</v>
          </cell>
          <cell r="B1081" t="str">
            <v>PAPELERIA LIZBETH (TEQUISQUIAPAN)</v>
          </cell>
          <cell r="E1081" t="str">
            <v>TEQUISQUIAPAN, QRO.</v>
          </cell>
          <cell r="G1081" t="str">
            <v>442 275-9686</v>
          </cell>
        </row>
        <row r="1082">
          <cell r="A1082">
            <v>7493</v>
          </cell>
          <cell r="B1082" t="str">
            <v>FEREGLOBS (EPITACIO HUERTA)</v>
          </cell>
          <cell r="E1082" t="str">
            <v>EPITACIO HUERTA, MICH.</v>
          </cell>
        </row>
        <row r="1083">
          <cell r="A1083">
            <v>7494</v>
          </cell>
          <cell r="B1083" t="str">
            <v>PAPELERIA PERLA (SAN JUAN)</v>
          </cell>
          <cell r="E1083" t="str">
            <v>SAN JUAN DEL RIO, QRO.</v>
          </cell>
        </row>
        <row r="1084">
          <cell r="A1084">
            <v>7495</v>
          </cell>
          <cell r="B1084" t="str">
            <v>EL REGALITO DEL PUG (TEQUISQUIAPAN)</v>
          </cell>
          <cell r="E1084" t="str">
            <v>TEQUISQUIAPAN, QRO.</v>
          </cell>
        </row>
        <row r="1085">
          <cell r="A1085">
            <v>7496</v>
          </cell>
          <cell r="B1085" t="str">
            <v>BRENDA NAVARRETE (VILLAGRAN)</v>
          </cell>
          <cell r="E1085" t="str">
            <v>VILLAGRAN, GTO.</v>
          </cell>
        </row>
        <row r="1086">
          <cell r="A1086">
            <v>7497</v>
          </cell>
          <cell r="B1086" t="str">
            <v>SARA OFELIA OLVERA (APASEO EL GRANDE)</v>
          </cell>
          <cell r="E1086" t="str">
            <v xml:space="preserve">APASEO EL GRANDE, GTO.        </v>
          </cell>
        </row>
        <row r="1087">
          <cell r="A1087">
            <v>7498</v>
          </cell>
          <cell r="B1087" t="str">
            <v>PAPELERIA PLUS II - MARTHA (YURIRIA)</v>
          </cell>
          <cell r="D1087" t="str">
            <v>JUAREZ</v>
          </cell>
          <cell r="E1087" t="str">
            <v>YURIRIA, GTO.</v>
          </cell>
          <cell r="V1087" t="str">
            <v>CENTRO</v>
          </cell>
        </row>
        <row r="1088">
          <cell r="A1088">
            <v>7499</v>
          </cell>
          <cell r="B1088" t="str">
            <v>KOOL PARTY (TARANDA)</v>
          </cell>
          <cell r="E1088" t="str">
            <v>TARANDACUAO, GTO.</v>
          </cell>
        </row>
        <row r="1089">
          <cell r="A1089">
            <v>7500</v>
          </cell>
          <cell r="B1089" t="str">
            <v>ABBY LITTE MONKEY (SAN JUAN)</v>
          </cell>
          <cell r="E1089" t="str">
            <v>SAN JUAN DEL RIO, QRO.</v>
          </cell>
        </row>
        <row r="1090">
          <cell r="A1090">
            <v>7501</v>
          </cell>
          <cell r="B1090" t="str">
            <v>DANIELA ZARCO "JUGUEQRO" (QUERETARO)</v>
          </cell>
          <cell r="E1090" t="str">
            <v>QUERETARO, QRO.</v>
          </cell>
        </row>
        <row r="1091">
          <cell r="A1091">
            <v>7502</v>
          </cell>
          <cell r="B1091" t="str">
            <v>ULISES GARCIA MARTINEZ (MICHOACAN)</v>
          </cell>
          <cell r="D1091" t="str">
            <v>CIRCUITO MORELOS #33</v>
          </cell>
          <cell r="E1091" t="str">
            <v>APATZINGAN, MICH.</v>
          </cell>
          <cell r="F1091" t="str">
            <v>60626</v>
          </cell>
          <cell r="G1091" t="str">
            <v>453 117-7365</v>
          </cell>
          <cell r="V1091" t="str">
            <v>FOVISSSTE</v>
          </cell>
          <cell r="X1091" t="str">
            <v>revistatriunfomusical@outlook.com</v>
          </cell>
        </row>
        <row r="1092">
          <cell r="A1092">
            <v>7503</v>
          </cell>
          <cell r="B1092" t="str">
            <v>ARTURO VAZQUEZ "ROLLY POLLY" (QUERETARO)</v>
          </cell>
          <cell r="E1092" t="str">
            <v>QUERETARO, QRO.</v>
          </cell>
        </row>
        <row r="1093">
          <cell r="A1093">
            <v>7504</v>
          </cell>
          <cell r="B1093" t="str">
            <v>LORENA HERNANDEZ (TULTEPEC)</v>
          </cell>
          <cell r="E1093" t="str">
            <v>TULTEPEC, EDO. DE MEXICO</v>
          </cell>
        </row>
        <row r="1094">
          <cell r="A1094">
            <v>7505</v>
          </cell>
          <cell r="B1094" t="str">
            <v>LUZ ELENA URIASTEGUI (TULA)</v>
          </cell>
          <cell r="E1094" t="str">
            <v>TULA, HGO.</v>
          </cell>
        </row>
        <row r="1095">
          <cell r="A1095">
            <v>7506</v>
          </cell>
          <cell r="B1095" t="str">
            <v>DULCERIA SURTIFIESTAS (TARANDA)</v>
          </cell>
          <cell r="E1095" t="str">
            <v>TARANDACUAO, GTO.</v>
          </cell>
        </row>
        <row r="1096">
          <cell r="A1096">
            <v>7507</v>
          </cell>
          <cell r="B1096" t="str">
            <v>BLANCA YAÑEZ (E. MONTES)</v>
          </cell>
          <cell r="E1096" t="str">
            <v>EZEQUIEL MONTES, QRO.</v>
          </cell>
        </row>
        <row r="1097">
          <cell r="A1097">
            <v>7508</v>
          </cell>
          <cell r="B1097" t="str">
            <v>JUDITH PORTILLA (TULA)</v>
          </cell>
          <cell r="E1097" t="str">
            <v>TULA, HGO.</v>
          </cell>
        </row>
        <row r="1098">
          <cell r="A1098">
            <v>7509</v>
          </cell>
          <cell r="B1098" t="str">
            <v>LADY PAPELERIA (TLAHUELILPAN)</v>
          </cell>
          <cell r="E1098" t="str">
            <v>TLAHUELILPAN, HGO.</v>
          </cell>
        </row>
        <row r="1099">
          <cell r="A1099">
            <v>7510</v>
          </cell>
          <cell r="B1099" t="str">
            <v>ROSY (TULA)</v>
          </cell>
          <cell r="E1099" t="str">
            <v>TULA, HGO.</v>
          </cell>
        </row>
        <row r="1100">
          <cell r="A1100">
            <v>7511</v>
          </cell>
          <cell r="B1100" t="str">
            <v>MARIA DE JESUS (SAN LUIS DE LA PAZ)</v>
          </cell>
          <cell r="E1100" t="str">
            <v>SAN LUIS DE LA PAZ, GTO.</v>
          </cell>
        </row>
        <row r="1101">
          <cell r="A1101">
            <v>7512</v>
          </cell>
          <cell r="B1101" t="str">
            <v>SOFIA LAIVA LARA "PAPELERIA Y NOVEDADES SOFI" (TAMAULIPAS)</v>
          </cell>
          <cell r="D1101" t="str">
            <v>MARIANO ABASOLO #303 A</v>
          </cell>
          <cell r="E1101" t="str">
            <v>RIO BRAVO, TAMAULIPAS</v>
          </cell>
          <cell r="F1101" t="str">
            <v>88940</v>
          </cell>
          <cell r="G1101" t="str">
            <v>832 319-8061</v>
          </cell>
          <cell r="V1101" t="str">
            <v>PRIMERO DE MAYO</v>
          </cell>
        </row>
        <row r="1102">
          <cell r="A1102">
            <v>7513</v>
          </cell>
          <cell r="B1102" t="str">
            <v>LETICIA PEREZ / ANA LAURA GODOY PEREZ (QUERETARO)</v>
          </cell>
          <cell r="E1102" t="str">
            <v>QUERETARO, QRO.</v>
          </cell>
        </row>
        <row r="1103">
          <cell r="A1103">
            <v>7514</v>
          </cell>
          <cell r="B1103" t="str">
            <v>PAPELERIA RAFAEL (QUERETARO)</v>
          </cell>
          <cell r="D1103" t="str">
            <v>PINO SUARES 334</v>
          </cell>
          <cell r="E1103" t="str">
            <v>QUERETARO, QRO.</v>
          </cell>
          <cell r="G1103" t="str">
            <v>442-547-0363</v>
          </cell>
          <cell r="V1103" t="str">
            <v>NIÑOS HEROES</v>
          </cell>
        </row>
        <row r="1104">
          <cell r="A1104">
            <v>7515</v>
          </cell>
          <cell r="B1104" t="str">
            <v>LISSETTE RUIZ  "REGALOS ARI" (SAN JUAN)</v>
          </cell>
          <cell r="E1104" t="str">
            <v>SAN JUAN DEL RIO, QRO.</v>
          </cell>
        </row>
        <row r="1105">
          <cell r="A1105">
            <v>7516</v>
          </cell>
          <cell r="B1105" t="str">
            <v>JOSE ATANALIO (SAN JUAN)</v>
          </cell>
          <cell r="E1105" t="str">
            <v>SAN JUAN DEL RIO, QRO.</v>
          </cell>
          <cell r="G1105" t="str">
            <v>427-242-0157</v>
          </cell>
        </row>
        <row r="1106">
          <cell r="A1106">
            <v>7517</v>
          </cell>
          <cell r="B1106" t="str">
            <v>RODRIGO CRUZ (ATLACOMULCO)</v>
          </cell>
          <cell r="E1106" t="str">
            <v>ATLACOMULCO, EDO. DE MEXICO</v>
          </cell>
        </row>
        <row r="1107">
          <cell r="A1107">
            <v>7518</v>
          </cell>
          <cell r="B1107" t="str">
            <v>ANDREA BECERRIL (ATLACOMULCO)</v>
          </cell>
          <cell r="E1107" t="str">
            <v>ATLACOMULCO, EDO. DE MEXICO</v>
          </cell>
        </row>
        <row r="1108">
          <cell r="A1108">
            <v>7519</v>
          </cell>
          <cell r="B1108" t="str">
            <v>YESENIA CORONEL (EDO. MEXICO)</v>
          </cell>
          <cell r="E1108" t="str">
            <v>NEZAHUALCOYOTL, EDO. DE MEXICO</v>
          </cell>
        </row>
        <row r="1109">
          <cell r="A1109">
            <v>7520</v>
          </cell>
          <cell r="B1109" t="str">
            <v>OLGA BARBOZA CORTEZ (OAXACA)</v>
          </cell>
          <cell r="D1109" t="str">
            <v>ZARAGOZA #9</v>
          </cell>
          <cell r="E1109" t="str">
            <v>HEROICA CIUDAD DE HUAJUAPAN DE LEON, OAX.</v>
          </cell>
          <cell r="F1109" t="str">
            <v>69000</v>
          </cell>
          <cell r="G1109" t="str">
            <v>953-532-0885</v>
          </cell>
          <cell r="V1109" t="str">
            <v>CENTRO</v>
          </cell>
        </row>
        <row r="1110">
          <cell r="A1110">
            <v>7521</v>
          </cell>
          <cell r="B1110" t="str">
            <v>MONICA TREJO (QUERETARO)</v>
          </cell>
          <cell r="E1110" t="str">
            <v>QUERETARO, QRO.</v>
          </cell>
        </row>
        <row r="1111">
          <cell r="A1111">
            <v>7522</v>
          </cell>
          <cell r="B1111" t="str">
            <v>JULIETA ELIZABETH CAMPANA DIAZ (ATIZAPAN)</v>
          </cell>
          <cell r="E1111" t="str">
            <v>ATIZAPAN DE ZARAGOZA, EDO. DE MEXICO</v>
          </cell>
        </row>
        <row r="1112">
          <cell r="A1112">
            <v>7523</v>
          </cell>
          <cell r="B1112" t="str">
            <v>CONSUELO "PAPELERIA GUERRERO" (YURIRIA)</v>
          </cell>
          <cell r="E1112" t="str">
            <v>YURIRIA, GTO.</v>
          </cell>
        </row>
        <row r="1113">
          <cell r="A1113">
            <v>7524</v>
          </cell>
          <cell r="B1113" t="str">
            <v>MARTHA APANTENCO SERRANO (EL PUEBLITO)</v>
          </cell>
          <cell r="D1113" t="str">
            <v>JOSEFA ORTIZ DE DOMINGUEZ #82</v>
          </cell>
          <cell r="E1113" t="str">
            <v>EL PUEBLITO CORREGIDORA, QRO.</v>
          </cell>
          <cell r="F1113" t="str">
            <v>76900</v>
          </cell>
          <cell r="V1113" t="str">
            <v>CENTRO</v>
          </cell>
        </row>
        <row r="1114">
          <cell r="A1114">
            <v>7525</v>
          </cell>
          <cell r="B1114" t="str">
            <v>LUPITA LEDESMA (TLAHUELILPAN)</v>
          </cell>
          <cell r="E1114" t="str">
            <v>TLAHUELILPAN, HGO.</v>
          </cell>
        </row>
        <row r="1115">
          <cell r="A1115">
            <v>7526</v>
          </cell>
          <cell r="B1115" t="str">
            <v>GUADALUPE CHACON (SAN LUIS DE LA PAZ)</v>
          </cell>
          <cell r="E1115" t="str">
            <v>SAN LUIS DE LA PAZ, GTO.</v>
          </cell>
        </row>
        <row r="1116">
          <cell r="A1116">
            <v>7527</v>
          </cell>
          <cell r="B1116" t="str">
            <v>JUANA AGULLON (SANTA ROSA)</v>
          </cell>
          <cell r="E1116" t="str">
            <v>SANTA ROSA JAUREGUI, QRO.</v>
          </cell>
          <cell r="V1116" t="str">
            <v>PALO ALTO</v>
          </cell>
        </row>
        <row r="1117">
          <cell r="A1117">
            <v>7528</v>
          </cell>
          <cell r="B1117" t="str">
            <v>DIANA LOPEZ (QUERETARO)</v>
          </cell>
          <cell r="E1117" t="str">
            <v>QUERETARO, QRO.</v>
          </cell>
        </row>
        <row r="1118">
          <cell r="A1118">
            <v>7529</v>
          </cell>
        </row>
        <row r="1119">
          <cell r="A1119">
            <v>7530</v>
          </cell>
        </row>
        <row r="1122">
          <cell r="A1122" t="str">
            <v>-</v>
          </cell>
          <cell r="B1122" t="str">
            <v>CANCELADA</v>
          </cell>
        </row>
        <row r="1123">
          <cell r="B1123" t="str">
            <v xml:space="preserve">NITZA BEATRIZ CORDOBA CONTRERAS (OJO DE AGUA) </v>
          </cell>
          <cell r="D1123" t="str">
            <v>LIMONES MZ. 95 LT. 60</v>
          </cell>
          <cell r="E1123" t="str">
            <v>OJO DE AGUA, EDO. DE MEXICO</v>
          </cell>
          <cell r="J1123" t="str">
            <v>F02-A</v>
          </cell>
        </row>
        <row r="1124">
          <cell r="B1124" t="str">
            <v>MIRIAM (QUERETARO)</v>
          </cell>
          <cell r="D1124" t="str">
            <v>AV. SOMBRERETE #1301 FRENTE A COBAC 17</v>
          </cell>
          <cell r="E1124" t="str">
            <v>QUERETARO, QRO.</v>
          </cell>
          <cell r="G1124" t="str">
            <v>(442) 170-4651</v>
          </cell>
          <cell r="J1124" t="str">
            <v>L04</v>
          </cell>
          <cell r="V1124" t="str">
            <v>LOS ENCINOS</v>
          </cell>
        </row>
        <row r="1125">
          <cell r="B1125" t="str">
            <v>PAPELERIA LA OLIMPICA (EL COLORADO)</v>
          </cell>
          <cell r="D1125" t="str">
            <v>VICENTE GUERRERO #1</v>
          </cell>
          <cell r="E1125" t="str">
            <v>EL COLORADO, QRO.</v>
          </cell>
        </row>
        <row r="1126">
          <cell r="A1126" t="str">
            <v>A1017</v>
          </cell>
          <cell r="B1126" t="str">
            <v>JESUS LEYVA (SAN JUAN)</v>
          </cell>
          <cell r="C1126" t="str">
            <v>SR. BERTHA PINEDA</v>
          </cell>
          <cell r="E1126" t="str">
            <v>SAN JUAN DEL RIO, QRO.</v>
          </cell>
          <cell r="G1126" t="str">
            <v>(442) 461-1243</v>
          </cell>
          <cell r="J1126" t="str">
            <v>J03</v>
          </cell>
        </row>
        <row r="1127">
          <cell r="A1127" t="str">
            <v>A2001</v>
          </cell>
          <cell r="B1127" t="str">
            <v>JESUS MICHAUS (TEQUIS)</v>
          </cell>
        </row>
        <row r="1128">
          <cell r="A1128" t="str">
            <v>A2025</v>
          </cell>
          <cell r="B1128" t="str">
            <v>FILIBERTO RESENDIZ (E. MONTES)</v>
          </cell>
          <cell r="E1128" t="str">
            <v>EZEQUIEL MONTES, QRO.</v>
          </cell>
        </row>
        <row r="1129">
          <cell r="A1129" t="str">
            <v>A2026</v>
          </cell>
          <cell r="B1129" t="str">
            <v>JAIME RESENDIZ (E. MONTES)</v>
          </cell>
          <cell r="E1129" t="str">
            <v>EZEQUIEL MONTES, QRO.</v>
          </cell>
        </row>
        <row r="1130">
          <cell r="A1130" t="str">
            <v>A6055</v>
          </cell>
          <cell r="B1130" t="str">
            <v>OSCAR OLGUIN (IXMIQUILPAN)</v>
          </cell>
          <cell r="C1130" t="str">
            <v>42300</v>
          </cell>
          <cell r="D1130" t="str">
            <v>AV. INSURGENTES OTE. #109</v>
          </cell>
          <cell r="E1130" t="str">
            <v>IXMIQUILPAN, HGO.</v>
          </cell>
          <cell r="G1130" t="str">
            <v>(772) 123-7962</v>
          </cell>
          <cell r="V1130" t="str">
            <v>CENTRO</v>
          </cell>
        </row>
        <row r="1131">
          <cell r="A1131" t="str">
            <v>A8013</v>
          </cell>
          <cell r="B1131" t="str">
            <v>GILBERTO MARTINEZ (ACAMBAY)</v>
          </cell>
          <cell r="C1131" t="str">
            <v>50333</v>
          </cell>
          <cell r="D1131" t="str">
            <v>CARR. PANAMERICANA S/N</v>
          </cell>
          <cell r="E1131" t="str">
            <v>ACAMBAY, EDO. DE MEXICO</v>
          </cell>
          <cell r="G1131" t="str">
            <v>(712) 336-3136</v>
          </cell>
          <cell r="V1131" t="str">
            <v>ACAMBAY CABECERA</v>
          </cell>
        </row>
        <row r="1132">
          <cell r="A1132" t="str">
            <v>C1010</v>
          </cell>
          <cell r="B1132" t="str">
            <v>ESTELA GALLEGOS (VILLA)</v>
          </cell>
        </row>
        <row r="1133">
          <cell r="A1133" t="str">
            <v>C1011</v>
          </cell>
          <cell r="B1133" t="str">
            <v>BRISA HERNANDEZ (COACALCO)</v>
          </cell>
          <cell r="E1133" t="str">
            <v>COACALCO, EDO. DE MEXICO</v>
          </cell>
        </row>
        <row r="1134">
          <cell r="A1134" t="str">
            <v>C1012</v>
          </cell>
          <cell r="B1134" t="str">
            <v>LETICIA LOPEZ ORTEGA (GPE. VICTORIA)</v>
          </cell>
        </row>
        <row r="1135">
          <cell r="A1135" t="str">
            <v>C1013</v>
          </cell>
          <cell r="B1135" t="str">
            <v>ANGELICA GALVAN (POLITECNICA)</v>
          </cell>
        </row>
        <row r="1136">
          <cell r="A1136" t="str">
            <v>C1014</v>
          </cell>
          <cell r="B1136" t="str">
            <v>ROSA INES (COACALCO)</v>
          </cell>
          <cell r="D1136" t="str">
            <v>MERCADO</v>
          </cell>
          <cell r="E1136" t="str">
            <v>COACALCO, EDO. DE MEXICO</v>
          </cell>
          <cell r="V1136" t="str">
            <v>VILLA DE LAS FLORES</v>
          </cell>
        </row>
        <row r="1137">
          <cell r="A1137" t="str">
            <v>C1018</v>
          </cell>
          <cell r="B1137" t="str">
            <v>ADRIANA RAMOS (COACALCO)</v>
          </cell>
        </row>
        <row r="1138">
          <cell r="A1138" t="str">
            <v>C1019</v>
          </cell>
          <cell r="B1138" t="str">
            <v>MA. DEL CARMEN DELGADO</v>
          </cell>
        </row>
        <row r="1139">
          <cell r="A1139" t="str">
            <v>C1020</v>
          </cell>
          <cell r="B1139" t="str">
            <v>EDUARDO RAMIREZ (SAN LORENZO)</v>
          </cell>
          <cell r="E1139" t="str">
            <v>COACALCO, EDO. DE MEXICO</v>
          </cell>
          <cell r="V1139" t="str">
            <v>SAN LORENZO</v>
          </cell>
        </row>
        <row r="1140">
          <cell r="A1140" t="str">
            <v>C1021</v>
          </cell>
          <cell r="B1140" t="str">
            <v>LOURDES CRUZ (COACALCO)</v>
          </cell>
          <cell r="E1140" t="str">
            <v>COACALCO, EDO. DE MEXICO</v>
          </cell>
        </row>
        <row r="1141">
          <cell r="A1141" t="str">
            <v>C1022</v>
          </cell>
          <cell r="B1141" t="str">
            <v>LOS ABUELOS (COACALCO)</v>
          </cell>
          <cell r="E1141" t="str">
            <v>COACALCO, EDO. DE MEXICO</v>
          </cell>
          <cell r="V1141" t="str">
            <v>SAN LORENZO</v>
          </cell>
        </row>
        <row r="1142">
          <cell r="A1142" t="str">
            <v>C1023</v>
          </cell>
          <cell r="B1142" t="str">
            <v>ROSALIA (TEXCOCO)</v>
          </cell>
          <cell r="E1142" t="str">
            <v>TEXCOCO, EDO. DE MEXICO</v>
          </cell>
        </row>
        <row r="1143">
          <cell r="A1143" t="str">
            <v>C1024</v>
          </cell>
          <cell r="B1143" t="str">
            <v>REGALOS ROSITA (TECAMAC)</v>
          </cell>
          <cell r="E1143" t="str">
            <v>TECAMAC, EDO. DE MEXICO</v>
          </cell>
        </row>
        <row r="1144">
          <cell r="A1144" t="str">
            <v>C1025</v>
          </cell>
          <cell r="B1144" t="str">
            <v>ALEJANDRA ROLDAN</v>
          </cell>
        </row>
        <row r="1145">
          <cell r="A1145" t="str">
            <v>C1026</v>
          </cell>
          <cell r="B1145" t="str">
            <v>PAPELERIA CYTLALI</v>
          </cell>
        </row>
        <row r="1146">
          <cell r="A1146" t="str">
            <v>C1027</v>
          </cell>
          <cell r="B1146" t="str">
            <v>SANDRA PEREZ (TIZAYUCA)</v>
          </cell>
          <cell r="E1146" t="str">
            <v>TIZAYUCA, HGO.</v>
          </cell>
        </row>
        <row r="1147">
          <cell r="A1147" t="str">
            <v>C1028</v>
          </cell>
          <cell r="B1147" t="str">
            <v>LUPITA BUSIO (VILLA)</v>
          </cell>
          <cell r="E1147" t="str">
            <v>COACALCO, EDO. DE MEXICO</v>
          </cell>
          <cell r="V1147" t="str">
            <v>VILLA DE LAS FLORES</v>
          </cell>
        </row>
        <row r="1148">
          <cell r="A1148" t="str">
            <v>C1029</v>
          </cell>
          <cell r="B1148" t="str">
            <v>CAROLINA OLIVARES (TECAMAC)</v>
          </cell>
          <cell r="E1148" t="str">
            <v>TECAMAC, EDO. DE MEXICO</v>
          </cell>
        </row>
        <row r="1149">
          <cell r="A1149" t="str">
            <v>C1030</v>
          </cell>
        </row>
        <row r="1150">
          <cell r="A1150" t="str">
            <v>V1001</v>
          </cell>
          <cell r="B1150" t="str">
            <v>LUIS VEGA HERRERA (TIZAYUCA)</v>
          </cell>
          <cell r="E1150" t="str">
            <v>TIZAYUCA, HGO.</v>
          </cell>
          <cell r="J1150" t="str">
            <v>F02-A</v>
          </cell>
        </row>
        <row r="1151">
          <cell r="A1151" t="str">
            <v>V1002</v>
          </cell>
          <cell r="B1151" t="str">
            <v>ROSY (TIZAYUCA)</v>
          </cell>
          <cell r="E1151" t="str">
            <v>TIZAYUCA, HGO.</v>
          </cell>
          <cell r="J1151" t="str">
            <v>F02-A</v>
          </cell>
        </row>
        <row r="1152">
          <cell r="A1152" t="str">
            <v>V1003</v>
          </cell>
          <cell r="B1152" t="str">
            <v>CITLALI MENDEZ (HUEHUETOCA)</v>
          </cell>
          <cell r="E1152" t="str">
            <v>HUEHUETOCA, EDO. DE MEXICO</v>
          </cell>
          <cell r="J1152" t="str">
            <v>F02-A</v>
          </cell>
        </row>
        <row r="1153">
          <cell r="B1153" t="str">
            <v>-</v>
          </cell>
        </row>
        <row r="1154">
          <cell r="B1154" t="str">
            <v>-</v>
          </cell>
        </row>
        <row r="1155">
          <cell r="A1155">
            <v>1</v>
          </cell>
          <cell r="B1155" t="str">
            <v xml:space="preserve">DULCE CASTILLO (TULANCINGO)                                 </v>
          </cell>
          <cell r="D1155" t="str">
            <v xml:space="preserve">LUIS PONCE 213 BIS                      </v>
          </cell>
          <cell r="E1155" t="str">
            <v>TULANCINGO, HGO.</v>
          </cell>
          <cell r="G1155" t="str">
            <v>(775) 205-4328</v>
          </cell>
          <cell r="J1155" t="str">
            <v>F02B</v>
          </cell>
          <cell r="V1155" t="str">
            <v>CENTRO</v>
          </cell>
        </row>
        <row r="1156">
          <cell r="A1156">
            <v>2</v>
          </cell>
          <cell r="B1156" t="str">
            <v>FRANCISCO MONROY (SAN JUA)</v>
          </cell>
        </row>
        <row r="1157">
          <cell r="A1157">
            <v>3</v>
          </cell>
          <cell r="B1157" t="str">
            <v>JUAN GARCIA PORRAS (TLAXCOAPAN)</v>
          </cell>
          <cell r="D1157" t="str">
            <v>PLAZA REAL DEL SOL</v>
          </cell>
          <cell r="E1157" t="str">
            <v>TLAXCOAPAN, HGO.</v>
          </cell>
          <cell r="H1157" t="str">
            <v>SRITA. SELENE</v>
          </cell>
          <cell r="V1157" t="str">
            <v>CENTRO</v>
          </cell>
        </row>
        <row r="1158">
          <cell r="A1158">
            <v>4</v>
          </cell>
          <cell r="B1158" t="str">
            <v>MARGARITA RIVERA LEON (ESCOBEDO)</v>
          </cell>
          <cell r="D1158" t="str">
            <v>CUAUTEMOC #30</v>
          </cell>
          <cell r="E1158" t="str">
            <v>PEDRO ESCOBEDO, QRO.</v>
          </cell>
          <cell r="J1158" t="str">
            <v>L04</v>
          </cell>
        </row>
        <row r="1159">
          <cell r="A1159">
            <v>5</v>
          </cell>
          <cell r="B1159" t="str">
            <v>DULCERIA (CORTAZAR)</v>
          </cell>
          <cell r="E1159" t="str">
            <v>CORTAZAR, GTO.</v>
          </cell>
        </row>
      </sheetData>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L3462"/>
  <sheetViews>
    <sheetView tabSelected="1" view="pageBreakPreview" topLeftCell="B1" zoomScaleSheetLayoutView="100" workbookViewId="0">
      <selection activeCell="B41" sqref="B41"/>
    </sheetView>
  </sheetViews>
  <sheetFormatPr baseColWidth="10" defaultRowHeight="15"/>
  <cols>
    <col min="1" max="1" width="6.140625" hidden="1" customWidth="1"/>
    <col min="2" max="2" width="8.85546875" style="25" customWidth="1"/>
    <col min="3" max="3" width="14.28515625" style="2" customWidth="1"/>
    <col min="4" max="4" width="41.7109375" customWidth="1"/>
    <col min="5" max="5" width="11.85546875" style="48" bestFit="1" customWidth="1"/>
    <col min="6" max="6" width="10.85546875" customWidth="1"/>
    <col min="7" max="7" width="16.42578125" bestFit="1" customWidth="1"/>
    <col min="8" max="8" width="11.5703125" bestFit="1" customWidth="1"/>
    <col min="9" max="9" width="15.140625" bestFit="1" customWidth="1"/>
    <col min="10" max="10" width="20.7109375" bestFit="1" customWidth="1"/>
  </cols>
  <sheetData>
    <row r="1" spans="1:12" ht="21.75" customHeight="1">
      <c r="B1" s="64"/>
      <c r="C1" s="64"/>
      <c r="D1" s="64"/>
      <c r="E1" s="65"/>
      <c r="F1" s="64"/>
      <c r="G1" s="71" t="s">
        <v>0</v>
      </c>
      <c r="H1" s="1"/>
      <c r="I1" s="1"/>
      <c r="J1" s="1"/>
      <c r="K1" s="1"/>
      <c r="L1" s="1"/>
    </row>
    <row r="2" spans="1:12">
      <c r="B2" s="28"/>
      <c r="C2" s="110" t="s">
        <v>24</v>
      </c>
      <c r="D2" s="110"/>
      <c r="E2" s="110"/>
      <c r="F2" s="110"/>
      <c r="G2" s="66" t="s">
        <v>22</v>
      </c>
    </row>
    <row r="3" spans="1:12">
      <c r="B3" s="28"/>
      <c r="C3" s="110"/>
      <c r="D3" s="110"/>
      <c r="E3" s="110"/>
      <c r="F3" s="110"/>
      <c r="G3" s="67" t="s">
        <v>25</v>
      </c>
    </row>
    <row r="4" spans="1:12" ht="3.75" customHeight="1">
      <c r="B4" s="58"/>
      <c r="C4" s="58"/>
      <c r="D4" s="58"/>
      <c r="E4" s="59"/>
      <c r="F4" s="58"/>
      <c r="G4" s="66"/>
    </row>
    <row r="5" spans="1:12">
      <c r="B5" s="70"/>
      <c r="C5" s="70"/>
      <c r="D5" s="70"/>
      <c r="E5" s="70"/>
      <c r="F5" s="70"/>
      <c r="G5" s="68">
        <f ca="1">+NOW()</f>
        <v>46014.45952546296</v>
      </c>
    </row>
    <row r="6" spans="1:12">
      <c r="B6" s="101" t="s">
        <v>1</v>
      </c>
      <c r="C6" s="18"/>
      <c r="D6" s="60"/>
      <c r="E6" s="50"/>
      <c r="F6" s="6"/>
      <c r="G6" s="68"/>
      <c r="H6" s="22"/>
    </row>
    <row r="7" spans="1:12" ht="15" customHeight="1">
      <c r="B7" s="101" t="s">
        <v>2</v>
      </c>
      <c r="C7" s="18"/>
      <c r="D7" s="61" t="e">
        <f>VLOOKUP(D6,[1]CLIENTES!$A$2:$X$1313,2,FALSE)</f>
        <v>#N/A</v>
      </c>
      <c r="E7" s="50"/>
      <c r="F7" s="6"/>
      <c r="G7" s="69" t="s">
        <v>3</v>
      </c>
      <c r="H7" s="29"/>
    </row>
    <row r="8" spans="1:12" ht="6" customHeight="1" thickBot="1">
      <c r="B8" s="101"/>
      <c r="C8" s="62"/>
      <c r="D8" s="4"/>
      <c r="E8" s="50"/>
      <c r="F8" s="6"/>
      <c r="G8" s="63"/>
    </row>
    <row r="9" spans="1:12" ht="24.75" thickBot="1">
      <c r="B9" s="27" t="s">
        <v>4</v>
      </c>
      <c r="C9" s="103" t="s">
        <v>20</v>
      </c>
      <c r="D9" s="20" t="s">
        <v>5</v>
      </c>
      <c r="E9" s="20"/>
      <c r="F9" s="21" t="s">
        <v>6</v>
      </c>
      <c r="G9" s="19" t="s">
        <v>7</v>
      </c>
    </row>
    <row r="10" spans="1:12" ht="4.5" customHeight="1" thickBot="1">
      <c r="A10" s="23"/>
      <c r="B10" s="26"/>
      <c r="C10" s="21"/>
      <c r="D10" s="21"/>
      <c r="E10" s="21"/>
      <c r="F10" s="21"/>
      <c r="G10" s="36"/>
      <c r="H10" s="3"/>
      <c r="I10" s="3"/>
      <c r="J10" s="24"/>
    </row>
    <row r="11" spans="1:12" ht="18" customHeight="1">
      <c r="B11" s="99"/>
      <c r="C11" s="78"/>
      <c r="D11" s="73"/>
      <c r="E11" s="93"/>
      <c r="F11" s="94"/>
      <c r="G11" s="53"/>
      <c r="H11" s="52"/>
      <c r="I11" s="52"/>
      <c r="J11" s="24"/>
    </row>
    <row r="12" spans="1:12" ht="18" customHeight="1">
      <c r="B12" s="86"/>
      <c r="C12" s="74"/>
      <c r="D12" s="72"/>
      <c r="E12" s="96"/>
      <c r="F12" s="97"/>
      <c r="G12" s="53"/>
      <c r="H12" s="52"/>
      <c r="I12" s="52"/>
      <c r="J12" s="24"/>
    </row>
    <row r="13" spans="1:12" ht="18" customHeight="1">
      <c r="B13" s="86"/>
      <c r="C13" s="87"/>
      <c r="D13" s="88"/>
      <c r="E13" s="96"/>
      <c r="F13" s="97"/>
      <c r="G13" s="53"/>
      <c r="H13" s="52"/>
      <c r="I13" s="52"/>
      <c r="J13" s="24"/>
    </row>
    <row r="14" spans="1:12" ht="18" customHeight="1">
      <c r="B14" s="86"/>
      <c r="C14" s="87"/>
      <c r="D14" s="88"/>
      <c r="E14" s="96"/>
      <c r="F14" s="97"/>
      <c r="G14" s="53"/>
      <c r="H14" s="52"/>
      <c r="I14" s="52"/>
      <c r="J14" s="24"/>
    </row>
    <row r="15" spans="1:12" ht="18" customHeight="1">
      <c r="B15" s="86"/>
      <c r="C15" s="87"/>
      <c r="D15" s="88"/>
      <c r="E15" s="96"/>
      <c r="F15" s="97"/>
      <c r="G15" s="53"/>
      <c r="H15" s="52"/>
      <c r="I15" s="52"/>
      <c r="J15" s="24"/>
    </row>
    <row r="16" spans="1:12" ht="18" customHeight="1">
      <c r="B16" s="86"/>
      <c r="C16" s="87"/>
      <c r="D16" s="88"/>
      <c r="E16" s="96"/>
      <c r="F16" s="97"/>
      <c r="G16" s="53"/>
      <c r="H16" s="52"/>
      <c r="I16" s="52"/>
      <c r="J16" s="24"/>
    </row>
    <row r="17" spans="1:10" ht="18" customHeight="1">
      <c r="B17" s="86"/>
      <c r="C17" s="87"/>
      <c r="D17" s="88"/>
      <c r="E17" s="96"/>
      <c r="F17" s="97"/>
      <c r="G17" s="53"/>
      <c r="H17" s="52"/>
      <c r="I17" s="52"/>
      <c r="J17" s="24"/>
    </row>
    <row r="18" spans="1:10" ht="18" customHeight="1">
      <c r="B18" s="86"/>
      <c r="C18" s="87"/>
      <c r="D18" s="88"/>
      <c r="E18" s="96"/>
      <c r="F18" s="97"/>
      <c r="G18" s="53"/>
      <c r="H18" s="52"/>
      <c r="I18" s="52"/>
      <c r="J18" s="24"/>
    </row>
    <row r="19" spans="1:10" ht="18" customHeight="1">
      <c r="B19" s="86"/>
      <c r="C19" s="87"/>
      <c r="D19" s="88"/>
      <c r="E19" s="96"/>
      <c r="F19" s="97"/>
      <c r="G19" s="53"/>
      <c r="H19" s="52"/>
      <c r="I19" s="52"/>
      <c r="J19" s="24"/>
    </row>
    <row r="20" spans="1:10" ht="18" customHeight="1">
      <c r="A20" s="77"/>
      <c r="B20" s="86"/>
      <c r="C20" s="87"/>
      <c r="D20" s="88"/>
      <c r="E20" s="96"/>
      <c r="F20" s="97"/>
      <c r="G20" s="53"/>
      <c r="H20" s="52"/>
      <c r="I20" s="52"/>
      <c r="J20" s="24"/>
    </row>
    <row r="21" spans="1:10" ht="18" customHeight="1">
      <c r="B21" s="86"/>
      <c r="C21" s="87"/>
      <c r="D21" s="88"/>
      <c r="E21" s="96"/>
      <c r="F21" s="97"/>
      <c r="G21" s="53"/>
      <c r="H21" s="52"/>
      <c r="I21" s="52"/>
      <c r="J21" s="24"/>
    </row>
    <row r="22" spans="1:10" ht="18" customHeight="1">
      <c r="B22" s="86"/>
      <c r="C22" s="87"/>
      <c r="D22" s="88"/>
      <c r="E22" s="96"/>
      <c r="F22" s="97"/>
      <c r="G22" s="53"/>
      <c r="H22" s="52"/>
      <c r="I22" s="52"/>
      <c r="J22" s="24"/>
    </row>
    <row r="23" spans="1:10" ht="18" customHeight="1">
      <c r="B23" s="86"/>
      <c r="C23" s="87"/>
      <c r="D23" s="88"/>
      <c r="E23" s="96"/>
      <c r="F23" s="97"/>
      <c r="G23" s="53"/>
      <c r="H23" s="52"/>
      <c r="I23" s="52"/>
      <c r="J23" s="24"/>
    </row>
    <row r="24" spans="1:10" ht="18" customHeight="1">
      <c r="B24" s="86"/>
      <c r="C24" s="87"/>
      <c r="D24" s="88"/>
      <c r="E24" s="96"/>
      <c r="F24" s="97"/>
      <c r="G24" s="53"/>
      <c r="H24" s="52"/>
      <c r="I24" s="52"/>
      <c r="J24" s="24"/>
    </row>
    <row r="25" spans="1:10" ht="18" customHeight="1">
      <c r="A25" s="77"/>
      <c r="B25" s="86"/>
      <c r="C25" s="87"/>
      <c r="D25" s="88"/>
      <c r="E25" s="96"/>
      <c r="F25" s="97"/>
      <c r="G25" s="53"/>
      <c r="H25" s="52"/>
      <c r="I25" s="52"/>
      <c r="J25" s="24"/>
    </row>
    <row r="26" spans="1:10" ht="18" customHeight="1">
      <c r="A26" s="77"/>
      <c r="B26" s="86"/>
      <c r="C26" s="87"/>
      <c r="D26" s="88"/>
      <c r="E26" s="96"/>
      <c r="F26" s="97"/>
      <c r="G26" s="53"/>
      <c r="H26" s="52"/>
      <c r="I26" s="52"/>
      <c r="J26" s="24"/>
    </row>
    <row r="27" spans="1:10" ht="18" customHeight="1">
      <c r="B27" s="86"/>
      <c r="C27" s="87"/>
      <c r="D27" s="88"/>
      <c r="E27" s="96"/>
      <c r="F27" s="97"/>
      <c r="G27" s="53"/>
      <c r="H27" s="52"/>
      <c r="I27" s="52"/>
      <c r="J27" s="24"/>
    </row>
    <row r="28" spans="1:10" ht="18" customHeight="1">
      <c r="B28" s="86"/>
      <c r="C28" s="87"/>
      <c r="D28" s="88"/>
      <c r="E28" s="96"/>
      <c r="F28" s="97"/>
      <c r="G28" s="53"/>
      <c r="H28" s="52"/>
      <c r="I28" s="52"/>
      <c r="J28" s="24"/>
    </row>
    <row r="29" spans="1:10" ht="18" customHeight="1">
      <c r="B29" s="86"/>
      <c r="C29" s="87"/>
      <c r="D29" s="88"/>
      <c r="E29" s="96"/>
      <c r="F29" s="97"/>
      <c r="G29" s="53"/>
      <c r="H29" s="52"/>
      <c r="I29" s="52"/>
      <c r="J29" s="24"/>
    </row>
    <row r="30" spans="1:10" ht="18" customHeight="1">
      <c r="B30" s="86"/>
      <c r="C30" s="87"/>
      <c r="D30" s="88"/>
      <c r="E30" s="96"/>
      <c r="F30" s="97"/>
      <c r="G30" s="53"/>
      <c r="H30" s="52"/>
      <c r="I30" s="52"/>
      <c r="J30" s="24"/>
    </row>
    <row r="31" spans="1:10" ht="18" customHeight="1">
      <c r="B31" s="55"/>
      <c r="C31" s="74"/>
      <c r="D31" s="72"/>
      <c r="E31" s="100"/>
      <c r="F31" s="95"/>
      <c r="G31" s="53"/>
      <c r="H31" s="52"/>
      <c r="I31" s="52"/>
      <c r="J31" s="24"/>
    </row>
    <row r="32" spans="1:10" ht="18" customHeight="1">
      <c r="B32" s="55"/>
      <c r="C32" s="74"/>
      <c r="D32" s="72"/>
      <c r="E32" s="100"/>
      <c r="F32" s="95"/>
      <c r="G32" s="53"/>
      <c r="H32" s="52"/>
      <c r="I32" s="52"/>
      <c r="J32" s="24"/>
    </row>
    <row r="33" spans="1:12" ht="18" customHeight="1">
      <c r="B33" s="55"/>
      <c r="C33" s="74"/>
      <c r="D33" s="72"/>
      <c r="E33" s="100"/>
      <c r="F33" s="95"/>
      <c r="G33" s="53"/>
      <c r="H33" s="52"/>
      <c r="I33" s="52"/>
      <c r="J33" s="24"/>
    </row>
    <row r="34" spans="1:12" ht="18" customHeight="1">
      <c r="B34" s="55"/>
      <c r="C34" s="74"/>
      <c r="D34" s="72"/>
      <c r="E34" s="98"/>
      <c r="F34" s="95"/>
      <c r="G34" s="53"/>
      <c r="H34" s="52"/>
      <c r="I34" s="52"/>
      <c r="J34" s="24"/>
    </row>
    <row r="35" spans="1:12" ht="18" customHeight="1">
      <c r="B35" s="55"/>
      <c r="C35" s="74"/>
      <c r="D35" s="72"/>
      <c r="E35" s="98"/>
      <c r="F35" s="95"/>
      <c r="G35" s="53"/>
      <c r="H35" s="52"/>
      <c r="I35" s="52"/>
      <c r="J35" s="24"/>
    </row>
    <row r="36" spans="1:12" ht="18" customHeight="1">
      <c r="B36" s="55"/>
      <c r="C36" s="74"/>
      <c r="D36" s="72"/>
      <c r="E36" s="98"/>
      <c r="F36" s="95"/>
      <c r="G36" s="53"/>
      <c r="H36" s="52"/>
      <c r="I36" s="52"/>
      <c r="J36" s="24"/>
    </row>
    <row r="37" spans="1:12" ht="18" customHeight="1">
      <c r="B37" s="55"/>
      <c r="C37" s="74"/>
      <c r="D37" s="72"/>
      <c r="E37" s="98"/>
      <c r="F37" s="95"/>
      <c r="G37" s="53"/>
      <c r="H37" s="52"/>
      <c r="I37" s="52"/>
      <c r="J37" s="24"/>
    </row>
    <row r="38" spans="1:12" ht="18" customHeight="1">
      <c r="B38" s="92"/>
      <c r="C38" s="74"/>
      <c r="D38" s="72"/>
      <c r="E38" s="98"/>
      <c r="F38" s="95"/>
      <c r="G38" s="53"/>
      <c r="H38" s="52"/>
      <c r="I38" s="52"/>
      <c r="J38" s="24"/>
    </row>
    <row r="39" spans="1:12" ht="18" customHeight="1" thickBot="1">
      <c r="B39" s="89"/>
      <c r="C39" s="90"/>
      <c r="D39" s="91"/>
      <c r="E39" s="76"/>
      <c r="F39" s="75"/>
      <c r="G39" s="54"/>
      <c r="H39" s="52"/>
      <c r="I39" s="52"/>
    </row>
    <row r="40" spans="1:12" ht="6.75" customHeight="1">
      <c r="B40" s="80"/>
      <c r="C40" s="5"/>
      <c r="D40" s="6"/>
      <c r="E40" s="49"/>
      <c r="F40" s="7"/>
      <c r="G40" s="30"/>
      <c r="H40" s="8"/>
      <c r="I40" s="3"/>
      <c r="L40" s="8"/>
    </row>
    <row r="41" spans="1:12" ht="15" customHeight="1" thickBot="1">
      <c r="B41" s="81">
        <f>+SUM(B11:B39)</f>
        <v>0</v>
      </c>
      <c r="C41" s="18" t="s">
        <v>8</v>
      </c>
      <c r="D41" s="4"/>
      <c r="E41" s="50"/>
      <c r="F41" s="31" t="s">
        <v>7</v>
      </c>
      <c r="G41" s="79">
        <f>+SUM(G11:G39)</f>
        <v>0</v>
      </c>
      <c r="H41" s="35"/>
      <c r="I41" s="35"/>
      <c r="J41" s="35"/>
    </row>
    <row r="42" spans="1:12" ht="15" hidden="1" customHeight="1" thickBot="1">
      <c r="B42" s="82"/>
      <c r="C42" s="18"/>
      <c r="D42" s="4"/>
      <c r="E42" s="50"/>
      <c r="F42" s="31" t="s">
        <v>21</v>
      </c>
      <c r="G42" s="57">
        <v>0</v>
      </c>
      <c r="H42" s="35"/>
      <c r="I42" s="35"/>
      <c r="J42" s="35"/>
    </row>
    <row r="43" spans="1:12" ht="15" hidden="1" customHeight="1" thickBot="1">
      <c r="B43" s="82"/>
      <c r="C43" s="18"/>
      <c r="D43" s="4"/>
      <c r="E43" s="50"/>
      <c r="F43" s="31" t="s">
        <v>7</v>
      </c>
      <c r="G43" s="56">
        <f>SUM(G41:G42)</f>
        <v>0</v>
      </c>
      <c r="H43" s="35"/>
      <c r="I43" s="35"/>
      <c r="J43" s="35"/>
    </row>
    <row r="44" spans="1:12" ht="6" customHeight="1">
      <c r="B44" s="83"/>
      <c r="C44" s="18"/>
      <c r="D44" s="4"/>
      <c r="E44" s="50"/>
      <c r="F44" s="9"/>
      <c r="G44" s="32"/>
    </row>
    <row r="45" spans="1:12" s="14" customFormat="1" ht="9.75" customHeight="1">
      <c r="A45" s="10"/>
      <c r="B45" s="84"/>
      <c r="C45" s="12"/>
      <c r="D45" s="13" t="s">
        <v>18</v>
      </c>
      <c r="E45" s="51"/>
      <c r="F45" s="11"/>
      <c r="G45" s="33"/>
      <c r="I45" s="37"/>
    </row>
    <row r="46" spans="1:12" s="14" customFormat="1" ht="15" customHeight="1">
      <c r="A46" s="10"/>
      <c r="B46" s="104"/>
      <c r="C46" s="10"/>
      <c r="D46" s="10"/>
      <c r="E46" s="45"/>
      <c r="F46" s="10" t="s">
        <v>9</v>
      </c>
      <c r="G46" s="44">
        <f>G41</f>
        <v>0</v>
      </c>
      <c r="I46" s="37"/>
    </row>
    <row r="47" spans="1:12" s="14" customFormat="1" ht="6.75" customHeight="1">
      <c r="A47" s="10"/>
      <c r="B47" s="38"/>
      <c r="C47" s="10"/>
      <c r="D47" s="10"/>
      <c r="E47" s="45"/>
      <c r="F47" s="15"/>
      <c r="G47" s="34"/>
    </row>
    <row r="48" spans="1:12" s="14" customFormat="1" ht="11.25" hidden="1" customHeight="1">
      <c r="A48" s="10"/>
      <c r="B48" s="39">
        <f ca="1">+G5+30</f>
        <v>46044.45952546296</v>
      </c>
      <c r="C48" s="10"/>
      <c r="D48" s="16" t="e">
        <f>#REF!</f>
        <v>#REF!</v>
      </c>
      <c r="E48" s="46"/>
      <c r="F48" s="105" t="str">
        <f ca="1">CONCATENATE("Dia   ",DAY(G5),"   Mes   ",MONTH(G5),"   Año   ",YEAR(G5))</f>
        <v>Dia   23   Mes   12   Año   2025</v>
      </c>
      <c r="G48" s="106"/>
    </row>
    <row r="49" spans="1:7" s="14" customFormat="1" hidden="1">
      <c r="A49" s="10"/>
      <c r="B49" s="107" t="s">
        <v>19</v>
      </c>
      <c r="C49" s="108"/>
      <c r="D49" s="108"/>
      <c r="E49" s="108"/>
      <c r="F49" s="108"/>
      <c r="G49" s="109"/>
    </row>
    <row r="50" spans="1:7" s="14" customFormat="1" hidden="1">
      <c r="A50" s="17"/>
      <c r="B50" s="40" t="s">
        <v>10</v>
      </c>
      <c r="C50" s="111" t="s">
        <v>11</v>
      </c>
      <c r="D50" s="111"/>
      <c r="E50" s="47"/>
      <c r="F50" s="112" t="str">
        <f ca="1">CONCATENATE("el  dia  ",DAY(G5),"  del  mes  ",MONTH(B48),"  del  año  ",YEAR(B48))</f>
        <v>el  dia  23  del  mes  1  del  año  2026</v>
      </c>
      <c r="G50" s="113"/>
    </row>
    <row r="51" spans="1:7" s="14" customFormat="1" ht="11.25" hidden="1" customHeight="1">
      <c r="A51" s="17"/>
      <c r="B51" s="102" t="s">
        <v>12</v>
      </c>
      <c r="C51" s="114" t="s">
        <v>23</v>
      </c>
      <c r="D51" s="114"/>
      <c r="E51" s="114"/>
      <c r="F51" s="114"/>
      <c r="G51" s="115"/>
    </row>
    <row r="52" spans="1:7" s="14" customFormat="1" hidden="1">
      <c r="A52" s="15"/>
      <c r="B52" s="116" t="s">
        <v>13</v>
      </c>
      <c r="C52" s="117"/>
      <c r="D52" s="117"/>
      <c r="E52" s="117"/>
      <c r="F52" s="117"/>
      <c r="G52" s="118"/>
    </row>
    <row r="53" spans="1:7" s="14" customFormat="1" hidden="1">
      <c r="A53" s="15"/>
      <c r="B53" s="119"/>
      <c r="C53" s="117"/>
      <c r="D53" s="117"/>
      <c r="E53" s="117"/>
      <c r="F53" s="117"/>
      <c r="G53" s="118"/>
    </row>
    <row r="54" spans="1:7" s="14" customFormat="1" hidden="1">
      <c r="A54" s="15"/>
      <c r="B54" s="41" t="s">
        <v>14</v>
      </c>
      <c r="C54" s="120" t="e">
        <f>D7</f>
        <v>#N/A</v>
      </c>
      <c r="D54" s="120"/>
      <c r="E54" s="121"/>
      <c r="F54" s="122" t="s">
        <v>15</v>
      </c>
      <c r="G54" s="123"/>
    </row>
    <row r="55" spans="1:7" s="14" customFormat="1" ht="15" hidden="1" customHeight="1">
      <c r="A55" s="15"/>
      <c r="B55" s="42" t="s">
        <v>16</v>
      </c>
      <c r="C55" s="126" t="e">
        <f>CONCATENATE(#REF!,", ",#REF!, ", ",#REF!,", ",#REF!,", ",#REF!)</f>
        <v>#REF!</v>
      </c>
      <c r="D55" s="126"/>
      <c r="E55" s="127"/>
      <c r="F55" s="124"/>
      <c r="G55" s="125"/>
    </row>
    <row r="56" spans="1:7" s="14" customFormat="1" ht="11.25" hidden="1" customHeight="1" thickBot="1">
      <c r="A56" s="15"/>
      <c r="B56" s="43"/>
      <c r="C56" s="128"/>
      <c r="D56" s="128"/>
      <c r="E56" s="129"/>
      <c r="F56" s="130" t="s">
        <v>17</v>
      </c>
      <c r="G56" s="131"/>
    </row>
    <row r="57" spans="1:7" s="4" customFormat="1">
      <c r="B57" s="28"/>
      <c r="C57" s="18"/>
      <c r="E57" s="50"/>
    </row>
    <row r="58" spans="1:7" s="4" customFormat="1">
      <c r="B58" s="28"/>
      <c r="C58" s="18"/>
      <c r="E58" s="50"/>
    </row>
    <row r="59" spans="1:7" s="4" customFormat="1">
      <c r="B59" s="28"/>
      <c r="C59" s="18"/>
      <c r="E59" s="50"/>
      <c r="F59" s="66"/>
    </row>
    <row r="60" spans="1:7" s="4" customFormat="1">
      <c r="B60" s="28"/>
      <c r="C60" s="18"/>
      <c r="E60" s="50"/>
    </row>
    <row r="61" spans="1:7" s="4" customFormat="1">
      <c r="B61" s="28"/>
      <c r="C61" s="18"/>
      <c r="E61" s="50"/>
    </row>
    <row r="62" spans="1:7" s="4" customFormat="1">
      <c r="B62" s="28"/>
      <c r="C62" s="18"/>
      <c r="E62" s="50"/>
    </row>
    <row r="63" spans="1:7" s="4" customFormat="1">
      <c r="B63" s="28"/>
      <c r="C63" s="18"/>
      <c r="E63" s="50"/>
    </row>
    <row r="64" spans="1:7" s="4" customFormat="1">
      <c r="B64" s="28"/>
      <c r="C64" s="18"/>
      <c r="E64" s="50"/>
    </row>
    <row r="65" spans="2:5" s="4" customFormat="1">
      <c r="B65" s="28"/>
      <c r="C65" s="18"/>
      <c r="E65" s="50"/>
    </row>
    <row r="66" spans="2:5" s="4" customFormat="1">
      <c r="B66" s="85"/>
      <c r="C66" s="18"/>
      <c r="E66" s="50"/>
    </row>
    <row r="67" spans="2:5" s="4" customFormat="1">
      <c r="B67" s="28"/>
      <c r="C67" s="18"/>
      <c r="E67" s="50"/>
    </row>
    <row r="68" spans="2:5" s="4" customFormat="1">
      <c r="B68" s="28"/>
      <c r="C68" s="18"/>
      <c r="E68" s="50"/>
    </row>
    <row r="69" spans="2:5" s="4" customFormat="1">
      <c r="B69" s="28"/>
      <c r="C69" s="18"/>
      <c r="E69" s="50"/>
    </row>
    <row r="70" spans="2:5" s="4" customFormat="1">
      <c r="B70" s="28"/>
      <c r="C70" s="18"/>
      <c r="E70" s="50"/>
    </row>
    <row r="71" spans="2:5" s="4" customFormat="1">
      <c r="B71" s="28"/>
      <c r="C71" s="18"/>
      <c r="E71" s="50"/>
    </row>
    <row r="72" spans="2:5" s="4" customFormat="1">
      <c r="B72" s="85"/>
      <c r="C72" s="18"/>
      <c r="E72" s="50"/>
    </row>
    <row r="73" spans="2:5" s="4" customFormat="1">
      <c r="B73" s="28"/>
      <c r="C73" s="18"/>
      <c r="E73" s="50"/>
    </row>
    <row r="74" spans="2:5" s="4" customFormat="1">
      <c r="B74" s="28"/>
      <c r="C74" s="18"/>
      <c r="E74" s="50"/>
    </row>
    <row r="75" spans="2:5" s="4" customFormat="1">
      <c r="B75" s="28"/>
      <c r="C75" s="18"/>
      <c r="E75" s="50"/>
    </row>
    <row r="76" spans="2:5" s="4" customFormat="1">
      <c r="B76" s="28"/>
      <c r="C76" s="18"/>
      <c r="E76" s="50"/>
    </row>
    <row r="77" spans="2:5" s="4" customFormat="1">
      <c r="B77" s="28"/>
      <c r="C77" s="18"/>
      <c r="E77" s="50"/>
    </row>
    <row r="78" spans="2:5" s="4" customFormat="1">
      <c r="B78" s="85"/>
      <c r="C78" s="18"/>
      <c r="E78" s="50"/>
    </row>
    <row r="79" spans="2:5" s="4" customFormat="1">
      <c r="B79" s="28"/>
      <c r="C79" s="18"/>
      <c r="E79" s="50"/>
    </row>
    <row r="80" spans="2:5" s="4" customFormat="1">
      <c r="B80" s="28"/>
      <c r="C80" s="18"/>
      <c r="E80" s="50"/>
    </row>
    <row r="81" spans="2:5" s="4" customFormat="1">
      <c r="B81" s="28"/>
      <c r="C81" s="18"/>
      <c r="E81" s="50"/>
    </row>
    <row r="82" spans="2:5" s="4" customFormat="1">
      <c r="B82" s="28"/>
      <c r="C82" s="18"/>
      <c r="E82" s="50"/>
    </row>
    <row r="83" spans="2:5" s="4" customFormat="1">
      <c r="B83" s="28"/>
      <c r="C83" s="18"/>
      <c r="E83" s="50"/>
    </row>
    <row r="84" spans="2:5" s="4" customFormat="1">
      <c r="B84" s="85"/>
      <c r="C84" s="18"/>
      <c r="E84" s="50"/>
    </row>
    <row r="85" spans="2:5" s="4" customFormat="1">
      <c r="B85" s="28"/>
      <c r="C85" s="18"/>
      <c r="E85" s="50"/>
    </row>
    <row r="86" spans="2:5" s="4" customFormat="1">
      <c r="B86" s="28"/>
      <c r="C86" s="18"/>
      <c r="E86" s="50"/>
    </row>
    <row r="87" spans="2:5" s="4" customFormat="1">
      <c r="B87" s="28"/>
      <c r="C87" s="18"/>
      <c r="E87" s="50"/>
    </row>
    <row r="88" spans="2:5" s="4" customFormat="1">
      <c r="B88" s="28"/>
      <c r="C88" s="18"/>
      <c r="E88" s="50"/>
    </row>
    <row r="89" spans="2:5" s="4" customFormat="1">
      <c r="B89" s="28"/>
      <c r="C89" s="18"/>
      <c r="E89" s="50"/>
    </row>
    <row r="90" spans="2:5" s="4" customFormat="1">
      <c r="B90" s="85"/>
      <c r="C90" s="18"/>
      <c r="E90" s="50"/>
    </row>
    <row r="91" spans="2:5" s="4" customFormat="1">
      <c r="B91" s="28"/>
      <c r="C91" s="18"/>
      <c r="E91" s="50"/>
    </row>
    <row r="92" spans="2:5" s="4" customFormat="1">
      <c r="B92" s="28"/>
      <c r="C92" s="18"/>
      <c r="E92" s="50"/>
    </row>
    <row r="93" spans="2:5" s="4" customFormat="1">
      <c r="B93" s="28"/>
      <c r="C93" s="18"/>
      <c r="E93" s="50"/>
    </row>
    <row r="94" spans="2:5" s="4" customFormat="1">
      <c r="B94" s="28"/>
      <c r="C94" s="18"/>
      <c r="E94" s="50"/>
    </row>
    <row r="95" spans="2:5" s="4" customFormat="1">
      <c r="B95" s="28"/>
      <c r="C95" s="18"/>
      <c r="E95" s="50"/>
    </row>
    <row r="96" spans="2:5" s="4" customFormat="1">
      <c r="B96" s="85"/>
      <c r="C96" s="18"/>
      <c r="E96" s="50"/>
    </row>
    <row r="97" spans="2:5" s="4" customFormat="1">
      <c r="B97" s="28"/>
      <c r="C97" s="18"/>
      <c r="E97" s="50"/>
    </row>
    <row r="98" spans="2:5" s="4" customFormat="1">
      <c r="B98" s="28"/>
      <c r="C98" s="18"/>
      <c r="E98" s="50"/>
    </row>
    <row r="99" spans="2:5" s="4" customFormat="1">
      <c r="B99" s="28"/>
      <c r="C99" s="18"/>
      <c r="E99" s="50"/>
    </row>
    <row r="100" spans="2:5" s="4" customFormat="1">
      <c r="B100" s="28"/>
      <c r="C100" s="18"/>
      <c r="E100" s="50"/>
    </row>
    <row r="101" spans="2:5" s="4" customFormat="1">
      <c r="B101" s="28"/>
      <c r="C101" s="18"/>
      <c r="E101" s="50"/>
    </row>
    <row r="102" spans="2:5" s="4" customFormat="1">
      <c r="B102" s="85"/>
      <c r="C102" s="18"/>
      <c r="E102" s="50"/>
    </row>
    <row r="103" spans="2:5" s="4" customFormat="1">
      <c r="B103" s="28"/>
      <c r="C103" s="18"/>
      <c r="E103" s="50"/>
    </row>
    <row r="104" spans="2:5" s="4" customFormat="1">
      <c r="B104" s="28"/>
      <c r="C104" s="18"/>
      <c r="E104" s="50"/>
    </row>
    <row r="105" spans="2:5" s="4" customFormat="1">
      <c r="B105" s="28"/>
      <c r="C105" s="18"/>
      <c r="E105" s="50"/>
    </row>
    <row r="106" spans="2:5" s="4" customFormat="1">
      <c r="B106" s="28"/>
      <c r="C106" s="18"/>
      <c r="E106" s="50"/>
    </row>
    <row r="107" spans="2:5" s="4" customFormat="1">
      <c r="B107" s="28"/>
      <c r="C107" s="18"/>
      <c r="E107" s="50"/>
    </row>
    <row r="108" spans="2:5" s="4" customFormat="1">
      <c r="B108" s="85"/>
      <c r="C108" s="18"/>
      <c r="E108" s="50"/>
    </row>
    <row r="109" spans="2:5" s="4" customFormat="1">
      <c r="B109" s="28"/>
      <c r="C109" s="18"/>
      <c r="E109" s="50"/>
    </row>
    <row r="110" spans="2:5" s="4" customFormat="1">
      <c r="B110" s="28"/>
      <c r="C110" s="18"/>
      <c r="E110" s="50"/>
    </row>
    <row r="111" spans="2:5" s="4" customFormat="1">
      <c r="B111" s="28"/>
      <c r="C111" s="18"/>
      <c r="E111" s="50"/>
    </row>
    <row r="112" spans="2:5" s="4" customFormat="1">
      <c r="B112" s="28"/>
      <c r="C112" s="18"/>
      <c r="E112" s="50"/>
    </row>
    <row r="113" spans="2:5" s="4" customFormat="1">
      <c r="B113" s="28"/>
      <c r="C113" s="18"/>
      <c r="E113" s="50"/>
    </row>
    <row r="114" spans="2:5" s="4" customFormat="1">
      <c r="B114" s="85"/>
      <c r="C114" s="18"/>
      <c r="E114" s="50"/>
    </row>
    <row r="115" spans="2:5" s="4" customFormat="1">
      <c r="B115" s="28"/>
      <c r="C115" s="18"/>
      <c r="E115" s="50"/>
    </row>
    <row r="116" spans="2:5" s="4" customFormat="1">
      <c r="B116" s="28"/>
      <c r="C116" s="18"/>
      <c r="E116" s="50"/>
    </row>
    <row r="117" spans="2:5" s="4" customFormat="1">
      <c r="B117" s="28"/>
      <c r="C117" s="18"/>
      <c r="E117" s="50"/>
    </row>
    <row r="118" spans="2:5" s="4" customFormat="1">
      <c r="B118" s="28"/>
      <c r="C118" s="18"/>
      <c r="E118" s="50"/>
    </row>
    <row r="119" spans="2:5" s="4" customFormat="1">
      <c r="B119" s="28"/>
      <c r="C119" s="18"/>
      <c r="E119" s="50"/>
    </row>
    <row r="120" spans="2:5" s="4" customFormat="1">
      <c r="B120" s="85"/>
      <c r="C120" s="18"/>
      <c r="E120" s="50"/>
    </row>
    <row r="121" spans="2:5" s="4" customFormat="1">
      <c r="B121" s="28"/>
      <c r="C121" s="18"/>
      <c r="E121" s="50"/>
    </row>
    <row r="122" spans="2:5" s="4" customFormat="1">
      <c r="B122" s="28"/>
      <c r="C122" s="18"/>
      <c r="E122" s="50"/>
    </row>
    <row r="123" spans="2:5" s="4" customFormat="1">
      <c r="B123" s="28"/>
      <c r="C123" s="18"/>
      <c r="E123" s="50"/>
    </row>
    <row r="124" spans="2:5" s="4" customFormat="1">
      <c r="B124" s="28"/>
      <c r="C124" s="18"/>
      <c r="E124" s="50"/>
    </row>
    <row r="125" spans="2:5" s="4" customFormat="1">
      <c r="B125" s="28"/>
      <c r="C125" s="18"/>
      <c r="E125" s="50"/>
    </row>
    <row r="126" spans="2:5" s="4" customFormat="1">
      <c r="B126" s="85"/>
      <c r="C126" s="18"/>
      <c r="E126" s="50"/>
    </row>
    <row r="127" spans="2:5" s="4" customFormat="1">
      <c r="B127" s="28"/>
      <c r="C127" s="18"/>
      <c r="E127" s="50"/>
    </row>
    <row r="128" spans="2:5" s="4" customFormat="1">
      <c r="B128" s="28"/>
      <c r="C128" s="18"/>
      <c r="E128" s="50"/>
    </row>
    <row r="129" spans="2:5" s="4" customFormat="1">
      <c r="B129" s="28"/>
      <c r="C129" s="18"/>
      <c r="E129" s="50"/>
    </row>
    <row r="130" spans="2:5" s="4" customFormat="1">
      <c r="B130" s="28"/>
      <c r="C130" s="18"/>
      <c r="E130" s="50"/>
    </row>
    <row r="131" spans="2:5" s="4" customFormat="1">
      <c r="B131" s="28"/>
      <c r="C131" s="18"/>
      <c r="E131" s="50"/>
    </row>
    <row r="132" spans="2:5" s="4" customFormat="1">
      <c r="B132" s="85"/>
      <c r="C132" s="18"/>
      <c r="E132" s="50"/>
    </row>
    <row r="133" spans="2:5" s="4" customFormat="1">
      <c r="B133" s="28"/>
      <c r="C133" s="18"/>
      <c r="E133" s="50"/>
    </row>
    <row r="134" spans="2:5" s="4" customFormat="1">
      <c r="B134" s="28"/>
      <c r="C134" s="18"/>
      <c r="E134" s="50"/>
    </row>
    <row r="135" spans="2:5" s="4" customFormat="1">
      <c r="B135" s="28"/>
      <c r="C135" s="18"/>
      <c r="E135" s="50"/>
    </row>
    <row r="136" spans="2:5" s="4" customFormat="1">
      <c r="B136" s="28"/>
      <c r="C136" s="18"/>
      <c r="E136" s="50"/>
    </row>
    <row r="137" spans="2:5" s="4" customFormat="1">
      <c r="B137" s="28"/>
      <c r="C137" s="18"/>
      <c r="E137" s="50"/>
    </row>
    <row r="138" spans="2:5" s="4" customFormat="1">
      <c r="B138" s="85"/>
      <c r="C138" s="18"/>
      <c r="E138" s="50"/>
    </row>
    <row r="139" spans="2:5" s="4" customFormat="1">
      <c r="B139" s="28"/>
      <c r="C139" s="18"/>
      <c r="E139" s="50"/>
    </row>
    <row r="140" spans="2:5" s="4" customFormat="1">
      <c r="B140" s="28"/>
      <c r="C140" s="18"/>
      <c r="E140" s="50"/>
    </row>
    <row r="141" spans="2:5" s="4" customFormat="1">
      <c r="B141" s="28"/>
      <c r="C141" s="18"/>
      <c r="E141" s="50"/>
    </row>
    <row r="142" spans="2:5" s="4" customFormat="1">
      <c r="B142" s="28"/>
      <c r="C142" s="18"/>
      <c r="E142" s="50"/>
    </row>
    <row r="143" spans="2:5" s="4" customFormat="1">
      <c r="B143" s="28"/>
      <c r="C143" s="18"/>
      <c r="E143" s="50"/>
    </row>
    <row r="144" spans="2:5" s="4" customFormat="1">
      <c r="B144" s="85"/>
      <c r="C144" s="18"/>
      <c r="E144" s="50"/>
    </row>
    <row r="145" spans="2:5" s="4" customFormat="1">
      <c r="B145" s="28"/>
      <c r="C145" s="18"/>
      <c r="E145" s="50"/>
    </row>
    <row r="146" spans="2:5" s="4" customFormat="1">
      <c r="B146" s="28"/>
      <c r="C146" s="18"/>
      <c r="E146" s="50"/>
    </row>
    <row r="147" spans="2:5" s="4" customFormat="1">
      <c r="B147" s="28"/>
      <c r="C147" s="18"/>
      <c r="E147" s="50"/>
    </row>
    <row r="148" spans="2:5" s="4" customFormat="1">
      <c r="B148" s="28"/>
      <c r="C148" s="18"/>
      <c r="E148" s="50"/>
    </row>
    <row r="149" spans="2:5" s="4" customFormat="1">
      <c r="B149" s="28"/>
      <c r="C149" s="18"/>
      <c r="E149" s="50"/>
    </row>
    <row r="150" spans="2:5" s="4" customFormat="1">
      <c r="B150" s="85"/>
      <c r="C150" s="18"/>
      <c r="E150" s="50"/>
    </row>
    <row r="151" spans="2:5" s="4" customFormat="1">
      <c r="B151" s="28"/>
      <c r="C151" s="18"/>
      <c r="E151" s="50"/>
    </row>
    <row r="152" spans="2:5" s="4" customFormat="1">
      <c r="B152" s="28"/>
      <c r="C152" s="18"/>
      <c r="E152" s="50"/>
    </row>
    <row r="153" spans="2:5" s="4" customFormat="1">
      <c r="B153" s="28"/>
      <c r="C153" s="18"/>
      <c r="E153" s="50"/>
    </row>
    <row r="154" spans="2:5" s="4" customFormat="1">
      <c r="B154" s="28"/>
      <c r="C154" s="18"/>
      <c r="E154" s="50"/>
    </row>
    <row r="155" spans="2:5" s="4" customFormat="1">
      <c r="B155" s="28"/>
      <c r="C155" s="18"/>
      <c r="E155" s="50"/>
    </row>
    <row r="156" spans="2:5" s="4" customFormat="1">
      <c r="B156" s="85"/>
      <c r="C156" s="18"/>
      <c r="E156" s="50"/>
    </row>
    <row r="157" spans="2:5" s="4" customFormat="1">
      <c r="B157" s="28"/>
      <c r="C157" s="18"/>
      <c r="E157" s="50"/>
    </row>
    <row r="158" spans="2:5" s="4" customFormat="1">
      <c r="B158" s="28"/>
      <c r="C158" s="18"/>
      <c r="E158" s="50"/>
    </row>
    <row r="159" spans="2:5" s="4" customFormat="1">
      <c r="B159" s="28"/>
      <c r="C159" s="18"/>
      <c r="E159" s="50"/>
    </row>
    <row r="160" spans="2:5" s="4" customFormat="1">
      <c r="B160" s="28"/>
      <c r="C160" s="18"/>
      <c r="E160" s="50"/>
    </row>
    <row r="161" spans="2:5" s="4" customFormat="1">
      <c r="B161" s="28"/>
      <c r="C161" s="18"/>
      <c r="E161" s="50"/>
    </row>
    <row r="162" spans="2:5" s="4" customFormat="1">
      <c r="B162" s="85"/>
      <c r="C162" s="18"/>
      <c r="E162" s="50"/>
    </row>
    <row r="163" spans="2:5" s="4" customFormat="1">
      <c r="B163" s="28"/>
      <c r="C163" s="18"/>
      <c r="E163" s="50"/>
    </row>
    <row r="164" spans="2:5" s="4" customFormat="1">
      <c r="B164" s="28"/>
      <c r="C164" s="18"/>
      <c r="E164" s="50"/>
    </row>
    <row r="165" spans="2:5" s="4" customFormat="1">
      <c r="B165" s="28"/>
      <c r="C165" s="18"/>
      <c r="E165" s="50"/>
    </row>
    <row r="166" spans="2:5" s="4" customFormat="1">
      <c r="B166" s="28"/>
      <c r="C166" s="18"/>
      <c r="E166" s="50"/>
    </row>
    <row r="167" spans="2:5" s="4" customFormat="1">
      <c r="B167" s="28"/>
      <c r="C167" s="18"/>
      <c r="E167" s="50"/>
    </row>
    <row r="168" spans="2:5" s="4" customFormat="1">
      <c r="B168" s="28"/>
      <c r="C168" s="18"/>
      <c r="E168" s="50"/>
    </row>
    <row r="169" spans="2:5" s="4" customFormat="1">
      <c r="B169" s="28"/>
      <c r="C169" s="18"/>
      <c r="E169" s="50"/>
    </row>
    <row r="170" spans="2:5" s="4" customFormat="1">
      <c r="B170" s="28"/>
      <c r="C170" s="18"/>
      <c r="E170" s="50"/>
    </row>
    <row r="171" spans="2:5" s="4" customFormat="1">
      <c r="B171" s="28"/>
      <c r="C171" s="18"/>
      <c r="E171" s="50"/>
    </row>
    <row r="172" spans="2:5" s="4" customFormat="1">
      <c r="B172" s="28"/>
      <c r="C172" s="18"/>
      <c r="E172" s="50"/>
    </row>
    <row r="173" spans="2:5" s="4" customFormat="1">
      <c r="B173" s="28"/>
      <c r="C173" s="18"/>
      <c r="E173" s="50"/>
    </row>
    <row r="174" spans="2:5" s="4" customFormat="1">
      <c r="B174" s="28"/>
      <c r="C174" s="18"/>
      <c r="E174" s="50"/>
    </row>
    <row r="175" spans="2:5" s="4" customFormat="1">
      <c r="B175" s="28"/>
      <c r="C175" s="18"/>
      <c r="E175" s="50"/>
    </row>
    <row r="176" spans="2:5" s="4" customFormat="1">
      <c r="B176" s="28"/>
      <c r="C176" s="18"/>
      <c r="E176" s="50"/>
    </row>
    <row r="177" spans="2:5" s="4" customFormat="1">
      <c r="B177" s="28"/>
      <c r="C177" s="18"/>
      <c r="E177" s="50"/>
    </row>
    <row r="178" spans="2:5" s="4" customFormat="1">
      <c r="B178" s="28"/>
      <c r="C178" s="18"/>
      <c r="E178" s="50"/>
    </row>
    <row r="179" spans="2:5" s="4" customFormat="1">
      <c r="B179" s="28"/>
      <c r="C179" s="18"/>
      <c r="E179" s="50"/>
    </row>
    <row r="180" spans="2:5" s="4" customFormat="1">
      <c r="B180" s="28"/>
      <c r="C180" s="18"/>
      <c r="E180" s="50"/>
    </row>
    <row r="181" spans="2:5" s="4" customFormat="1">
      <c r="B181" s="28"/>
      <c r="C181" s="18"/>
      <c r="E181" s="50"/>
    </row>
    <row r="182" spans="2:5" s="4" customFormat="1">
      <c r="B182" s="28"/>
      <c r="C182" s="18"/>
      <c r="E182" s="50"/>
    </row>
    <row r="183" spans="2:5" s="4" customFormat="1">
      <c r="B183" s="28"/>
      <c r="C183" s="18"/>
      <c r="E183" s="50"/>
    </row>
    <row r="184" spans="2:5" s="4" customFormat="1">
      <c r="B184" s="28"/>
      <c r="C184" s="18"/>
      <c r="E184" s="50"/>
    </row>
    <row r="185" spans="2:5" s="4" customFormat="1">
      <c r="B185" s="28"/>
      <c r="C185" s="18"/>
      <c r="E185" s="50"/>
    </row>
    <row r="186" spans="2:5" s="4" customFormat="1">
      <c r="B186" s="28"/>
      <c r="C186" s="18"/>
      <c r="E186" s="50"/>
    </row>
    <row r="187" spans="2:5" s="4" customFormat="1">
      <c r="B187" s="28"/>
      <c r="C187" s="18"/>
      <c r="E187" s="50"/>
    </row>
    <row r="188" spans="2:5" s="4" customFormat="1">
      <c r="B188" s="28"/>
      <c r="C188" s="18"/>
      <c r="E188" s="50"/>
    </row>
    <row r="189" spans="2:5" s="4" customFormat="1">
      <c r="B189" s="28"/>
      <c r="C189" s="18"/>
      <c r="E189" s="50"/>
    </row>
    <row r="190" spans="2:5" s="4" customFormat="1">
      <c r="B190" s="28"/>
      <c r="C190" s="18"/>
      <c r="E190" s="50"/>
    </row>
    <row r="191" spans="2:5" s="4" customFormat="1">
      <c r="B191" s="28"/>
      <c r="C191" s="18"/>
      <c r="E191" s="50"/>
    </row>
    <row r="192" spans="2:5" s="4" customFormat="1">
      <c r="B192" s="28"/>
      <c r="C192" s="18"/>
      <c r="E192" s="50"/>
    </row>
    <row r="193" spans="2:5" s="4" customFormat="1">
      <c r="B193" s="28"/>
      <c r="C193" s="18"/>
      <c r="E193" s="50"/>
    </row>
    <row r="194" spans="2:5" s="4" customFormat="1">
      <c r="B194" s="28"/>
      <c r="C194" s="18"/>
      <c r="E194" s="50"/>
    </row>
    <row r="195" spans="2:5" s="4" customFormat="1">
      <c r="B195" s="28"/>
      <c r="C195" s="18"/>
      <c r="E195" s="50"/>
    </row>
    <row r="196" spans="2:5" s="4" customFormat="1">
      <c r="B196" s="28"/>
      <c r="C196" s="18"/>
      <c r="E196" s="50"/>
    </row>
    <row r="197" spans="2:5" s="4" customFormat="1">
      <c r="B197" s="28"/>
      <c r="C197" s="18"/>
      <c r="E197" s="50"/>
    </row>
    <row r="198" spans="2:5" s="4" customFormat="1">
      <c r="B198" s="28"/>
      <c r="C198" s="18"/>
      <c r="E198" s="50"/>
    </row>
    <row r="199" spans="2:5" s="4" customFormat="1">
      <c r="B199" s="28"/>
      <c r="C199" s="18"/>
      <c r="E199" s="50"/>
    </row>
    <row r="200" spans="2:5" s="4" customFormat="1">
      <c r="B200" s="28"/>
      <c r="C200" s="18"/>
      <c r="E200" s="50"/>
    </row>
    <row r="201" spans="2:5" s="4" customFormat="1">
      <c r="B201" s="28"/>
      <c r="C201" s="18"/>
      <c r="E201" s="50"/>
    </row>
    <row r="202" spans="2:5" s="4" customFormat="1">
      <c r="B202" s="28"/>
      <c r="C202" s="18"/>
      <c r="E202" s="50"/>
    </row>
    <row r="203" spans="2:5" s="4" customFormat="1">
      <c r="B203" s="28"/>
      <c r="C203" s="18"/>
      <c r="E203" s="50"/>
    </row>
    <row r="204" spans="2:5" s="4" customFormat="1">
      <c r="B204" s="28"/>
      <c r="C204" s="18"/>
      <c r="E204" s="50"/>
    </row>
    <row r="205" spans="2:5" s="4" customFormat="1">
      <c r="B205" s="28"/>
      <c r="C205" s="18"/>
      <c r="E205" s="50"/>
    </row>
    <row r="206" spans="2:5" s="4" customFormat="1">
      <c r="B206" s="28"/>
      <c r="C206" s="18"/>
      <c r="E206" s="50"/>
    </row>
    <row r="207" spans="2:5" s="4" customFormat="1">
      <c r="B207" s="28"/>
      <c r="C207" s="18"/>
      <c r="E207" s="50"/>
    </row>
    <row r="208" spans="2:5" s="4" customFormat="1">
      <c r="B208" s="28"/>
      <c r="C208" s="18"/>
      <c r="E208" s="50"/>
    </row>
    <row r="209" spans="2:5" s="4" customFormat="1">
      <c r="B209" s="28"/>
      <c r="C209" s="18"/>
      <c r="E209" s="50"/>
    </row>
    <row r="210" spans="2:5" s="4" customFormat="1">
      <c r="B210" s="28"/>
      <c r="C210" s="18"/>
      <c r="E210" s="50"/>
    </row>
    <row r="211" spans="2:5" s="4" customFormat="1">
      <c r="B211" s="28"/>
      <c r="C211" s="18"/>
      <c r="E211" s="50"/>
    </row>
    <row r="212" spans="2:5" s="4" customFormat="1">
      <c r="B212" s="28"/>
      <c r="C212" s="18"/>
      <c r="E212" s="50"/>
    </row>
    <row r="213" spans="2:5" s="4" customFormat="1">
      <c r="B213" s="28"/>
      <c r="C213" s="18"/>
      <c r="E213" s="50"/>
    </row>
    <row r="214" spans="2:5" s="4" customFormat="1">
      <c r="B214" s="28"/>
      <c r="C214" s="18"/>
      <c r="E214" s="50"/>
    </row>
    <row r="215" spans="2:5" s="4" customFormat="1">
      <c r="B215" s="28"/>
      <c r="C215" s="18"/>
      <c r="E215" s="50"/>
    </row>
    <row r="216" spans="2:5" s="4" customFormat="1">
      <c r="B216" s="28"/>
      <c r="C216" s="18"/>
      <c r="E216" s="50"/>
    </row>
    <row r="217" spans="2:5" s="4" customFormat="1">
      <c r="B217" s="28"/>
      <c r="C217" s="18"/>
      <c r="E217" s="50"/>
    </row>
    <row r="218" spans="2:5" s="4" customFormat="1">
      <c r="B218" s="28"/>
      <c r="C218" s="18"/>
      <c r="E218" s="50"/>
    </row>
    <row r="219" spans="2:5" s="4" customFormat="1">
      <c r="B219" s="28"/>
      <c r="C219" s="18"/>
      <c r="E219" s="50"/>
    </row>
    <row r="220" spans="2:5" s="4" customFormat="1">
      <c r="B220" s="28"/>
      <c r="C220" s="18"/>
      <c r="E220" s="50"/>
    </row>
    <row r="221" spans="2:5" s="4" customFormat="1">
      <c r="B221" s="28"/>
      <c r="C221" s="18"/>
      <c r="E221" s="50"/>
    </row>
    <row r="222" spans="2:5" s="4" customFormat="1">
      <c r="B222" s="28"/>
      <c r="C222" s="18"/>
      <c r="E222" s="50"/>
    </row>
    <row r="223" spans="2:5" s="4" customFormat="1">
      <c r="B223" s="28"/>
      <c r="C223" s="18"/>
      <c r="E223" s="50"/>
    </row>
    <row r="224" spans="2:5" s="4" customFormat="1">
      <c r="B224" s="28"/>
      <c r="C224" s="18"/>
      <c r="E224" s="50"/>
    </row>
    <row r="225" spans="2:5" s="4" customFormat="1">
      <c r="B225" s="28"/>
      <c r="C225" s="18"/>
      <c r="E225" s="50"/>
    </row>
    <row r="226" spans="2:5" s="4" customFormat="1">
      <c r="B226" s="28"/>
      <c r="C226" s="18"/>
      <c r="E226" s="50"/>
    </row>
    <row r="227" spans="2:5" s="4" customFormat="1">
      <c r="B227" s="28"/>
      <c r="C227" s="18"/>
      <c r="E227" s="50"/>
    </row>
    <row r="228" spans="2:5" s="4" customFormat="1">
      <c r="B228" s="28"/>
      <c r="C228" s="18"/>
      <c r="E228" s="50"/>
    </row>
    <row r="229" spans="2:5" s="4" customFormat="1">
      <c r="B229" s="28"/>
      <c r="C229" s="18"/>
      <c r="E229" s="50"/>
    </row>
    <row r="230" spans="2:5" s="4" customFormat="1">
      <c r="B230" s="28"/>
      <c r="C230" s="18"/>
      <c r="E230" s="50"/>
    </row>
    <row r="231" spans="2:5" s="4" customFormat="1">
      <c r="B231" s="28"/>
      <c r="C231" s="18"/>
      <c r="E231" s="50"/>
    </row>
    <row r="232" spans="2:5" s="4" customFormat="1">
      <c r="B232" s="28"/>
      <c r="C232" s="18"/>
      <c r="E232" s="50"/>
    </row>
    <row r="233" spans="2:5" s="4" customFormat="1">
      <c r="B233" s="28"/>
      <c r="C233" s="18"/>
      <c r="E233" s="50"/>
    </row>
    <row r="234" spans="2:5" s="4" customFormat="1">
      <c r="B234" s="28"/>
      <c r="C234" s="18"/>
      <c r="E234" s="50"/>
    </row>
    <row r="235" spans="2:5" s="4" customFormat="1">
      <c r="B235" s="28"/>
      <c r="C235" s="18"/>
      <c r="E235" s="50"/>
    </row>
    <row r="236" spans="2:5" s="4" customFormat="1">
      <c r="B236" s="28"/>
      <c r="C236" s="18"/>
      <c r="E236" s="50"/>
    </row>
    <row r="237" spans="2:5" s="4" customFormat="1">
      <c r="B237" s="28"/>
      <c r="C237" s="18"/>
      <c r="E237" s="50"/>
    </row>
    <row r="238" spans="2:5" s="4" customFormat="1">
      <c r="B238" s="28"/>
      <c r="C238" s="18"/>
      <c r="E238" s="50"/>
    </row>
    <row r="239" spans="2:5" s="4" customFormat="1">
      <c r="B239" s="28"/>
      <c r="C239" s="18"/>
      <c r="E239" s="50"/>
    </row>
    <row r="240" spans="2:5" s="4" customFormat="1">
      <c r="B240" s="28"/>
      <c r="C240" s="18"/>
      <c r="E240" s="50"/>
    </row>
    <row r="241" spans="2:5" s="4" customFormat="1">
      <c r="B241" s="28"/>
      <c r="C241" s="18"/>
      <c r="E241" s="50"/>
    </row>
    <row r="242" spans="2:5" s="4" customFormat="1">
      <c r="B242" s="28"/>
      <c r="C242" s="18"/>
      <c r="E242" s="50"/>
    </row>
    <row r="243" spans="2:5" s="4" customFormat="1">
      <c r="B243" s="28"/>
      <c r="C243" s="18"/>
      <c r="E243" s="50"/>
    </row>
    <row r="244" spans="2:5" s="4" customFormat="1">
      <c r="B244" s="28"/>
      <c r="C244" s="18"/>
      <c r="E244" s="50"/>
    </row>
    <row r="245" spans="2:5" s="4" customFormat="1">
      <c r="B245" s="28"/>
      <c r="C245" s="18"/>
      <c r="E245" s="50"/>
    </row>
    <row r="246" spans="2:5" s="4" customFormat="1">
      <c r="B246" s="28"/>
      <c r="C246" s="18"/>
      <c r="E246" s="50"/>
    </row>
    <row r="247" spans="2:5" s="4" customFormat="1">
      <c r="B247" s="28"/>
      <c r="C247" s="18"/>
      <c r="E247" s="50"/>
    </row>
    <row r="248" spans="2:5" s="4" customFormat="1">
      <c r="B248" s="28"/>
      <c r="C248" s="18"/>
      <c r="E248" s="50"/>
    </row>
    <row r="249" spans="2:5" s="4" customFormat="1">
      <c r="B249" s="28"/>
      <c r="C249" s="18"/>
      <c r="E249" s="50"/>
    </row>
    <row r="250" spans="2:5" s="4" customFormat="1">
      <c r="B250" s="28"/>
      <c r="C250" s="18"/>
      <c r="E250" s="50"/>
    </row>
    <row r="251" spans="2:5" s="4" customFormat="1">
      <c r="B251" s="28"/>
      <c r="C251" s="18"/>
      <c r="E251" s="50"/>
    </row>
    <row r="252" spans="2:5" s="4" customFormat="1">
      <c r="B252" s="28"/>
      <c r="C252" s="18"/>
      <c r="E252" s="50"/>
    </row>
    <row r="253" spans="2:5" s="4" customFormat="1">
      <c r="B253" s="28"/>
      <c r="C253" s="18"/>
      <c r="E253" s="50"/>
    </row>
    <row r="254" spans="2:5" s="4" customFormat="1">
      <c r="B254" s="28"/>
      <c r="C254" s="18"/>
      <c r="E254" s="50"/>
    </row>
    <row r="255" spans="2:5" s="4" customFormat="1">
      <c r="B255" s="28"/>
      <c r="C255" s="18"/>
      <c r="E255" s="50"/>
    </row>
    <row r="256" spans="2:5" s="4" customFormat="1">
      <c r="B256" s="28"/>
      <c r="C256" s="18"/>
      <c r="E256" s="50"/>
    </row>
    <row r="257" spans="2:5" s="4" customFormat="1">
      <c r="B257" s="28"/>
      <c r="C257" s="18"/>
      <c r="E257" s="50"/>
    </row>
    <row r="258" spans="2:5" s="4" customFormat="1">
      <c r="B258" s="28"/>
      <c r="C258" s="18"/>
      <c r="E258" s="50"/>
    </row>
    <row r="259" spans="2:5" s="4" customFormat="1">
      <c r="B259" s="28"/>
      <c r="C259" s="18"/>
      <c r="E259" s="50"/>
    </row>
    <row r="260" spans="2:5" s="4" customFormat="1">
      <c r="B260" s="28"/>
      <c r="C260" s="18"/>
      <c r="E260" s="50"/>
    </row>
    <row r="261" spans="2:5" s="4" customFormat="1">
      <c r="B261" s="28"/>
      <c r="C261" s="18"/>
      <c r="E261" s="50"/>
    </row>
    <row r="262" spans="2:5" s="4" customFormat="1">
      <c r="B262" s="28"/>
      <c r="C262" s="18"/>
      <c r="E262" s="50"/>
    </row>
    <row r="263" spans="2:5" s="4" customFormat="1">
      <c r="B263" s="28"/>
      <c r="C263" s="18"/>
      <c r="E263" s="50"/>
    </row>
    <row r="264" spans="2:5" s="4" customFormat="1">
      <c r="B264" s="28"/>
      <c r="C264" s="18"/>
      <c r="E264" s="50"/>
    </row>
    <row r="265" spans="2:5" s="4" customFormat="1">
      <c r="B265" s="28"/>
      <c r="C265" s="18"/>
      <c r="E265" s="50"/>
    </row>
    <row r="266" spans="2:5" s="4" customFormat="1">
      <c r="B266" s="28"/>
      <c r="C266" s="18"/>
      <c r="E266" s="50"/>
    </row>
    <row r="267" spans="2:5" s="4" customFormat="1">
      <c r="B267" s="28"/>
      <c r="C267" s="18"/>
      <c r="E267" s="50"/>
    </row>
    <row r="268" spans="2:5" s="4" customFormat="1">
      <c r="B268" s="28"/>
      <c r="C268" s="18"/>
      <c r="E268" s="50"/>
    </row>
    <row r="269" spans="2:5" s="4" customFormat="1">
      <c r="B269" s="28"/>
      <c r="C269" s="18"/>
      <c r="E269" s="50"/>
    </row>
    <row r="270" spans="2:5" s="4" customFormat="1">
      <c r="B270" s="28"/>
      <c r="C270" s="18"/>
      <c r="E270" s="50"/>
    </row>
    <row r="271" spans="2:5" s="4" customFormat="1">
      <c r="B271" s="28"/>
      <c r="C271" s="18"/>
      <c r="E271" s="50"/>
    </row>
    <row r="272" spans="2:5" s="4" customFormat="1">
      <c r="B272" s="28"/>
      <c r="C272" s="18"/>
      <c r="E272" s="50"/>
    </row>
    <row r="273" spans="2:5" s="4" customFormat="1">
      <c r="B273" s="28"/>
      <c r="C273" s="18"/>
      <c r="E273" s="50"/>
    </row>
    <row r="274" spans="2:5" s="4" customFormat="1">
      <c r="B274" s="28"/>
      <c r="C274" s="18"/>
      <c r="E274" s="50"/>
    </row>
    <row r="275" spans="2:5" s="4" customFormat="1">
      <c r="B275" s="28"/>
      <c r="C275" s="18"/>
      <c r="E275" s="50"/>
    </row>
    <row r="276" spans="2:5" s="4" customFormat="1">
      <c r="B276" s="28"/>
      <c r="C276" s="18"/>
      <c r="E276" s="50"/>
    </row>
    <row r="277" spans="2:5" s="4" customFormat="1">
      <c r="B277" s="28"/>
      <c r="C277" s="18"/>
      <c r="E277" s="50"/>
    </row>
    <row r="278" spans="2:5" s="4" customFormat="1">
      <c r="B278" s="28"/>
      <c r="C278" s="18"/>
      <c r="E278" s="50"/>
    </row>
    <row r="279" spans="2:5" s="4" customFormat="1">
      <c r="B279" s="28"/>
      <c r="C279" s="18"/>
      <c r="E279" s="50"/>
    </row>
    <row r="280" spans="2:5" s="4" customFormat="1">
      <c r="B280" s="28"/>
      <c r="C280" s="18"/>
      <c r="E280" s="50"/>
    </row>
    <row r="281" spans="2:5" s="4" customFormat="1">
      <c r="B281" s="28"/>
      <c r="C281" s="18"/>
      <c r="E281" s="50"/>
    </row>
    <row r="282" spans="2:5" s="4" customFormat="1">
      <c r="B282" s="28"/>
      <c r="C282" s="18"/>
      <c r="E282" s="50"/>
    </row>
    <row r="283" spans="2:5" s="4" customFormat="1">
      <c r="B283" s="28"/>
      <c r="C283" s="18"/>
      <c r="E283" s="50"/>
    </row>
    <row r="284" spans="2:5" s="4" customFormat="1">
      <c r="B284" s="28"/>
      <c r="C284" s="18"/>
      <c r="E284" s="50"/>
    </row>
    <row r="285" spans="2:5" s="4" customFormat="1">
      <c r="B285" s="28"/>
      <c r="C285" s="18"/>
      <c r="E285" s="50"/>
    </row>
    <row r="286" spans="2:5" s="4" customFormat="1">
      <c r="B286" s="28"/>
      <c r="C286" s="18"/>
      <c r="E286" s="50"/>
    </row>
    <row r="287" spans="2:5" s="4" customFormat="1">
      <c r="B287" s="28"/>
      <c r="C287" s="18"/>
      <c r="E287" s="50"/>
    </row>
    <row r="288" spans="2:5" s="4" customFormat="1">
      <c r="B288" s="28"/>
      <c r="C288" s="18"/>
      <c r="E288" s="50"/>
    </row>
    <row r="289" spans="2:5" s="4" customFormat="1">
      <c r="B289" s="28"/>
      <c r="C289" s="18"/>
      <c r="E289" s="50"/>
    </row>
    <row r="290" spans="2:5" s="4" customFormat="1">
      <c r="B290" s="28"/>
      <c r="C290" s="18"/>
      <c r="E290" s="50"/>
    </row>
    <row r="291" spans="2:5" s="4" customFormat="1">
      <c r="B291" s="28"/>
      <c r="C291" s="18"/>
      <c r="E291" s="50"/>
    </row>
    <row r="292" spans="2:5" s="4" customFormat="1">
      <c r="B292" s="28"/>
      <c r="C292" s="18"/>
      <c r="E292" s="50"/>
    </row>
    <row r="293" spans="2:5" s="4" customFormat="1">
      <c r="B293" s="28"/>
      <c r="C293" s="18"/>
      <c r="E293" s="50"/>
    </row>
    <row r="294" spans="2:5" s="4" customFormat="1">
      <c r="B294" s="28"/>
      <c r="C294" s="18"/>
      <c r="E294" s="50"/>
    </row>
    <row r="295" spans="2:5" s="4" customFormat="1">
      <c r="B295" s="28"/>
      <c r="C295" s="18"/>
      <c r="E295" s="50"/>
    </row>
    <row r="296" spans="2:5" s="4" customFormat="1">
      <c r="B296" s="28"/>
      <c r="C296" s="18"/>
      <c r="E296" s="50"/>
    </row>
    <row r="297" spans="2:5" s="4" customFormat="1">
      <c r="B297" s="28"/>
      <c r="C297" s="18"/>
      <c r="E297" s="50"/>
    </row>
    <row r="298" spans="2:5" s="4" customFormat="1">
      <c r="B298" s="28"/>
      <c r="C298" s="18"/>
      <c r="E298" s="50"/>
    </row>
    <row r="299" spans="2:5" s="4" customFormat="1">
      <c r="B299" s="28"/>
      <c r="C299" s="18"/>
      <c r="E299" s="50"/>
    </row>
    <row r="300" spans="2:5" s="4" customFormat="1">
      <c r="B300" s="28"/>
      <c r="C300" s="18"/>
      <c r="E300" s="50"/>
    </row>
    <row r="301" spans="2:5" s="4" customFormat="1">
      <c r="B301" s="28"/>
      <c r="C301" s="18"/>
      <c r="E301" s="50"/>
    </row>
    <row r="302" spans="2:5" s="4" customFormat="1">
      <c r="B302" s="28"/>
      <c r="C302" s="18"/>
      <c r="E302" s="50"/>
    </row>
    <row r="303" spans="2:5" s="4" customFormat="1">
      <c r="B303" s="28"/>
      <c r="C303" s="18"/>
      <c r="E303" s="50"/>
    </row>
    <row r="304" spans="2:5" s="4" customFormat="1">
      <c r="B304" s="28"/>
      <c r="C304" s="18"/>
      <c r="E304" s="50"/>
    </row>
    <row r="305" spans="2:5" s="4" customFormat="1">
      <c r="B305" s="28"/>
      <c r="C305" s="18"/>
      <c r="E305" s="50"/>
    </row>
    <row r="306" spans="2:5" s="4" customFormat="1">
      <c r="B306" s="28"/>
      <c r="C306" s="18"/>
      <c r="E306" s="50"/>
    </row>
    <row r="307" spans="2:5" s="4" customFormat="1">
      <c r="B307" s="28"/>
      <c r="C307" s="18"/>
      <c r="E307" s="50"/>
    </row>
    <row r="308" spans="2:5" s="4" customFormat="1">
      <c r="B308" s="28"/>
      <c r="C308" s="18"/>
      <c r="E308" s="50"/>
    </row>
    <row r="309" spans="2:5" s="4" customFormat="1">
      <c r="B309" s="28"/>
      <c r="C309" s="18"/>
      <c r="E309" s="50"/>
    </row>
    <row r="310" spans="2:5" s="4" customFormat="1">
      <c r="B310" s="28"/>
      <c r="C310" s="18"/>
      <c r="E310" s="50"/>
    </row>
    <row r="311" spans="2:5" s="4" customFormat="1">
      <c r="B311" s="28"/>
      <c r="C311" s="18"/>
      <c r="E311" s="50"/>
    </row>
    <row r="312" spans="2:5" s="4" customFormat="1">
      <c r="B312" s="28"/>
      <c r="C312" s="18"/>
      <c r="E312" s="50"/>
    </row>
    <row r="313" spans="2:5" s="4" customFormat="1">
      <c r="B313" s="28"/>
      <c r="C313" s="18"/>
      <c r="E313" s="50"/>
    </row>
    <row r="314" spans="2:5" s="4" customFormat="1">
      <c r="B314" s="28"/>
      <c r="C314" s="18"/>
      <c r="E314" s="50"/>
    </row>
    <row r="315" spans="2:5" s="4" customFormat="1">
      <c r="B315" s="28"/>
      <c r="C315" s="18"/>
      <c r="E315" s="50"/>
    </row>
    <row r="316" spans="2:5" s="4" customFormat="1">
      <c r="B316" s="28"/>
      <c r="C316" s="18"/>
      <c r="E316" s="50"/>
    </row>
    <row r="317" spans="2:5" s="4" customFormat="1">
      <c r="B317" s="28"/>
      <c r="C317" s="18"/>
      <c r="E317" s="50"/>
    </row>
    <row r="318" spans="2:5" s="4" customFormat="1">
      <c r="B318" s="28"/>
      <c r="C318" s="18"/>
      <c r="E318" s="50"/>
    </row>
    <row r="319" spans="2:5" s="4" customFormat="1">
      <c r="B319" s="28"/>
      <c r="C319" s="18"/>
      <c r="E319" s="50"/>
    </row>
    <row r="320" spans="2:5" s="4" customFormat="1">
      <c r="B320" s="28"/>
      <c r="C320" s="18"/>
      <c r="E320" s="50"/>
    </row>
    <row r="321" spans="2:5" s="4" customFormat="1">
      <c r="B321" s="28"/>
      <c r="C321" s="18"/>
      <c r="E321" s="50"/>
    </row>
    <row r="322" spans="2:5" s="4" customFormat="1">
      <c r="B322" s="28"/>
      <c r="C322" s="18"/>
      <c r="E322" s="50"/>
    </row>
    <row r="323" spans="2:5" s="4" customFormat="1">
      <c r="B323" s="28"/>
      <c r="C323" s="18"/>
      <c r="E323" s="50"/>
    </row>
    <row r="324" spans="2:5" s="4" customFormat="1">
      <c r="B324" s="28"/>
      <c r="C324" s="18"/>
      <c r="E324" s="50"/>
    </row>
    <row r="325" spans="2:5" s="4" customFormat="1">
      <c r="B325" s="28"/>
      <c r="C325" s="18"/>
      <c r="E325" s="50"/>
    </row>
    <row r="326" spans="2:5" s="4" customFormat="1">
      <c r="B326" s="28"/>
      <c r="C326" s="18"/>
      <c r="E326" s="50"/>
    </row>
    <row r="327" spans="2:5" s="4" customFormat="1">
      <c r="B327" s="28"/>
      <c r="C327" s="18"/>
      <c r="E327" s="50"/>
    </row>
    <row r="328" spans="2:5" s="4" customFormat="1">
      <c r="B328" s="28"/>
      <c r="C328" s="18"/>
      <c r="E328" s="50"/>
    </row>
    <row r="329" spans="2:5" s="4" customFormat="1">
      <c r="B329" s="28"/>
      <c r="C329" s="18"/>
      <c r="E329" s="50"/>
    </row>
    <row r="330" spans="2:5" s="4" customFormat="1">
      <c r="B330" s="28"/>
      <c r="C330" s="18"/>
      <c r="E330" s="50"/>
    </row>
    <row r="331" spans="2:5" s="4" customFormat="1">
      <c r="B331" s="28"/>
      <c r="C331" s="18"/>
      <c r="E331" s="50"/>
    </row>
    <row r="332" spans="2:5" s="4" customFormat="1">
      <c r="B332" s="28"/>
      <c r="C332" s="18"/>
      <c r="E332" s="50"/>
    </row>
    <row r="333" spans="2:5" s="4" customFormat="1">
      <c r="B333" s="28"/>
      <c r="C333" s="18"/>
      <c r="E333" s="50"/>
    </row>
    <row r="334" spans="2:5" s="4" customFormat="1">
      <c r="B334" s="28"/>
      <c r="C334" s="18"/>
      <c r="E334" s="50"/>
    </row>
    <row r="335" spans="2:5" s="4" customFormat="1">
      <c r="B335" s="28"/>
      <c r="C335" s="18"/>
      <c r="E335" s="50"/>
    </row>
    <row r="336" spans="2:5" s="4" customFormat="1">
      <c r="B336" s="28"/>
      <c r="C336" s="18"/>
      <c r="E336" s="50"/>
    </row>
    <row r="337" spans="2:5" s="4" customFormat="1">
      <c r="B337" s="28"/>
      <c r="C337" s="18"/>
      <c r="E337" s="50"/>
    </row>
    <row r="338" spans="2:5" s="4" customFormat="1">
      <c r="B338" s="28"/>
      <c r="C338" s="18"/>
      <c r="E338" s="50"/>
    </row>
    <row r="339" spans="2:5" s="4" customFormat="1">
      <c r="B339" s="28"/>
      <c r="C339" s="18"/>
      <c r="E339" s="50"/>
    </row>
    <row r="340" spans="2:5" s="4" customFormat="1">
      <c r="B340" s="28"/>
      <c r="C340" s="18"/>
      <c r="E340" s="50"/>
    </row>
    <row r="341" spans="2:5" s="4" customFormat="1">
      <c r="B341" s="28"/>
      <c r="C341" s="18"/>
      <c r="E341" s="50"/>
    </row>
    <row r="342" spans="2:5" s="4" customFormat="1">
      <c r="B342" s="28"/>
      <c r="C342" s="18"/>
      <c r="E342" s="50"/>
    </row>
    <row r="343" spans="2:5" s="4" customFormat="1">
      <c r="B343" s="28"/>
      <c r="C343" s="18"/>
      <c r="E343" s="50"/>
    </row>
    <row r="344" spans="2:5" s="4" customFormat="1">
      <c r="B344" s="28"/>
      <c r="C344" s="18"/>
      <c r="E344" s="50"/>
    </row>
    <row r="345" spans="2:5" s="4" customFormat="1">
      <c r="B345" s="28"/>
      <c r="C345" s="18"/>
      <c r="E345" s="50"/>
    </row>
    <row r="346" spans="2:5" s="4" customFormat="1">
      <c r="B346" s="28"/>
      <c r="C346" s="18"/>
      <c r="E346" s="50"/>
    </row>
    <row r="347" spans="2:5" s="4" customFormat="1">
      <c r="B347" s="28"/>
      <c r="C347" s="18"/>
      <c r="E347" s="50"/>
    </row>
    <row r="348" spans="2:5" s="4" customFormat="1">
      <c r="B348" s="28"/>
      <c r="C348" s="18"/>
      <c r="E348" s="50"/>
    </row>
    <row r="349" spans="2:5" s="4" customFormat="1">
      <c r="B349" s="28"/>
      <c r="C349" s="18"/>
      <c r="E349" s="50"/>
    </row>
    <row r="350" spans="2:5" s="4" customFormat="1">
      <c r="B350" s="28"/>
      <c r="C350" s="18"/>
      <c r="E350" s="50"/>
    </row>
    <row r="351" spans="2:5" s="4" customFormat="1">
      <c r="B351" s="28"/>
      <c r="C351" s="18"/>
      <c r="E351" s="50"/>
    </row>
    <row r="352" spans="2:5" s="4" customFormat="1">
      <c r="B352" s="28"/>
      <c r="C352" s="18"/>
      <c r="E352" s="50"/>
    </row>
    <row r="353" spans="2:5" s="4" customFormat="1">
      <c r="B353" s="28"/>
      <c r="C353" s="18"/>
      <c r="E353" s="50"/>
    </row>
    <row r="354" spans="2:5" s="4" customFormat="1">
      <c r="B354" s="28"/>
      <c r="C354" s="18"/>
      <c r="E354" s="50"/>
    </row>
    <row r="355" spans="2:5" s="4" customFormat="1">
      <c r="B355" s="28"/>
      <c r="C355" s="18"/>
      <c r="E355" s="50"/>
    </row>
    <row r="356" spans="2:5" s="4" customFormat="1">
      <c r="B356" s="28"/>
      <c r="C356" s="18"/>
      <c r="E356" s="50"/>
    </row>
    <row r="357" spans="2:5" s="4" customFormat="1">
      <c r="B357" s="28"/>
      <c r="C357" s="18"/>
      <c r="E357" s="50"/>
    </row>
    <row r="358" spans="2:5" s="4" customFormat="1">
      <c r="B358" s="28"/>
      <c r="C358" s="18"/>
      <c r="E358" s="50"/>
    </row>
    <row r="359" spans="2:5" s="4" customFormat="1">
      <c r="B359" s="28"/>
      <c r="C359" s="18"/>
      <c r="E359" s="50"/>
    </row>
    <row r="360" spans="2:5" s="4" customFormat="1">
      <c r="B360" s="28"/>
      <c r="C360" s="18"/>
      <c r="E360" s="50"/>
    </row>
    <row r="361" spans="2:5" s="4" customFormat="1">
      <c r="B361" s="28"/>
      <c r="C361" s="18"/>
      <c r="E361" s="50"/>
    </row>
    <row r="362" spans="2:5" s="4" customFormat="1">
      <c r="B362" s="28"/>
      <c r="C362" s="18"/>
      <c r="E362" s="50"/>
    </row>
    <row r="363" spans="2:5" s="4" customFormat="1">
      <c r="B363" s="28"/>
      <c r="C363" s="18"/>
      <c r="E363" s="50"/>
    </row>
    <row r="364" spans="2:5" s="4" customFormat="1">
      <c r="B364" s="28"/>
      <c r="C364" s="18"/>
      <c r="E364" s="50"/>
    </row>
    <row r="365" spans="2:5" s="4" customFormat="1">
      <c r="B365" s="28"/>
      <c r="C365" s="18"/>
      <c r="E365" s="50"/>
    </row>
    <row r="366" spans="2:5" s="4" customFormat="1">
      <c r="B366" s="28"/>
      <c r="C366" s="18"/>
      <c r="E366" s="50"/>
    </row>
    <row r="367" spans="2:5" s="4" customFormat="1">
      <c r="B367" s="28"/>
      <c r="C367" s="18"/>
      <c r="E367" s="50"/>
    </row>
    <row r="368" spans="2:5" s="4" customFormat="1">
      <c r="B368" s="28"/>
      <c r="C368" s="18"/>
      <c r="E368" s="50"/>
    </row>
    <row r="369" spans="2:5" s="4" customFormat="1">
      <c r="B369" s="28"/>
      <c r="C369" s="18"/>
      <c r="E369" s="50"/>
    </row>
    <row r="370" spans="2:5" s="4" customFormat="1">
      <c r="B370" s="28"/>
      <c r="C370" s="18"/>
      <c r="E370" s="50"/>
    </row>
    <row r="371" spans="2:5" s="4" customFormat="1">
      <c r="B371" s="28"/>
      <c r="C371" s="18"/>
      <c r="E371" s="50"/>
    </row>
    <row r="372" spans="2:5" s="4" customFormat="1">
      <c r="B372" s="28"/>
      <c r="C372" s="18"/>
      <c r="E372" s="50"/>
    </row>
    <row r="373" spans="2:5" s="4" customFormat="1">
      <c r="B373" s="28"/>
      <c r="C373" s="18"/>
      <c r="E373" s="50"/>
    </row>
    <row r="374" spans="2:5" s="4" customFormat="1">
      <c r="B374" s="28"/>
      <c r="C374" s="18"/>
      <c r="E374" s="50"/>
    </row>
    <row r="375" spans="2:5" s="4" customFormat="1">
      <c r="B375" s="28"/>
      <c r="C375" s="18"/>
      <c r="E375" s="50"/>
    </row>
    <row r="376" spans="2:5" s="4" customFormat="1">
      <c r="B376" s="28"/>
      <c r="C376" s="18"/>
      <c r="E376" s="50"/>
    </row>
    <row r="377" spans="2:5" s="4" customFormat="1">
      <c r="B377" s="28"/>
      <c r="C377" s="18"/>
      <c r="E377" s="50"/>
    </row>
    <row r="378" spans="2:5" s="4" customFormat="1">
      <c r="B378" s="28"/>
      <c r="C378" s="18"/>
      <c r="E378" s="50"/>
    </row>
    <row r="379" spans="2:5" s="4" customFormat="1">
      <c r="B379" s="28"/>
      <c r="C379" s="18"/>
      <c r="E379" s="50"/>
    </row>
    <row r="380" spans="2:5" s="4" customFormat="1">
      <c r="B380" s="28"/>
      <c r="C380" s="18"/>
      <c r="E380" s="50"/>
    </row>
    <row r="381" spans="2:5" s="4" customFormat="1">
      <c r="B381" s="28"/>
      <c r="C381" s="18"/>
      <c r="E381" s="50"/>
    </row>
    <row r="382" spans="2:5" s="4" customFormat="1">
      <c r="B382" s="28"/>
      <c r="C382" s="18"/>
      <c r="E382" s="50"/>
    </row>
    <row r="383" spans="2:5" s="4" customFormat="1">
      <c r="B383" s="28"/>
      <c r="C383" s="18"/>
      <c r="E383" s="50"/>
    </row>
    <row r="384" spans="2:5" s="4" customFormat="1">
      <c r="B384" s="28"/>
      <c r="C384" s="18"/>
      <c r="E384" s="50"/>
    </row>
    <row r="385" spans="2:5" s="4" customFormat="1">
      <c r="B385" s="28"/>
      <c r="C385" s="18"/>
      <c r="E385" s="50"/>
    </row>
    <row r="386" spans="2:5" s="4" customFormat="1">
      <c r="B386" s="28"/>
      <c r="C386" s="18"/>
      <c r="E386" s="50"/>
    </row>
    <row r="387" spans="2:5" s="4" customFormat="1">
      <c r="B387" s="28"/>
      <c r="C387" s="18"/>
      <c r="E387" s="50"/>
    </row>
    <row r="388" spans="2:5" s="4" customFormat="1">
      <c r="B388" s="28"/>
      <c r="C388" s="18"/>
      <c r="E388" s="50"/>
    </row>
    <row r="389" spans="2:5" s="4" customFormat="1">
      <c r="B389" s="28"/>
      <c r="C389" s="18"/>
      <c r="E389" s="50"/>
    </row>
    <row r="390" spans="2:5" s="4" customFormat="1">
      <c r="B390" s="28"/>
      <c r="C390" s="18"/>
      <c r="E390" s="50"/>
    </row>
    <row r="391" spans="2:5" s="4" customFormat="1">
      <c r="B391" s="28"/>
      <c r="C391" s="18"/>
      <c r="E391" s="50"/>
    </row>
    <row r="392" spans="2:5" s="4" customFormat="1">
      <c r="B392" s="28"/>
      <c r="C392" s="18"/>
      <c r="E392" s="50"/>
    </row>
    <row r="393" spans="2:5" s="4" customFormat="1">
      <c r="B393" s="28"/>
      <c r="C393" s="18"/>
      <c r="E393" s="50"/>
    </row>
    <row r="394" spans="2:5" s="4" customFormat="1">
      <c r="B394" s="28"/>
      <c r="C394" s="18"/>
      <c r="E394" s="50"/>
    </row>
    <row r="395" spans="2:5" s="4" customFormat="1">
      <c r="B395" s="28"/>
      <c r="C395" s="18"/>
      <c r="E395" s="50"/>
    </row>
    <row r="396" spans="2:5" s="4" customFormat="1">
      <c r="B396" s="28"/>
      <c r="C396" s="18"/>
      <c r="E396" s="50"/>
    </row>
    <row r="397" spans="2:5" s="4" customFormat="1">
      <c r="B397" s="28"/>
      <c r="C397" s="18"/>
      <c r="E397" s="50"/>
    </row>
    <row r="398" spans="2:5" s="4" customFormat="1">
      <c r="B398" s="28"/>
      <c r="C398" s="18"/>
      <c r="E398" s="50"/>
    </row>
    <row r="399" spans="2:5" s="4" customFormat="1">
      <c r="B399" s="28"/>
      <c r="C399" s="18"/>
      <c r="E399" s="50"/>
    </row>
    <row r="400" spans="2:5" s="4" customFormat="1">
      <c r="B400" s="28"/>
      <c r="C400" s="18"/>
      <c r="E400" s="50"/>
    </row>
    <row r="401" spans="2:5" s="4" customFormat="1">
      <c r="B401" s="28"/>
      <c r="C401" s="18"/>
      <c r="E401" s="50"/>
    </row>
    <row r="402" spans="2:5" s="4" customFormat="1">
      <c r="B402" s="28"/>
      <c r="C402" s="18"/>
      <c r="E402" s="50"/>
    </row>
    <row r="403" spans="2:5" s="4" customFormat="1">
      <c r="B403" s="28"/>
      <c r="C403" s="18"/>
      <c r="E403" s="50"/>
    </row>
    <row r="404" spans="2:5" s="4" customFormat="1">
      <c r="B404" s="28"/>
      <c r="C404" s="18"/>
      <c r="E404" s="50"/>
    </row>
    <row r="405" spans="2:5" s="4" customFormat="1">
      <c r="B405" s="28"/>
      <c r="C405" s="18"/>
      <c r="E405" s="50"/>
    </row>
    <row r="406" spans="2:5" s="4" customFormat="1">
      <c r="B406" s="28"/>
      <c r="C406" s="18"/>
      <c r="E406" s="50"/>
    </row>
    <row r="407" spans="2:5" s="4" customFormat="1">
      <c r="B407" s="28"/>
      <c r="C407" s="18"/>
      <c r="E407" s="50"/>
    </row>
    <row r="408" spans="2:5" s="4" customFormat="1">
      <c r="B408" s="28"/>
      <c r="C408" s="18"/>
      <c r="E408" s="50"/>
    </row>
    <row r="409" spans="2:5" s="4" customFormat="1">
      <c r="B409" s="28"/>
      <c r="C409" s="18"/>
      <c r="E409" s="50"/>
    </row>
    <row r="410" spans="2:5" s="4" customFormat="1">
      <c r="B410" s="28"/>
      <c r="C410" s="18"/>
      <c r="E410" s="50"/>
    </row>
    <row r="411" spans="2:5" s="4" customFormat="1">
      <c r="B411" s="28"/>
      <c r="C411" s="18"/>
      <c r="E411" s="50"/>
    </row>
    <row r="412" spans="2:5" s="4" customFormat="1">
      <c r="B412" s="28"/>
      <c r="C412" s="18"/>
      <c r="E412" s="50"/>
    </row>
    <row r="413" spans="2:5" s="4" customFormat="1">
      <c r="B413" s="28"/>
      <c r="C413" s="18"/>
      <c r="E413" s="50"/>
    </row>
    <row r="414" spans="2:5" s="4" customFormat="1">
      <c r="B414" s="28"/>
      <c r="C414" s="18"/>
      <c r="E414" s="50"/>
    </row>
    <row r="415" spans="2:5" s="4" customFormat="1">
      <c r="B415" s="28"/>
      <c r="C415" s="18"/>
      <c r="E415" s="50"/>
    </row>
    <row r="416" spans="2:5" s="4" customFormat="1">
      <c r="B416" s="28"/>
      <c r="C416" s="18"/>
      <c r="E416" s="50"/>
    </row>
    <row r="417" spans="2:5" s="4" customFormat="1">
      <c r="B417" s="28"/>
      <c r="C417" s="18"/>
      <c r="E417" s="50"/>
    </row>
    <row r="418" spans="2:5" s="4" customFormat="1">
      <c r="B418" s="28"/>
      <c r="C418" s="18"/>
      <c r="E418" s="50"/>
    </row>
    <row r="419" spans="2:5" s="4" customFormat="1">
      <c r="B419" s="28"/>
      <c r="C419" s="18"/>
      <c r="E419" s="50"/>
    </row>
    <row r="420" spans="2:5" s="4" customFormat="1">
      <c r="B420" s="28"/>
      <c r="C420" s="18"/>
      <c r="E420" s="50"/>
    </row>
    <row r="421" spans="2:5" s="4" customFormat="1">
      <c r="B421" s="28"/>
      <c r="C421" s="18"/>
      <c r="E421" s="50"/>
    </row>
    <row r="422" spans="2:5" s="4" customFormat="1">
      <c r="B422" s="28"/>
      <c r="C422" s="18"/>
      <c r="E422" s="50"/>
    </row>
    <row r="423" spans="2:5" s="4" customFormat="1">
      <c r="B423" s="28"/>
      <c r="C423" s="18"/>
      <c r="E423" s="50"/>
    </row>
    <row r="424" spans="2:5" s="4" customFormat="1">
      <c r="B424" s="28"/>
      <c r="C424" s="18"/>
      <c r="E424" s="50"/>
    </row>
    <row r="425" spans="2:5" s="4" customFormat="1">
      <c r="B425" s="28"/>
      <c r="C425" s="18"/>
      <c r="E425" s="50"/>
    </row>
    <row r="426" spans="2:5" s="4" customFormat="1">
      <c r="B426" s="28"/>
      <c r="C426" s="18"/>
      <c r="E426" s="50"/>
    </row>
    <row r="427" spans="2:5" s="4" customFormat="1">
      <c r="B427" s="28"/>
      <c r="C427" s="18"/>
      <c r="E427" s="50"/>
    </row>
    <row r="428" spans="2:5" s="4" customFormat="1">
      <c r="B428" s="28"/>
      <c r="C428" s="18"/>
      <c r="E428" s="50"/>
    </row>
    <row r="429" spans="2:5" s="4" customFormat="1">
      <c r="B429" s="28"/>
      <c r="C429" s="18"/>
      <c r="E429" s="50"/>
    </row>
    <row r="430" spans="2:5" s="4" customFormat="1">
      <c r="B430" s="28"/>
      <c r="C430" s="18"/>
      <c r="E430" s="50"/>
    </row>
    <row r="431" spans="2:5" s="4" customFormat="1">
      <c r="B431" s="28"/>
      <c r="C431" s="18"/>
      <c r="E431" s="50"/>
    </row>
    <row r="432" spans="2:5" s="4" customFormat="1">
      <c r="B432" s="28"/>
      <c r="C432" s="18"/>
      <c r="E432" s="50"/>
    </row>
    <row r="433" spans="2:5" s="4" customFormat="1">
      <c r="B433" s="28"/>
      <c r="C433" s="18"/>
      <c r="E433" s="50"/>
    </row>
    <row r="434" spans="2:5" s="4" customFormat="1">
      <c r="B434" s="28"/>
      <c r="C434" s="18"/>
      <c r="E434" s="50"/>
    </row>
    <row r="435" spans="2:5" s="4" customFormat="1">
      <c r="B435" s="28"/>
      <c r="C435" s="18"/>
      <c r="E435" s="50"/>
    </row>
    <row r="436" spans="2:5" s="4" customFormat="1">
      <c r="B436" s="28"/>
      <c r="C436" s="18"/>
      <c r="E436" s="50"/>
    </row>
    <row r="437" spans="2:5" s="4" customFormat="1">
      <c r="B437" s="28"/>
      <c r="C437" s="18"/>
      <c r="E437" s="50"/>
    </row>
    <row r="438" spans="2:5" s="4" customFormat="1">
      <c r="B438" s="28"/>
      <c r="C438" s="18"/>
      <c r="E438" s="50"/>
    </row>
    <row r="439" spans="2:5" s="4" customFormat="1">
      <c r="B439" s="28"/>
      <c r="C439" s="18"/>
      <c r="E439" s="50"/>
    </row>
    <row r="440" spans="2:5" s="4" customFormat="1">
      <c r="B440" s="28"/>
      <c r="C440" s="18"/>
      <c r="E440" s="50"/>
    </row>
    <row r="441" spans="2:5" s="4" customFormat="1">
      <c r="B441" s="28"/>
      <c r="C441" s="18"/>
      <c r="E441" s="50"/>
    </row>
    <row r="442" spans="2:5" s="4" customFormat="1">
      <c r="B442" s="28"/>
      <c r="C442" s="18"/>
      <c r="E442" s="50"/>
    </row>
    <row r="443" spans="2:5" s="4" customFormat="1">
      <c r="B443" s="28"/>
      <c r="C443" s="18"/>
      <c r="E443" s="50"/>
    </row>
    <row r="444" spans="2:5" s="4" customFormat="1">
      <c r="B444" s="28"/>
      <c r="C444" s="18"/>
      <c r="E444" s="50"/>
    </row>
    <row r="445" spans="2:5" s="4" customFormat="1">
      <c r="B445" s="28"/>
      <c r="C445" s="18"/>
      <c r="E445" s="50"/>
    </row>
    <row r="446" spans="2:5" s="4" customFormat="1">
      <c r="B446" s="28"/>
      <c r="C446" s="18"/>
      <c r="E446" s="50"/>
    </row>
    <row r="447" spans="2:5" s="4" customFormat="1">
      <c r="B447" s="28"/>
      <c r="C447" s="18"/>
      <c r="E447" s="50"/>
    </row>
    <row r="448" spans="2:5" s="4" customFormat="1">
      <c r="B448" s="28"/>
      <c r="C448" s="18"/>
      <c r="E448" s="50"/>
    </row>
    <row r="449" spans="2:5" s="4" customFormat="1">
      <c r="B449" s="28"/>
      <c r="C449" s="18"/>
      <c r="E449" s="50"/>
    </row>
    <row r="450" spans="2:5" s="4" customFormat="1">
      <c r="B450" s="28"/>
      <c r="C450" s="18"/>
      <c r="E450" s="50"/>
    </row>
    <row r="451" spans="2:5" s="4" customFormat="1">
      <c r="B451" s="28"/>
      <c r="C451" s="18"/>
      <c r="E451" s="50"/>
    </row>
    <row r="452" spans="2:5" s="4" customFormat="1">
      <c r="B452" s="28"/>
      <c r="C452" s="18"/>
      <c r="E452" s="50"/>
    </row>
    <row r="453" spans="2:5" s="4" customFormat="1">
      <c r="B453" s="28"/>
      <c r="C453" s="18"/>
      <c r="E453" s="50"/>
    </row>
    <row r="454" spans="2:5" s="4" customFormat="1">
      <c r="B454" s="28"/>
      <c r="C454" s="18"/>
      <c r="E454" s="50"/>
    </row>
    <row r="455" spans="2:5" s="4" customFormat="1">
      <c r="B455" s="28"/>
      <c r="C455" s="18"/>
      <c r="E455" s="50"/>
    </row>
    <row r="456" spans="2:5" s="4" customFormat="1">
      <c r="B456" s="28"/>
      <c r="C456" s="18"/>
      <c r="E456" s="50"/>
    </row>
    <row r="457" spans="2:5" s="4" customFormat="1">
      <c r="B457" s="28"/>
      <c r="C457" s="18"/>
      <c r="E457" s="50"/>
    </row>
    <row r="458" spans="2:5" s="4" customFormat="1">
      <c r="B458" s="28"/>
      <c r="C458" s="18"/>
      <c r="E458" s="50"/>
    </row>
    <row r="459" spans="2:5" s="4" customFormat="1">
      <c r="B459" s="28"/>
      <c r="C459" s="18"/>
      <c r="E459" s="50"/>
    </row>
    <row r="460" spans="2:5" s="4" customFormat="1">
      <c r="B460" s="28"/>
      <c r="C460" s="18"/>
      <c r="E460" s="50"/>
    </row>
    <row r="461" spans="2:5" s="4" customFormat="1">
      <c r="B461" s="28"/>
      <c r="C461" s="18"/>
      <c r="E461" s="50"/>
    </row>
    <row r="462" spans="2:5" s="4" customFormat="1">
      <c r="B462" s="28"/>
      <c r="C462" s="18"/>
      <c r="E462" s="50"/>
    </row>
    <row r="463" spans="2:5" s="4" customFormat="1">
      <c r="B463" s="28"/>
      <c r="C463" s="18"/>
      <c r="E463" s="50"/>
    </row>
    <row r="464" spans="2:5" s="4" customFormat="1">
      <c r="B464" s="28"/>
      <c r="C464" s="18"/>
      <c r="E464" s="50"/>
    </row>
    <row r="465" spans="2:5" s="4" customFormat="1">
      <c r="B465" s="28"/>
      <c r="C465" s="18"/>
      <c r="E465" s="50"/>
    </row>
    <row r="466" spans="2:5" s="4" customFormat="1">
      <c r="B466" s="28"/>
      <c r="C466" s="18"/>
      <c r="E466" s="50"/>
    </row>
    <row r="467" spans="2:5" s="4" customFormat="1">
      <c r="B467" s="28"/>
      <c r="C467" s="18"/>
      <c r="E467" s="50"/>
    </row>
    <row r="468" spans="2:5" s="4" customFormat="1">
      <c r="B468" s="28"/>
      <c r="C468" s="18"/>
      <c r="E468" s="50"/>
    </row>
    <row r="469" spans="2:5" s="4" customFormat="1">
      <c r="B469" s="28"/>
      <c r="C469" s="18"/>
      <c r="E469" s="50"/>
    </row>
    <row r="470" spans="2:5" s="4" customFormat="1">
      <c r="B470" s="28"/>
      <c r="C470" s="18"/>
      <c r="E470" s="50"/>
    </row>
    <row r="471" spans="2:5" s="4" customFormat="1">
      <c r="B471" s="28"/>
      <c r="C471" s="18"/>
      <c r="E471" s="50"/>
    </row>
    <row r="472" spans="2:5" s="4" customFormat="1">
      <c r="B472" s="28"/>
      <c r="C472" s="18"/>
      <c r="E472" s="50"/>
    </row>
    <row r="473" spans="2:5" s="4" customFormat="1">
      <c r="B473" s="28"/>
      <c r="C473" s="18"/>
      <c r="E473" s="50"/>
    </row>
    <row r="474" spans="2:5" s="4" customFormat="1">
      <c r="B474" s="28"/>
      <c r="C474" s="18"/>
      <c r="E474" s="50"/>
    </row>
    <row r="475" spans="2:5" s="4" customFormat="1">
      <c r="B475" s="28"/>
      <c r="C475" s="18"/>
      <c r="E475" s="50"/>
    </row>
    <row r="476" spans="2:5" s="4" customFormat="1">
      <c r="B476" s="28"/>
      <c r="C476" s="18"/>
      <c r="E476" s="50"/>
    </row>
    <row r="477" spans="2:5" s="4" customFormat="1">
      <c r="B477" s="28"/>
      <c r="C477" s="18"/>
      <c r="E477" s="50"/>
    </row>
    <row r="478" spans="2:5" s="4" customFormat="1">
      <c r="B478" s="28"/>
      <c r="C478" s="18"/>
      <c r="E478" s="50"/>
    </row>
    <row r="479" spans="2:5" s="4" customFormat="1">
      <c r="B479" s="28"/>
      <c r="C479" s="18"/>
      <c r="E479" s="50"/>
    </row>
    <row r="480" spans="2:5" s="4" customFormat="1">
      <c r="B480" s="28"/>
      <c r="C480" s="18"/>
      <c r="E480" s="50"/>
    </row>
    <row r="481" spans="2:5" s="4" customFormat="1">
      <c r="B481" s="28"/>
      <c r="C481" s="18"/>
      <c r="E481" s="50"/>
    </row>
    <row r="482" spans="2:5" s="4" customFormat="1">
      <c r="B482" s="28"/>
      <c r="C482" s="18"/>
      <c r="E482" s="50"/>
    </row>
    <row r="483" spans="2:5" s="4" customFormat="1">
      <c r="B483" s="28"/>
      <c r="C483" s="18"/>
      <c r="E483" s="50"/>
    </row>
    <row r="484" spans="2:5" s="4" customFormat="1">
      <c r="B484" s="28"/>
      <c r="C484" s="18"/>
      <c r="E484" s="50"/>
    </row>
    <row r="485" spans="2:5" s="4" customFormat="1">
      <c r="B485" s="28"/>
      <c r="C485" s="18"/>
      <c r="E485" s="50"/>
    </row>
    <row r="486" spans="2:5" s="4" customFormat="1">
      <c r="B486" s="28"/>
      <c r="C486" s="18"/>
      <c r="E486" s="50"/>
    </row>
    <row r="487" spans="2:5" s="4" customFormat="1">
      <c r="B487" s="28"/>
      <c r="C487" s="18"/>
      <c r="E487" s="50"/>
    </row>
    <row r="488" spans="2:5" s="4" customFormat="1">
      <c r="B488" s="28"/>
      <c r="C488" s="18"/>
      <c r="E488" s="50"/>
    </row>
    <row r="489" spans="2:5" s="4" customFormat="1">
      <c r="B489" s="28"/>
      <c r="C489" s="18"/>
      <c r="E489" s="50"/>
    </row>
    <row r="490" spans="2:5" s="4" customFormat="1">
      <c r="B490" s="28"/>
      <c r="C490" s="18"/>
      <c r="E490" s="50"/>
    </row>
    <row r="491" spans="2:5" s="4" customFormat="1">
      <c r="B491" s="28"/>
      <c r="C491" s="18"/>
      <c r="E491" s="50"/>
    </row>
    <row r="492" spans="2:5" s="4" customFormat="1">
      <c r="B492" s="28"/>
      <c r="C492" s="18"/>
      <c r="E492" s="50"/>
    </row>
    <row r="493" spans="2:5" s="4" customFormat="1">
      <c r="B493" s="28"/>
      <c r="C493" s="18"/>
      <c r="E493" s="50"/>
    </row>
    <row r="494" spans="2:5" s="4" customFormat="1">
      <c r="B494" s="28"/>
      <c r="C494" s="18"/>
      <c r="E494" s="50"/>
    </row>
    <row r="495" spans="2:5" s="4" customFormat="1">
      <c r="B495" s="28"/>
      <c r="C495" s="18"/>
      <c r="E495" s="50"/>
    </row>
    <row r="496" spans="2:5" s="4" customFormat="1">
      <c r="B496" s="28"/>
      <c r="C496" s="18"/>
      <c r="E496" s="50"/>
    </row>
    <row r="497" spans="2:5" s="4" customFormat="1">
      <c r="B497" s="28"/>
      <c r="C497" s="18"/>
      <c r="E497" s="50"/>
    </row>
    <row r="498" spans="2:5" s="4" customFormat="1">
      <c r="B498" s="28"/>
      <c r="C498" s="18"/>
      <c r="E498" s="50"/>
    </row>
    <row r="499" spans="2:5" s="4" customFormat="1">
      <c r="B499" s="28"/>
      <c r="C499" s="18"/>
      <c r="E499" s="50"/>
    </row>
    <row r="500" spans="2:5" s="4" customFormat="1">
      <c r="B500" s="28"/>
      <c r="C500" s="18"/>
      <c r="E500" s="50"/>
    </row>
    <row r="501" spans="2:5" s="4" customFormat="1">
      <c r="B501" s="28"/>
      <c r="C501" s="18"/>
      <c r="E501" s="50"/>
    </row>
    <row r="502" spans="2:5" s="4" customFormat="1">
      <c r="B502" s="28"/>
      <c r="C502" s="18"/>
      <c r="E502" s="50"/>
    </row>
    <row r="503" spans="2:5" s="4" customFormat="1">
      <c r="B503" s="28"/>
      <c r="C503" s="18"/>
      <c r="E503" s="50"/>
    </row>
    <row r="504" spans="2:5" s="4" customFormat="1">
      <c r="B504" s="28"/>
      <c r="C504" s="18"/>
      <c r="E504" s="50"/>
    </row>
    <row r="505" spans="2:5" s="4" customFormat="1">
      <c r="B505" s="28"/>
      <c r="C505" s="18"/>
      <c r="E505" s="50"/>
    </row>
    <row r="506" spans="2:5" s="4" customFormat="1">
      <c r="B506" s="28"/>
      <c r="C506" s="18"/>
      <c r="E506" s="50"/>
    </row>
    <row r="507" spans="2:5" s="4" customFormat="1">
      <c r="B507" s="28"/>
      <c r="C507" s="18"/>
      <c r="E507" s="50"/>
    </row>
    <row r="508" spans="2:5" s="4" customFormat="1">
      <c r="B508" s="28"/>
      <c r="C508" s="18"/>
      <c r="E508" s="50"/>
    </row>
    <row r="509" spans="2:5" s="4" customFormat="1">
      <c r="B509" s="28"/>
      <c r="C509" s="18"/>
      <c r="E509" s="50"/>
    </row>
    <row r="510" spans="2:5" s="4" customFormat="1">
      <c r="B510" s="28"/>
      <c r="C510" s="18"/>
      <c r="E510" s="50"/>
    </row>
    <row r="511" spans="2:5" s="4" customFormat="1">
      <c r="B511" s="28"/>
      <c r="C511" s="18"/>
      <c r="E511" s="50"/>
    </row>
    <row r="512" spans="2:5" s="4" customFormat="1">
      <c r="B512" s="28"/>
      <c r="C512" s="18"/>
      <c r="E512" s="50"/>
    </row>
    <row r="513" spans="2:5" s="4" customFormat="1">
      <c r="B513" s="28"/>
      <c r="C513" s="18"/>
      <c r="E513" s="50"/>
    </row>
    <row r="514" spans="2:5" s="4" customFormat="1">
      <c r="B514" s="28"/>
      <c r="C514" s="18"/>
      <c r="E514" s="50"/>
    </row>
    <row r="515" spans="2:5" s="4" customFormat="1">
      <c r="B515" s="28"/>
      <c r="C515" s="18"/>
      <c r="E515" s="50"/>
    </row>
    <row r="516" spans="2:5" s="4" customFormat="1">
      <c r="B516" s="28"/>
      <c r="C516" s="18"/>
      <c r="E516" s="50"/>
    </row>
    <row r="517" spans="2:5" s="4" customFormat="1">
      <c r="B517" s="28"/>
      <c r="C517" s="18"/>
      <c r="E517" s="50"/>
    </row>
    <row r="518" spans="2:5" s="4" customFormat="1">
      <c r="B518" s="28"/>
      <c r="C518" s="18"/>
      <c r="E518" s="50"/>
    </row>
    <row r="519" spans="2:5" s="4" customFormat="1">
      <c r="B519" s="28"/>
      <c r="C519" s="18"/>
      <c r="E519" s="50"/>
    </row>
    <row r="520" spans="2:5" s="4" customFormat="1">
      <c r="B520" s="28"/>
      <c r="C520" s="18"/>
      <c r="E520" s="50"/>
    </row>
    <row r="521" spans="2:5" s="4" customFormat="1">
      <c r="B521" s="28"/>
      <c r="C521" s="18"/>
      <c r="E521" s="50"/>
    </row>
    <row r="522" spans="2:5" s="4" customFormat="1">
      <c r="B522" s="28"/>
      <c r="C522" s="18"/>
      <c r="E522" s="50"/>
    </row>
    <row r="523" spans="2:5" s="4" customFormat="1">
      <c r="B523" s="28"/>
      <c r="C523" s="18"/>
      <c r="E523" s="50"/>
    </row>
    <row r="524" spans="2:5" s="4" customFormat="1">
      <c r="B524" s="28"/>
      <c r="C524" s="18"/>
      <c r="E524" s="50"/>
    </row>
    <row r="525" spans="2:5" s="4" customFormat="1">
      <c r="B525" s="28"/>
      <c r="C525" s="18"/>
      <c r="E525" s="50"/>
    </row>
    <row r="526" spans="2:5" s="4" customFormat="1">
      <c r="B526" s="28"/>
      <c r="C526" s="18"/>
      <c r="E526" s="50"/>
    </row>
    <row r="527" spans="2:5" s="4" customFormat="1">
      <c r="B527" s="28"/>
      <c r="C527" s="18"/>
      <c r="E527" s="50"/>
    </row>
    <row r="528" spans="2:5" s="4" customFormat="1">
      <c r="B528" s="28"/>
      <c r="C528" s="18"/>
      <c r="E528" s="50"/>
    </row>
    <row r="529" spans="2:5" s="4" customFormat="1">
      <c r="B529" s="28"/>
      <c r="C529" s="18"/>
      <c r="E529" s="50"/>
    </row>
    <row r="530" spans="2:5" s="4" customFormat="1">
      <c r="B530" s="28"/>
      <c r="C530" s="18"/>
      <c r="E530" s="50"/>
    </row>
    <row r="531" spans="2:5" s="4" customFormat="1">
      <c r="B531" s="28"/>
      <c r="C531" s="18"/>
      <c r="E531" s="50"/>
    </row>
    <row r="532" spans="2:5" s="4" customFormat="1">
      <c r="B532" s="28"/>
      <c r="C532" s="18"/>
      <c r="E532" s="50"/>
    </row>
    <row r="533" spans="2:5" s="4" customFormat="1">
      <c r="B533" s="28"/>
      <c r="C533" s="18"/>
      <c r="E533" s="50"/>
    </row>
    <row r="534" spans="2:5" s="4" customFormat="1">
      <c r="B534" s="28"/>
      <c r="C534" s="18"/>
      <c r="E534" s="50"/>
    </row>
    <row r="535" spans="2:5" s="4" customFormat="1">
      <c r="B535" s="28"/>
      <c r="C535" s="18"/>
      <c r="E535" s="50"/>
    </row>
    <row r="536" spans="2:5" s="4" customFormat="1">
      <c r="B536" s="28"/>
      <c r="C536" s="18"/>
      <c r="E536" s="50"/>
    </row>
    <row r="537" spans="2:5" s="4" customFormat="1">
      <c r="B537" s="28"/>
      <c r="C537" s="18"/>
      <c r="E537" s="50"/>
    </row>
    <row r="538" spans="2:5" s="4" customFormat="1">
      <c r="B538" s="28"/>
      <c r="C538" s="18"/>
      <c r="E538" s="50"/>
    </row>
    <row r="539" spans="2:5" s="4" customFormat="1">
      <c r="B539" s="28"/>
      <c r="C539" s="18"/>
      <c r="E539" s="50"/>
    </row>
    <row r="540" spans="2:5" s="4" customFormat="1">
      <c r="B540" s="28"/>
      <c r="C540" s="18"/>
      <c r="E540" s="50"/>
    </row>
    <row r="541" spans="2:5" s="4" customFormat="1">
      <c r="B541" s="28"/>
      <c r="C541" s="18"/>
      <c r="E541" s="50"/>
    </row>
    <row r="542" spans="2:5" s="4" customFormat="1">
      <c r="B542" s="28"/>
      <c r="C542" s="18"/>
      <c r="E542" s="50"/>
    </row>
    <row r="543" spans="2:5" s="4" customFormat="1">
      <c r="B543" s="28"/>
      <c r="C543" s="18"/>
      <c r="E543" s="50"/>
    </row>
    <row r="544" spans="2:5" s="4" customFormat="1">
      <c r="B544" s="28"/>
      <c r="C544" s="18"/>
      <c r="E544" s="50"/>
    </row>
    <row r="545" spans="2:5" s="4" customFormat="1">
      <c r="B545" s="28"/>
      <c r="C545" s="18"/>
      <c r="E545" s="50"/>
    </row>
    <row r="546" spans="2:5" s="4" customFormat="1">
      <c r="B546" s="28"/>
      <c r="C546" s="18"/>
      <c r="E546" s="50"/>
    </row>
    <row r="547" spans="2:5" s="4" customFormat="1">
      <c r="B547" s="28"/>
      <c r="C547" s="18"/>
      <c r="E547" s="50"/>
    </row>
    <row r="548" spans="2:5" s="4" customFormat="1">
      <c r="B548" s="28"/>
      <c r="C548" s="18"/>
      <c r="E548" s="50"/>
    </row>
    <row r="549" spans="2:5" s="4" customFormat="1">
      <c r="B549" s="28"/>
      <c r="C549" s="18"/>
      <c r="E549" s="50"/>
    </row>
    <row r="550" spans="2:5" s="4" customFormat="1">
      <c r="B550" s="28"/>
      <c r="C550" s="18"/>
      <c r="E550" s="50"/>
    </row>
    <row r="551" spans="2:5" s="4" customFormat="1">
      <c r="B551" s="28"/>
      <c r="C551" s="18"/>
      <c r="E551" s="50"/>
    </row>
    <row r="552" spans="2:5" s="4" customFormat="1">
      <c r="B552" s="28"/>
      <c r="C552" s="18"/>
      <c r="E552" s="50"/>
    </row>
    <row r="553" spans="2:5" s="4" customFormat="1">
      <c r="B553" s="28"/>
      <c r="C553" s="18"/>
      <c r="E553" s="50"/>
    </row>
    <row r="554" spans="2:5" s="4" customFormat="1">
      <c r="B554" s="28"/>
      <c r="C554" s="18"/>
      <c r="E554" s="50"/>
    </row>
    <row r="555" spans="2:5" s="4" customFormat="1">
      <c r="B555" s="28"/>
      <c r="C555" s="18"/>
      <c r="E555" s="50"/>
    </row>
    <row r="556" spans="2:5" s="4" customFormat="1">
      <c r="B556" s="28"/>
      <c r="C556" s="18"/>
      <c r="E556" s="50"/>
    </row>
    <row r="557" spans="2:5" s="4" customFormat="1">
      <c r="B557" s="28"/>
      <c r="C557" s="18"/>
      <c r="E557" s="50"/>
    </row>
    <row r="558" spans="2:5" s="4" customFormat="1">
      <c r="B558" s="28"/>
      <c r="C558" s="18"/>
      <c r="E558" s="50"/>
    </row>
    <row r="559" spans="2:5" s="4" customFormat="1">
      <c r="B559" s="28"/>
      <c r="C559" s="18"/>
      <c r="E559" s="50"/>
    </row>
    <row r="560" spans="2:5" s="4" customFormat="1">
      <c r="B560" s="28"/>
      <c r="C560" s="18"/>
      <c r="E560" s="50"/>
    </row>
    <row r="561" spans="2:5" s="4" customFormat="1">
      <c r="B561" s="28"/>
      <c r="C561" s="18"/>
      <c r="E561" s="50"/>
    </row>
    <row r="562" spans="2:5" s="4" customFormat="1">
      <c r="B562" s="28"/>
      <c r="C562" s="18"/>
      <c r="E562" s="50"/>
    </row>
    <row r="563" spans="2:5" s="4" customFormat="1">
      <c r="B563" s="28"/>
      <c r="C563" s="18"/>
      <c r="E563" s="50"/>
    </row>
    <row r="564" spans="2:5" s="4" customFormat="1">
      <c r="B564" s="28"/>
      <c r="C564" s="18"/>
      <c r="E564" s="50"/>
    </row>
    <row r="565" spans="2:5" s="4" customFormat="1">
      <c r="B565" s="28"/>
      <c r="C565" s="18"/>
      <c r="E565" s="50"/>
    </row>
    <row r="566" spans="2:5" s="4" customFormat="1">
      <c r="B566" s="28"/>
      <c r="C566" s="18"/>
      <c r="E566" s="50"/>
    </row>
    <row r="567" spans="2:5" s="4" customFormat="1">
      <c r="B567" s="28"/>
      <c r="C567" s="18"/>
      <c r="E567" s="50"/>
    </row>
    <row r="568" spans="2:5" s="4" customFormat="1">
      <c r="B568" s="28"/>
      <c r="C568" s="18"/>
      <c r="E568" s="50"/>
    </row>
    <row r="569" spans="2:5" s="4" customFormat="1">
      <c r="B569" s="28"/>
      <c r="C569" s="18"/>
      <c r="E569" s="50"/>
    </row>
    <row r="570" spans="2:5" s="4" customFormat="1">
      <c r="B570" s="28"/>
      <c r="C570" s="18"/>
      <c r="E570" s="50"/>
    </row>
    <row r="571" spans="2:5" s="4" customFormat="1">
      <c r="B571" s="28"/>
      <c r="C571" s="18"/>
      <c r="E571" s="50"/>
    </row>
    <row r="572" spans="2:5" s="4" customFormat="1">
      <c r="B572" s="28"/>
      <c r="C572" s="18"/>
      <c r="E572" s="50"/>
    </row>
    <row r="573" spans="2:5" s="4" customFormat="1">
      <c r="B573" s="28"/>
      <c r="C573" s="18"/>
      <c r="E573" s="50"/>
    </row>
    <row r="574" spans="2:5" s="4" customFormat="1">
      <c r="B574" s="28"/>
      <c r="C574" s="18"/>
      <c r="E574" s="50"/>
    </row>
    <row r="575" spans="2:5" s="4" customFormat="1">
      <c r="B575" s="28"/>
      <c r="C575" s="18"/>
      <c r="E575" s="50"/>
    </row>
    <row r="576" spans="2:5" s="4" customFormat="1">
      <c r="B576" s="28"/>
      <c r="C576" s="18"/>
      <c r="E576" s="50"/>
    </row>
    <row r="577" spans="2:5" s="4" customFormat="1">
      <c r="B577" s="28"/>
      <c r="C577" s="18"/>
      <c r="E577" s="50"/>
    </row>
    <row r="578" spans="2:5" s="4" customFormat="1">
      <c r="B578" s="28"/>
      <c r="C578" s="18"/>
      <c r="E578" s="50"/>
    </row>
    <row r="579" spans="2:5" s="4" customFormat="1">
      <c r="B579" s="28"/>
      <c r="C579" s="18"/>
      <c r="E579" s="50"/>
    </row>
    <row r="580" spans="2:5" s="4" customFormat="1">
      <c r="B580" s="28"/>
      <c r="C580" s="18"/>
      <c r="E580" s="50"/>
    </row>
    <row r="581" spans="2:5" s="4" customFormat="1">
      <c r="B581" s="28"/>
      <c r="C581" s="18"/>
      <c r="E581" s="50"/>
    </row>
    <row r="582" spans="2:5" s="4" customFormat="1">
      <c r="B582" s="28"/>
      <c r="C582" s="18"/>
      <c r="E582" s="50"/>
    </row>
    <row r="583" spans="2:5" s="4" customFormat="1">
      <c r="B583" s="28"/>
      <c r="C583" s="18"/>
      <c r="E583" s="50"/>
    </row>
    <row r="584" spans="2:5" s="4" customFormat="1">
      <c r="B584" s="28"/>
      <c r="C584" s="18"/>
      <c r="E584" s="50"/>
    </row>
    <row r="585" spans="2:5" s="4" customFormat="1">
      <c r="B585" s="28"/>
      <c r="C585" s="18"/>
      <c r="E585" s="50"/>
    </row>
    <row r="586" spans="2:5" s="4" customFormat="1">
      <c r="B586" s="28"/>
      <c r="C586" s="18"/>
      <c r="E586" s="50"/>
    </row>
    <row r="587" spans="2:5" s="4" customFormat="1">
      <c r="B587" s="28"/>
      <c r="C587" s="18"/>
      <c r="E587" s="50"/>
    </row>
    <row r="588" spans="2:5" s="4" customFormat="1">
      <c r="B588" s="28"/>
      <c r="C588" s="18"/>
      <c r="E588" s="50"/>
    </row>
    <row r="589" spans="2:5" s="4" customFormat="1">
      <c r="B589" s="28"/>
      <c r="C589" s="18"/>
      <c r="E589" s="50"/>
    </row>
    <row r="590" spans="2:5" s="4" customFormat="1">
      <c r="B590" s="28"/>
      <c r="C590" s="18"/>
      <c r="E590" s="50"/>
    </row>
    <row r="591" spans="2:5" s="4" customFormat="1">
      <c r="B591" s="28"/>
      <c r="C591" s="18"/>
      <c r="E591" s="50"/>
    </row>
    <row r="592" spans="2:5" s="4" customFormat="1">
      <c r="B592" s="28"/>
      <c r="C592" s="18"/>
      <c r="E592" s="50"/>
    </row>
    <row r="593" spans="2:5" s="4" customFormat="1">
      <c r="B593" s="28"/>
      <c r="C593" s="18"/>
      <c r="E593" s="50"/>
    </row>
    <row r="594" spans="2:5" s="4" customFormat="1">
      <c r="B594" s="28"/>
      <c r="C594" s="18"/>
      <c r="E594" s="50"/>
    </row>
    <row r="595" spans="2:5" s="4" customFormat="1">
      <c r="B595" s="28"/>
      <c r="C595" s="18"/>
      <c r="E595" s="50"/>
    </row>
    <row r="596" spans="2:5" s="4" customFormat="1">
      <c r="B596" s="28"/>
      <c r="C596" s="18"/>
      <c r="E596" s="50"/>
    </row>
    <row r="597" spans="2:5" s="4" customFormat="1">
      <c r="B597" s="28"/>
      <c r="C597" s="18"/>
      <c r="E597" s="50"/>
    </row>
    <row r="598" spans="2:5" s="4" customFormat="1">
      <c r="B598" s="28"/>
      <c r="C598" s="18"/>
      <c r="E598" s="50"/>
    </row>
    <row r="599" spans="2:5" s="4" customFormat="1">
      <c r="B599" s="28"/>
      <c r="C599" s="18"/>
      <c r="E599" s="50"/>
    </row>
    <row r="600" spans="2:5" s="4" customFormat="1">
      <c r="B600" s="28"/>
      <c r="C600" s="18"/>
      <c r="E600" s="50"/>
    </row>
    <row r="601" spans="2:5" s="4" customFormat="1">
      <c r="B601" s="28"/>
      <c r="C601" s="18"/>
      <c r="E601" s="50"/>
    </row>
    <row r="602" spans="2:5" s="4" customFormat="1">
      <c r="B602" s="28"/>
      <c r="C602" s="18"/>
      <c r="E602" s="50"/>
    </row>
    <row r="603" spans="2:5" s="4" customFormat="1">
      <c r="B603" s="28"/>
      <c r="C603" s="18"/>
      <c r="E603" s="50"/>
    </row>
    <row r="604" spans="2:5" s="4" customFormat="1">
      <c r="B604" s="28"/>
      <c r="C604" s="18"/>
      <c r="E604" s="50"/>
    </row>
    <row r="605" spans="2:5" s="4" customFormat="1">
      <c r="B605" s="28"/>
      <c r="C605" s="18"/>
      <c r="E605" s="50"/>
    </row>
    <row r="606" spans="2:5" s="4" customFormat="1">
      <c r="B606" s="28"/>
      <c r="C606" s="18"/>
      <c r="E606" s="50"/>
    </row>
    <row r="607" spans="2:5" s="4" customFormat="1">
      <c r="B607" s="28"/>
      <c r="C607" s="18"/>
      <c r="E607" s="50"/>
    </row>
    <row r="608" spans="2:5" s="4" customFormat="1">
      <c r="B608" s="28"/>
      <c r="C608" s="18"/>
      <c r="E608" s="50"/>
    </row>
    <row r="609" spans="2:5" s="4" customFormat="1">
      <c r="B609" s="28"/>
      <c r="C609" s="18"/>
      <c r="E609" s="50"/>
    </row>
    <row r="610" spans="2:5" s="4" customFormat="1">
      <c r="B610" s="28"/>
      <c r="C610" s="18"/>
      <c r="E610" s="50"/>
    </row>
    <row r="611" spans="2:5" s="4" customFormat="1">
      <c r="B611" s="28"/>
      <c r="C611" s="18"/>
      <c r="E611" s="50"/>
    </row>
    <row r="612" spans="2:5" s="4" customFormat="1">
      <c r="B612" s="28"/>
      <c r="C612" s="18"/>
      <c r="E612" s="50"/>
    </row>
    <row r="613" spans="2:5" s="4" customFormat="1">
      <c r="B613" s="28"/>
      <c r="C613" s="18"/>
      <c r="E613" s="50"/>
    </row>
    <row r="614" spans="2:5" s="4" customFormat="1">
      <c r="B614" s="28"/>
      <c r="C614" s="18"/>
      <c r="E614" s="50"/>
    </row>
    <row r="615" spans="2:5" s="4" customFormat="1">
      <c r="B615" s="28"/>
      <c r="C615" s="18"/>
      <c r="E615" s="50"/>
    </row>
    <row r="616" spans="2:5" s="4" customFormat="1">
      <c r="B616" s="28"/>
      <c r="C616" s="18"/>
      <c r="E616" s="50"/>
    </row>
    <row r="617" spans="2:5" s="4" customFormat="1">
      <c r="B617" s="28"/>
      <c r="C617" s="18"/>
      <c r="E617" s="50"/>
    </row>
    <row r="618" spans="2:5" s="4" customFormat="1">
      <c r="B618" s="28"/>
      <c r="C618" s="18"/>
      <c r="E618" s="50"/>
    </row>
    <row r="619" spans="2:5" s="4" customFormat="1">
      <c r="B619" s="28"/>
      <c r="C619" s="18"/>
      <c r="E619" s="50"/>
    </row>
    <row r="620" spans="2:5" s="4" customFormat="1">
      <c r="B620" s="28"/>
      <c r="C620" s="18"/>
      <c r="E620" s="50"/>
    </row>
    <row r="621" spans="2:5" s="4" customFormat="1">
      <c r="B621" s="28"/>
      <c r="C621" s="18"/>
      <c r="E621" s="50"/>
    </row>
    <row r="622" spans="2:5" s="4" customFormat="1">
      <c r="B622" s="28"/>
      <c r="C622" s="18"/>
      <c r="E622" s="50"/>
    </row>
    <row r="623" spans="2:5" s="4" customFormat="1">
      <c r="B623" s="28"/>
      <c r="C623" s="18"/>
      <c r="E623" s="50"/>
    </row>
    <row r="624" spans="2:5" s="4" customFormat="1">
      <c r="B624" s="28"/>
      <c r="C624" s="18"/>
      <c r="E624" s="50"/>
    </row>
    <row r="625" spans="2:5" s="4" customFormat="1">
      <c r="B625" s="28"/>
      <c r="C625" s="18"/>
      <c r="E625" s="50"/>
    </row>
    <row r="626" spans="2:5" s="4" customFormat="1">
      <c r="B626" s="28"/>
      <c r="C626" s="18"/>
      <c r="E626" s="50"/>
    </row>
    <row r="627" spans="2:5" s="4" customFormat="1">
      <c r="B627" s="28"/>
      <c r="C627" s="18"/>
      <c r="E627" s="50"/>
    </row>
    <row r="628" spans="2:5" s="4" customFormat="1">
      <c r="B628" s="28"/>
      <c r="C628" s="18"/>
      <c r="E628" s="50"/>
    </row>
    <row r="629" spans="2:5" s="4" customFormat="1">
      <c r="B629" s="28"/>
      <c r="C629" s="18"/>
      <c r="E629" s="50"/>
    </row>
    <row r="630" spans="2:5" s="4" customFormat="1">
      <c r="B630" s="28"/>
      <c r="C630" s="18"/>
      <c r="E630" s="50"/>
    </row>
    <row r="631" spans="2:5" s="4" customFormat="1">
      <c r="B631" s="28"/>
      <c r="C631" s="18"/>
      <c r="E631" s="50"/>
    </row>
    <row r="632" spans="2:5" s="4" customFormat="1">
      <c r="B632" s="28"/>
      <c r="C632" s="18"/>
      <c r="E632" s="50"/>
    </row>
    <row r="633" spans="2:5" s="4" customFormat="1">
      <c r="B633" s="28"/>
      <c r="C633" s="18"/>
      <c r="E633" s="50"/>
    </row>
    <row r="634" spans="2:5" s="4" customFormat="1">
      <c r="B634" s="28"/>
      <c r="C634" s="18"/>
      <c r="E634" s="50"/>
    </row>
    <row r="635" spans="2:5" s="4" customFormat="1">
      <c r="B635" s="28"/>
      <c r="C635" s="18"/>
      <c r="E635" s="50"/>
    </row>
    <row r="636" spans="2:5" s="4" customFormat="1">
      <c r="B636" s="28"/>
      <c r="C636" s="18"/>
      <c r="E636" s="50"/>
    </row>
    <row r="637" spans="2:5" s="4" customFormat="1">
      <c r="B637" s="28"/>
      <c r="C637" s="18"/>
      <c r="E637" s="50"/>
    </row>
    <row r="638" spans="2:5" s="4" customFormat="1">
      <c r="B638" s="28"/>
      <c r="C638" s="18"/>
      <c r="E638" s="50"/>
    </row>
    <row r="639" spans="2:5" s="4" customFormat="1">
      <c r="B639" s="28"/>
      <c r="C639" s="18"/>
      <c r="E639" s="50"/>
    </row>
    <row r="640" spans="2:5" s="4" customFormat="1">
      <c r="B640" s="28"/>
      <c r="C640" s="18"/>
      <c r="E640" s="50"/>
    </row>
    <row r="641" spans="2:5" s="4" customFormat="1">
      <c r="B641" s="28"/>
      <c r="C641" s="18"/>
      <c r="E641" s="50"/>
    </row>
    <row r="642" spans="2:5" s="4" customFormat="1">
      <c r="B642" s="28"/>
      <c r="C642" s="18"/>
      <c r="E642" s="50"/>
    </row>
    <row r="643" spans="2:5" s="4" customFormat="1">
      <c r="B643" s="28"/>
      <c r="C643" s="18"/>
      <c r="E643" s="50"/>
    </row>
    <row r="644" spans="2:5" s="4" customFormat="1">
      <c r="B644" s="28"/>
      <c r="C644" s="18"/>
      <c r="E644" s="50"/>
    </row>
    <row r="645" spans="2:5" s="4" customFormat="1">
      <c r="B645" s="28"/>
      <c r="C645" s="18"/>
      <c r="E645" s="50"/>
    </row>
    <row r="646" spans="2:5" s="4" customFormat="1">
      <c r="B646" s="28"/>
      <c r="C646" s="18"/>
      <c r="E646" s="50"/>
    </row>
    <row r="647" spans="2:5" s="4" customFormat="1">
      <c r="B647" s="28"/>
      <c r="C647" s="18"/>
      <c r="E647" s="50"/>
    </row>
    <row r="648" spans="2:5" s="4" customFormat="1">
      <c r="B648" s="28"/>
      <c r="C648" s="18"/>
      <c r="E648" s="50"/>
    </row>
    <row r="649" spans="2:5" s="4" customFormat="1">
      <c r="B649" s="28"/>
      <c r="C649" s="18"/>
      <c r="E649" s="50"/>
    </row>
    <row r="650" spans="2:5" s="4" customFormat="1">
      <c r="B650" s="28"/>
      <c r="C650" s="18"/>
      <c r="E650" s="50"/>
    </row>
    <row r="651" spans="2:5" s="4" customFormat="1">
      <c r="B651" s="28"/>
      <c r="C651" s="18"/>
      <c r="E651" s="50"/>
    </row>
    <row r="652" spans="2:5" s="4" customFormat="1">
      <c r="B652" s="28"/>
      <c r="C652" s="18"/>
      <c r="E652" s="50"/>
    </row>
    <row r="653" spans="2:5" s="4" customFormat="1">
      <c r="B653" s="28"/>
      <c r="C653" s="18"/>
      <c r="E653" s="50"/>
    </row>
    <row r="654" spans="2:5" s="4" customFormat="1">
      <c r="B654" s="28"/>
      <c r="C654" s="18"/>
      <c r="E654" s="50"/>
    </row>
    <row r="655" spans="2:5" s="4" customFormat="1">
      <c r="B655" s="28"/>
      <c r="C655" s="18"/>
      <c r="E655" s="50"/>
    </row>
    <row r="656" spans="2:5" s="4" customFormat="1">
      <c r="B656" s="28"/>
      <c r="C656" s="18"/>
      <c r="E656" s="50"/>
    </row>
    <row r="657" spans="2:5" s="4" customFormat="1">
      <c r="B657" s="28"/>
      <c r="C657" s="18"/>
      <c r="E657" s="50"/>
    </row>
    <row r="658" spans="2:5" s="4" customFormat="1">
      <c r="B658" s="28"/>
      <c r="C658" s="18"/>
      <c r="E658" s="50"/>
    </row>
    <row r="659" spans="2:5" s="4" customFormat="1">
      <c r="B659" s="28"/>
      <c r="C659" s="18"/>
      <c r="E659" s="50"/>
    </row>
    <row r="660" spans="2:5" s="4" customFormat="1">
      <c r="B660" s="28"/>
      <c r="C660" s="18"/>
      <c r="E660" s="50"/>
    </row>
    <row r="661" spans="2:5" s="4" customFormat="1">
      <c r="B661" s="28"/>
      <c r="C661" s="18"/>
      <c r="E661" s="50"/>
    </row>
    <row r="662" spans="2:5" s="4" customFormat="1">
      <c r="B662" s="28"/>
      <c r="C662" s="18"/>
      <c r="E662" s="50"/>
    </row>
    <row r="663" spans="2:5" s="4" customFormat="1">
      <c r="B663" s="28"/>
      <c r="C663" s="18"/>
      <c r="E663" s="50"/>
    </row>
    <row r="664" spans="2:5" s="4" customFormat="1">
      <c r="B664" s="28"/>
      <c r="C664" s="18"/>
      <c r="E664" s="50"/>
    </row>
    <row r="665" spans="2:5" s="4" customFormat="1">
      <c r="B665" s="28"/>
      <c r="C665" s="18"/>
      <c r="E665" s="50"/>
    </row>
    <row r="666" spans="2:5" s="4" customFormat="1">
      <c r="B666" s="28"/>
      <c r="C666" s="18"/>
      <c r="E666" s="50"/>
    </row>
    <row r="667" spans="2:5" s="4" customFormat="1">
      <c r="B667" s="28"/>
      <c r="C667" s="18"/>
      <c r="E667" s="50"/>
    </row>
    <row r="668" spans="2:5" s="4" customFormat="1">
      <c r="B668" s="28"/>
      <c r="C668" s="18"/>
      <c r="E668" s="50"/>
    </row>
    <row r="669" spans="2:5" s="4" customFormat="1">
      <c r="B669" s="28"/>
      <c r="C669" s="18"/>
      <c r="E669" s="50"/>
    </row>
    <row r="670" spans="2:5" s="4" customFormat="1">
      <c r="B670" s="28"/>
      <c r="C670" s="18"/>
      <c r="E670" s="50"/>
    </row>
    <row r="671" spans="2:5" s="4" customFormat="1">
      <c r="B671" s="28"/>
      <c r="C671" s="18"/>
      <c r="E671" s="50"/>
    </row>
    <row r="672" spans="2:5" s="4" customFormat="1">
      <c r="B672" s="28"/>
      <c r="C672" s="18"/>
      <c r="E672" s="50"/>
    </row>
    <row r="673" spans="2:5" s="4" customFormat="1">
      <c r="B673" s="28"/>
      <c r="C673" s="18"/>
      <c r="E673" s="50"/>
    </row>
    <row r="674" spans="2:5" s="4" customFormat="1">
      <c r="B674" s="28"/>
      <c r="C674" s="18"/>
      <c r="E674" s="50"/>
    </row>
    <row r="675" spans="2:5" s="4" customFormat="1">
      <c r="B675" s="28"/>
      <c r="C675" s="18"/>
      <c r="E675" s="50"/>
    </row>
    <row r="676" spans="2:5" s="4" customFormat="1">
      <c r="B676" s="28"/>
      <c r="C676" s="18"/>
      <c r="E676" s="50"/>
    </row>
    <row r="677" spans="2:5" s="4" customFormat="1">
      <c r="B677" s="28"/>
      <c r="C677" s="18"/>
      <c r="E677" s="50"/>
    </row>
    <row r="678" spans="2:5" s="4" customFormat="1">
      <c r="B678" s="28"/>
      <c r="C678" s="18"/>
      <c r="E678" s="50"/>
    </row>
    <row r="679" spans="2:5" s="4" customFormat="1">
      <c r="B679" s="28"/>
      <c r="C679" s="18"/>
      <c r="E679" s="50"/>
    </row>
    <row r="680" spans="2:5" s="4" customFormat="1">
      <c r="B680" s="28"/>
      <c r="C680" s="18"/>
      <c r="E680" s="50"/>
    </row>
    <row r="681" spans="2:5" s="4" customFormat="1">
      <c r="B681" s="28"/>
      <c r="C681" s="18"/>
      <c r="E681" s="50"/>
    </row>
    <row r="682" spans="2:5" s="4" customFormat="1">
      <c r="B682" s="28"/>
      <c r="C682" s="18"/>
      <c r="E682" s="50"/>
    </row>
    <row r="683" spans="2:5" s="4" customFormat="1">
      <c r="B683" s="28"/>
      <c r="C683" s="18"/>
      <c r="E683" s="50"/>
    </row>
    <row r="684" spans="2:5" s="4" customFormat="1">
      <c r="B684" s="28"/>
      <c r="C684" s="18"/>
      <c r="E684" s="50"/>
    </row>
    <row r="685" spans="2:5" s="4" customFormat="1">
      <c r="B685" s="28"/>
      <c r="C685" s="18"/>
      <c r="E685" s="50"/>
    </row>
    <row r="686" spans="2:5" s="4" customFormat="1">
      <c r="B686" s="28"/>
      <c r="C686" s="18"/>
      <c r="E686" s="50"/>
    </row>
    <row r="687" spans="2:5" s="4" customFormat="1">
      <c r="B687" s="28"/>
      <c r="C687" s="18"/>
      <c r="E687" s="50"/>
    </row>
    <row r="688" spans="2:5" s="4" customFormat="1">
      <c r="B688" s="28"/>
      <c r="C688" s="18"/>
      <c r="E688" s="50"/>
    </row>
    <row r="689" spans="2:5" s="4" customFormat="1">
      <c r="B689" s="28"/>
      <c r="C689" s="18"/>
      <c r="E689" s="50"/>
    </row>
    <row r="690" spans="2:5" s="4" customFormat="1">
      <c r="B690" s="28"/>
      <c r="C690" s="18"/>
      <c r="E690" s="50"/>
    </row>
    <row r="691" spans="2:5" s="4" customFormat="1">
      <c r="B691" s="28"/>
      <c r="C691" s="18"/>
      <c r="E691" s="50"/>
    </row>
    <row r="692" spans="2:5" s="4" customFormat="1">
      <c r="B692" s="28"/>
      <c r="C692" s="18"/>
      <c r="E692" s="50"/>
    </row>
    <row r="693" spans="2:5" s="4" customFormat="1">
      <c r="B693" s="28"/>
      <c r="C693" s="18"/>
      <c r="E693" s="50"/>
    </row>
    <row r="694" spans="2:5" s="4" customFormat="1">
      <c r="B694" s="28"/>
      <c r="C694" s="18"/>
      <c r="E694" s="50"/>
    </row>
    <row r="695" spans="2:5" s="4" customFormat="1">
      <c r="B695" s="28"/>
      <c r="C695" s="18"/>
      <c r="E695" s="50"/>
    </row>
    <row r="696" spans="2:5" s="4" customFormat="1">
      <c r="B696" s="28"/>
      <c r="C696" s="18"/>
      <c r="E696" s="50"/>
    </row>
    <row r="697" spans="2:5" s="4" customFormat="1">
      <c r="B697" s="28"/>
      <c r="C697" s="18"/>
      <c r="E697" s="50"/>
    </row>
    <row r="698" spans="2:5" s="4" customFormat="1">
      <c r="B698" s="28"/>
      <c r="C698" s="18"/>
      <c r="E698" s="50"/>
    </row>
    <row r="699" spans="2:5" s="4" customFormat="1">
      <c r="B699" s="28"/>
      <c r="C699" s="18"/>
      <c r="E699" s="50"/>
    </row>
    <row r="700" spans="2:5" s="4" customFormat="1">
      <c r="B700" s="28"/>
      <c r="C700" s="18"/>
      <c r="E700" s="50"/>
    </row>
    <row r="701" spans="2:5" s="4" customFormat="1">
      <c r="B701" s="28"/>
      <c r="C701" s="18"/>
      <c r="E701" s="50"/>
    </row>
    <row r="702" spans="2:5" s="4" customFormat="1">
      <c r="B702" s="28"/>
      <c r="C702" s="18"/>
      <c r="E702" s="50"/>
    </row>
    <row r="703" spans="2:5" s="4" customFormat="1">
      <c r="B703" s="28"/>
      <c r="C703" s="18"/>
      <c r="E703" s="50"/>
    </row>
    <row r="704" spans="2:5" s="4" customFormat="1">
      <c r="B704" s="28"/>
      <c r="C704" s="18"/>
      <c r="E704" s="50"/>
    </row>
    <row r="705" spans="2:5" s="4" customFormat="1">
      <c r="B705" s="28"/>
      <c r="C705" s="18"/>
      <c r="E705" s="50"/>
    </row>
    <row r="706" spans="2:5" s="4" customFormat="1">
      <c r="B706" s="28"/>
      <c r="C706" s="18"/>
      <c r="E706" s="50"/>
    </row>
    <row r="707" spans="2:5" s="4" customFormat="1">
      <c r="B707" s="28"/>
      <c r="C707" s="18"/>
      <c r="E707" s="50"/>
    </row>
    <row r="708" spans="2:5" s="4" customFormat="1">
      <c r="B708" s="28"/>
      <c r="C708" s="18"/>
      <c r="E708" s="50"/>
    </row>
    <row r="709" spans="2:5" s="4" customFormat="1">
      <c r="B709" s="28"/>
      <c r="C709" s="18"/>
      <c r="E709" s="50"/>
    </row>
    <row r="710" spans="2:5" s="4" customFormat="1">
      <c r="B710" s="28"/>
      <c r="C710" s="18"/>
      <c r="E710" s="50"/>
    </row>
    <row r="711" spans="2:5" s="4" customFormat="1">
      <c r="B711" s="28"/>
      <c r="C711" s="18"/>
      <c r="E711" s="50"/>
    </row>
    <row r="712" spans="2:5" s="4" customFormat="1">
      <c r="B712" s="28"/>
      <c r="C712" s="18"/>
      <c r="E712" s="50"/>
    </row>
    <row r="713" spans="2:5" s="4" customFormat="1">
      <c r="B713" s="28"/>
      <c r="C713" s="18"/>
      <c r="E713" s="50"/>
    </row>
    <row r="714" spans="2:5" s="4" customFormat="1">
      <c r="B714" s="28"/>
      <c r="C714" s="18"/>
      <c r="E714" s="50"/>
    </row>
    <row r="715" spans="2:5" s="4" customFormat="1">
      <c r="B715" s="28"/>
      <c r="C715" s="18"/>
      <c r="E715" s="50"/>
    </row>
    <row r="716" spans="2:5" s="4" customFormat="1">
      <c r="B716" s="28"/>
      <c r="C716" s="18"/>
      <c r="E716" s="50"/>
    </row>
    <row r="717" spans="2:5" s="4" customFormat="1">
      <c r="B717" s="28"/>
      <c r="C717" s="18"/>
      <c r="E717" s="50"/>
    </row>
    <row r="718" spans="2:5" s="4" customFormat="1">
      <c r="B718" s="28"/>
      <c r="C718" s="18"/>
      <c r="E718" s="50"/>
    </row>
    <row r="719" spans="2:5" s="4" customFormat="1">
      <c r="B719" s="28"/>
      <c r="C719" s="18"/>
      <c r="E719" s="50"/>
    </row>
    <row r="720" spans="2:5" s="4" customFormat="1">
      <c r="B720" s="28"/>
      <c r="C720" s="18"/>
      <c r="E720" s="50"/>
    </row>
    <row r="721" spans="2:5" s="4" customFormat="1">
      <c r="B721" s="28"/>
      <c r="C721" s="18"/>
      <c r="E721" s="50"/>
    </row>
    <row r="722" spans="2:5" s="4" customFormat="1">
      <c r="B722" s="28"/>
      <c r="C722" s="18"/>
      <c r="E722" s="50"/>
    </row>
    <row r="723" spans="2:5" s="4" customFormat="1">
      <c r="B723" s="28"/>
      <c r="C723" s="18"/>
      <c r="E723" s="50"/>
    </row>
    <row r="724" spans="2:5" s="4" customFormat="1">
      <c r="B724" s="28"/>
      <c r="C724" s="18"/>
      <c r="E724" s="50"/>
    </row>
    <row r="725" spans="2:5" s="4" customFormat="1">
      <c r="B725" s="28"/>
      <c r="C725" s="18"/>
      <c r="E725" s="50"/>
    </row>
    <row r="726" spans="2:5" s="4" customFormat="1">
      <c r="B726" s="28"/>
      <c r="C726" s="18"/>
      <c r="E726" s="50"/>
    </row>
    <row r="727" spans="2:5" s="4" customFormat="1">
      <c r="B727" s="28"/>
      <c r="C727" s="18"/>
      <c r="E727" s="50"/>
    </row>
    <row r="728" spans="2:5" s="4" customFormat="1">
      <c r="B728" s="28"/>
      <c r="C728" s="18"/>
      <c r="E728" s="50"/>
    </row>
    <row r="729" spans="2:5" s="4" customFormat="1">
      <c r="B729" s="28"/>
      <c r="C729" s="18"/>
      <c r="E729" s="50"/>
    </row>
    <row r="730" spans="2:5" s="4" customFormat="1">
      <c r="B730" s="28"/>
      <c r="C730" s="18"/>
      <c r="E730" s="50"/>
    </row>
    <row r="731" spans="2:5" s="4" customFormat="1">
      <c r="B731" s="28"/>
      <c r="C731" s="18"/>
      <c r="E731" s="50"/>
    </row>
    <row r="732" spans="2:5" s="4" customFormat="1">
      <c r="B732" s="28"/>
      <c r="C732" s="18"/>
      <c r="E732" s="50"/>
    </row>
    <row r="733" spans="2:5" s="4" customFormat="1">
      <c r="B733" s="28"/>
      <c r="C733" s="18"/>
      <c r="E733" s="50"/>
    </row>
    <row r="734" spans="2:5" s="4" customFormat="1">
      <c r="B734" s="28"/>
      <c r="C734" s="18"/>
      <c r="E734" s="50"/>
    </row>
    <row r="735" spans="2:5" s="4" customFormat="1">
      <c r="B735" s="28"/>
      <c r="C735" s="18"/>
      <c r="E735" s="50"/>
    </row>
    <row r="736" spans="2:5" s="4" customFormat="1">
      <c r="B736" s="28"/>
      <c r="C736" s="18"/>
      <c r="E736" s="50"/>
    </row>
    <row r="737" spans="2:5" s="4" customFormat="1">
      <c r="B737" s="28"/>
      <c r="C737" s="18"/>
      <c r="E737" s="50"/>
    </row>
    <row r="738" spans="2:5" s="4" customFormat="1">
      <c r="B738" s="28"/>
      <c r="C738" s="18"/>
      <c r="E738" s="50"/>
    </row>
    <row r="739" spans="2:5" s="4" customFormat="1">
      <c r="B739" s="28"/>
      <c r="C739" s="18"/>
      <c r="E739" s="50"/>
    </row>
    <row r="740" spans="2:5" s="4" customFormat="1">
      <c r="B740" s="28"/>
      <c r="C740" s="18"/>
      <c r="E740" s="50"/>
    </row>
    <row r="741" spans="2:5" s="4" customFormat="1">
      <c r="B741" s="28"/>
      <c r="C741" s="18"/>
      <c r="E741" s="50"/>
    </row>
    <row r="742" spans="2:5" s="4" customFormat="1">
      <c r="B742" s="28"/>
      <c r="C742" s="18"/>
      <c r="E742" s="50"/>
    </row>
    <row r="743" spans="2:5" s="4" customFormat="1">
      <c r="B743" s="28"/>
      <c r="C743" s="18"/>
      <c r="E743" s="50"/>
    </row>
    <row r="744" spans="2:5" s="4" customFormat="1">
      <c r="B744" s="28"/>
      <c r="C744" s="18"/>
      <c r="E744" s="50"/>
    </row>
    <row r="745" spans="2:5" s="4" customFormat="1">
      <c r="B745" s="28"/>
      <c r="C745" s="18"/>
      <c r="E745" s="50"/>
    </row>
    <row r="746" spans="2:5" s="4" customFormat="1">
      <c r="B746" s="28"/>
      <c r="C746" s="18"/>
      <c r="E746" s="50"/>
    </row>
    <row r="747" spans="2:5" s="4" customFormat="1">
      <c r="B747" s="28"/>
      <c r="C747" s="18"/>
      <c r="E747" s="50"/>
    </row>
    <row r="748" spans="2:5" s="4" customFormat="1">
      <c r="B748" s="28"/>
      <c r="C748" s="18"/>
      <c r="E748" s="50"/>
    </row>
    <row r="749" spans="2:5" s="4" customFormat="1">
      <c r="B749" s="28"/>
      <c r="C749" s="18"/>
      <c r="E749" s="50"/>
    </row>
    <row r="750" spans="2:5" s="4" customFormat="1">
      <c r="B750" s="28"/>
      <c r="C750" s="18"/>
      <c r="E750" s="50"/>
    </row>
    <row r="751" spans="2:5" s="4" customFormat="1">
      <c r="B751" s="28"/>
      <c r="C751" s="18"/>
      <c r="E751" s="50"/>
    </row>
    <row r="752" spans="2:5" s="4" customFormat="1">
      <c r="B752" s="28"/>
      <c r="C752" s="18"/>
      <c r="E752" s="50"/>
    </row>
    <row r="753" spans="2:5" s="4" customFormat="1">
      <c r="B753" s="28"/>
      <c r="C753" s="18"/>
      <c r="E753" s="50"/>
    </row>
    <row r="754" spans="2:5" s="4" customFormat="1">
      <c r="B754" s="28"/>
      <c r="C754" s="18"/>
      <c r="E754" s="50"/>
    </row>
    <row r="755" spans="2:5" s="4" customFormat="1">
      <c r="B755" s="28"/>
      <c r="C755" s="18"/>
      <c r="E755" s="50"/>
    </row>
    <row r="756" spans="2:5" s="4" customFormat="1">
      <c r="B756" s="28"/>
      <c r="C756" s="18"/>
      <c r="E756" s="50"/>
    </row>
    <row r="757" spans="2:5" s="4" customFormat="1">
      <c r="B757" s="28"/>
      <c r="C757" s="18"/>
      <c r="E757" s="50"/>
    </row>
    <row r="758" spans="2:5" s="4" customFormat="1">
      <c r="B758" s="28"/>
      <c r="C758" s="18"/>
      <c r="E758" s="50"/>
    </row>
    <row r="759" spans="2:5" s="4" customFormat="1">
      <c r="B759" s="28"/>
      <c r="C759" s="18"/>
      <c r="E759" s="50"/>
    </row>
    <row r="760" spans="2:5" s="4" customFormat="1">
      <c r="B760" s="28"/>
      <c r="C760" s="18"/>
      <c r="E760" s="50"/>
    </row>
    <row r="761" spans="2:5" s="4" customFormat="1">
      <c r="B761" s="28"/>
      <c r="C761" s="18"/>
      <c r="E761" s="50"/>
    </row>
    <row r="762" spans="2:5" s="4" customFormat="1">
      <c r="B762" s="28"/>
      <c r="C762" s="18"/>
      <c r="E762" s="50"/>
    </row>
    <row r="763" spans="2:5" s="4" customFormat="1">
      <c r="B763" s="28"/>
      <c r="C763" s="18"/>
      <c r="E763" s="50"/>
    </row>
    <row r="764" spans="2:5" s="4" customFormat="1">
      <c r="B764" s="28"/>
      <c r="C764" s="18"/>
      <c r="E764" s="50"/>
    </row>
    <row r="765" spans="2:5" s="4" customFormat="1">
      <c r="B765" s="28"/>
      <c r="C765" s="18"/>
      <c r="E765" s="50"/>
    </row>
    <row r="766" spans="2:5" s="4" customFormat="1">
      <c r="B766" s="28"/>
      <c r="C766" s="18"/>
      <c r="E766" s="50"/>
    </row>
    <row r="767" spans="2:5" s="4" customFormat="1">
      <c r="B767" s="28"/>
      <c r="C767" s="18"/>
      <c r="E767" s="50"/>
    </row>
    <row r="768" spans="2:5" s="4" customFormat="1">
      <c r="B768" s="28"/>
      <c r="C768" s="18"/>
      <c r="E768" s="50"/>
    </row>
    <row r="769" spans="2:5" s="4" customFormat="1">
      <c r="B769" s="28"/>
      <c r="C769" s="18"/>
      <c r="E769" s="50"/>
    </row>
    <row r="770" spans="2:5" s="4" customFormat="1">
      <c r="B770" s="28"/>
      <c r="C770" s="18"/>
      <c r="E770" s="50"/>
    </row>
    <row r="771" spans="2:5" s="4" customFormat="1">
      <c r="B771" s="28"/>
      <c r="C771" s="18"/>
      <c r="E771" s="50"/>
    </row>
    <row r="772" spans="2:5" s="4" customFormat="1">
      <c r="B772" s="28"/>
      <c r="C772" s="18"/>
      <c r="E772" s="50"/>
    </row>
    <row r="773" spans="2:5" s="4" customFormat="1">
      <c r="B773" s="28"/>
      <c r="C773" s="18"/>
      <c r="E773" s="50"/>
    </row>
    <row r="774" spans="2:5" s="4" customFormat="1">
      <c r="B774" s="28"/>
      <c r="C774" s="18"/>
      <c r="E774" s="50"/>
    </row>
    <row r="775" spans="2:5" s="4" customFormat="1">
      <c r="B775" s="28"/>
      <c r="C775" s="18"/>
      <c r="E775" s="50"/>
    </row>
    <row r="776" spans="2:5" s="4" customFormat="1">
      <c r="B776" s="28"/>
      <c r="C776" s="18"/>
      <c r="E776" s="50"/>
    </row>
    <row r="777" spans="2:5" s="4" customFormat="1">
      <c r="B777" s="28"/>
      <c r="C777" s="18"/>
      <c r="E777" s="50"/>
    </row>
    <row r="778" spans="2:5" s="4" customFormat="1">
      <c r="B778" s="28"/>
      <c r="C778" s="18"/>
      <c r="E778" s="50"/>
    </row>
    <row r="779" spans="2:5" s="4" customFormat="1">
      <c r="B779" s="28"/>
      <c r="C779" s="18"/>
      <c r="E779" s="50"/>
    </row>
    <row r="780" spans="2:5" s="4" customFormat="1">
      <c r="B780" s="28"/>
      <c r="C780" s="18"/>
      <c r="E780" s="50"/>
    </row>
    <row r="781" spans="2:5" s="4" customFormat="1">
      <c r="B781" s="28"/>
      <c r="C781" s="18"/>
      <c r="E781" s="50"/>
    </row>
    <row r="782" spans="2:5" s="4" customFormat="1">
      <c r="B782" s="28"/>
      <c r="C782" s="18"/>
      <c r="E782" s="50"/>
    </row>
    <row r="783" spans="2:5" s="4" customFormat="1">
      <c r="B783" s="28"/>
      <c r="C783" s="18"/>
      <c r="E783" s="50"/>
    </row>
    <row r="784" spans="2:5" s="4" customFormat="1">
      <c r="B784" s="28"/>
      <c r="C784" s="18"/>
      <c r="E784" s="50"/>
    </row>
    <row r="785" spans="2:5" s="4" customFormat="1">
      <c r="B785" s="28"/>
      <c r="C785" s="18"/>
      <c r="E785" s="50"/>
    </row>
    <row r="786" spans="2:5" s="4" customFormat="1">
      <c r="B786" s="28"/>
      <c r="C786" s="18"/>
      <c r="E786" s="50"/>
    </row>
    <row r="787" spans="2:5" s="4" customFormat="1">
      <c r="B787" s="28"/>
      <c r="C787" s="18"/>
      <c r="E787" s="50"/>
    </row>
    <row r="788" spans="2:5" s="4" customFormat="1">
      <c r="B788" s="28"/>
      <c r="C788" s="18"/>
      <c r="E788" s="50"/>
    </row>
    <row r="789" spans="2:5" s="4" customFormat="1">
      <c r="B789" s="28"/>
      <c r="C789" s="18"/>
      <c r="E789" s="50"/>
    </row>
    <row r="790" spans="2:5" s="4" customFormat="1">
      <c r="B790" s="28"/>
      <c r="C790" s="18"/>
      <c r="E790" s="50"/>
    </row>
    <row r="791" spans="2:5" s="4" customFormat="1">
      <c r="B791" s="28"/>
      <c r="C791" s="18"/>
      <c r="E791" s="50"/>
    </row>
    <row r="792" spans="2:5" s="4" customFormat="1">
      <c r="B792" s="28"/>
      <c r="C792" s="18"/>
      <c r="E792" s="50"/>
    </row>
    <row r="793" spans="2:5" s="4" customFormat="1">
      <c r="B793" s="28"/>
      <c r="C793" s="18"/>
      <c r="E793" s="50"/>
    </row>
    <row r="794" spans="2:5" s="4" customFormat="1">
      <c r="B794" s="28"/>
      <c r="C794" s="18"/>
      <c r="E794" s="50"/>
    </row>
    <row r="795" spans="2:5" s="4" customFormat="1">
      <c r="B795" s="28"/>
      <c r="C795" s="18"/>
      <c r="E795" s="50"/>
    </row>
    <row r="796" spans="2:5" s="4" customFormat="1">
      <c r="B796" s="28"/>
      <c r="C796" s="18"/>
      <c r="E796" s="50"/>
    </row>
    <row r="797" spans="2:5" s="4" customFormat="1">
      <c r="B797" s="28"/>
      <c r="C797" s="18"/>
      <c r="E797" s="50"/>
    </row>
    <row r="798" spans="2:5" s="4" customFormat="1">
      <c r="B798" s="28"/>
      <c r="C798" s="18"/>
      <c r="E798" s="50"/>
    </row>
    <row r="799" spans="2:5" s="4" customFormat="1">
      <c r="B799" s="28"/>
      <c r="C799" s="18"/>
      <c r="E799" s="50"/>
    </row>
    <row r="800" spans="2:5" s="4" customFormat="1">
      <c r="B800" s="28"/>
      <c r="C800" s="18"/>
      <c r="E800" s="50"/>
    </row>
    <row r="801" spans="2:5" s="4" customFormat="1">
      <c r="B801" s="28"/>
      <c r="C801" s="18"/>
      <c r="E801" s="50"/>
    </row>
    <row r="802" spans="2:5" s="4" customFormat="1">
      <c r="B802" s="28"/>
      <c r="C802" s="18"/>
      <c r="E802" s="50"/>
    </row>
    <row r="803" spans="2:5" s="4" customFormat="1">
      <c r="B803" s="28"/>
      <c r="C803" s="18"/>
      <c r="E803" s="50"/>
    </row>
    <row r="804" spans="2:5" s="4" customFormat="1">
      <c r="B804" s="28"/>
      <c r="C804" s="18"/>
      <c r="E804" s="50"/>
    </row>
    <row r="805" spans="2:5" s="4" customFormat="1">
      <c r="B805" s="28"/>
      <c r="C805" s="18"/>
      <c r="E805" s="50"/>
    </row>
    <row r="806" spans="2:5" s="4" customFormat="1">
      <c r="B806" s="28"/>
      <c r="C806" s="18"/>
      <c r="E806" s="50"/>
    </row>
    <row r="807" spans="2:5" s="4" customFormat="1">
      <c r="B807" s="28"/>
      <c r="C807" s="18"/>
      <c r="E807" s="50"/>
    </row>
    <row r="808" spans="2:5" s="4" customFormat="1">
      <c r="B808" s="28"/>
      <c r="C808" s="18"/>
      <c r="E808" s="50"/>
    </row>
    <row r="809" spans="2:5" s="4" customFormat="1">
      <c r="B809" s="28"/>
      <c r="C809" s="18"/>
      <c r="E809" s="50"/>
    </row>
    <row r="810" spans="2:5" s="4" customFormat="1">
      <c r="B810" s="28"/>
      <c r="C810" s="18"/>
      <c r="E810" s="50"/>
    </row>
    <row r="811" spans="2:5" s="4" customFormat="1">
      <c r="B811" s="28"/>
      <c r="C811" s="18"/>
      <c r="E811" s="50"/>
    </row>
    <row r="812" spans="2:5" s="4" customFormat="1">
      <c r="B812" s="28"/>
      <c r="C812" s="18"/>
      <c r="E812" s="50"/>
    </row>
    <row r="813" spans="2:5" s="4" customFormat="1">
      <c r="B813" s="28"/>
      <c r="C813" s="18"/>
      <c r="E813" s="50"/>
    </row>
    <row r="814" spans="2:5" s="4" customFormat="1">
      <c r="B814" s="28"/>
      <c r="C814" s="18"/>
      <c r="E814" s="50"/>
    </row>
    <row r="815" spans="2:5" s="4" customFormat="1">
      <c r="B815" s="28"/>
      <c r="C815" s="18"/>
      <c r="E815" s="50"/>
    </row>
    <row r="816" spans="2:5" s="4" customFormat="1">
      <c r="B816" s="28"/>
      <c r="C816" s="18"/>
      <c r="E816" s="50"/>
    </row>
    <row r="817" spans="2:5" s="4" customFormat="1">
      <c r="B817" s="28"/>
      <c r="C817" s="18"/>
      <c r="E817" s="50"/>
    </row>
    <row r="818" spans="2:5" s="4" customFormat="1">
      <c r="B818" s="28"/>
      <c r="C818" s="18"/>
      <c r="E818" s="50"/>
    </row>
    <row r="819" spans="2:5" s="4" customFormat="1">
      <c r="B819" s="28"/>
      <c r="C819" s="18"/>
      <c r="E819" s="50"/>
    </row>
    <row r="820" spans="2:5" s="4" customFormat="1">
      <c r="B820" s="28"/>
      <c r="C820" s="18"/>
      <c r="E820" s="50"/>
    </row>
    <row r="821" spans="2:5" s="4" customFormat="1">
      <c r="B821" s="28"/>
      <c r="C821" s="18"/>
      <c r="E821" s="50"/>
    </row>
    <row r="822" spans="2:5" s="4" customFormat="1">
      <c r="B822" s="28"/>
      <c r="C822" s="18"/>
      <c r="E822" s="50"/>
    </row>
    <row r="823" spans="2:5" s="4" customFormat="1">
      <c r="B823" s="28"/>
      <c r="C823" s="18"/>
      <c r="E823" s="50"/>
    </row>
    <row r="824" spans="2:5" s="4" customFormat="1">
      <c r="B824" s="28"/>
      <c r="C824" s="18"/>
      <c r="E824" s="50"/>
    </row>
    <row r="825" spans="2:5" s="4" customFormat="1">
      <c r="B825" s="28"/>
      <c r="C825" s="18"/>
      <c r="E825" s="50"/>
    </row>
    <row r="826" spans="2:5" s="4" customFormat="1">
      <c r="B826" s="28"/>
      <c r="C826" s="18"/>
      <c r="E826" s="50"/>
    </row>
    <row r="827" spans="2:5" s="4" customFormat="1">
      <c r="B827" s="28"/>
      <c r="C827" s="18"/>
      <c r="E827" s="50"/>
    </row>
    <row r="828" spans="2:5" s="4" customFormat="1">
      <c r="B828" s="28"/>
      <c r="C828" s="18"/>
      <c r="E828" s="50"/>
    </row>
    <row r="829" spans="2:5" s="4" customFormat="1">
      <c r="B829" s="28"/>
      <c r="C829" s="18"/>
      <c r="E829" s="50"/>
    </row>
    <row r="830" spans="2:5" s="4" customFormat="1">
      <c r="B830" s="28"/>
      <c r="C830" s="18"/>
      <c r="E830" s="50"/>
    </row>
    <row r="831" spans="2:5" s="4" customFormat="1">
      <c r="B831" s="28"/>
      <c r="C831" s="18"/>
      <c r="E831" s="50"/>
    </row>
    <row r="832" spans="2:5" s="4" customFormat="1">
      <c r="B832" s="28"/>
      <c r="C832" s="18"/>
      <c r="E832" s="50"/>
    </row>
    <row r="833" spans="2:5" s="4" customFormat="1">
      <c r="B833" s="28"/>
      <c r="C833" s="18"/>
      <c r="E833" s="50"/>
    </row>
    <row r="834" spans="2:5" s="4" customFormat="1">
      <c r="B834" s="28"/>
      <c r="C834" s="18"/>
      <c r="E834" s="50"/>
    </row>
    <row r="835" spans="2:5" s="4" customFormat="1">
      <c r="B835" s="28"/>
      <c r="C835" s="18"/>
      <c r="E835" s="50"/>
    </row>
    <row r="836" spans="2:5" s="4" customFormat="1">
      <c r="B836" s="28"/>
      <c r="C836" s="18"/>
      <c r="E836" s="50"/>
    </row>
    <row r="837" spans="2:5" s="4" customFormat="1">
      <c r="B837" s="28"/>
      <c r="C837" s="18"/>
      <c r="E837" s="50"/>
    </row>
    <row r="838" spans="2:5" s="4" customFormat="1">
      <c r="B838" s="28"/>
      <c r="C838" s="18"/>
      <c r="E838" s="50"/>
    </row>
    <row r="839" spans="2:5" s="4" customFormat="1">
      <c r="B839" s="28"/>
      <c r="C839" s="18"/>
      <c r="E839" s="50"/>
    </row>
    <row r="840" spans="2:5" s="4" customFormat="1">
      <c r="B840" s="28"/>
      <c r="C840" s="18"/>
      <c r="E840" s="50"/>
    </row>
    <row r="841" spans="2:5" s="4" customFormat="1">
      <c r="B841" s="28"/>
      <c r="C841" s="18"/>
      <c r="E841" s="50"/>
    </row>
    <row r="842" spans="2:5" s="4" customFormat="1">
      <c r="B842" s="28"/>
      <c r="C842" s="18"/>
      <c r="E842" s="50"/>
    </row>
    <row r="843" spans="2:5" s="4" customFormat="1">
      <c r="B843" s="28"/>
      <c r="C843" s="18"/>
      <c r="E843" s="50"/>
    </row>
    <row r="844" spans="2:5" s="4" customFormat="1">
      <c r="B844" s="28"/>
      <c r="C844" s="18"/>
      <c r="E844" s="50"/>
    </row>
    <row r="845" spans="2:5" s="4" customFormat="1">
      <c r="B845" s="28"/>
      <c r="C845" s="18"/>
      <c r="E845" s="50"/>
    </row>
    <row r="846" spans="2:5" s="4" customFormat="1">
      <c r="B846" s="28"/>
      <c r="C846" s="18"/>
      <c r="E846" s="50"/>
    </row>
    <row r="847" spans="2:5" s="4" customFormat="1">
      <c r="B847" s="28"/>
      <c r="C847" s="18"/>
      <c r="E847" s="50"/>
    </row>
    <row r="848" spans="2:5" s="4" customFormat="1">
      <c r="B848" s="28"/>
      <c r="C848" s="18"/>
      <c r="E848" s="50"/>
    </row>
    <row r="849" spans="2:5" s="4" customFormat="1">
      <c r="B849" s="28"/>
      <c r="C849" s="18"/>
      <c r="E849" s="50"/>
    </row>
    <row r="850" spans="2:5" s="4" customFormat="1">
      <c r="B850" s="28"/>
      <c r="C850" s="18"/>
      <c r="E850" s="50"/>
    </row>
    <row r="851" spans="2:5" s="4" customFormat="1">
      <c r="B851" s="28"/>
      <c r="C851" s="18"/>
      <c r="E851" s="50"/>
    </row>
    <row r="852" spans="2:5" s="4" customFormat="1">
      <c r="B852" s="28"/>
      <c r="C852" s="18"/>
      <c r="E852" s="50"/>
    </row>
    <row r="853" spans="2:5" s="4" customFormat="1">
      <c r="B853" s="28"/>
      <c r="C853" s="18"/>
      <c r="E853" s="50"/>
    </row>
    <row r="854" spans="2:5" s="4" customFormat="1">
      <c r="B854" s="28"/>
      <c r="C854" s="18"/>
      <c r="E854" s="50"/>
    </row>
    <row r="855" spans="2:5" s="4" customFormat="1">
      <c r="B855" s="28"/>
      <c r="C855" s="18"/>
      <c r="E855" s="50"/>
    </row>
    <row r="856" spans="2:5" s="4" customFormat="1">
      <c r="B856" s="28"/>
      <c r="C856" s="18"/>
      <c r="E856" s="50"/>
    </row>
    <row r="857" spans="2:5" s="4" customFormat="1">
      <c r="B857" s="28"/>
      <c r="C857" s="18"/>
      <c r="E857" s="50"/>
    </row>
    <row r="858" spans="2:5" s="4" customFormat="1">
      <c r="B858" s="28"/>
      <c r="C858" s="18"/>
      <c r="E858" s="50"/>
    </row>
    <row r="859" spans="2:5" s="4" customFormat="1">
      <c r="B859" s="28"/>
      <c r="C859" s="18"/>
      <c r="E859" s="50"/>
    </row>
    <row r="860" spans="2:5" s="4" customFormat="1">
      <c r="B860" s="28"/>
      <c r="C860" s="18"/>
      <c r="E860" s="50"/>
    </row>
    <row r="861" spans="2:5" s="4" customFormat="1">
      <c r="B861" s="28"/>
      <c r="C861" s="18"/>
      <c r="E861" s="50"/>
    </row>
    <row r="862" spans="2:5" s="4" customFormat="1">
      <c r="B862" s="28"/>
      <c r="C862" s="18"/>
      <c r="E862" s="50"/>
    </row>
    <row r="863" spans="2:5" s="4" customFormat="1">
      <c r="B863" s="28"/>
      <c r="C863" s="18"/>
      <c r="E863" s="50"/>
    </row>
    <row r="864" spans="2:5" s="4" customFormat="1">
      <c r="B864" s="28"/>
      <c r="C864" s="18"/>
      <c r="E864" s="50"/>
    </row>
    <row r="865" spans="2:5" s="4" customFormat="1">
      <c r="B865" s="28"/>
      <c r="C865" s="18"/>
      <c r="E865" s="50"/>
    </row>
    <row r="866" spans="2:5" s="4" customFormat="1">
      <c r="B866" s="28"/>
      <c r="C866" s="18"/>
      <c r="E866" s="50"/>
    </row>
    <row r="867" spans="2:5" s="4" customFormat="1">
      <c r="B867" s="28"/>
      <c r="C867" s="18"/>
      <c r="E867" s="50"/>
    </row>
    <row r="868" spans="2:5" s="4" customFormat="1">
      <c r="B868" s="28"/>
      <c r="C868" s="18"/>
      <c r="E868" s="50"/>
    </row>
    <row r="869" spans="2:5" s="4" customFormat="1">
      <c r="B869" s="28"/>
      <c r="C869" s="18"/>
      <c r="E869" s="50"/>
    </row>
    <row r="870" spans="2:5" s="4" customFormat="1">
      <c r="B870" s="28"/>
      <c r="C870" s="18"/>
      <c r="E870" s="50"/>
    </row>
    <row r="871" spans="2:5" s="4" customFormat="1">
      <c r="B871" s="28"/>
      <c r="C871" s="18"/>
      <c r="E871" s="50"/>
    </row>
    <row r="872" spans="2:5" s="4" customFormat="1">
      <c r="B872" s="28"/>
      <c r="C872" s="18"/>
      <c r="E872" s="50"/>
    </row>
    <row r="873" spans="2:5" s="4" customFormat="1">
      <c r="B873" s="28"/>
      <c r="C873" s="18"/>
      <c r="E873" s="50"/>
    </row>
    <row r="874" spans="2:5" s="4" customFormat="1">
      <c r="B874" s="28"/>
      <c r="C874" s="18"/>
      <c r="E874" s="50"/>
    </row>
    <row r="875" spans="2:5" s="4" customFormat="1">
      <c r="B875" s="28"/>
      <c r="C875" s="18"/>
      <c r="E875" s="50"/>
    </row>
    <row r="876" spans="2:5" s="4" customFormat="1">
      <c r="B876" s="28"/>
      <c r="C876" s="18"/>
      <c r="E876" s="50"/>
    </row>
    <row r="877" spans="2:5" s="4" customFormat="1">
      <c r="B877" s="28"/>
      <c r="C877" s="18"/>
      <c r="E877" s="50"/>
    </row>
    <row r="878" spans="2:5" s="4" customFormat="1">
      <c r="B878" s="28"/>
      <c r="C878" s="18"/>
      <c r="E878" s="50"/>
    </row>
    <row r="879" spans="2:5" s="4" customFormat="1">
      <c r="B879" s="28"/>
      <c r="C879" s="18"/>
      <c r="E879" s="50"/>
    </row>
    <row r="880" spans="2:5" s="4" customFormat="1">
      <c r="B880" s="28"/>
      <c r="C880" s="18"/>
      <c r="E880" s="50"/>
    </row>
    <row r="881" spans="2:5" s="4" customFormat="1">
      <c r="B881" s="28"/>
      <c r="C881" s="18"/>
      <c r="E881" s="50"/>
    </row>
    <row r="882" spans="2:5" s="4" customFormat="1">
      <c r="B882" s="28"/>
      <c r="C882" s="18"/>
      <c r="E882" s="50"/>
    </row>
    <row r="883" spans="2:5" s="4" customFormat="1">
      <c r="B883" s="28"/>
      <c r="C883" s="18"/>
      <c r="E883" s="50"/>
    </row>
    <row r="884" spans="2:5" s="4" customFormat="1">
      <c r="B884" s="28"/>
      <c r="C884" s="18"/>
      <c r="E884" s="50"/>
    </row>
    <row r="885" spans="2:5" s="4" customFormat="1">
      <c r="B885" s="28"/>
      <c r="C885" s="18"/>
      <c r="E885" s="50"/>
    </row>
    <row r="886" spans="2:5" s="4" customFormat="1">
      <c r="B886" s="28"/>
      <c r="C886" s="18"/>
      <c r="E886" s="50"/>
    </row>
    <row r="887" spans="2:5" s="4" customFormat="1">
      <c r="B887" s="28"/>
      <c r="C887" s="18"/>
      <c r="E887" s="50"/>
    </row>
    <row r="888" spans="2:5" s="4" customFormat="1">
      <c r="B888" s="28"/>
      <c r="C888" s="18"/>
      <c r="E888" s="50"/>
    </row>
    <row r="889" spans="2:5" s="4" customFormat="1">
      <c r="B889" s="28"/>
      <c r="C889" s="18"/>
      <c r="E889" s="50"/>
    </row>
    <row r="890" spans="2:5" s="4" customFormat="1">
      <c r="B890" s="28"/>
      <c r="C890" s="18"/>
      <c r="E890" s="50"/>
    </row>
    <row r="891" spans="2:5" s="4" customFormat="1">
      <c r="B891" s="28"/>
      <c r="C891" s="18"/>
      <c r="E891" s="50"/>
    </row>
    <row r="892" spans="2:5" s="4" customFormat="1">
      <c r="B892" s="28"/>
      <c r="C892" s="18"/>
      <c r="E892" s="50"/>
    </row>
    <row r="893" spans="2:5" s="4" customFormat="1">
      <c r="B893" s="28"/>
      <c r="C893" s="18"/>
      <c r="E893" s="50"/>
    </row>
    <row r="894" spans="2:5" s="4" customFormat="1">
      <c r="B894" s="28"/>
      <c r="C894" s="18"/>
      <c r="E894" s="50"/>
    </row>
    <row r="895" spans="2:5" s="4" customFormat="1">
      <c r="B895" s="28"/>
      <c r="C895" s="18"/>
      <c r="E895" s="50"/>
    </row>
    <row r="896" spans="2:5" s="4" customFormat="1">
      <c r="B896" s="28"/>
      <c r="C896" s="18"/>
      <c r="E896" s="50"/>
    </row>
    <row r="897" spans="2:5" s="4" customFormat="1">
      <c r="B897" s="28"/>
      <c r="C897" s="18"/>
      <c r="E897" s="50"/>
    </row>
    <row r="898" spans="2:5" s="4" customFormat="1">
      <c r="B898" s="28"/>
      <c r="C898" s="18"/>
      <c r="E898" s="50"/>
    </row>
    <row r="899" spans="2:5" s="4" customFormat="1">
      <c r="B899" s="28"/>
      <c r="C899" s="18"/>
      <c r="E899" s="50"/>
    </row>
    <row r="900" spans="2:5" s="4" customFormat="1">
      <c r="B900" s="28"/>
      <c r="C900" s="18"/>
      <c r="E900" s="50"/>
    </row>
    <row r="901" spans="2:5" s="4" customFormat="1">
      <c r="B901" s="28"/>
      <c r="C901" s="18"/>
      <c r="E901" s="50"/>
    </row>
    <row r="902" spans="2:5" s="4" customFormat="1">
      <c r="B902" s="28"/>
      <c r="C902" s="18"/>
      <c r="E902" s="50"/>
    </row>
    <row r="903" spans="2:5" s="4" customFormat="1">
      <c r="B903" s="28"/>
      <c r="C903" s="18"/>
      <c r="E903" s="50"/>
    </row>
    <row r="904" spans="2:5" s="4" customFormat="1">
      <c r="B904" s="28"/>
      <c r="C904" s="18"/>
      <c r="E904" s="50"/>
    </row>
    <row r="905" spans="2:5" s="4" customFormat="1">
      <c r="B905" s="28"/>
      <c r="C905" s="18"/>
      <c r="E905" s="50"/>
    </row>
    <row r="906" spans="2:5" s="4" customFormat="1">
      <c r="B906" s="28"/>
      <c r="C906" s="18"/>
      <c r="E906" s="50"/>
    </row>
    <row r="907" spans="2:5" s="4" customFormat="1">
      <c r="B907" s="28"/>
      <c r="C907" s="18"/>
      <c r="E907" s="50"/>
    </row>
    <row r="908" spans="2:5" s="4" customFormat="1">
      <c r="B908" s="28"/>
      <c r="C908" s="18"/>
      <c r="E908" s="50"/>
    </row>
    <row r="909" spans="2:5" s="4" customFormat="1">
      <c r="B909" s="28"/>
      <c r="C909" s="18"/>
      <c r="E909" s="50"/>
    </row>
    <row r="910" spans="2:5" s="4" customFormat="1">
      <c r="B910" s="28"/>
      <c r="C910" s="18"/>
      <c r="E910" s="50"/>
    </row>
    <row r="911" spans="2:5" s="4" customFormat="1">
      <c r="B911" s="28"/>
      <c r="C911" s="18"/>
      <c r="E911" s="50"/>
    </row>
    <row r="912" spans="2:5" s="4" customFormat="1">
      <c r="B912" s="28"/>
      <c r="C912" s="18"/>
      <c r="E912" s="50"/>
    </row>
    <row r="913" spans="2:5" s="4" customFormat="1">
      <c r="B913" s="28"/>
      <c r="C913" s="18"/>
      <c r="E913" s="50"/>
    </row>
    <row r="914" spans="2:5" s="4" customFormat="1">
      <c r="B914" s="28"/>
      <c r="C914" s="18"/>
      <c r="E914" s="50"/>
    </row>
    <row r="915" spans="2:5" s="4" customFormat="1">
      <c r="B915" s="28"/>
      <c r="C915" s="18"/>
      <c r="E915" s="50"/>
    </row>
    <row r="916" spans="2:5" s="4" customFormat="1">
      <c r="B916" s="28"/>
      <c r="C916" s="18"/>
      <c r="E916" s="50"/>
    </row>
    <row r="917" spans="2:5" s="4" customFormat="1">
      <c r="B917" s="28"/>
      <c r="C917" s="18"/>
      <c r="E917" s="50"/>
    </row>
    <row r="918" spans="2:5" s="4" customFormat="1">
      <c r="B918" s="28"/>
      <c r="C918" s="18"/>
      <c r="E918" s="50"/>
    </row>
    <row r="919" spans="2:5" s="4" customFormat="1">
      <c r="B919" s="28"/>
      <c r="C919" s="18"/>
      <c r="E919" s="50"/>
    </row>
    <row r="920" spans="2:5" s="4" customFormat="1">
      <c r="B920" s="28"/>
      <c r="C920" s="18"/>
      <c r="E920" s="50"/>
    </row>
    <row r="921" spans="2:5" s="4" customFormat="1">
      <c r="B921" s="28"/>
      <c r="C921" s="18"/>
      <c r="E921" s="50"/>
    </row>
    <row r="922" spans="2:5" s="4" customFormat="1">
      <c r="B922" s="28"/>
      <c r="C922" s="18"/>
      <c r="E922" s="50"/>
    </row>
    <row r="923" spans="2:5" s="4" customFormat="1">
      <c r="B923" s="28"/>
      <c r="C923" s="18"/>
      <c r="E923" s="50"/>
    </row>
    <row r="924" spans="2:5" s="4" customFormat="1">
      <c r="B924" s="28"/>
      <c r="C924" s="18"/>
      <c r="E924" s="50"/>
    </row>
    <row r="925" spans="2:5" s="4" customFormat="1">
      <c r="B925" s="28"/>
      <c r="C925" s="18"/>
      <c r="E925" s="50"/>
    </row>
    <row r="926" spans="2:5" s="4" customFormat="1">
      <c r="B926" s="28"/>
      <c r="C926" s="18"/>
      <c r="E926" s="50"/>
    </row>
    <row r="927" spans="2:5" s="4" customFormat="1">
      <c r="B927" s="28"/>
      <c r="C927" s="18"/>
      <c r="E927" s="50"/>
    </row>
    <row r="928" spans="2:5" s="4" customFormat="1">
      <c r="B928" s="28"/>
      <c r="C928" s="18"/>
      <c r="E928" s="50"/>
    </row>
    <row r="929" spans="2:5" s="4" customFormat="1">
      <c r="B929" s="28"/>
      <c r="C929" s="18"/>
      <c r="E929" s="50"/>
    </row>
    <row r="930" spans="2:5" s="4" customFormat="1">
      <c r="B930" s="28"/>
      <c r="C930" s="18"/>
      <c r="E930" s="50"/>
    </row>
    <row r="931" spans="2:5" s="4" customFormat="1">
      <c r="B931" s="28"/>
      <c r="C931" s="18"/>
      <c r="E931" s="50"/>
    </row>
    <row r="932" spans="2:5" s="4" customFormat="1">
      <c r="B932" s="28"/>
      <c r="C932" s="18"/>
      <c r="E932" s="50"/>
    </row>
    <row r="933" spans="2:5" s="4" customFormat="1">
      <c r="B933" s="28"/>
      <c r="C933" s="18"/>
      <c r="E933" s="50"/>
    </row>
    <row r="934" spans="2:5" s="4" customFormat="1">
      <c r="B934" s="28"/>
      <c r="C934" s="18"/>
      <c r="E934" s="50"/>
    </row>
    <row r="935" spans="2:5" s="4" customFormat="1">
      <c r="B935" s="28"/>
      <c r="C935" s="18"/>
      <c r="E935" s="50"/>
    </row>
    <row r="936" spans="2:5" s="4" customFormat="1">
      <c r="B936" s="28"/>
      <c r="C936" s="18"/>
      <c r="E936" s="50"/>
    </row>
    <row r="937" spans="2:5" s="4" customFormat="1">
      <c r="B937" s="28"/>
      <c r="C937" s="18"/>
      <c r="E937" s="50"/>
    </row>
    <row r="938" spans="2:5" s="4" customFormat="1">
      <c r="B938" s="28"/>
      <c r="C938" s="18"/>
      <c r="E938" s="50"/>
    </row>
    <row r="939" spans="2:5" s="4" customFormat="1">
      <c r="B939" s="28"/>
      <c r="C939" s="18"/>
      <c r="E939" s="50"/>
    </row>
    <row r="940" spans="2:5" s="4" customFormat="1">
      <c r="B940" s="28"/>
      <c r="C940" s="18"/>
      <c r="E940" s="50"/>
    </row>
    <row r="941" spans="2:5" s="4" customFormat="1">
      <c r="B941" s="28"/>
      <c r="C941" s="18"/>
      <c r="E941" s="50"/>
    </row>
    <row r="942" spans="2:5" s="4" customFormat="1">
      <c r="B942" s="28"/>
      <c r="C942" s="18"/>
      <c r="E942" s="50"/>
    </row>
    <row r="943" spans="2:5" s="4" customFormat="1">
      <c r="B943" s="28"/>
      <c r="C943" s="18"/>
      <c r="E943" s="50"/>
    </row>
    <row r="944" spans="2:5" s="4" customFormat="1">
      <c r="B944" s="28"/>
      <c r="C944" s="18"/>
      <c r="E944" s="50"/>
    </row>
    <row r="945" spans="2:5" s="4" customFormat="1">
      <c r="B945" s="28"/>
      <c r="C945" s="18"/>
      <c r="E945" s="50"/>
    </row>
    <row r="946" spans="2:5" s="4" customFormat="1">
      <c r="B946" s="28"/>
      <c r="C946" s="18"/>
      <c r="E946" s="50"/>
    </row>
    <row r="947" spans="2:5" s="4" customFormat="1">
      <c r="B947" s="28"/>
      <c r="C947" s="18"/>
      <c r="E947" s="50"/>
    </row>
    <row r="948" spans="2:5" s="4" customFormat="1">
      <c r="B948" s="28"/>
      <c r="C948" s="18"/>
      <c r="E948" s="50"/>
    </row>
    <row r="949" spans="2:5" s="4" customFormat="1">
      <c r="B949" s="28"/>
      <c r="C949" s="18"/>
      <c r="E949" s="50"/>
    </row>
    <row r="950" spans="2:5" s="4" customFormat="1">
      <c r="B950" s="28"/>
      <c r="C950" s="18"/>
      <c r="E950" s="50"/>
    </row>
    <row r="951" spans="2:5" s="4" customFormat="1">
      <c r="B951" s="28"/>
      <c r="C951" s="18"/>
      <c r="E951" s="50"/>
    </row>
    <row r="952" spans="2:5" s="4" customFormat="1">
      <c r="B952" s="28"/>
      <c r="C952" s="18"/>
      <c r="E952" s="50"/>
    </row>
    <row r="953" spans="2:5" s="4" customFormat="1">
      <c r="B953" s="28"/>
      <c r="C953" s="18"/>
      <c r="E953" s="50"/>
    </row>
    <row r="954" spans="2:5" s="4" customFormat="1">
      <c r="B954" s="28"/>
      <c r="C954" s="18"/>
      <c r="E954" s="50"/>
    </row>
    <row r="955" spans="2:5" s="4" customFormat="1">
      <c r="B955" s="28"/>
      <c r="C955" s="18"/>
      <c r="E955" s="50"/>
    </row>
    <row r="956" spans="2:5" s="4" customFormat="1">
      <c r="B956" s="28"/>
      <c r="C956" s="18"/>
      <c r="E956" s="50"/>
    </row>
    <row r="957" spans="2:5" s="4" customFormat="1">
      <c r="B957" s="28"/>
      <c r="C957" s="18"/>
      <c r="E957" s="50"/>
    </row>
    <row r="958" spans="2:5" s="4" customFormat="1">
      <c r="B958" s="28"/>
      <c r="C958" s="18"/>
      <c r="E958" s="50"/>
    </row>
    <row r="959" spans="2:5" s="4" customFormat="1">
      <c r="B959" s="28"/>
      <c r="C959" s="18"/>
      <c r="E959" s="50"/>
    </row>
    <row r="960" spans="2:5" s="4" customFormat="1">
      <c r="B960" s="28"/>
      <c r="C960" s="18"/>
      <c r="E960" s="50"/>
    </row>
    <row r="961" spans="2:5" s="4" customFormat="1">
      <c r="B961" s="28"/>
      <c r="C961" s="18"/>
      <c r="E961" s="50"/>
    </row>
    <row r="962" spans="2:5" s="4" customFormat="1">
      <c r="B962" s="28"/>
      <c r="C962" s="18"/>
      <c r="E962" s="50"/>
    </row>
    <row r="963" spans="2:5" s="4" customFormat="1">
      <c r="B963" s="28"/>
      <c r="C963" s="18"/>
      <c r="E963" s="50"/>
    </row>
    <row r="964" spans="2:5" s="4" customFormat="1">
      <c r="B964" s="28"/>
      <c r="C964" s="18"/>
      <c r="E964" s="50"/>
    </row>
    <row r="965" spans="2:5" s="4" customFormat="1">
      <c r="B965" s="28"/>
      <c r="C965" s="18"/>
      <c r="E965" s="50"/>
    </row>
    <row r="966" spans="2:5" s="4" customFormat="1">
      <c r="B966" s="28"/>
      <c r="C966" s="18"/>
      <c r="E966" s="50"/>
    </row>
    <row r="967" spans="2:5" s="4" customFormat="1">
      <c r="B967" s="28"/>
      <c r="C967" s="18"/>
      <c r="E967" s="50"/>
    </row>
    <row r="968" spans="2:5" s="4" customFormat="1">
      <c r="B968" s="28"/>
      <c r="C968" s="18"/>
      <c r="E968" s="50"/>
    </row>
    <row r="969" spans="2:5" s="4" customFormat="1">
      <c r="B969" s="28"/>
      <c r="C969" s="18"/>
      <c r="E969" s="50"/>
    </row>
    <row r="970" spans="2:5" s="4" customFormat="1">
      <c r="B970" s="28"/>
      <c r="C970" s="18"/>
      <c r="E970" s="50"/>
    </row>
    <row r="971" spans="2:5" s="4" customFormat="1">
      <c r="B971" s="28"/>
      <c r="C971" s="18"/>
      <c r="E971" s="50"/>
    </row>
    <row r="972" spans="2:5" s="4" customFormat="1">
      <c r="B972" s="28"/>
      <c r="C972" s="18"/>
      <c r="E972" s="50"/>
    </row>
    <row r="973" spans="2:5" s="4" customFormat="1">
      <c r="B973" s="28"/>
      <c r="C973" s="18"/>
      <c r="E973" s="50"/>
    </row>
    <row r="974" spans="2:5" s="4" customFormat="1">
      <c r="B974" s="28"/>
      <c r="C974" s="18"/>
      <c r="E974" s="50"/>
    </row>
    <row r="975" spans="2:5" s="4" customFormat="1">
      <c r="B975" s="28"/>
      <c r="C975" s="18"/>
      <c r="E975" s="50"/>
    </row>
    <row r="976" spans="2:5" s="4" customFormat="1">
      <c r="B976" s="28"/>
      <c r="C976" s="18"/>
      <c r="E976" s="50"/>
    </row>
    <row r="977" spans="2:5" s="4" customFormat="1">
      <c r="B977" s="28"/>
      <c r="C977" s="18"/>
      <c r="E977" s="50"/>
    </row>
    <row r="978" spans="2:5" s="4" customFormat="1">
      <c r="B978" s="28"/>
      <c r="C978" s="18"/>
      <c r="E978" s="50"/>
    </row>
    <row r="979" spans="2:5" s="4" customFormat="1">
      <c r="B979" s="28"/>
      <c r="C979" s="18"/>
      <c r="E979" s="50"/>
    </row>
    <row r="980" spans="2:5" s="4" customFormat="1">
      <c r="B980" s="28"/>
      <c r="C980" s="18"/>
      <c r="E980" s="50"/>
    </row>
    <row r="981" spans="2:5" s="4" customFormat="1">
      <c r="B981" s="28"/>
      <c r="C981" s="18"/>
      <c r="E981" s="50"/>
    </row>
    <row r="982" spans="2:5" s="4" customFormat="1">
      <c r="B982" s="28"/>
      <c r="C982" s="18"/>
      <c r="E982" s="50"/>
    </row>
    <row r="983" spans="2:5" s="4" customFormat="1">
      <c r="B983" s="28"/>
      <c r="C983" s="18"/>
      <c r="E983" s="50"/>
    </row>
    <row r="984" spans="2:5" s="4" customFormat="1">
      <c r="B984" s="28"/>
      <c r="C984" s="18"/>
      <c r="E984" s="50"/>
    </row>
    <row r="985" spans="2:5" s="4" customFormat="1">
      <c r="B985" s="28"/>
      <c r="C985" s="18"/>
      <c r="E985" s="50"/>
    </row>
    <row r="986" spans="2:5" s="4" customFormat="1">
      <c r="B986" s="28"/>
      <c r="C986" s="18"/>
      <c r="E986" s="50"/>
    </row>
    <row r="987" spans="2:5" s="4" customFormat="1">
      <c r="B987" s="28"/>
      <c r="C987" s="18"/>
      <c r="E987" s="50"/>
    </row>
    <row r="988" spans="2:5" s="4" customFormat="1">
      <c r="B988" s="28"/>
      <c r="C988" s="18"/>
      <c r="E988" s="50"/>
    </row>
    <row r="989" spans="2:5" s="4" customFormat="1">
      <c r="B989" s="28"/>
      <c r="C989" s="18"/>
      <c r="E989" s="50"/>
    </row>
    <row r="990" spans="2:5" s="4" customFormat="1">
      <c r="B990" s="28"/>
      <c r="C990" s="18"/>
      <c r="E990" s="50"/>
    </row>
    <row r="991" spans="2:5" s="4" customFormat="1">
      <c r="B991" s="28"/>
      <c r="C991" s="18"/>
      <c r="E991" s="50"/>
    </row>
    <row r="992" spans="2:5" s="4" customFormat="1">
      <c r="B992" s="28"/>
      <c r="C992" s="18"/>
      <c r="E992" s="50"/>
    </row>
    <row r="993" spans="2:5" s="4" customFormat="1">
      <c r="B993" s="28"/>
      <c r="C993" s="18"/>
      <c r="E993" s="50"/>
    </row>
    <row r="994" spans="2:5" s="4" customFormat="1">
      <c r="B994" s="28"/>
      <c r="C994" s="18"/>
      <c r="E994" s="50"/>
    </row>
    <row r="995" spans="2:5" s="4" customFormat="1">
      <c r="B995" s="28"/>
      <c r="C995" s="18"/>
      <c r="E995" s="50"/>
    </row>
    <row r="996" spans="2:5" s="4" customFormat="1">
      <c r="B996" s="28"/>
      <c r="C996" s="18"/>
      <c r="E996" s="50"/>
    </row>
    <row r="997" spans="2:5" s="4" customFormat="1">
      <c r="B997" s="28"/>
      <c r="C997" s="18"/>
      <c r="E997" s="50"/>
    </row>
    <row r="998" spans="2:5" s="4" customFormat="1">
      <c r="B998" s="28"/>
      <c r="C998" s="18"/>
      <c r="E998" s="50"/>
    </row>
    <row r="999" spans="2:5" s="4" customFormat="1">
      <c r="B999" s="28"/>
      <c r="C999" s="18"/>
      <c r="E999" s="50"/>
    </row>
    <row r="1000" spans="2:5" s="4" customFormat="1">
      <c r="B1000" s="28"/>
      <c r="C1000" s="18"/>
      <c r="E1000" s="50"/>
    </row>
    <row r="1001" spans="2:5" s="4" customFormat="1">
      <c r="B1001" s="28"/>
      <c r="C1001" s="18"/>
      <c r="E1001" s="50"/>
    </row>
    <row r="1002" spans="2:5" s="4" customFormat="1">
      <c r="B1002" s="28"/>
      <c r="C1002" s="18"/>
      <c r="E1002" s="50"/>
    </row>
    <row r="1003" spans="2:5" s="4" customFormat="1">
      <c r="B1003" s="28"/>
      <c r="C1003" s="18"/>
      <c r="E1003" s="50"/>
    </row>
    <row r="1004" spans="2:5" s="4" customFormat="1">
      <c r="B1004" s="28"/>
      <c r="C1004" s="18"/>
      <c r="E1004" s="50"/>
    </row>
    <row r="1005" spans="2:5" s="4" customFormat="1">
      <c r="B1005" s="28"/>
      <c r="C1005" s="18"/>
      <c r="E1005" s="50"/>
    </row>
    <row r="1006" spans="2:5" s="4" customFormat="1">
      <c r="B1006" s="28"/>
      <c r="C1006" s="18"/>
      <c r="E1006" s="50"/>
    </row>
    <row r="1007" spans="2:5" s="4" customFormat="1">
      <c r="B1007" s="28"/>
      <c r="C1007" s="18"/>
      <c r="E1007" s="50"/>
    </row>
    <row r="1008" spans="2:5" s="4" customFormat="1">
      <c r="B1008" s="28"/>
      <c r="C1008" s="18"/>
      <c r="E1008" s="50"/>
    </row>
    <row r="1009" spans="2:5" s="4" customFormat="1">
      <c r="B1009" s="28"/>
      <c r="C1009" s="18"/>
      <c r="E1009" s="50"/>
    </row>
    <row r="1010" spans="2:5" s="4" customFormat="1">
      <c r="B1010" s="28"/>
      <c r="C1010" s="18"/>
      <c r="E1010" s="50"/>
    </row>
    <row r="1011" spans="2:5" s="4" customFormat="1">
      <c r="B1011" s="28"/>
      <c r="C1011" s="18"/>
      <c r="E1011" s="50"/>
    </row>
    <row r="1012" spans="2:5" s="4" customFormat="1">
      <c r="B1012" s="28"/>
      <c r="C1012" s="18"/>
      <c r="E1012" s="50"/>
    </row>
    <row r="1013" spans="2:5" s="4" customFormat="1">
      <c r="B1013" s="28"/>
      <c r="C1013" s="18"/>
      <c r="E1013" s="50"/>
    </row>
    <row r="1014" spans="2:5" s="4" customFormat="1">
      <c r="B1014" s="28"/>
      <c r="C1014" s="18"/>
      <c r="E1014" s="50"/>
    </row>
    <row r="1015" spans="2:5" s="4" customFormat="1">
      <c r="B1015" s="28"/>
      <c r="C1015" s="18"/>
      <c r="E1015" s="50"/>
    </row>
    <row r="1016" spans="2:5" s="4" customFormat="1">
      <c r="B1016" s="28"/>
      <c r="C1016" s="18"/>
      <c r="E1016" s="50"/>
    </row>
    <row r="1017" spans="2:5" s="4" customFormat="1">
      <c r="B1017" s="28"/>
      <c r="C1017" s="18"/>
      <c r="E1017" s="50"/>
    </row>
    <row r="1018" spans="2:5" s="4" customFormat="1">
      <c r="B1018" s="28"/>
      <c r="C1018" s="18"/>
      <c r="E1018" s="50"/>
    </row>
    <row r="1019" spans="2:5" s="4" customFormat="1">
      <c r="B1019" s="28"/>
      <c r="C1019" s="18"/>
      <c r="E1019" s="50"/>
    </row>
    <row r="1020" spans="2:5" s="4" customFormat="1">
      <c r="B1020" s="28"/>
      <c r="C1020" s="18"/>
      <c r="E1020" s="50"/>
    </row>
    <row r="1021" spans="2:5" s="4" customFormat="1">
      <c r="B1021" s="28"/>
      <c r="C1021" s="18"/>
      <c r="E1021" s="50"/>
    </row>
    <row r="1022" spans="2:5" s="4" customFormat="1">
      <c r="B1022" s="28"/>
      <c r="C1022" s="18"/>
      <c r="E1022" s="50"/>
    </row>
    <row r="1023" spans="2:5" s="4" customFormat="1">
      <c r="B1023" s="28"/>
      <c r="C1023" s="18"/>
      <c r="E1023" s="50"/>
    </row>
    <row r="1024" spans="2:5" s="4" customFormat="1">
      <c r="B1024" s="28"/>
      <c r="C1024" s="18"/>
      <c r="E1024" s="50"/>
    </row>
    <row r="1025" spans="2:5" s="4" customFormat="1">
      <c r="B1025" s="28"/>
      <c r="C1025" s="18"/>
      <c r="E1025" s="50"/>
    </row>
    <row r="1026" spans="2:5" s="4" customFormat="1">
      <c r="B1026" s="28"/>
      <c r="C1026" s="18"/>
      <c r="E1026" s="50"/>
    </row>
    <row r="1027" spans="2:5" s="4" customFormat="1">
      <c r="B1027" s="28"/>
      <c r="C1027" s="18"/>
      <c r="E1027" s="50"/>
    </row>
    <row r="1028" spans="2:5" s="4" customFormat="1">
      <c r="B1028" s="28"/>
      <c r="C1028" s="18"/>
      <c r="E1028" s="50"/>
    </row>
    <row r="1029" spans="2:5" s="4" customFormat="1">
      <c r="B1029" s="28"/>
      <c r="C1029" s="18"/>
      <c r="E1029" s="50"/>
    </row>
    <row r="1030" spans="2:5" s="4" customFormat="1">
      <c r="B1030" s="28"/>
      <c r="C1030" s="18"/>
      <c r="E1030" s="50"/>
    </row>
    <row r="1031" spans="2:5" s="4" customFormat="1">
      <c r="B1031" s="28"/>
      <c r="C1031" s="18"/>
      <c r="E1031" s="50"/>
    </row>
    <row r="1032" spans="2:5" s="4" customFormat="1">
      <c r="B1032" s="28"/>
      <c r="C1032" s="18"/>
      <c r="E1032" s="50"/>
    </row>
    <row r="1033" spans="2:5" s="4" customFormat="1">
      <c r="B1033" s="28"/>
      <c r="C1033" s="18"/>
      <c r="E1033" s="50"/>
    </row>
    <row r="1034" spans="2:5" s="4" customFormat="1">
      <c r="B1034" s="28"/>
      <c r="C1034" s="18"/>
      <c r="E1034" s="50"/>
    </row>
    <row r="1035" spans="2:5" s="4" customFormat="1">
      <c r="B1035" s="28"/>
      <c r="C1035" s="18"/>
      <c r="E1035" s="50"/>
    </row>
    <row r="1036" spans="2:5" s="4" customFormat="1">
      <c r="B1036" s="28"/>
      <c r="C1036" s="18"/>
      <c r="E1036" s="50"/>
    </row>
    <row r="1037" spans="2:5" s="4" customFormat="1">
      <c r="B1037" s="28"/>
      <c r="C1037" s="18"/>
      <c r="E1037" s="50"/>
    </row>
    <row r="1038" spans="2:5" s="4" customFormat="1">
      <c r="B1038" s="28"/>
      <c r="C1038" s="18"/>
      <c r="E1038" s="50"/>
    </row>
    <row r="1039" spans="2:5" s="4" customFormat="1">
      <c r="B1039" s="28"/>
      <c r="C1039" s="18"/>
      <c r="E1039" s="50"/>
    </row>
    <row r="1040" spans="2:5" s="4" customFormat="1">
      <c r="B1040" s="28"/>
      <c r="C1040" s="18"/>
      <c r="E1040" s="50"/>
    </row>
    <row r="1041" spans="2:5" s="4" customFormat="1">
      <c r="B1041" s="28"/>
      <c r="C1041" s="18"/>
      <c r="E1041" s="50"/>
    </row>
    <row r="1042" spans="2:5" s="4" customFormat="1">
      <c r="B1042" s="28"/>
      <c r="C1042" s="18"/>
      <c r="E1042" s="50"/>
    </row>
    <row r="1043" spans="2:5" s="4" customFormat="1">
      <c r="B1043" s="28"/>
      <c r="C1043" s="18"/>
      <c r="E1043" s="50"/>
    </row>
    <row r="1044" spans="2:5" s="4" customFormat="1">
      <c r="B1044" s="28"/>
      <c r="C1044" s="18"/>
      <c r="E1044" s="50"/>
    </row>
    <row r="1045" spans="2:5" s="4" customFormat="1">
      <c r="B1045" s="28"/>
      <c r="C1045" s="18"/>
      <c r="E1045" s="50"/>
    </row>
    <row r="1046" spans="2:5" s="4" customFormat="1">
      <c r="B1046" s="28"/>
      <c r="C1046" s="18"/>
      <c r="E1046" s="50"/>
    </row>
    <row r="1047" spans="2:5" s="4" customFormat="1">
      <c r="B1047" s="28"/>
      <c r="C1047" s="18"/>
      <c r="E1047" s="50"/>
    </row>
    <row r="1048" spans="2:5" s="4" customFormat="1">
      <c r="B1048" s="28"/>
      <c r="C1048" s="18"/>
      <c r="E1048" s="50"/>
    </row>
    <row r="1049" spans="2:5" s="4" customFormat="1">
      <c r="B1049" s="28"/>
      <c r="C1049" s="18"/>
      <c r="E1049" s="50"/>
    </row>
    <row r="1050" spans="2:5" s="4" customFormat="1">
      <c r="B1050" s="28"/>
      <c r="C1050" s="18"/>
      <c r="E1050" s="50"/>
    </row>
    <row r="1051" spans="2:5" s="4" customFormat="1">
      <c r="B1051" s="28"/>
      <c r="C1051" s="18"/>
      <c r="E1051" s="50"/>
    </row>
    <row r="1052" spans="2:5" s="4" customFormat="1">
      <c r="B1052" s="28"/>
      <c r="C1052" s="18"/>
      <c r="E1052" s="50"/>
    </row>
    <row r="1053" spans="2:5" s="4" customFormat="1">
      <c r="B1053" s="28"/>
      <c r="C1053" s="18"/>
      <c r="E1053" s="50"/>
    </row>
    <row r="1054" spans="2:5" s="4" customFormat="1">
      <c r="B1054" s="28"/>
      <c r="C1054" s="18"/>
      <c r="E1054" s="50"/>
    </row>
    <row r="1055" spans="2:5" s="4" customFormat="1">
      <c r="B1055" s="28"/>
      <c r="C1055" s="18"/>
      <c r="E1055" s="50"/>
    </row>
    <row r="1056" spans="2:5" s="4" customFormat="1">
      <c r="B1056" s="28"/>
      <c r="C1056" s="18"/>
      <c r="E1056" s="50"/>
    </row>
    <row r="1057" spans="2:5" s="4" customFormat="1">
      <c r="B1057" s="28"/>
      <c r="C1057" s="18"/>
      <c r="E1057" s="50"/>
    </row>
    <row r="1058" spans="2:5" s="4" customFormat="1">
      <c r="B1058" s="28"/>
      <c r="C1058" s="18"/>
      <c r="E1058" s="50"/>
    </row>
    <row r="1059" spans="2:5" s="4" customFormat="1">
      <c r="B1059" s="28"/>
      <c r="C1059" s="18"/>
      <c r="E1059" s="50"/>
    </row>
    <row r="1060" spans="2:5" s="4" customFormat="1">
      <c r="B1060" s="28"/>
      <c r="C1060" s="18"/>
      <c r="E1060" s="50"/>
    </row>
    <row r="1061" spans="2:5" s="4" customFormat="1">
      <c r="B1061" s="28"/>
      <c r="C1061" s="18"/>
      <c r="E1061" s="50"/>
    </row>
    <row r="1062" spans="2:5" s="4" customFormat="1">
      <c r="B1062" s="28"/>
      <c r="C1062" s="18"/>
      <c r="E1062" s="50"/>
    </row>
    <row r="1063" spans="2:5" s="4" customFormat="1">
      <c r="B1063" s="28"/>
      <c r="C1063" s="18"/>
      <c r="E1063" s="50"/>
    </row>
    <row r="1064" spans="2:5" s="4" customFormat="1">
      <c r="B1064" s="28"/>
      <c r="C1064" s="18"/>
      <c r="E1064" s="50"/>
    </row>
    <row r="1065" spans="2:5" s="4" customFormat="1">
      <c r="B1065" s="28"/>
      <c r="C1065" s="18"/>
      <c r="E1065" s="50"/>
    </row>
    <row r="1066" spans="2:5" s="4" customFormat="1">
      <c r="B1066" s="28"/>
      <c r="C1066" s="18"/>
      <c r="E1066" s="50"/>
    </row>
    <row r="1067" spans="2:5" s="4" customFormat="1">
      <c r="B1067" s="28"/>
      <c r="C1067" s="18"/>
      <c r="E1067" s="50"/>
    </row>
    <row r="1068" spans="2:5" s="4" customFormat="1">
      <c r="B1068" s="28"/>
      <c r="C1068" s="18"/>
      <c r="E1068" s="50"/>
    </row>
    <row r="1069" spans="2:5" s="4" customFormat="1">
      <c r="B1069" s="28"/>
      <c r="C1069" s="18"/>
      <c r="E1069" s="50"/>
    </row>
    <row r="1070" spans="2:5" s="4" customFormat="1">
      <c r="B1070" s="28"/>
      <c r="C1070" s="18"/>
      <c r="E1070" s="50"/>
    </row>
    <row r="1071" spans="2:5" s="4" customFormat="1">
      <c r="B1071" s="28"/>
      <c r="C1071" s="18"/>
      <c r="E1071" s="50"/>
    </row>
    <row r="1072" spans="2:5" s="4" customFormat="1">
      <c r="B1072" s="28"/>
      <c r="C1072" s="18"/>
      <c r="E1072" s="50"/>
    </row>
    <row r="1073" spans="2:5" s="4" customFormat="1">
      <c r="B1073" s="28"/>
      <c r="C1073" s="18"/>
      <c r="E1073" s="50"/>
    </row>
    <row r="1074" spans="2:5" s="4" customFormat="1">
      <c r="B1074" s="28"/>
      <c r="C1074" s="18"/>
      <c r="E1074" s="50"/>
    </row>
    <row r="1075" spans="2:5" s="4" customFormat="1">
      <c r="B1075" s="28"/>
      <c r="C1075" s="18"/>
      <c r="E1075" s="50"/>
    </row>
    <row r="1076" spans="2:5" s="4" customFormat="1">
      <c r="B1076" s="28"/>
      <c r="C1076" s="18"/>
      <c r="E1076" s="50"/>
    </row>
    <row r="1077" spans="2:5" s="4" customFormat="1">
      <c r="B1077" s="28"/>
      <c r="C1077" s="18"/>
      <c r="E1077" s="50"/>
    </row>
    <row r="1078" spans="2:5" s="4" customFormat="1">
      <c r="B1078" s="28"/>
      <c r="C1078" s="18"/>
      <c r="E1078" s="50"/>
    </row>
    <row r="1079" spans="2:5" s="4" customFormat="1">
      <c r="B1079" s="28"/>
      <c r="C1079" s="18"/>
      <c r="E1079" s="50"/>
    </row>
    <row r="1080" spans="2:5" s="4" customFormat="1">
      <c r="B1080" s="28"/>
      <c r="C1080" s="18"/>
      <c r="E1080" s="50"/>
    </row>
    <row r="1081" spans="2:5" s="4" customFormat="1">
      <c r="B1081" s="28"/>
      <c r="C1081" s="18"/>
      <c r="E1081" s="50"/>
    </row>
    <row r="1082" spans="2:5" s="4" customFormat="1">
      <c r="B1082" s="28"/>
      <c r="C1082" s="18"/>
      <c r="E1082" s="50"/>
    </row>
    <row r="1083" spans="2:5" s="4" customFormat="1">
      <c r="B1083" s="28"/>
      <c r="C1083" s="18"/>
      <c r="E1083" s="50"/>
    </row>
    <row r="1084" spans="2:5" s="4" customFormat="1">
      <c r="B1084" s="28"/>
      <c r="C1084" s="18"/>
      <c r="E1084" s="50"/>
    </row>
    <row r="1085" spans="2:5" s="4" customFormat="1">
      <c r="B1085" s="28"/>
      <c r="C1085" s="18"/>
      <c r="E1085" s="50"/>
    </row>
    <row r="1086" spans="2:5" s="4" customFormat="1">
      <c r="B1086" s="28"/>
      <c r="C1086" s="18"/>
      <c r="E1086" s="50"/>
    </row>
    <row r="1087" spans="2:5" s="4" customFormat="1">
      <c r="B1087" s="28"/>
      <c r="C1087" s="18"/>
      <c r="E1087" s="50"/>
    </row>
    <row r="1088" spans="2:5" s="4" customFormat="1">
      <c r="B1088" s="28"/>
      <c r="C1088" s="18"/>
      <c r="E1088" s="50"/>
    </row>
    <row r="1089" spans="2:5" s="4" customFormat="1">
      <c r="B1089" s="28"/>
      <c r="C1089" s="18"/>
      <c r="E1089" s="50"/>
    </row>
    <row r="1090" spans="2:5" s="4" customFormat="1">
      <c r="B1090" s="28"/>
      <c r="C1090" s="18"/>
      <c r="E1090" s="50"/>
    </row>
    <row r="1091" spans="2:5" s="4" customFormat="1">
      <c r="B1091" s="28"/>
      <c r="C1091" s="18"/>
      <c r="E1091" s="50"/>
    </row>
    <row r="1092" spans="2:5" s="4" customFormat="1">
      <c r="B1092" s="28"/>
      <c r="C1092" s="18"/>
      <c r="E1092" s="50"/>
    </row>
    <row r="1093" spans="2:5" s="4" customFormat="1">
      <c r="B1093" s="28"/>
      <c r="C1093" s="18"/>
      <c r="E1093" s="50"/>
    </row>
    <row r="1094" spans="2:5" s="4" customFormat="1">
      <c r="B1094" s="28"/>
      <c r="C1094" s="18"/>
      <c r="E1094" s="50"/>
    </row>
    <row r="1095" spans="2:5" s="4" customFormat="1">
      <c r="B1095" s="28"/>
      <c r="C1095" s="18"/>
      <c r="E1095" s="50"/>
    </row>
    <row r="1096" spans="2:5" s="4" customFormat="1">
      <c r="B1096" s="28"/>
      <c r="C1096" s="18"/>
      <c r="E1096" s="50"/>
    </row>
    <row r="1097" spans="2:5" s="4" customFormat="1">
      <c r="B1097" s="28"/>
      <c r="C1097" s="18"/>
      <c r="E1097" s="50"/>
    </row>
    <row r="1098" spans="2:5" s="4" customFormat="1">
      <c r="B1098" s="28"/>
      <c r="C1098" s="18"/>
      <c r="E1098" s="50"/>
    </row>
    <row r="1099" spans="2:5" s="4" customFormat="1">
      <c r="B1099" s="28"/>
      <c r="C1099" s="18"/>
      <c r="E1099" s="50"/>
    </row>
    <row r="1100" spans="2:5" s="4" customFormat="1">
      <c r="B1100" s="28"/>
      <c r="C1100" s="18"/>
      <c r="E1100" s="50"/>
    </row>
    <row r="1101" spans="2:5" s="4" customFormat="1">
      <c r="B1101" s="28"/>
      <c r="C1101" s="18"/>
      <c r="E1101" s="50"/>
    </row>
    <row r="1102" spans="2:5" s="4" customFormat="1">
      <c r="B1102" s="28"/>
      <c r="C1102" s="18"/>
      <c r="E1102" s="50"/>
    </row>
    <row r="1103" spans="2:5" s="4" customFormat="1">
      <c r="B1103" s="28"/>
      <c r="C1103" s="18"/>
      <c r="E1103" s="50"/>
    </row>
    <row r="1104" spans="2:5" s="4" customFormat="1">
      <c r="B1104" s="28"/>
      <c r="C1104" s="18"/>
      <c r="E1104" s="50"/>
    </row>
    <row r="1105" spans="2:5" s="4" customFormat="1">
      <c r="B1105" s="28"/>
      <c r="C1105" s="18"/>
      <c r="E1105" s="50"/>
    </row>
    <row r="1106" spans="2:5" s="4" customFormat="1">
      <c r="B1106" s="28"/>
      <c r="C1106" s="18"/>
      <c r="E1106" s="50"/>
    </row>
    <row r="1107" spans="2:5" s="4" customFormat="1">
      <c r="B1107" s="28"/>
      <c r="C1107" s="18"/>
      <c r="E1107" s="50"/>
    </row>
    <row r="1108" spans="2:5" s="4" customFormat="1">
      <c r="B1108" s="28"/>
      <c r="C1108" s="18"/>
      <c r="E1108" s="50"/>
    </row>
    <row r="1109" spans="2:5" s="4" customFormat="1">
      <c r="B1109" s="28"/>
      <c r="C1109" s="18"/>
      <c r="E1109" s="50"/>
    </row>
    <row r="1110" spans="2:5" s="4" customFormat="1">
      <c r="B1110" s="28"/>
      <c r="C1110" s="18"/>
      <c r="E1110" s="50"/>
    </row>
    <row r="1111" spans="2:5" s="4" customFormat="1">
      <c r="B1111" s="28"/>
      <c r="C1111" s="18"/>
      <c r="E1111" s="50"/>
    </row>
    <row r="1112" spans="2:5" s="4" customFormat="1">
      <c r="B1112" s="28"/>
      <c r="C1112" s="18"/>
      <c r="E1112" s="50"/>
    </row>
    <row r="1113" spans="2:5" s="4" customFormat="1">
      <c r="B1113" s="28"/>
      <c r="C1113" s="18"/>
      <c r="E1113" s="50"/>
    </row>
    <row r="1114" spans="2:5" s="4" customFormat="1">
      <c r="B1114" s="28"/>
      <c r="C1114" s="18"/>
      <c r="E1114" s="50"/>
    </row>
    <row r="1115" spans="2:5" s="4" customFormat="1">
      <c r="B1115" s="28"/>
      <c r="C1115" s="18"/>
      <c r="E1115" s="50"/>
    </row>
    <row r="1116" spans="2:5" s="4" customFormat="1">
      <c r="B1116" s="28"/>
      <c r="C1116" s="18"/>
      <c r="E1116" s="50"/>
    </row>
    <row r="1117" spans="2:5" s="4" customFormat="1">
      <c r="B1117" s="28"/>
      <c r="C1117" s="18"/>
      <c r="E1117" s="50"/>
    </row>
    <row r="1118" spans="2:5" s="4" customFormat="1">
      <c r="B1118" s="28"/>
      <c r="C1118" s="18"/>
      <c r="E1118" s="50"/>
    </row>
    <row r="1119" spans="2:5" s="4" customFormat="1">
      <c r="B1119" s="28"/>
      <c r="C1119" s="18"/>
      <c r="E1119" s="50"/>
    </row>
    <row r="1120" spans="2:5" s="4" customFormat="1">
      <c r="B1120" s="28"/>
      <c r="C1120" s="18"/>
      <c r="E1120" s="50"/>
    </row>
    <row r="1121" spans="2:5" s="4" customFormat="1">
      <c r="B1121" s="28"/>
      <c r="C1121" s="18"/>
      <c r="E1121" s="50"/>
    </row>
    <row r="1122" spans="2:5" s="4" customFormat="1">
      <c r="B1122" s="28"/>
      <c r="C1122" s="18"/>
      <c r="E1122" s="50"/>
    </row>
    <row r="1123" spans="2:5" s="4" customFormat="1">
      <c r="B1123" s="28"/>
      <c r="C1123" s="18"/>
      <c r="E1123" s="50"/>
    </row>
    <row r="1124" spans="2:5" s="4" customFormat="1">
      <c r="B1124" s="28"/>
      <c r="C1124" s="18"/>
      <c r="E1124" s="50"/>
    </row>
    <row r="1125" spans="2:5" s="4" customFormat="1">
      <c r="B1125" s="28"/>
      <c r="C1125" s="18"/>
      <c r="E1125" s="50"/>
    </row>
    <row r="1126" spans="2:5" s="4" customFormat="1">
      <c r="B1126" s="28"/>
      <c r="C1126" s="18"/>
      <c r="E1126" s="50"/>
    </row>
    <row r="1127" spans="2:5" s="4" customFormat="1">
      <c r="B1127" s="28"/>
      <c r="C1127" s="18"/>
      <c r="E1127" s="50"/>
    </row>
    <row r="1128" spans="2:5" s="4" customFormat="1">
      <c r="B1128" s="28"/>
      <c r="C1128" s="18"/>
      <c r="E1128" s="50"/>
    </row>
    <row r="1129" spans="2:5" s="4" customFormat="1">
      <c r="B1129" s="28"/>
      <c r="C1129" s="18"/>
      <c r="E1129" s="50"/>
    </row>
    <row r="1130" spans="2:5" s="4" customFormat="1">
      <c r="B1130" s="28"/>
      <c r="C1130" s="18"/>
      <c r="E1130" s="50"/>
    </row>
    <row r="1131" spans="2:5" s="4" customFormat="1">
      <c r="B1131" s="28"/>
      <c r="C1131" s="18"/>
      <c r="E1131" s="50"/>
    </row>
    <row r="1132" spans="2:5" s="4" customFormat="1">
      <c r="B1132" s="28"/>
      <c r="C1132" s="18"/>
      <c r="E1132" s="50"/>
    </row>
    <row r="1133" spans="2:5" s="4" customFormat="1">
      <c r="B1133" s="28"/>
      <c r="C1133" s="18"/>
      <c r="E1133" s="50"/>
    </row>
    <row r="1134" spans="2:5" s="4" customFormat="1">
      <c r="B1134" s="28"/>
      <c r="C1134" s="18"/>
      <c r="E1134" s="50"/>
    </row>
    <row r="1135" spans="2:5" s="4" customFormat="1">
      <c r="B1135" s="28"/>
      <c r="C1135" s="18"/>
      <c r="E1135" s="50"/>
    </row>
    <row r="1136" spans="2:5" s="4" customFormat="1">
      <c r="B1136" s="28"/>
      <c r="C1136" s="18"/>
      <c r="E1136" s="50"/>
    </row>
    <row r="1137" spans="2:5" s="4" customFormat="1">
      <c r="B1137" s="28"/>
      <c r="C1137" s="18"/>
      <c r="E1137" s="50"/>
    </row>
    <row r="1138" spans="2:5" s="4" customFormat="1">
      <c r="B1138" s="28"/>
      <c r="C1138" s="18"/>
      <c r="E1138" s="50"/>
    </row>
    <row r="1139" spans="2:5" s="4" customFormat="1">
      <c r="B1139" s="28"/>
      <c r="C1139" s="18"/>
      <c r="E1139" s="50"/>
    </row>
    <row r="1140" spans="2:5" s="4" customFormat="1">
      <c r="B1140" s="28"/>
      <c r="C1140" s="18"/>
      <c r="E1140" s="50"/>
    </row>
    <row r="1141" spans="2:5" s="4" customFormat="1">
      <c r="B1141" s="28"/>
      <c r="C1141" s="18"/>
      <c r="E1141" s="50"/>
    </row>
    <row r="1142" spans="2:5" s="4" customFormat="1">
      <c r="B1142" s="28"/>
      <c r="C1142" s="18"/>
      <c r="E1142" s="50"/>
    </row>
    <row r="1143" spans="2:5" s="4" customFormat="1">
      <c r="B1143" s="28"/>
      <c r="C1143" s="18"/>
      <c r="E1143" s="50"/>
    </row>
    <row r="1144" spans="2:5" s="4" customFormat="1">
      <c r="B1144" s="28"/>
      <c r="C1144" s="18"/>
      <c r="E1144" s="50"/>
    </row>
    <row r="1145" spans="2:5" s="4" customFormat="1">
      <c r="B1145" s="28"/>
      <c r="C1145" s="18"/>
      <c r="E1145" s="50"/>
    </row>
    <row r="1146" spans="2:5" s="4" customFormat="1">
      <c r="B1146" s="28"/>
      <c r="C1146" s="18"/>
      <c r="E1146" s="50"/>
    </row>
    <row r="1147" spans="2:5" s="4" customFormat="1">
      <c r="B1147" s="28"/>
      <c r="C1147" s="18"/>
      <c r="E1147" s="50"/>
    </row>
    <row r="1148" spans="2:5" s="4" customFormat="1">
      <c r="B1148" s="28"/>
      <c r="C1148" s="18"/>
      <c r="E1148" s="50"/>
    </row>
    <row r="1149" spans="2:5" s="4" customFormat="1">
      <c r="B1149" s="28"/>
      <c r="C1149" s="18"/>
      <c r="E1149" s="50"/>
    </row>
    <row r="1150" spans="2:5" s="4" customFormat="1">
      <c r="B1150" s="28"/>
      <c r="C1150" s="18"/>
      <c r="E1150" s="50"/>
    </row>
    <row r="1151" spans="2:5" s="4" customFormat="1">
      <c r="B1151" s="28"/>
      <c r="C1151" s="18"/>
      <c r="E1151" s="50"/>
    </row>
    <row r="1152" spans="2:5" s="4" customFormat="1">
      <c r="B1152" s="28"/>
      <c r="C1152" s="18"/>
      <c r="E1152" s="50"/>
    </row>
    <row r="1153" spans="2:5" s="4" customFormat="1">
      <c r="B1153" s="28"/>
      <c r="C1153" s="18"/>
      <c r="E1153" s="50"/>
    </row>
    <row r="1154" spans="2:5" s="4" customFormat="1">
      <c r="B1154" s="28"/>
      <c r="C1154" s="18"/>
      <c r="E1154" s="50"/>
    </row>
    <row r="1155" spans="2:5" s="4" customFormat="1">
      <c r="B1155" s="28"/>
      <c r="C1155" s="18"/>
      <c r="E1155" s="50"/>
    </row>
    <row r="1156" spans="2:5" s="4" customFormat="1">
      <c r="B1156" s="28"/>
      <c r="C1156" s="18"/>
      <c r="E1156" s="50"/>
    </row>
    <row r="1157" spans="2:5" s="4" customFormat="1">
      <c r="B1157" s="28"/>
      <c r="C1157" s="18"/>
      <c r="E1157" s="50"/>
    </row>
    <row r="1158" spans="2:5" s="4" customFormat="1">
      <c r="B1158" s="28"/>
      <c r="C1158" s="18"/>
      <c r="E1158" s="50"/>
    </row>
    <row r="1159" spans="2:5" s="4" customFormat="1">
      <c r="B1159" s="28"/>
      <c r="C1159" s="18"/>
      <c r="E1159" s="50"/>
    </row>
    <row r="1160" spans="2:5" s="4" customFormat="1">
      <c r="B1160" s="28"/>
      <c r="C1160" s="18"/>
      <c r="E1160" s="50"/>
    </row>
    <row r="1161" spans="2:5" s="4" customFormat="1">
      <c r="B1161" s="28"/>
      <c r="C1161" s="18"/>
      <c r="E1161" s="50"/>
    </row>
    <row r="1162" spans="2:5" s="4" customFormat="1">
      <c r="B1162" s="28"/>
      <c r="C1162" s="18"/>
      <c r="E1162" s="50"/>
    </row>
    <row r="1163" spans="2:5" s="4" customFormat="1">
      <c r="B1163" s="28"/>
      <c r="C1163" s="18"/>
      <c r="E1163" s="50"/>
    </row>
    <row r="1164" spans="2:5" s="4" customFormat="1">
      <c r="B1164" s="28"/>
      <c r="C1164" s="18"/>
      <c r="E1164" s="50"/>
    </row>
    <row r="1165" spans="2:5" s="4" customFormat="1">
      <c r="B1165" s="28"/>
      <c r="C1165" s="18"/>
      <c r="E1165" s="50"/>
    </row>
    <row r="1166" spans="2:5" s="4" customFormat="1">
      <c r="B1166" s="28"/>
      <c r="C1166" s="18"/>
      <c r="E1166" s="50"/>
    </row>
    <row r="1167" spans="2:5" s="4" customFormat="1">
      <c r="B1167" s="28"/>
      <c r="C1167" s="18"/>
      <c r="E1167" s="50"/>
    </row>
    <row r="1168" spans="2:5" s="4" customFormat="1">
      <c r="B1168" s="28"/>
      <c r="C1168" s="18"/>
      <c r="E1168" s="50"/>
    </row>
    <row r="1169" spans="2:5" s="4" customFormat="1">
      <c r="B1169" s="28"/>
      <c r="C1169" s="18"/>
      <c r="E1169" s="50"/>
    </row>
    <row r="1170" spans="2:5" s="4" customFormat="1">
      <c r="B1170" s="28"/>
      <c r="C1170" s="18"/>
      <c r="E1170" s="50"/>
    </row>
    <row r="1171" spans="2:5" s="4" customFormat="1">
      <c r="B1171" s="28"/>
      <c r="C1171" s="18"/>
      <c r="E1171" s="50"/>
    </row>
    <row r="1172" spans="2:5" s="4" customFormat="1">
      <c r="B1172" s="28"/>
      <c r="C1172" s="18"/>
      <c r="E1172" s="50"/>
    </row>
    <row r="1173" spans="2:5" s="4" customFormat="1">
      <c r="B1173" s="28"/>
      <c r="C1173" s="18"/>
      <c r="E1173" s="50"/>
    </row>
    <row r="1174" spans="2:5" s="4" customFormat="1">
      <c r="B1174" s="28"/>
      <c r="C1174" s="18"/>
      <c r="E1174" s="50"/>
    </row>
    <row r="1175" spans="2:5" s="4" customFormat="1">
      <c r="B1175" s="28"/>
      <c r="C1175" s="18"/>
      <c r="E1175" s="50"/>
    </row>
    <row r="1176" spans="2:5" s="4" customFormat="1">
      <c r="B1176" s="28"/>
      <c r="C1176" s="18"/>
      <c r="E1176" s="50"/>
    </row>
    <row r="1177" spans="2:5" s="4" customFormat="1">
      <c r="B1177" s="28"/>
      <c r="C1177" s="18"/>
      <c r="E1177" s="50"/>
    </row>
    <row r="1178" spans="2:5" s="4" customFormat="1">
      <c r="B1178" s="28"/>
      <c r="C1178" s="18"/>
      <c r="E1178" s="50"/>
    </row>
    <row r="1179" spans="2:5" s="4" customFormat="1">
      <c r="B1179" s="28"/>
      <c r="C1179" s="18"/>
      <c r="E1179" s="50"/>
    </row>
    <row r="1180" spans="2:5" s="4" customFormat="1">
      <c r="B1180" s="28"/>
      <c r="C1180" s="18"/>
      <c r="E1180" s="50"/>
    </row>
    <row r="1181" spans="2:5" s="4" customFormat="1">
      <c r="B1181" s="28"/>
      <c r="C1181" s="18"/>
      <c r="E1181" s="50"/>
    </row>
    <row r="1182" spans="2:5" s="4" customFormat="1">
      <c r="B1182" s="28"/>
      <c r="C1182" s="18"/>
      <c r="E1182" s="50"/>
    </row>
    <row r="1183" spans="2:5" s="4" customFormat="1">
      <c r="B1183" s="28"/>
      <c r="C1183" s="18"/>
      <c r="E1183" s="50"/>
    </row>
    <row r="1184" spans="2:5" s="4" customFormat="1">
      <c r="B1184" s="28"/>
      <c r="C1184" s="18"/>
      <c r="E1184" s="50"/>
    </row>
    <row r="1185" spans="2:5" s="4" customFormat="1">
      <c r="B1185" s="28"/>
      <c r="C1185" s="18"/>
      <c r="E1185" s="50"/>
    </row>
    <row r="1186" spans="2:5" s="4" customFormat="1">
      <c r="B1186" s="28"/>
      <c r="C1186" s="18"/>
      <c r="E1186" s="50"/>
    </row>
    <row r="1187" spans="2:5" s="4" customFormat="1">
      <c r="B1187" s="28"/>
      <c r="C1187" s="18"/>
      <c r="E1187" s="50"/>
    </row>
    <row r="1188" spans="2:5" s="4" customFormat="1">
      <c r="B1188" s="28"/>
      <c r="C1188" s="18"/>
      <c r="E1188" s="50"/>
    </row>
    <row r="1189" spans="2:5" s="4" customFormat="1">
      <c r="B1189" s="28"/>
      <c r="C1189" s="18"/>
      <c r="E1189" s="50"/>
    </row>
    <row r="1190" spans="2:5" s="4" customFormat="1">
      <c r="B1190" s="28"/>
      <c r="C1190" s="18"/>
      <c r="E1190" s="50"/>
    </row>
    <row r="1191" spans="2:5" s="4" customFormat="1">
      <c r="B1191" s="28"/>
      <c r="C1191" s="18"/>
      <c r="E1191" s="50"/>
    </row>
    <row r="1192" spans="2:5" s="4" customFormat="1">
      <c r="B1192" s="28"/>
      <c r="C1192" s="18"/>
      <c r="E1192" s="50"/>
    </row>
    <row r="1193" spans="2:5" s="4" customFormat="1">
      <c r="B1193" s="28"/>
      <c r="C1193" s="18"/>
      <c r="E1193" s="50"/>
    </row>
    <row r="1194" spans="2:5" s="4" customFormat="1">
      <c r="B1194" s="28"/>
      <c r="C1194" s="18"/>
      <c r="E1194" s="50"/>
    </row>
    <row r="1195" spans="2:5" s="4" customFormat="1">
      <c r="B1195" s="28"/>
      <c r="C1195" s="18"/>
      <c r="E1195" s="50"/>
    </row>
    <row r="1196" spans="2:5" s="4" customFormat="1">
      <c r="B1196" s="28"/>
      <c r="C1196" s="18"/>
      <c r="E1196" s="50"/>
    </row>
    <row r="1197" spans="2:5" s="4" customFormat="1">
      <c r="B1197" s="28"/>
      <c r="C1197" s="18"/>
      <c r="E1197" s="50"/>
    </row>
    <row r="1198" spans="2:5" s="4" customFormat="1">
      <c r="B1198" s="28"/>
      <c r="C1198" s="18"/>
      <c r="E1198" s="50"/>
    </row>
    <row r="1199" spans="2:5" s="4" customFormat="1">
      <c r="B1199" s="28"/>
      <c r="C1199" s="18"/>
      <c r="E1199" s="50"/>
    </row>
    <row r="1200" spans="2:5" s="4" customFormat="1">
      <c r="B1200" s="28"/>
      <c r="C1200" s="18"/>
      <c r="E1200" s="50"/>
    </row>
    <row r="1201" spans="2:5" s="4" customFormat="1">
      <c r="B1201" s="28"/>
      <c r="C1201" s="18"/>
      <c r="E1201" s="50"/>
    </row>
    <row r="1202" spans="2:5" s="4" customFormat="1">
      <c r="B1202" s="28"/>
      <c r="C1202" s="18"/>
      <c r="E1202" s="50"/>
    </row>
    <row r="1203" spans="2:5" s="4" customFormat="1">
      <c r="B1203" s="28"/>
      <c r="C1203" s="18"/>
      <c r="E1203" s="50"/>
    </row>
    <row r="1204" spans="2:5" s="4" customFormat="1">
      <c r="B1204" s="28"/>
      <c r="C1204" s="18"/>
      <c r="E1204" s="50"/>
    </row>
    <row r="1205" spans="2:5" s="4" customFormat="1">
      <c r="B1205" s="28"/>
      <c r="C1205" s="18"/>
      <c r="E1205" s="50"/>
    </row>
    <row r="1206" spans="2:5" s="4" customFormat="1">
      <c r="B1206" s="28"/>
      <c r="C1206" s="18"/>
      <c r="E1206" s="50"/>
    </row>
    <row r="1207" spans="2:5" s="4" customFormat="1">
      <c r="B1207" s="28"/>
      <c r="C1207" s="18"/>
      <c r="E1207" s="50"/>
    </row>
    <row r="1208" spans="2:5" s="4" customFormat="1">
      <c r="B1208" s="28"/>
      <c r="C1208" s="18"/>
      <c r="E1208" s="50"/>
    </row>
    <row r="1209" spans="2:5" s="4" customFormat="1">
      <c r="B1209" s="28"/>
      <c r="C1209" s="18"/>
      <c r="E1209" s="50"/>
    </row>
    <row r="1210" spans="2:5" s="4" customFormat="1">
      <c r="B1210" s="28"/>
      <c r="C1210" s="18"/>
      <c r="E1210" s="50"/>
    </row>
    <row r="1211" spans="2:5" s="4" customFormat="1">
      <c r="B1211" s="28"/>
      <c r="C1211" s="18"/>
      <c r="E1211" s="50"/>
    </row>
    <row r="1212" spans="2:5" s="4" customFormat="1">
      <c r="B1212" s="28"/>
      <c r="C1212" s="18"/>
      <c r="E1212" s="50"/>
    </row>
    <row r="1213" spans="2:5" s="4" customFormat="1">
      <c r="B1213" s="28"/>
      <c r="C1213" s="18"/>
      <c r="E1213" s="50"/>
    </row>
    <row r="1214" spans="2:5" s="4" customFormat="1">
      <c r="B1214" s="28"/>
      <c r="C1214" s="18"/>
      <c r="E1214" s="50"/>
    </row>
    <row r="1215" spans="2:5" s="4" customFormat="1">
      <c r="B1215" s="28"/>
      <c r="C1215" s="18"/>
      <c r="E1215" s="50"/>
    </row>
    <row r="1216" spans="2:5" s="4" customFormat="1">
      <c r="B1216" s="28"/>
      <c r="C1216" s="18"/>
      <c r="E1216" s="50"/>
    </row>
    <row r="1217" spans="2:5" s="4" customFormat="1">
      <c r="B1217" s="28"/>
      <c r="C1217" s="18"/>
      <c r="E1217" s="50"/>
    </row>
    <row r="1218" spans="2:5" s="4" customFormat="1">
      <c r="B1218" s="28"/>
      <c r="C1218" s="18"/>
      <c r="E1218" s="50"/>
    </row>
    <row r="1219" spans="2:5" s="4" customFormat="1">
      <c r="B1219" s="28"/>
      <c r="C1219" s="18"/>
      <c r="E1219" s="50"/>
    </row>
    <row r="1220" spans="2:5" s="4" customFormat="1">
      <c r="B1220" s="28"/>
      <c r="C1220" s="18"/>
      <c r="E1220" s="50"/>
    </row>
    <row r="1221" spans="2:5" s="4" customFormat="1">
      <c r="B1221" s="28"/>
      <c r="C1221" s="18"/>
      <c r="E1221" s="50"/>
    </row>
    <row r="1222" spans="2:5" s="4" customFormat="1">
      <c r="B1222" s="28"/>
      <c r="C1222" s="18"/>
      <c r="E1222" s="50"/>
    </row>
    <row r="1223" spans="2:5" s="4" customFormat="1">
      <c r="B1223" s="28"/>
      <c r="C1223" s="18"/>
      <c r="E1223" s="50"/>
    </row>
    <row r="1224" spans="2:5" s="4" customFormat="1">
      <c r="B1224" s="28"/>
      <c r="C1224" s="18"/>
      <c r="E1224" s="50"/>
    </row>
    <row r="1225" spans="2:5" s="4" customFormat="1">
      <c r="B1225" s="28"/>
      <c r="C1225" s="18"/>
      <c r="E1225" s="50"/>
    </row>
    <row r="1226" spans="2:5" s="4" customFormat="1">
      <c r="B1226" s="28"/>
      <c r="C1226" s="18"/>
      <c r="E1226" s="50"/>
    </row>
    <row r="1227" spans="2:5" s="4" customFormat="1">
      <c r="B1227" s="28"/>
      <c r="C1227" s="18"/>
      <c r="E1227" s="50"/>
    </row>
    <row r="1228" spans="2:5" s="4" customFormat="1">
      <c r="B1228" s="28"/>
      <c r="C1228" s="18"/>
      <c r="E1228" s="50"/>
    </row>
    <row r="1229" spans="2:5" s="4" customFormat="1">
      <c r="B1229" s="28"/>
      <c r="C1229" s="18"/>
      <c r="E1229" s="50"/>
    </row>
    <row r="1230" spans="2:5" s="4" customFormat="1">
      <c r="B1230" s="28"/>
      <c r="C1230" s="18"/>
      <c r="E1230" s="50"/>
    </row>
    <row r="1231" spans="2:5" s="4" customFormat="1">
      <c r="B1231" s="28"/>
      <c r="C1231" s="18"/>
      <c r="E1231" s="50"/>
    </row>
    <row r="1232" spans="2:5" s="4" customFormat="1">
      <c r="B1232" s="28"/>
      <c r="C1232" s="18"/>
      <c r="E1232" s="50"/>
    </row>
    <row r="1233" spans="2:5" s="4" customFormat="1">
      <c r="B1233" s="28"/>
      <c r="C1233" s="18"/>
      <c r="E1233" s="50"/>
    </row>
    <row r="1234" spans="2:5" s="4" customFormat="1">
      <c r="B1234" s="28"/>
      <c r="C1234" s="18"/>
      <c r="E1234" s="50"/>
    </row>
    <row r="1235" spans="2:5" s="4" customFormat="1">
      <c r="B1235" s="28"/>
      <c r="C1235" s="18"/>
      <c r="E1235" s="50"/>
    </row>
    <row r="1236" spans="2:5" s="4" customFormat="1">
      <c r="B1236" s="28"/>
      <c r="C1236" s="18"/>
      <c r="E1236" s="50"/>
    </row>
    <row r="1237" spans="2:5" s="4" customFormat="1">
      <c r="B1237" s="28"/>
      <c r="C1237" s="18"/>
      <c r="E1237" s="50"/>
    </row>
    <row r="1238" spans="2:5" s="4" customFormat="1">
      <c r="B1238" s="28"/>
      <c r="C1238" s="18"/>
      <c r="E1238" s="50"/>
    </row>
    <row r="1239" spans="2:5" s="4" customFormat="1">
      <c r="B1239" s="28"/>
      <c r="C1239" s="18"/>
      <c r="E1239" s="50"/>
    </row>
    <row r="1240" spans="2:5" s="4" customFormat="1">
      <c r="B1240" s="28"/>
      <c r="C1240" s="18"/>
      <c r="E1240" s="50"/>
    </row>
    <row r="1241" spans="2:5" s="4" customFormat="1">
      <c r="B1241" s="28"/>
      <c r="C1241" s="18"/>
      <c r="E1241" s="50"/>
    </row>
    <row r="1242" spans="2:5" s="4" customFormat="1">
      <c r="B1242" s="28"/>
      <c r="C1242" s="18"/>
      <c r="E1242" s="50"/>
    </row>
    <row r="1243" spans="2:5" s="4" customFormat="1">
      <c r="B1243" s="28"/>
      <c r="C1243" s="18"/>
      <c r="E1243" s="50"/>
    </row>
    <row r="1244" spans="2:5" s="4" customFormat="1">
      <c r="B1244" s="28"/>
      <c r="C1244" s="18"/>
      <c r="E1244" s="50"/>
    </row>
    <row r="1245" spans="2:5" s="4" customFormat="1">
      <c r="B1245" s="28"/>
      <c r="C1245" s="18"/>
      <c r="E1245" s="50"/>
    </row>
    <row r="1246" spans="2:5" s="4" customFormat="1">
      <c r="B1246" s="28"/>
      <c r="C1246" s="18"/>
      <c r="E1246" s="50"/>
    </row>
    <row r="1247" spans="2:5" s="4" customFormat="1">
      <c r="B1247" s="28"/>
      <c r="C1247" s="18"/>
      <c r="E1247" s="50"/>
    </row>
    <row r="1248" spans="2:5" s="4" customFormat="1">
      <c r="B1248" s="28"/>
      <c r="C1248" s="18"/>
      <c r="E1248" s="50"/>
    </row>
    <row r="1249" spans="2:5" s="4" customFormat="1">
      <c r="B1249" s="28"/>
      <c r="C1249" s="18"/>
      <c r="E1249" s="50"/>
    </row>
    <row r="1250" spans="2:5" s="4" customFormat="1">
      <c r="B1250" s="28"/>
      <c r="C1250" s="18"/>
      <c r="E1250" s="50"/>
    </row>
    <row r="1251" spans="2:5" s="4" customFormat="1">
      <c r="B1251" s="28"/>
      <c r="C1251" s="18"/>
      <c r="E1251" s="50"/>
    </row>
    <row r="1252" spans="2:5" s="4" customFormat="1">
      <c r="B1252" s="28"/>
      <c r="C1252" s="18"/>
      <c r="E1252" s="50"/>
    </row>
    <row r="1253" spans="2:5" s="4" customFormat="1">
      <c r="B1253" s="28"/>
      <c r="C1253" s="18"/>
      <c r="E1253" s="50"/>
    </row>
    <row r="1254" spans="2:5" s="4" customFormat="1">
      <c r="B1254" s="28"/>
      <c r="C1254" s="18"/>
      <c r="E1254" s="50"/>
    </row>
    <row r="1255" spans="2:5" s="4" customFormat="1">
      <c r="B1255" s="28"/>
      <c r="C1255" s="18"/>
      <c r="E1255" s="50"/>
    </row>
    <row r="1256" spans="2:5" s="4" customFormat="1">
      <c r="B1256" s="28"/>
      <c r="C1256" s="18"/>
      <c r="E1256" s="50"/>
    </row>
    <row r="1257" spans="2:5" s="4" customFormat="1">
      <c r="B1257" s="28"/>
      <c r="C1257" s="18"/>
      <c r="E1257" s="50"/>
    </row>
    <row r="1258" spans="2:5" s="4" customFormat="1">
      <c r="B1258" s="28"/>
      <c r="C1258" s="18"/>
      <c r="E1258" s="50"/>
    </row>
    <row r="1259" spans="2:5" s="4" customFormat="1">
      <c r="B1259" s="28"/>
      <c r="C1259" s="18"/>
      <c r="E1259" s="50"/>
    </row>
    <row r="1260" spans="2:5" s="4" customFormat="1">
      <c r="B1260" s="28"/>
      <c r="C1260" s="18"/>
      <c r="E1260" s="50"/>
    </row>
    <row r="1261" spans="2:5" s="4" customFormat="1">
      <c r="B1261" s="28"/>
      <c r="C1261" s="18"/>
      <c r="E1261" s="50"/>
    </row>
    <row r="1262" spans="2:5" s="4" customFormat="1">
      <c r="B1262" s="28"/>
      <c r="C1262" s="18"/>
      <c r="E1262" s="50"/>
    </row>
    <row r="1263" spans="2:5" s="4" customFormat="1">
      <c r="B1263" s="28"/>
      <c r="C1263" s="18"/>
      <c r="E1263" s="50"/>
    </row>
    <row r="1264" spans="2:5" s="4" customFormat="1">
      <c r="B1264" s="28"/>
      <c r="C1264" s="18"/>
      <c r="E1264" s="50"/>
    </row>
    <row r="1265" spans="2:5" s="4" customFormat="1">
      <c r="B1265" s="28"/>
      <c r="C1265" s="18"/>
      <c r="E1265" s="50"/>
    </row>
    <row r="1266" spans="2:5" s="4" customFormat="1">
      <c r="B1266" s="28"/>
      <c r="C1266" s="18"/>
      <c r="E1266" s="50"/>
    </row>
    <row r="1267" spans="2:5" s="4" customFormat="1">
      <c r="B1267" s="28"/>
      <c r="C1267" s="18"/>
      <c r="E1267" s="50"/>
    </row>
    <row r="1268" spans="2:5" s="4" customFormat="1">
      <c r="B1268" s="28"/>
      <c r="C1268" s="18"/>
      <c r="E1268" s="50"/>
    </row>
    <row r="1269" spans="2:5" s="4" customFormat="1">
      <c r="B1269" s="28"/>
      <c r="C1269" s="18"/>
      <c r="E1269" s="50"/>
    </row>
    <row r="1270" spans="2:5" s="4" customFormat="1">
      <c r="B1270" s="28"/>
      <c r="C1270" s="18"/>
      <c r="E1270" s="50"/>
    </row>
    <row r="1271" spans="2:5" s="4" customFormat="1">
      <c r="B1271" s="28"/>
      <c r="C1271" s="18"/>
      <c r="E1271" s="50"/>
    </row>
    <row r="1272" spans="2:5" s="4" customFormat="1">
      <c r="B1272" s="28"/>
      <c r="C1272" s="18"/>
      <c r="E1272" s="50"/>
    </row>
    <row r="1273" spans="2:5" s="4" customFormat="1">
      <c r="B1273" s="28"/>
      <c r="C1273" s="18"/>
      <c r="E1273" s="50"/>
    </row>
    <row r="1274" spans="2:5" s="4" customFormat="1">
      <c r="B1274" s="28"/>
      <c r="C1274" s="18"/>
      <c r="E1274" s="50"/>
    </row>
    <row r="1275" spans="2:5" s="4" customFormat="1">
      <c r="B1275" s="28"/>
      <c r="C1275" s="18"/>
      <c r="E1275" s="50"/>
    </row>
    <row r="1276" spans="2:5" s="4" customFormat="1">
      <c r="B1276" s="28"/>
      <c r="C1276" s="18"/>
      <c r="E1276" s="50"/>
    </row>
    <row r="1277" spans="2:5" s="4" customFormat="1">
      <c r="B1277" s="28"/>
      <c r="C1277" s="18"/>
      <c r="E1277" s="50"/>
    </row>
    <row r="1278" spans="2:5" s="4" customFormat="1">
      <c r="B1278" s="28"/>
      <c r="C1278" s="18"/>
      <c r="E1278" s="50"/>
    </row>
    <row r="1279" spans="2:5" s="4" customFormat="1">
      <c r="B1279" s="28"/>
      <c r="C1279" s="18"/>
      <c r="E1279" s="50"/>
    </row>
    <row r="1280" spans="2:5" s="4" customFormat="1">
      <c r="B1280" s="28"/>
      <c r="C1280" s="18"/>
      <c r="E1280" s="50"/>
    </row>
    <row r="1281" spans="2:5" s="4" customFormat="1">
      <c r="B1281" s="28"/>
      <c r="C1281" s="18"/>
      <c r="E1281" s="50"/>
    </row>
    <row r="1282" spans="2:5" s="4" customFormat="1">
      <c r="B1282" s="28"/>
      <c r="C1282" s="18"/>
      <c r="E1282" s="50"/>
    </row>
    <row r="1283" spans="2:5" s="4" customFormat="1">
      <c r="B1283" s="28"/>
      <c r="C1283" s="18"/>
      <c r="E1283" s="50"/>
    </row>
    <row r="1284" spans="2:5" s="4" customFormat="1">
      <c r="B1284" s="28"/>
      <c r="C1284" s="18"/>
      <c r="E1284" s="50"/>
    </row>
    <row r="1285" spans="2:5" s="4" customFormat="1">
      <c r="B1285" s="28"/>
      <c r="C1285" s="18"/>
      <c r="E1285" s="50"/>
    </row>
    <row r="1286" spans="2:5" s="4" customFormat="1">
      <c r="B1286" s="28"/>
      <c r="C1286" s="18"/>
      <c r="E1286" s="50"/>
    </row>
    <row r="1287" spans="2:5" s="4" customFormat="1">
      <c r="B1287" s="28"/>
      <c r="C1287" s="18"/>
      <c r="E1287" s="50"/>
    </row>
    <row r="1288" spans="2:5" s="4" customFormat="1">
      <c r="B1288" s="28"/>
      <c r="C1288" s="18"/>
      <c r="E1288" s="50"/>
    </row>
    <row r="1289" spans="2:5" s="4" customFormat="1">
      <c r="B1289" s="28"/>
      <c r="C1289" s="18"/>
      <c r="E1289" s="50"/>
    </row>
    <row r="1290" spans="2:5" s="4" customFormat="1">
      <c r="B1290" s="28"/>
      <c r="C1290" s="18"/>
      <c r="E1290" s="50"/>
    </row>
    <row r="1291" spans="2:5" s="4" customFormat="1">
      <c r="B1291" s="28"/>
      <c r="C1291" s="18"/>
      <c r="E1291" s="50"/>
    </row>
    <row r="1292" spans="2:5" s="4" customFormat="1">
      <c r="B1292" s="28"/>
      <c r="C1292" s="18"/>
      <c r="E1292" s="50"/>
    </row>
    <row r="1293" spans="2:5" s="4" customFormat="1">
      <c r="B1293" s="28"/>
      <c r="C1293" s="18"/>
      <c r="E1293" s="50"/>
    </row>
    <row r="1294" spans="2:5" s="4" customFormat="1">
      <c r="B1294" s="28"/>
      <c r="C1294" s="18"/>
      <c r="E1294" s="50"/>
    </row>
    <row r="1295" spans="2:5" s="4" customFormat="1">
      <c r="B1295" s="28"/>
      <c r="C1295" s="18"/>
      <c r="E1295" s="50"/>
    </row>
    <row r="1296" spans="2:5" s="4" customFormat="1">
      <c r="B1296" s="28"/>
      <c r="C1296" s="18"/>
      <c r="E1296" s="50"/>
    </row>
    <row r="1297" spans="2:5" s="4" customFormat="1">
      <c r="B1297" s="28"/>
      <c r="C1297" s="18"/>
      <c r="E1297" s="50"/>
    </row>
    <row r="1298" spans="2:5" s="4" customFormat="1">
      <c r="B1298" s="28"/>
      <c r="C1298" s="18"/>
      <c r="E1298" s="50"/>
    </row>
    <row r="1299" spans="2:5" s="4" customFormat="1">
      <c r="B1299" s="28"/>
      <c r="C1299" s="18"/>
      <c r="E1299" s="50"/>
    </row>
    <row r="1300" spans="2:5" s="4" customFormat="1">
      <c r="B1300" s="28"/>
      <c r="C1300" s="18"/>
      <c r="E1300" s="50"/>
    </row>
    <row r="1301" spans="2:5" s="4" customFormat="1">
      <c r="B1301" s="28"/>
      <c r="C1301" s="18"/>
      <c r="E1301" s="50"/>
    </row>
    <row r="1302" spans="2:5" s="4" customFormat="1">
      <c r="B1302" s="28"/>
      <c r="C1302" s="18"/>
      <c r="E1302" s="50"/>
    </row>
    <row r="1303" spans="2:5" s="4" customFormat="1">
      <c r="B1303" s="28"/>
      <c r="C1303" s="18"/>
      <c r="E1303" s="50"/>
    </row>
    <row r="1304" spans="2:5" s="4" customFormat="1">
      <c r="B1304" s="28"/>
      <c r="C1304" s="18"/>
      <c r="E1304" s="50"/>
    </row>
    <row r="1305" spans="2:5" s="4" customFormat="1">
      <c r="B1305" s="28"/>
      <c r="C1305" s="18"/>
      <c r="E1305" s="50"/>
    </row>
    <row r="1306" spans="2:5" s="4" customFormat="1">
      <c r="B1306" s="28"/>
      <c r="C1306" s="18"/>
      <c r="E1306" s="50"/>
    </row>
    <row r="1307" spans="2:5" s="4" customFormat="1">
      <c r="B1307" s="28"/>
      <c r="C1307" s="18"/>
      <c r="E1307" s="50"/>
    </row>
    <row r="1308" spans="2:5" s="4" customFormat="1">
      <c r="B1308" s="28"/>
      <c r="C1308" s="18"/>
      <c r="E1308" s="50"/>
    </row>
    <row r="1309" spans="2:5" s="4" customFormat="1">
      <c r="B1309" s="28"/>
      <c r="C1309" s="18"/>
      <c r="E1309" s="50"/>
    </row>
    <row r="1310" spans="2:5" s="4" customFormat="1">
      <c r="B1310" s="28"/>
      <c r="C1310" s="18"/>
      <c r="E1310" s="50"/>
    </row>
    <row r="1311" spans="2:5" s="4" customFormat="1">
      <c r="B1311" s="28"/>
      <c r="C1311" s="18"/>
      <c r="E1311" s="50"/>
    </row>
    <row r="1312" spans="2:5" s="4" customFormat="1">
      <c r="B1312" s="28"/>
      <c r="C1312" s="18"/>
      <c r="E1312" s="50"/>
    </row>
    <row r="1313" spans="2:5" s="4" customFormat="1">
      <c r="B1313" s="28"/>
      <c r="C1313" s="18"/>
      <c r="E1313" s="50"/>
    </row>
    <row r="1314" spans="2:5" s="4" customFormat="1">
      <c r="B1314" s="28"/>
      <c r="C1314" s="18"/>
      <c r="E1314" s="50"/>
    </row>
    <row r="1315" spans="2:5" s="4" customFormat="1">
      <c r="B1315" s="28"/>
      <c r="C1315" s="18"/>
      <c r="E1315" s="50"/>
    </row>
    <row r="1316" spans="2:5" s="4" customFormat="1">
      <c r="B1316" s="28"/>
      <c r="C1316" s="18"/>
      <c r="E1316" s="50"/>
    </row>
    <row r="1317" spans="2:5" s="4" customFormat="1">
      <c r="B1317" s="28"/>
      <c r="C1317" s="18"/>
      <c r="E1317" s="50"/>
    </row>
    <row r="1318" spans="2:5" s="4" customFormat="1">
      <c r="B1318" s="28"/>
      <c r="C1318" s="18"/>
      <c r="E1318" s="50"/>
    </row>
    <row r="1319" spans="2:5" s="4" customFormat="1">
      <c r="B1319" s="28"/>
      <c r="C1319" s="18"/>
      <c r="E1319" s="50"/>
    </row>
    <row r="1320" spans="2:5" s="4" customFormat="1">
      <c r="B1320" s="28"/>
      <c r="C1320" s="18"/>
      <c r="E1320" s="50"/>
    </row>
    <row r="1321" spans="2:5" s="4" customFormat="1">
      <c r="B1321" s="28"/>
      <c r="C1321" s="18"/>
      <c r="E1321" s="50"/>
    </row>
    <row r="1322" spans="2:5" s="4" customFormat="1">
      <c r="B1322" s="28"/>
      <c r="C1322" s="18"/>
      <c r="E1322" s="50"/>
    </row>
    <row r="1323" spans="2:5" s="4" customFormat="1">
      <c r="B1323" s="28"/>
      <c r="C1323" s="18"/>
      <c r="E1323" s="50"/>
    </row>
    <row r="1324" spans="2:5" s="4" customFormat="1">
      <c r="B1324" s="28"/>
      <c r="C1324" s="18"/>
      <c r="E1324" s="50"/>
    </row>
    <row r="1325" spans="2:5" s="4" customFormat="1">
      <c r="B1325" s="28"/>
      <c r="C1325" s="18"/>
      <c r="E1325" s="50"/>
    </row>
    <row r="1326" spans="2:5" s="4" customFormat="1">
      <c r="B1326" s="28"/>
      <c r="C1326" s="18"/>
      <c r="E1326" s="50"/>
    </row>
    <row r="1327" spans="2:5" s="4" customFormat="1">
      <c r="B1327" s="28"/>
      <c r="C1327" s="18"/>
      <c r="E1327" s="50"/>
    </row>
    <row r="1328" spans="2:5" s="4" customFormat="1">
      <c r="B1328" s="28"/>
      <c r="C1328" s="18"/>
      <c r="E1328" s="50"/>
    </row>
    <row r="1329" spans="2:5" s="4" customFormat="1">
      <c r="B1329" s="28"/>
      <c r="C1329" s="18"/>
      <c r="E1329" s="50"/>
    </row>
    <row r="1330" spans="2:5" s="4" customFormat="1">
      <c r="B1330" s="28"/>
      <c r="C1330" s="18"/>
      <c r="E1330" s="50"/>
    </row>
    <row r="1331" spans="2:5" s="4" customFormat="1">
      <c r="B1331" s="28"/>
      <c r="C1331" s="18"/>
      <c r="E1331" s="50"/>
    </row>
    <row r="1332" spans="2:5" s="4" customFormat="1">
      <c r="B1332" s="28"/>
      <c r="C1332" s="18"/>
      <c r="E1332" s="50"/>
    </row>
    <row r="1333" spans="2:5" s="4" customFormat="1">
      <c r="B1333" s="28"/>
      <c r="C1333" s="18"/>
      <c r="E1333" s="50"/>
    </row>
    <row r="1334" spans="2:5" s="4" customFormat="1">
      <c r="B1334" s="28"/>
      <c r="C1334" s="18"/>
      <c r="E1334" s="50"/>
    </row>
    <row r="1335" spans="2:5" s="4" customFormat="1">
      <c r="B1335" s="28"/>
      <c r="C1335" s="18"/>
      <c r="E1335" s="50"/>
    </row>
    <row r="1336" spans="2:5" s="4" customFormat="1">
      <c r="B1336" s="28"/>
      <c r="C1336" s="18"/>
      <c r="E1336" s="50"/>
    </row>
    <row r="1337" spans="2:5" s="4" customFormat="1">
      <c r="B1337" s="28"/>
      <c r="C1337" s="18"/>
      <c r="E1337" s="50"/>
    </row>
    <row r="1338" spans="2:5" s="4" customFormat="1">
      <c r="B1338" s="28"/>
      <c r="C1338" s="18"/>
      <c r="E1338" s="50"/>
    </row>
    <row r="1339" spans="2:5" s="4" customFormat="1">
      <c r="B1339" s="28"/>
      <c r="C1339" s="18"/>
      <c r="E1339" s="50"/>
    </row>
    <row r="1340" spans="2:5" s="4" customFormat="1">
      <c r="B1340" s="28"/>
      <c r="C1340" s="18"/>
      <c r="E1340" s="50"/>
    </row>
    <row r="1341" spans="2:5" s="4" customFormat="1">
      <c r="B1341" s="28"/>
      <c r="C1341" s="18"/>
      <c r="E1341" s="50"/>
    </row>
    <row r="1342" spans="2:5" s="4" customFormat="1">
      <c r="B1342" s="28"/>
      <c r="C1342" s="18"/>
      <c r="E1342" s="50"/>
    </row>
    <row r="1343" spans="2:5" s="4" customFormat="1">
      <c r="B1343" s="28"/>
      <c r="C1343" s="18"/>
      <c r="E1343" s="50"/>
    </row>
    <row r="1344" spans="2:5" s="4" customFormat="1">
      <c r="B1344" s="28"/>
      <c r="C1344" s="18"/>
      <c r="E1344" s="50"/>
    </row>
    <row r="1345" spans="2:5" s="4" customFormat="1">
      <c r="B1345" s="28"/>
      <c r="C1345" s="18"/>
      <c r="E1345" s="50"/>
    </row>
    <row r="1346" spans="2:5" s="4" customFormat="1">
      <c r="B1346" s="28"/>
      <c r="C1346" s="18"/>
      <c r="E1346" s="50"/>
    </row>
    <row r="1347" spans="2:5" s="4" customFormat="1">
      <c r="B1347" s="28"/>
      <c r="C1347" s="18"/>
      <c r="E1347" s="50"/>
    </row>
    <row r="1348" spans="2:5" s="4" customFormat="1">
      <c r="B1348" s="28"/>
      <c r="C1348" s="18"/>
      <c r="E1348" s="50"/>
    </row>
    <row r="1349" spans="2:5" s="4" customFormat="1">
      <c r="B1349" s="28"/>
      <c r="C1349" s="18"/>
      <c r="E1349" s="50"/>
    </row>
    <row r="1350" spans="2:5" s="4" customFormat="1">
      <c r="B1350" s="28"/>
      <c r="C1350" s="18"/>
      <c r="E1350" s="50"/>
    </row>
    <row r="1351" spans="2:5" s="4" customFormat="1">
      <c r="B1351" s="28"/>
      <c r="C1351" s="18"/>
      <c r="E1351" s="50"/>
    </row>
    <row r="1352" spans="2:5" s="4" customFormat="1">
      <c r="B1352" s="28"/>
      <c r="C1352" s="18"/>
      <c r="E1352" s="50"/>
    </row>
    <row r="1353" spans="2:5" s="4" customFormat="1">
      <c r="B1353" s="28"/>
      <c r="C1353" s="18"/>
      <c r="E1353" s="50"/>
    </row>
    <row r="1354" spans="2:5" s="4" customFormat="1">
      <c r="B1354" s="28"/>
      <c r="C1354" s="18"/>
      <c r="E1354" s="50"/>
    </row>
    <row r="1355" spans="2:5" s="4" customFormat="1">
      <c r="B1355" s="28"/>
      <c r="C1355" s="18"/>
      <c r="E1355" s="50"/>
    </row>
    <row r="1356" spans="2:5" s="4" customFormat="1">
      <c r="B1356" s="28"/>
      <c r="C1356" s="18"/>
      <c r="E1356" s="50"/>
    </row>
    <row r="1357" spans="2:5" s="4" customFormat="1">
      <c r="B1357" s="28"/>
      <c r="C1357" s="18"/>
      <c r="E1357" s="50"/>
    </row>
    <row r="1358" spans="2:5" s="4" customFormat="1">
      <c r="B1358" s="28"/>
      <c r="C1358" s="18"/>
      <c r="E1358" s="50"/>
    </row>
    <row r="1359" spans="2:5" s="4" customFormat="1">
      <c r="B1359" s="28"/>
      <c r="C1359" s="18"/>
      <c r="E1359" s="50"/>
    </row>
    <row r="1360" spans="2:5" s="4" customFormat="1">
      <c r="B1360" s="28"/>
      <c r="C1360" s="18"/>
      <c r="E1360" s="50"/>
    </row>
    <row r="1361" spans="2:5" s="4" customFormat="1">
      <c r="B1361" s="28"/>
      <c r="C1361" s="18"/>
      <c r="E1361" s="50"/>
    </row>
    <row r="1362" spans="2:5" s="4" customFormat="1">
      <c r="B1362" s="28"/>
      <c r="C1362" s="18"/>
      <c r="E1362" s="50"/>
    </row>
    <row r="1363" spans="2:5" s="4" customFormat="1">
      <c r="B1363" s="28"/>
      <c r="C1363" s="18"/>
      <c r="E1363" s="50"/>
    </row>
    <row r="1364" spans="2:5" s="4" customFormat="1">
      <c r="B1364" s="28"/>
      <c r="C1364" s="18"/>
      <c r="E1364" s="50"/>
    </row>
    <row r="1365" spans="2:5" s="4" customFormat="1">
      <c r="B1365" s="28"/>
      <c r="C1365" s="18"/>
      <c r="E1365" s="50"/>
    </row>
    <row r="1366" spans="2:5" s="4" customFormat="1">
      <c r="B1366" s="28"/>
      <c r="C1366" s="18"/>
      <c r="E1366" s="50"/>
    </row>
    <row r="1367" spans="2:5" s="4" customFormat="1">
      <c r="B1367" s="28"/>
      <c r="C1367" s="18"/>
      <c r="E1367" s="50"/>
    </row>
    <row r="1368" spans="2:5" s="4" customFormat="1">
      <c r="B1368" s="28"/>
      <c r="C1368" s="18"/>
      <c r="E1368" s="50"/>
    </row>
    <row r="1369" spans="2:5" s="4" customFormat="1">
      <c r="B1369" s="28"/>
      <c r="C1369" s="18"/>
      <c r="E1369" s="50"/>
    </row>
    <row r="1370" spans="2:5" s="4" customFormat="1">
      <c r="B1370" s="28"/>
      <c r="C1370" s="18"/>
      <c r="E1370" s="50"/>
    </row>
    <row r="1371" spans="2:5" s="4" customFormat="1">
      <c r="B1371" s="28"/>
      <c r="C1371" s="18"/>
      <c r="E1371" s="50"/>
    </row>
    <row r="1372" spans="2:5" s="4" customFormat="1">
      <c r="B1372" s="28"/>
      <c r="C1372" s="18"/>
      <c r="E1372" s="50"/>
    </row>
    <row r="1373" spans="2:5" s="4" customFormat="1">
      <c r="B1373" s="28"/>
      <c r="C1373" s="18"/>
      <c r="E1373" s="50"/>
    </row>
    <row r="1374" spans="2:5" s="4" customFormat="1">
      <c r="B1374" s="28"/>
      <c r="C1374" s="18"/>
      <c r="E1374" s="50"/>
    </row>
    <row r="1375" spans="2:5" s="4" customFormat="1">
      <c r="B1375" s="28"/>
      <c r="C1375" s="18"/>
      <c r="E1375" s="50"/>
    </row>
    <row r="1376" spans="2:5" s="4" customFormat="1">
      <c r="B1376" s="28"/>
      <c r="C1376" s="18"/>
      <c r="E1376" s="50"/>
    </row>
    <row r="1377" spans="2:5" s="4" customFormat="1">
      <c r="B1377" s="28"/>
      <c r="C1377" s="18"/>
      <c r="E1377" s="50"/>
    </row>
    <row r="1378" spans="2:5" s="4" customFormat="1">
      <c r="B1378" s="28"/>
      <c r="C1378" s="18"/>
      <c r="E1378" s="50"/>
    </row>
    <row r="1379" spans="2:5" s="4" customFormat="1">
      <c r="B1379" s="28"/>
      <c r="C1379" s="18"/>
      <c r="E1379" s="50"/>
    </row>
    <row r="1380" spans="2:5" s="4" customFormat="1">
      <c r="B1380" s="28"/>
      <c r="C1380" s="18"/>
      <c r="E1380" s="50"/>
    </row>
    <row r="1381" spans="2:5" s="4" customFormat="1">
      <c r="B1381" s="28"/>
      <c r="C1381" s="18"/>
      <c r="E1381" s="50"/>
    </row>
    <row r="1382" spans="2:5" s="4" customFormat="1">
      <c r="B1382" s="28"/>
      <c r="C1382" s="18"/>
      <c r="E1382" s="50"/>
    </row>
    <row r="1383" spans="2:5" s="4" customFormat="1">
      <c r="B1383" s="28"/>
      <c r="C1383" s="18"/>
      <c r="E1383" s="50"/>
    </row>
    <row r="1384" spans="2:5" s="4" customFormat="1">
      <c r="B1384" s="28"/>
      <c r="C1384" s="18"/>
      <c r="E1384" s="50"/>
    </row>
    <row r="1385" spans="2:5" s="4" customFormat="1">
      <c r="B1385" s="28"/>
      <c r="C1385" s="18"/>
      <c r="E1385" s="50"/>
    </row>
    <row r="1386" spans="2:5" s="4" customFormat="1">
      <c r="B1386" s="28"/>
      <c r="C1386" s="18"/>
      <c r="E1386" s="50"/>
    </row>
    <row r="1387" spans="2:5" s="4" customFormat="1">
      <c r="B1387" s="28"/>
      <c r="C1387" s="18"/>
      <c r="E1387" s="50"/>
    </row>
    <row r="1388" spans="2:5" s="4" customFormat="1">
      <c r="B1388" s="28"/>
      <c r="C1388" s="18"/>
      <c r="E1388" s="50"/>
    </row>
    <row r="1389" spans="2:5" s="4" customFormat="1">
      <c r="B1389" s="28"/>
      <c r="C1389" s="18"/>
      <c r="E1389" s="50"/>
    </row>
    <row r="1390" spans="2:5" s="4" customFormat="1">
      <c r="B1390" s="28"/>
      <c r="C1390" s="18"/>
      <c r="E1390" s="50"/>
    </row>
    <row r="1391" spans="2:5" s="4" customFormat="1">
      <c r="B1391" s="28"/>
      <c r="C1391" s="18"/>
      <c r="E1391" s="50"/>
    </row>
    <row r="1392" spans="2:5" s="4" customFormat="1">
      <c r="B1392" s="28"/>
      <c r="C1392" s="18"/>
      <c r="E1392" s="50"/>
    </row>
    <row r="1393" spans="2:5" s="4" customFormat="1">
      <c r="B1393" s="28"/>
      <c r="C1393" s="18"/>
      <c r="E1393" s="50"/>
    </row>
    <row r="1394" spans="2:5" s="4" customFormat="1">
      <c r="B1394" s="28"/>
      <c r="C1394" s="18"/>
      <c r="E1394" s="50"/>
    </row>
    <row r="1395" spans="2:5" s="4" customFormat="1">
      <c r="B1395" s="28"/>
      <c r="C1395" s="18"/>
      <c r="E1395" s="50"/>
    </row>
    <row r="1396" spans="2:5" s="4" customFormat="1">
      <c r="B1396" s="28"/>
      <c r="C1396" s="18"/>
      <c r="E1396" s="50"/>
    </row>
    <row r="1397" spans="2:5" s="4" customFormat="1">
      <c r="B1397" s="28"/>
      <c r="C1397" s="18"/>
      <c r="E1397" s="50"/>
    </row>
    <row r="1398" spans="2:5" s="4" customFormat="1">
      <c r="B1398" s="28"/>
      <c r="C1398" s="18"/>
      <c r="E1398" s="50"/>
    </row>
    <row r="1399" spans="2:5" s="4" customFormat="1">
      <c r="B1399" s="28"/>
      <c r="C1399" s="18"/>
      <c r="E1399" s="50"/>
    </row>
    <row r="1400" spans="2:5" s="4" customFormat="1">
      <c r="B1400" s="28"/>
      <c r="C1400" s="18"/>
      <c r="E1400" s="50"/>
    </row>
    <row r="1401" spans="2:5" s="4" customFormat="1">
      <c r="B1401" s="28"/>
      <c r="C1401" s="18"/>
      <c r="E1401" s="50"/>
    </row>
    <row r="1402" spans="2:5" s="4" customFormat="1">
      <c r="B1402" s="28"/>
      <c r="C1402" s="18"/>
      <c r="E1402" s="50"/>
    </row>
    <row r="1403" spans="2:5" s="4" customFormat="1">
      <c r="B1403" s="28"/>
      <c r="C1403" s="18"/>
      <c r="E1403" s="50"/>
    </row>
    <row r="1404" spans="2:5" s="4" customFormat="1">
      <c r="B1404" s="28"/>
      <c r="C1404" s="18"/>
      <c r="E1404" s="50"/>
    </row>
    <row r="1405" spans="2:5" s="4" customFormat="1">
      <c r="B1405" s="28"/>
      <c r="C1405" s="18"/>
      <c r="E1405" s="50"/>
    </row>
    <row r="1406" spans="2:5" s="4" customFormat="1">
      <c r="B1406" s="28"/>
      <c r="C1406" s="18"/>
      <c r="E1406" s="50"/>
    </row>
    <row r="1407" spans="2:5" s="4" customFormat="1">
      <c r="B1407" s="28"/>
      <c r="C1407" s="18"/>
      <c r="E1407" s="50"/>
    </row>
    <row r="1408" spans="2:5" s="4" customFormat="1">
      <c r="B1408" s="28"/>
      <c r="C1408" s="18"/>
      <c r="E1408" s="50"/>
    </row>
    <row r="1409" spans="2:5" s="4" customFormat="1">
      <c r="B1409" s="28"/>
      <c r="C1409" s="18"/>
      <c r="E1409" s="50"/>
    </row>
    <row r="1410" spans="2:5" s="4" customFormat="1">
      <c r="B1410" s="28"/>
      <c r="C1410" s="18"/>
      <c r="E1410" s="50"/>
    </row>
    <row r="1411" spans="2:5" s="4" customFormat="1">
      <c r="B1411" s="28"/>
      <c r="C1411" s="18"/>
      <c r="E1411" s="50"/>
    </row>
    <row r="1412" spans="2:5" s="4" customFormat="1">
      <c r="B1412" s="28"/>
      <c r="C1412" s="18"/>
      <c r="E1412" s="50"/>
    </row>
    <row r="1413" spans="2:5" s="4" customFormat="1">
      <c r="B1413" s="28"/>
      <c r="C1413" s="18"/>
      <c r="E1413" s="50"/>
    </row>
    <row r="1414" spans="2:5" s="4" customFormat="1">
      <c r="B1414" s="28"/>
      <c r="C1414" s="18"/>
      <c r="E1414" s="50"/>
    </row>
    <row r="1415" spans="2:5" s="4" customFormat="1">
      <c r="B1415" s="28"/>
      <c r="C1415" s="18"/>
      <c r="E1415" s="50"/>
    </row>
    <row r="1416" spans="2:5" s="4" customFormat="1">
      <c r="B1416" s="28"/>
      <c r="C1416" s="18"/>
      <c r="E1416" s="50"/>
    </row>
    <row r="1417" spans="2:5" s="4" customFormat="1">
      <c r="B1417" s="28"/>
      <c r="C1417" s="18"/>
      <c r="E1417" s="50"/>
    </row>
    <row r="1418" spans="2:5" s="4" customFormat="1">
      <c r="B1418" s="28"/>
      <c r="C1418" s="18"/>
      <c r="E1418" s="50"/>
    </row>
    <row r="1419" spans="2:5" s="4" customFormat="1">
      <c r="B1419" s="28"/>
      <c r="C1419" s="18"/>
      <c r="E1419" s="50"/>
    </row>
    <row r="1420" spans="2:5" s="4" customFormat="1">
      <c r="B1420" s="28"/>
      <c r="C1420" s="18"/>
      <c r="E1420" s="50"/>
    </row>
    <row r="1421" spans="2:5" s="4" customFormat="1">
      <c r="B1421" s="28"/>
      <c r="C1421" s="18"/>
      <c r="E1421" s="50"/>
    </row>
    <row r="1422" spans="2:5" s="4" customFormat="1">
      <c r="B1422" s="28"/>
      <c r="C1422" s="18"/>
      <c r="E1422" s="50"/>
    </row>
    <row r="1423" spans="2:5" s="4" customFormat="1">
      <c r="B1423" s="28"/>
      <c r="C1423" s="18"/>
      <c r="E1423" s="50"/>
    </row>
    <row r="1424" spans="2:5" s="4" customFormat="1">
      <c r="B1424" s="28"/>
      <c r="C1424" s="18"/>
      <c r="E1424" s="50"/>
    </row>
    <row r="1425" spans="2:5" s="4" customFormat="1">
      <c r="B1425" s="28"/>
      <c r="C1425" s="18"/>
      <c r="E1425" s="50"/>
    </row>
    <row r="1426" spans="2:5" s="4" customFormat="1">
      <c r="B1426" s="28"/>
      <c r="C1426" s="18"/>
      <c r="E1426" s="50"/>
    </row>
    <row r="1427" spans="2:5" s="4" customFormat="1">
      <c r="B1427" s="28"/>
      <c r="C1427" s="18"/>
      <c r="E1427" s="50"/>
    </row>
    <row r="1428" spans="2:5" s="4" customFormat="1">
      <c r="B1428" s="28"/>
      <c r="C1428" s="18"/>
      <c r="E1428" s="50"/>
    </row>
    <row r="1429" spans="2:5" s="4" customFormat="1">
      <c r="B1429" s="28"/>
      <c r="C1429" s="18"/>
      <c r="E1429" s="50"/>
    </row>
    <row r="1430" spans="2:5" s="4" customFormat="1">
      <c r="B1430" s="28"/>
      <c r="C1430" s="18"/>
      <c r="E1430" s="50"/>
    </row>
    <row r="1431" spans="2:5" s="4" customFormat="1">
      <c r="B1431" s="28"/>
      <c r="C1431" s="18"/>
      <c r="E1431" s="50"/>
    </row>
    <row r="1432" spans="2:5" s="4" customFormat="1">
      <c r="B1432" s="28"/>
      <c r="C1432" s="18"/>
      <c r="E1432" s="50"/>
    </row>
    <row r="1433" spans="2:5" s="4" customFormat="1">
      <c r="B1433" s="28"/>
      <c r="C1433" s="18"/>
      <c r="E1433" s="50"/>
    </row>
    <row r="1434" spans="2:5" s="4" customFormat="1">
      <c r="B1434" s="28"/>
      <c r="C1434" s="18"/>
      <c r="E1434" s="50"/>
    </row>
    <row r="1435" spans="2:5" s="4" customFormat="1">
      <c r="B1435" s="28"/>
      <c r="C1435" s="18"/>
      <c r="E1435" s="50"/>
    </row>
    <row r="1436" spans="2:5" s="4" customFormat="1">
      <c r="B1436" s="28"/>
      <c r="C1436" s="18"/>
      <c r="E1436" s="50"/>
    </row>
    <row r="1437" spans="2:5" s="4" customFormat="1">
      <c r="B1437" s="28"/>
      <c r="C1437" s="18"/>
      <c r="E1437" s="50"/>
    </row>
    <row r="1438" spans="2:5" s="4" customFormat="1">
      <c r="B1438" s="28"/>
      <c r="C1438" s="18"/>
      <c r="E1438" s="50"/>
    </row>
    <row r="1439" spans="2:5" s="4" customFormat="1">
      <c r="B1439" s="28"/>
      <c r="C1439" s="18"/>
      <c r="E1439" s="50"/>
    </row>
    <row r="1440" spans="2:5" s="4" customFormat="1">
      <c r="B1440" s="28"/>
      <c r="C1440" s="18"/>
      <c r="E1440" s="50"/>
    </row>
    <row r="1441" spans="2:5" s="4" customFormat="1">
      <c r="B1441" s="28"/>
      <c r="C1441" s="18"/>
      <c r="E1441" s="50"/>
    </row>
    <row r="1442" spans="2:5" s="4" customFormat="1">
      <c r="B1442" s="28"/>
      <c r="C1442" s="18"/>
      <c r="E1442" s="50"/>
    </row>
    <row r="1443" spans="2:5" s="4" customFormat="1">
      <c r="B1443" s="28"/>
      <c r="C1443" s="18"/>
      <c r="E1443" s="50"/>
    </row>
    <row r="1444" spans="2:5" s="4" customFormat="1">
      <c r="B1444" s="28"/>
      <c r="C1444" s="18"/>
      <c r="E1444" s="50"/>
    </row>
    <row r="1445" spans="2:5" s="4" customFormat="1">
      <c r="B1445" s="28"/>
      <c r="C1445" s="18"/>
      <c r="E1445" s="50"/>
    </row>
    <row r="1446" spans="2:5" s="4" customFormat="1">
      <c r="B1446" s="28"/>
      <c r="C1446" s="18"/>
      <c r="E1446" s="50"/>
    </row>
    <row r="1447" spans="2:5" s="4" customFormat="1">
      <c r="B1447" s="28"/>
      <c r="C1447" s="18"/>
      <c r="E1447" s="50"/>
    </row>
    <row r="1448" spans="2:5" s="4" customFormat="1">
      <c r="B1448" s="28"/>
      <c r="C1448" s="18"/>
      <c r="E1448" s="50"/>
    </row>
    <row r="1449" spans="2:5" s="4" customFormat="1">
      <c r="B1449" s="28"/>
      <c r="C1449" s="18"/>
      <c r="E1449" s="50"/>
    </row>
    <row r="1450" spans="2:5" s="4" customFormat="1">
      <c r="B1450" s="28"/>
      <c r="C1450" s="18"/>
      <c r="E1450" s="50"/>
    </row>
    <row r="1451" spans="2:5" s="4" customFormat="1">
      <c r="B1451" s="28"/>
      <c r="C1451" s="18"/>
      <c r="E1451" s="50"/>
    </row>
    <row r="1452" spans="2:5" s="4" customFormat="1">
      <c r="B1452" s="28"/>
      <c r="C1452" s="18"/>
      <c r="E1452" s="50"/>
    </row>
    <row r="1453" spans="2:5" s="4" customFormat="1">
      <c r="B1453" s="28"/>
      <c r="C1453" s="18"/>
      <c r="E1453" s="50"/>
    </row>
    <row r="1454" spans="2:5" s="4" customFormat="1">
      <c r="B1454" s="28"/>
      <c r="C1454" s="18"/>
      <c r="E1454" s="50"/>
    </row>
    <row r="1455" spans="2:5" s="4" customFormat="1">
      <c r="B1455" s="28"/>
      <c r="C1455" s="18"/>
      <c r="E1455" s="50"/>
    </row>
    <row r="1456" spans="2:5" s="4" customFormat="1">
      <c r="B1456" s="28"/>
      <c r="C1456" s="18"/>
      <c r="E1456" s="50"/>
    </row>
    <row r="1457" spans="2:5" s="4" customFormat="1">
      <c r="B1457" s="28"/>
      <c r="C1457" s="18"/>
      <c r="E1457" s="50"/>
    </row>
    <row r="1458" spans="2:5" s="4" customFormat="1">
      <c r="B1458" s="28"/>
      <c r="C1458" s="18"/>
      <c r="E1458" s="50"/>
    </row>
    <row r="1459" spans="2:5" s="4" customFormat="1">
      <c r="B1459" s="28"/>
      <c r="C1459" s="18"/>
      <c r="E1459" s="50"/>
    </row>
    <row r="1460" spans="2:5" s="4" customFormat="1">
      <c r="B1460" s="28"/>
      <c r="C1460" s="18"/>
      <c r="E1460" s="50"/>
    </row>
    <row r="1461" spans="2:5" s="4" customFormat="1">
      <c r="B1461" s="28"/>
      <c r="C1461" s="18"/>
      <c r="E1461" s="50"/>
    </row>
    <row r="1462" spans="2:5" s="4" customFormat="1">
      <c r="B1462" s="28"/>
      <c r="C1462" s="18"/>
      <c r="E1462" s="50"/>
    </row>
    <row r="1463" spans="2:5" s="4" customFormat="1">
      <c r="B1463" s="28"/>
      <c r="C1463" s="18"/>
      <c r="E1463" s="50"/>
    </row>
    <row r="1464" spans="2:5" s="4" customFormat="1">
      <c r="B1464" s="28"/>
      <c r="C1464" s="18"/>
      <c r="E1464" s="50"/>
    </row>
    <row r="1465" spans="2:5" s="4" customFormat="1">
      <c r="B1465" s="28"/>
      <c r="C1465" s="18"/>
      <c r="E1465" s="50"/>
    </row>
    <row r="1466" spans="2:5" s="4" customFormat="1">
      <c r="B1466" s="28"/>
      <c r="C1466" s="18"/>
      <c r="E1466" s="50"/>
    </row>
    <row r="1467" spans="2:5" s="4" customFormat="1">
      <c r="B1467" s="28"/>
      <c r="C1467" s="18"/>
      <c r="E1467" s="50"/>
    </row>
    <row r="1468" spans="2:5" s="4" customFormat="1">
      <c r="B1468" s="28"/>
      <c r="C1468" s="18"/>
      <c r="E1468" s="50"/>
    </row>
    <row r="1469" spans="2:5" s="4" customFormat="1">
      <c r="B1469" s="28"/>
      <c r="C1469" s="18"/>
      <c r="E1469" s="50"/>
    </row>
    <row r="1470" spans="2:5" s="4" customFormat="1">
      <c r="B1470" s="28"/>
      <c r="C1470" s="18"/>
      <c r="E1470" s="50"/>
    </row>
    <row r="1471" spans="2:5" s="4" customFormat="1">
      <c r="B1471" s="28"/>
      <c r="C1471" s="18"/>
      <c r="E1471" s="50"/>
    </row>
    <row r="1472" spans="2:5" s="4" customFormat="1">
      <c r="B1472" s="28"/>
      <c r="C1472" s="18"/>
      <c r="E1472" s="50"/>
    </row>
    <row r="1473" spans="2:5" s="4" customFormat="1">
      <c r="B1473" s="28"/>
      <c r="C1473" s="18"/>
      <c r="E1473" s="50"/>
    </row>
    <row r="1474" spans="2:5" s="4" customFormat="1">
      <c r="B1474" s="28"/>
      <c r="C1474" s="18"/>
      <c r="E1474" s="50"/>
    </row>
    <row r="1475" spans="2:5" s="4" customFormat="1">
      <c r="B1475" s="28"/>
      <c r="C1475" s="18"/>
      <c r="E1475" s="50"/>
    </row>
    <row r="1476" spans="2:5" s="4" customFormat="1">
      <c r="B1476" s="28"/>
      <c r="C1476" s="18"/>
      <c r="E1476" s="50"/>
    </row>
    <row r="1477" spans="2:5" s="4" customFormat="1">
      <c r="B1477" s="28"/>
      <c r="C1477" s="18"/>
      <c r="E1477" s="50"/>
    </row>
    <row r="1478" spans="2:5" s="4" customFormat="1">
      <c r="B1478" s="28"/>
      <c r="C1478" s="18"/>
      <c r="E1478" s="50"/>
    </row>
    <row r="1479" spans="2:5" s="4" customFormat="1">
      <c r="B1479" s="28"/>
      <c r="C1479" s="18"/>
      <c r="E1479" s="50"/>
    </row>
    <row r="1480" spans="2:5" s="4" customFormat="1">
      <c r="B1480" s="28"/>
      <c r="C1480" s="18"/>
      <c r="E1480" s="50"/>
    </row>
    <row r="1481" spans="2:5" s="4" customFormat="1">
      <c r="B1481" s="28"/>
      <c r="C1481" s="18"/>
      <c r="E1481" s="50"/>
    </row>
    <row r="1482" spans="2:5" s="4" customFormat="1">
      <c r="B1482" s="28"/>
      <c r="C1482" s="18"/>
      <c r="E1482" s="50"/>
    </row>
    <row r="1483" spans="2:5" s="4" customFormat="1">
      <c r="B1483" s="28"/>
      <c r="C1483" s="18"/>
      <c r="E1483" s="50"/>
    </row>
    <row r="1484" spans="2:5" s="4" customFormat="1">
      <c r="B1484" s="28"/>
      <c r="C1484" s="18"/>
      <c r="E1484" s="50"/>
    </row>
    <row r="1485" spans="2:5" s="4" customFormat="1">
      <c r="B1485" s="28"/>
      <c r="C1485" s="18"/>
      <c r="E1485" s="50"/>
    </row>
    <row r="1486" spans="2:5" s="4" customFormat="1">
      <c r="B1486" s="28"/>
      <c r="C1486" s="18"/>
      <c r="E1486" s="50"/>
    </row>
    <row r="1487" spans="2:5" s="4" customFormat="1">
      <c r="B1487" s="28"/>
      <c r="C1487" s="18"/>
      <c r="E1487" s="50"/>
    </row>
    <row r="1488" spans="2:5" s="4" customFormat="1">
      <c r="B1488" s="28"/>
      <c r="C1488" s="18"/>
      <c r="E1488" s="50"/>
    </row>
    <row r="1489" spans="2:5" s="4" customFormat="1">
      <c r="B1489" s="28"/>
      <c r="C1489" s="18"/>
      <c r="E1489" s="50"/>
    </row>
    <row r="1490" spans="2:5" s="4" customFormat="1">
      <c r="B1490" s="28"/>
      <c r="C1490" s="18"/>
      <c r="E1490" s="50"/>
    </row>
    <row r="1491" spans="2:5" s="4" customFormat="1">
      <c r="B1491" s="28"/>
      <c r="C1491" s="18"/>
      <c r="E1491" s="50"/>
    </row>
    <row r="1492" spans="2:5" s="4" customFormat="1">
      <c r="B1492" s="28"/>
      <c r="C1492" s="18"/>
      <c r="E1492" s="50"/>
    </row>
    <row r="1493" spans="2:5" s="4" customFormat="1">
      <c r="B1493" s="28"/>
      <c r="C1493" s="18"/>
      <c r="E1493" s="50"/>
    </row>
    <row r="1494" spans="2:5" s="4" customFormat="1">
      <c r="B1494" s="28"/>
      <c r="C1494" s="18"/>
      <c r="E1494" s="50"/>
    </row>
    <row r="1495" spans="2:5" s="4" customFormat="1">
      <c r="B1495" s="28"/>
      <c r="C1495" s="18"/>
      <c r="E1495" s="50"/>
    </row>
    <row r="1496" spans="2:5" s="4" customFormat="1">
      <c r="B1496" s="28"/>
      <c r="C1496" s="18"/>
      <c r="E1496" s="50"/>
    </row>
    <row r="1497" spans="2:5" s="4" customFormat="1">
      <c r="B1497" s="28"/>
      <c r="C1497" s="18"/>
      <c r="E1497" s="50"/>
    </row>
    <row r="1498" spans="2:5" s="4" customFormat="1">
      <c r="B1498" s="28"/>
      <c r="C1498" s="18"/>
      <c r="E1498" s="50"/>
    </row>
    <row r="1499" spans="2:5" s="4" customFormat="1">
      <c r="B1499" s="28"/>
      <c r="C1499" s="18"/>
      <c r="E1499" s="50"/>
    </row>
    <row r="1500" spans="2:5" s="4" customFormat="1">
      <c r="B1500" s="28"/>
      <c r="C1500" s="18"/>
      <c r="E1500" s="50"/>
    </row>
    <row r="1501" spans="2:5" s="4" customFormat="1">
      <c r="B1501" s="28"/>
      <c r="C1501" s="18"/>
      <c r="E1501" s="50"/>
    </row>
    <row r="1502" spans="2:5" s="4" customFormat="1">
      <c r="B1502" s="28"/>
      <c r="C1502" s="18"/>
      <c r="E1502" s="50"/>
    </row>
    <row r="1503" spans="2:5" s="4" customFormat="1">
      <c r="B1503" s="28"/>
      <c r="C1503" s="18"/>
      <c r="E1503" s="50"/>
    </row>
    <row r="1504" spans="2:5" s="4" customFormat="1">
      <c r="B1504" s="28"/>
      <c r="C1504" s="18"/>
      <c r="E1504" s="50"/>
    </row>
    <row r="1505" spans="2:5" s="4" customFormat="1">
      <c r="B1505" s="28"/>
      <c r="C1505" s="18"/>
      <c r="E1505" s="50"/>
    </row>
    <row r="1506" spans="2:5" s="4" customFormat="1">
      <c r="B1506" s="28"/>
      <c r="C1506" s="18"/>
      <c r="E1506" s="50"/>
    </row>
    <row r="1507" spans="2:5" s="4" customFormat="1">
      <c r="B1507" s="28"/>
      <c r="C1507" s="18"/>
      <c r="E1507" s="50"/>
    </row>
    <row r="1508" spans="2:5" s="4" customFormat="1">
      <c r="B1508" s="28"/>
      <c r="C1508" s="18"/>
      <c r="E1508" s="50"/>
    </row>
    <row r="1509" spans="2:5" s="4" customFormat="1">
      <c r="B1509" s="28"/>
      <c r="C1509" s="18"/>
      <c r="E1509" s="50"/>
    </row>
    <row r="1510" spans="2:5" s="4" customFormat="1">
      <c r="B1510" s="28"/>
      <c r="C1510" s="18"/>
      <c r="E1510" s="50"/>
    </row>
    <row r="1511" spans="2:5" s="4" customFormat="1">
      <c r="B1511" s="28"/>
      <c r="C1511" s="18"/>
      <c r="E1511" s="50"/>
    </row>
    <row r="1512" spans="2:5" s="4" customFormat="1">
      <c r="B1512" s="28"/>
      <c r="C1512" s="18"/>
      <c r="E1512" s="50"/>
    </row>
    <row r="1513" spans="2:5" s="4" customFormat="1">
      <c r="B1513" s="28"/>
      <c r="C1513" s="18"/>
      <c r="E1513" s="50"/>
    </row>
    <row r="1514" spans="2:5" s="4" customFormat="1">
      <c r="B1514" s="28"/>
      <c r="C1514" s="18"/>
      <c r="E1514" s="50"/>
    </row>
    <row r="1515" spans="2:5" s="4" customFormat="1">
      <c r="B1515" s="28"/>
      <c r="C1515" s="18"/>
      <c r="E1515" s="50"/>
    </row>
    <row r="1516" spans="2:5" s="4" customFormat="1">
      <c r="B1516" s="28"/>
      <c r="C1516" s="18"/>
      <c r="E1516" s="50"/>
    </row>
    <row r="1517" spans="2:5" s="4" customFormat="1">
      <c r="B1517" s="28"/>
      <c r="C1517" s="18"/>
      <c r="E1517" s="50"/>
    </row>
    <row r="1518" spans="2:5" s="4" customFormat="1">
      <c r="B1518" s="28"/>
      <c r="C1518" s="18"/>
      <c r="E1518" s="50"/>
    </row>
    <row r="1519" spans="2:5" s="4" customFormat="1">
      <c r="B1519" s="28"/>
      <c r="C1519" s="18"/>
      <c r="E1519" s="50"/>
    </row>
    <row r="1520" spans="2:5" s="4" customFormat="1">
      <c r="B1520" s="28"/>
      <c r="C1520" s="18"/>
      <c r="E1520" s="50"/>
    </row>
    <row r="1521" spans="2:5" s="4" customFormat="1">
      <c r="B1521" s="28"/>
      <c r="C1521" s="18"/>
      <c r="E1521" s="50"/>
    </row>
    <row r="1522" spans="2:5" s="4" customFormat="1">
      <c r="B1522" s="28"/>
      <c r="C1522" s="18"/>
      <c r="E1522" s="50"/>
    </row>
    <row r="1523" spans="2:5" s="4" customFormat="1">
      <c r="B1523" s="28"/>
      <c r="C1523" s="18"/>
      <c r="E1523" s="50"/>
    </row>
    <row r="1524" spans="2:5" s="4" customFormat="1">
      <c r="B1524" s="28"/>
      <c r="C1524" s="18"/>
      <c r="E1524" s="50"/>
    </row>
    <row r="1525" spans="2:5" s="4" customFormat="1">
      <c r="B1525" s="28"/>
      <c r="C1525" s="18"/>
      <c r="E1525" s="50"/>
    </row>
    <row r="1526" spans="2:5" s="4" customFormat="1">
      <c r="B1526" s="28"/>
      <c r="C1526" s="18"/>
      <c r="E1526" s="50"/>
    </row>
    <row r="1527" spans="2:5" s="4" customFormat="1">
      <c r="B1527" s="28"/>
      <c r="C1527" s="18"/>
      <c r="E1527" s="50"/>
    </row>
    <row r="1528" spans="2:5" s="4" customFormat="1">
      <c r="B1528" s="28"/>
      <c r="C1528" s="18"/>
      <c r="E1528" s="50"/>
    </row>
    <row r="1529" spans="2:5" s="4" customFormat="1">
      <c r="B1529" s="28"/>
      <c r="C1529" s="18"/>
      <c r="E1529" s="50"/>
    </row>
    <row r="1530" spans="2:5" s="4" customFormat="1">
      <c r="B1530" s="28"/>
      <c r="C1530" s="18"/>
      <c r="E1530" s="50"/>
    </row>
    <row r="1531" spans="2:5" s="4" customFormat="1">
      <c r="B1531" s="28"/>
      <c r="C1531" s="18"/>
      <c r="E1531" s="50"/>
    </row>
    <row r="1532" spans="2:5" s="4" customFormat="1">
      <c r="B1532" s="28"/>
      <c r="C1532" s="18"/>
      <c r="E1532" s="50"/>
    </row>
    <row r="1533" spans="2:5" s="4" customFormat="1">
      <c r="B1533" s="28"/>
      <c r="C1533" s="18"/>
      <c r="E1533" s="50"/>
    </row>
    <row r="1534" spans="2:5" s="4" customFormat="1">
      <c r="B1534" s="28"/>
      <c r="C1534" s="18"/>
      <c r="E1534" s="50"/>
    </row>
    <row r="1535" spans="2:5" s="4" customFormat="1">
      <c r="B1535" s="28"/>
      <c r="C1535" s="18"/>
      <c r="E1535" s="50"/>
    </row>
    <row r="1536" spans="2:5" s="4" customFormat="1">
      <c r="B1536" s="28"/>
      <c r="C1536" s="18"/>
      <c r="E1536" s="50"/>
    </row>
    <row r="1537" spans="2:5" s="4" customFormat="1">
      <c r="B1537" s="28"/>
      <c r="C1537" s="18"/>
      <c r="E1537" s="50"/>
    </row>
    <row r="1538" spans="2:5" s="4" customFormat="1">
      <c r="B1538" s="28"/>
      <c r="C1538" s="18"/>
      <c r="E1538" s="50"/>
    </row>
    <row r="1539" spans="2:5" s="4" customFormat="1">
      <c r="B1539" s="28"/>
      <c r="C1539" s="18"/>
      <c r="E1539" s="50"/>
    </row>
    <row r="1540" spans="2:5" s="4" customFormat="1">
      <c r="B1540" s="28"/>
      <c r="C1540" s="18"/>
      <c r="E1540" s="50"/>
    </row>
    <row r="1541" spans="2:5" s="4" customFormat="1">
      <c r="B1541" s="28"/>
      <c r="C1541" s="18"/>
      <c r="E1541" s="50"/>
    </row>
    <row r="1542" spans="2:5" s="4" customFormat="1">
      <c r="B1542" s="28"/>
      <c r="C1542" s="18"/>
      <c r="E1542" s="50"/>
    </row>
    <row r="1543" spans="2:5" s="4" customFormat="1">
      <c r="B1543" s="28"/>
      <c r="C1543" s="18"/>
      <c r="E1543" s="50"/>
    </row>
    <row r="1544" spans="2:5" s="4" customFormat="1">
      <c r="B1544" s="28"/>
      <c r="C1544" s="18"/>
      <c r="E1544" s="50"/>
    </row>
    <row r="1545" spans="2:5" s="4" customFormat="1">
      <c r="B1545" s="28"/>
      <c r="C1545" s="18"/>
      <c r="E1545" s="50"/>
    </row>
    <row r="1546" spans="2:5" s="4" customFormat="1">
      <c r="B1546" s="28"/>
      <c r="C1546" s="18"/>
      <c r="E1546" s="50"/>
    </row>
    <row r="1547" spans="2:5" s="4" customFormat="1">
      <c r="B1547" s="28"/>
      <c r="C1547" s="18"/>
      <c r="E1547" s="50"/>
    </row>
    <row r="1548" spans="2:5" s="4" customFormat="1">
      <c r="B1548" s="28"/>
      <c r="C1548" s="18"/>
      <c r="E1548" s="50"/>
    </row>
    <row r="1549" spans="2:5" s="4" customFormat="1">
      <c r="B1549" s="28"/>
      <c r="C1549" s="18"/>
      <c r="E1549" s="50"/>
    </row>
    <row r="1550" spans="2:5" s="4" customFormat="1">
      <c r="B1550" s="28"/>
      <c r="C1550" s="18"/>
      <c r="E1550" s="50"/>
    </row>
    <row r="1551" spans="2:5" s="4" customFormat="1">
      <c r="B1551" s="28"/>
      <c r="C1551" s="18"/>
      <c r="E1551" s="50"/>
    </row>
    <row r="1552" spans="2:5" s="4" customFormat="1">
      <c r="B1552" s="28"/>
      <c r="C1552" s="18"/>
      <c r="E1552" s="50"/>
    </row>
    <row r="1553" spans="2:5" s="4" customFormat="1">
      <c r="B1553" s="28"/>
      <c r="C1553" s="18"/>
      <c r="E1553" s="50"/>
    </row>
    <row r="1554" spans="2:5" s="4" customFormat="1">
      <c r="B1554" s="28"/>
      <c r="C1554" s="18"/>
      <c r="E1554" s="50"/>
    </row>
    <row r="1555" spans="2:5" s="4" customFormat="1">
      <c r="B1555" s="28"/>
      <c r="C1555" s="18"/>
      <c r="E1555" s="50"/>
    </row>
    <row r="1556" spans="2:5" s="4" customFormat="1">
      <c r="B1556" s="28"/>
      <c r="C1556" s="18"/>
      <c r="E1556" s="50"/>
    </row>
    <row r="1557" spans="2:5" s="4" customFormat="1">
      <c r="B1557" s="28"/>
      <c r="C1557" s="18"/>
      <c r="E1557" s="50"/>
    </row>
    <row r="1558" spans="2:5" s="4" customFormat="1">
      <c r="B1558" s="28"/>
      <c r="C1558" s="18"/>
      <c r="E1558" s="50"/>
    </row>
    <row r="1559" spans="2:5" s="4" customFormat="1">
      <c r="B1559" s="28"/>
      <c r="C1559" s="18"/>
      <c r="E1559" s="50"/>
    </row>
    <row r="1560" spans="2:5" s="4" customFormat="1">
      <c r="B1560" s="28"/>
      <c r="C1560" s="18"/>
      <c r="E1560" s="50"/>
    </row>
    <row r="1561" spans="2:5" s="4" customFormat="1">
      <c r="B1561" s="28"/>
      <c r="C1561" s="18"/>
      <c r="E1561" s="50"/>
    </row>
    <row r="1562" spans="2:5" s="4" customFormat="1">
      <c r="B1562" s="28"/>
      <c r="C1562" s="18"/>
      <c r="E1562" s="50"/>
    </row>
    <row r="1563" spans="2:5" s="4" customFormat="1">
      <c r="B1563" s="28"/>
      <c r="C1563" s="18"/>
      <c r="E1563" s="50"/>
    </row>
    <row r="1564" spans="2:5" s="4" customFormat="1">
      <c r="B1564" s="28"/>
      <c r="C1564" s="18"/>
      <c r="E1564" s="50"/>
    </row>
    <row r="1565" spans="2:5" s="4" customFormat="1">
      <c r="B1565" s="28"/>
      <c r="C1565" s="18"/>
      <c r="E1565" s="50"/>
    </row>
    <row r="1566" spans="2:5" s="4" customFormat="1">
      <c r="B1566" s="28"/>
      <c r="C1566" s="18"/>
      <c r="E1566" s="50"/>
    </row>
    <row r="1567" spans="2:5" s="4" customFormat="1">
      <c r="B1567" s="28"/>
      <c r="C1567" s="18"/>
      <c r="E1567" s="50"/>
    </row>
    <row r="1568" spans="2:5" s="4" customFormat="1">
      <c r="B1568" s="28"/>
      <c r="C1568" s="18"/>
      <c r="E1568" s="50"/>
    </row>
    <row r="1569" spans="2:5" s="4" customFormat="1">
      <c r="B1569" s="28"/>
      <c r="C1569" s="18"/>
      <c r="E1569" s="50"/>
    </row>
    <row r="1570" spans="2:5" s="4" customFormat="1">
      <c r="B1570" s="28"/>
      <c r="C1570" s="18"/>
      <c r="E1570" s="50"/>
    </row>
    <row r="1571" spans="2:5" s="4" customFormat="1">
      <c r="B1571" s="28"/>
      <c r="C1571" s="18"/>
      <c r="E1571" s="50"/>
    </row>
    <row r="1572" spans="2:5" s="4" customFormat="1">
      <c r="B1572" s="28"/>
      <c r="C1572" s="18"/>
      <c r="E1572" s="50"/>
    </row>
    <row r="1573" spans="2:5" s="4" customFormat="1">
      <c r="B1573" s="28"/>
      <c r="C1573" s="18"/>
      <c r="E1573" s="50"/>
    </row>
    <row r="1574" spans="2:5" s="4" customFormat="1">
      <c r="B1574" s="28"/>
      <c r="C1574" s="18"/>
      <c r="E1574" s="50"/>
    </row>
    <row r="1575" spans="2:5" s="4" customFormat="1">
      <c r="B1575" s="28"/>
      <c r="C1575" s="18"/>
      <c r="E1575" s="50"/>
    </row>
    <row r="1576" spans="2:5" s="4" customFormat="1">
      <c r="B1576" s="28"/>
      <c r="C1576" s="18"/>
      <c r="E1576" s="50"/>
    </row>
    <row r="1577" spans="2:5" s="4" customFormat="1">
      <c r="B1577" s="28"/>
      <c r="C1577" s="18"/>
      <c r="E1577" s="50"/>
    </row>
    <row r="1578" spans="2:5" s="4" customFormat="1">
      <c r="B1578" s="28"/>
      <c r="C1578" s="18"/>
      <c r="E1578" s="50"/>
    </row>
    <row r="1579" spans="2:5" s="4" customFormat="1">
      <c r="B1579" s="28"/>
      <c r="C1579" s="18"/>
      <c r="E1579" s="50"/>
    </row>
    <row r="1580" spans="2:5" s="4" customFormat="1">
      <c r="B1580" s="28"/>
      <c r="C1580" s="18"/>
      <c r="E1580" s="50"/>
    </row>
    <row r="1581" spans="2:5" s="4" customFormat="1">
      <c r="B1581" s="28"/>
      <c r="C1581" s="18"/>
      <c r="E1581" s="50"/>
    </row>
    <row r="1582" spans="2:5" s="4" customFormat="1">
      <c r="B1582" s="28"/>
      <c r="C1582" s="18"/>
      <c r="E1582" s="50"/>
    </row>
    <row r="1583" spans="2:5" s="4" customFormat="1">
      <c r="B1583" s="28"/>
      <c r="C1583" s="18"/>
      <c r="E1583" s="50"/>
    </row>
    <row r="1584" spans="2:5" s="4" customFormat="1">
      <c r="B1584" s="28"/>
      <c r="C1584" s="18"/>
      <c r="E1584" s="50"/>
    </row>
    <row r="1585" spans="2:5" s="4" customFormat="1">
      <c r="B1585" s="28"/>
      <c r="C1585" s="18"/>
      <c r="E1585" s="50"/>
    </row>
    <row r="1586" spans="2:5" s="4" customFormat="1">
      <c r="B1586" s="28"/>
      <c r="C1586" s="18"/>
      <c r="E1586" s="50"/>
    </row>
    <row r="1587" spans="2:5" s="4" customFormat="1">
      <c r="B1587" s="28"/>
      <c r="C1587" s="18"/>
      <c r="E1587" s="50"/>
    </row>
    <row r="1588" spans="2:5" s="4" customFormat="1">
      <c r="B1588" s="28"/>
      <c r="C1588" s="18"/>
      <c r="E1588" s="50"/>
    </row>
    <row r="1589" spans="2:5" s="4" customFormat="1">
      <c r="B1589" s="28"/>
      <c r="C1589" s="18"/>
      <c r="E1589" s="50"/>
    </row>
    <row r="1590" spans="2:5" s="4" customFormat="1">
      <c r="B1590" s="28"/>
      <c r="C1590" s="18"/>
      <c r="E1590" s="50"/>
    </row>
    <row r="1591" spans="2:5" s="4" customFormat="1">
      <c r="B1591" s="28"/>
      <c r="C1591" s="18"/>
      <c r="E1591" s="50"/>
    </row>
    <row r="1592" spans="2:5" s="4" customFormat="1">
      <c r="B1592" s="28"/>
      <c r="C1592" s="18"/>
      <c r="E1592" s="50"/>
    </row>
    <row r="1593" spans="2:5" s="4" customFormat="1">
      <c r="B1593" s="28"/>
      <c r="C1593" s="18"/>
      <c r="E1593" s="50"/>
    </row>
    <row r="1594" spans="2:5" s="4" customFormat="1">
      <c r="B1594" s="28"/>
      <c r="C1594" s="18"/>
      <c r="E1594" s="50"/>
    </row>
    <row r="1595" spans="2:5" s="4" customFormat="1">
      <c r="B1595" s="28"/>
      <c r="C1595" s="18"/>
      <c r="E1595" s="50"/>
    </row>
    <row r="1596" spans="2:5" s="4" customFormat="1">
      <c r="B1596" s="28"/>
      <c r="C1596" s="18"/>
      <c r="E1596" s="50"/>
    </row>
    <row r="1597" spans="2:5" s="4" customFormat="1">
      <c r="B1597" s="28"/>
      <c r="C1597" s="18"/>
      <c r="E1597" s="50"/>
    </row>
    <row r="1598" spans="2:5" s="4" customFormat="1">
      <c r="B1598" s="28"/>
      <c r="C1598" s="18"/>
      <c r="E1598" s="50"/>
    </row>
    <row r="1599" spans="2:5" s="4" customFormat="1">
      <c r="B1599" s="28"/>
      <c r="C1599" s="18"/>
      <c r="E1599" s="50"/>
    </row>
    <row r="1600" spans="2:5" s="4" customFormat="1">
      <c r="B1600" s="28"/>
      <c r="C1600" s="18"/>
      <c r="E1600" s="50"/>
    </row>
    <row r="1601" spans="2:5" s="4" customFormat="1">
      <c r="B1601" s="28"/>
      <c r="C1601" s="18"/>
      <c r="E1601" s="50"/>
    </row>
    <row r="1602" spans="2:5" s="4" customFormat="1">
      <c r="B1602" s="28"/>
      <c r="C1602" s="18"/>
      <c r="E1602" s="50"/>
    </row>
    <row r="1603" spans="2:5" s="4" customFormat="1">
      <c r="B1603" s="28"/>
      <c r="C1603" s="18"/>
      <c r="E1603" s="50"/>
    </row>
    <row r="1604" spans="2:5" s="4" customFormat="1">
      <c r="B1604" s="28"/>
      <c r="C1604" s="18"/>
      <c r="E1604" s="50"/>
    </row>
    <row r="1605" spans="2:5" s="4" customFormat="1">
      <c r="B1605" s="28"/>
      <c r="C1605" s="18"/>
      <c r="E1605" s="50"/>
    </row>
    <row r="1606" spans="2:5" s="4" customFormat="1">
      <c r="B1606" s="28"/>
      <c r="C1606" s="18"/>
      <c r="E1606" s="50"/>
    </row>
    <row r="1607" spans="2:5" s="4" customFormat="1">
      <c r="B1607" s="28"/>
      <c r="C1607" s="18"/>
      <c r="E1607" s="50"/>
    </row>
    <row r="1608" spans="2:5" s="4" customFormat="1">
      <c r="B1608" s="28"/>
      <c r="C1608" s="18"/>
      <c r="E1608" s="50"/>
    </row>
    <row r="1609" spans="2:5" s="4" customFormat="1">
      <c r="B1609" s="28"/>
      <c r="C1609" s="18"/>
      <c r="E1609" s="50"/>
    </row>
    <row r="1610" spans="2:5" s="4" customFormat="1">
      <c r="B1610" s="28"/>
      <c r="C1610" s="18"/>
      <c r="E1610" s="50"/>
    </row>
    <row r="1611" spans="2:5" s="4" customFormat="1">
      <c r="B1611" s="28"/>
      <c r="C1611" s="18"/>
      <c r="E1611" s="50"/>
    </row>
    <row r="1612" spans="2:5" s="4" customFormat="1">
      <c r="B1612" s="28"/>
      <c r="C1612" s="18"/>
      <c r="E1612" s="50"/>
    </row>
    <row r="1613" spans="2:5" s="4" customFormat="1">
      <c r="B1613" s="28"/>
      <c r="C1613" s="18"/>
      <c r="E1613" s="50"/>
    </row>
    <row r="1614" spans="2:5" s="4" customFormat="1">
      <c r="B1614" s="28"/>
      <c r="C1614" s="18"/>
      <c r="E1614" s="50"/>
    </row>
    <row r="1615" spans="2:5" s="4" customFormat="1">
      <c r="B1615" s="28"/>
      <c r="C1615" s="18"/>
      <c r="E1615" s="50"/>
    </row>
    <row r="1616" spans="2:5" s="4" customFormat="1">
      <c r="B1616" s="28"/>
      <c r="C1616" s="18"/>
      <c r="E1616" s="50"/>
    </row>
    <row r="1617" spans="2:5" s="4" customFormat="1">
      <c r="B1617" s="28"/>
      <c r="C1617" s="18"/>
      <c r="E1617" s="50"/>
    </row>
    <row r="1618" spans="2:5" s="4" customFormat="1">
      <c r="B1618" s="28"/>
      <c r="C1618" s="18"/>
      <c r="E1618" s="50"/>
    </row>
    <row r="1619" spans="2:5" s="4" customFormat="1">
      <c r="B1619" s="28"/>
      <c r="C1619" s="18"/>
      <c r="E1619" s="50"/>
    </row>
    <row r="1620" spans="2:5" s="4" customFormat="1">
      <c r="B1620" s="28"/>
      <c r="C1620" s="18"/>
      <c r="E1620" s="50"/>
    </row>
    <row r="1621" spans="2:5" s="4" customFormat="1">
      <c r="B1621" s="28"/>
      <c r="C1621" s="18"/>
      <c r="E1621" s="50"/>
    </row>
    <row r="1622" spans="2:5" s="4" customFormat="1">
      <c r="B1622" s="28"/>
      <c r="C1622" s="18"/>
      <c r="E1622" s="50"/>
    </row>
    <row r="1623" spans="2:5" s="4" customFormat="1">
      <c r="B1623" s="28"/>
      <c r="C1623" s="18"/>
      <c r="E1623" s="50"/>
    </row>
    <row r="1624" spans="2:5" s="4" customFormat="1">
      <c r="B1624" s="28"/>
      <c r="C1624" s="18"/>
      <c r="E1624" s="50"/>
    </row>
    <row r="1625" spans="2:5" s="4" customFormat="1">
      <c r="B1625" s="28"/>
      <c r="C1625" s="18"/>
      <c r="E1625" s="50"/>
    </row>
    <row r="1626" spans="2:5" s="4" customFormat="1">
      <c r="B1626" s="28"/>
      <c r="C1626" s="18"/>
      <c r="E1626" s="50"/>
    </row>
    <row r="1627" spans="2:5" s="4" customFormat="1">
      <c r="B1627" s="28"/>
      <c r="C1627" s="18"/>
      <c r="E1627" s="50"/>
    </row>
    <row r="1628" spans="2:5" s="4" customFormat="1">
      <c r="B1628" s="28"/>
      <c r="C1628" s="18"/>
      <c r="E1628" s="50"/>
    </row>
    <row r="1629" spans="2:5" s="4" customFormat="1">
      <c r="B1629" s="28"/>
      <c r="C1629" s="18"/>
      <c r="E1629" s="50"/>
    </row>
    <row r="1630" spans="2:5" s="4" customFormat="1">
      <c r="B1630" s="28"/>
      <c r="C1630" s="18"/>
      <c r="E1630" s="50"/>
    </row>
    <row r="1631" spans="2:5" s="4" customFormat="1">
      <c r="B1631" s="28"/>
      <c r="C1631" s="18"/>
      <c r="E1631" s="50"/>
    </row>
    <row r="1632" spans="2:5" s="4" customFormat="1">
      <c r="B1632" s="28"/>
      <c r="C1632" s="18"/>
      <c r="E1632" s="50"/>
    </row>
    <row r="1633" spans="2:5" s="4" customFormat="1">
      <c r="B1633" s="28"/>
      <c r="C1633" s="18"/>
      <c r="E1633" s="50"/>
    </row>
    <row r="1634" spans="2:5" s="4" customFormat="1">
      <c r="B1634" s="28"/>
      <c r="C1634" s="18"/>
      <c r="E1634" s="50"/>
    </row>
    <row r="1635" spans="2:5" s="4" customFormat="1">
      <c r="B1635" s="28"/>
      <c r="C1635" s="18"/>
      <c r="E1635" s="50"/>
    </row>
    <row r="1636" spans="2:5" s="4" customFormat="1">
      <c r="B1636" s="28"/>
      <c r="C1636" s="18"/>
      <c r="E1636" s="50"/>
    </row>
    <row r="1637" spans="2:5" s="4" customFormat="1">
      <c r="B1637" s="28"/>
      <c r="C1637" s="18"/>
      <c r="E1637" s="50"/>
    </row>
    <row r="1638" spans="2:5" s="4" customFormat="1">
      <c r="B1638" s="28"/>
      <c r="C1638" s="18"/>
      <c r="E1638" s="50"/>
    </row>
    <row r="1639" spans="2:5" s="4" customFormat="1">
      <c r="B1639" s="28"/>
      <c r="C1639" s="18"/>
      <c r="E1639" s="50"/>
    </row>
    <row r="1640" spans="2:5" s="4" customFormat="1">
      <c r="B1640" s="28"/>
      <c r="C1640" s="18"/>
      <c r="E1640" s="50"/>
    </row>
    <row r="1641" spans="2:5" s="4" customFormat="1">
      <c r="B1641" s="28"/>
      <c r="C1641" s="18"/>
      <c r="E1641" s="50"/>
    </row>
    <row r="1642" spans="2:5" s="4" customFormat="1">
      <c r="B1642" s="28"/>
      <c r="C1642" s="18"/>
      <c r="E1642" s="50"/>
    </row>
    <row r="1643" spans="2:5" s="4" customFormat="1">
      <c r="B1643" s="28"/>
      <c r="C1643" s="18"/>
      <c r="E1643" s="50"/>
    </row>
    <row r="1644" spans="2:5" s="4" customFormat="1">
      <c r="B1644" s="28"/>
      <c r="C1644" s="18"/>
      <c r="E1644" s="50"/>
    </row>
    <row r="1645" spans="2:5" s="4" customFormat="1">
      <c r="B1645" s="28"/>
      <c r="C1645" s="18"/>
      <c r="E1645" s="50"/>
    </row>
    <row r="1646" spans="2:5" s="4" customFormat="1">
      <c r="B1646" s="28"/>
      <c r="C1646" s="18"/>
      <c r="E1646" s="50"/>
    </row>
    <row r="1647" spans="2:5" s="4" customFormat="1">
      <c r="B1647" s="28"/>
      <c r="C1647" s="18"/>
      <c r="E1647" s="50"/>
    </row>
    <row r="1648" spans="2:5" s="4" customFormat="1">
      <c r="B1648" s="28"/>
      <c r="C1648" s="18"/>
      <c r="E1648" s="50"/>
    </row>
    <row r="1649" spans="2:5" s="4" customFormat="1">
      <c r="B1649" s="28"/>
      <c r="C1649" s="18"/>
      <c r="E1649" s="50"/>
    </row>
    <row r="1650" spans="2:5" s="4" customFormat="1">
      <c r="B1650" s="28"/>
      <c r="C1650" s="18"/>
      <c r="E1650" s="50"/>
    </row>
    <row r="1651" spans="2:5" s="4" customFormat="1">
      <c r="B1651" s="28"/>
      <c r="C1651" s="18"/>
      <c r="E1651" s="50"/>
    </row>
    <row r="1652" spans="2:5" s="4" customFormat="1">
      <c r="B1652" s="28"/>
      <c r="C1652" s="18"/>
      <c r="E1652" s="50"/>
    </row>
    <row r="1653" spans="2:5" s="4" customFormat="1">
      <c r="B1653" s="28"/>
      <c r="C1653" s="18"/>
      <c r="E1653" s="50"/>
    </row>
    <row r="1654" spans="2:5" s="4" customFormat="1">
      <c r="B1654" s="28"/>
      <c r="C1654" s="18"/>
      <c r="E1654" s="50"/>
    </row>
    <row r="1655" spans="2:5" s="4" customFormat="1">
      <c r="B1655" s="28"/>
      <c r="C1655" s="18"/>
      <c r="E1655" s="50"/>
    </row>
    <row r="1656" spans="2:5" s="4" customFormat="1">
      <c r="B1656" s="28"/>
      <c r="C1656" s="18"/>
      <c r="E1656" s="50"/>
    </row>
    <row r="1657" spans="2:5" s="4" customFormat="1">
      <c r="B1657" s="28"/>
      <c r="C1657" s="18"/>
      <c r="E1657" s="50"/>
    </row>
    <row r="1658" spans="2:5" s="4" customFormat="1">
      <c r="B1658" s="28"/>
      <c r="C1658" s="18"/>
      <c r="E1658" s="50"/>
    </row>
    <row r="1659" spans="2:5" s="4" customFormat="1">
      <c r="B1659" s="28"/>
      <c r="C1659" s="18"/>
      <c r="E1659" s="50"/>
    </row>
    <row r="1660" spans="2:5" s="4" customFormat="1">
      <c r="B1660" s="28"/>
      <c r="C1660" s="18"/>
      <c r="E1660" s="50"/>
    </row>
    <row r="1661" spans="2:5" s="4" customFormat="1">
      <c r="B1661" s="28"/>
      <c r="C1661" s="18"/>
      <c r="E1661" s="50"/>
    </row>
    <row r="1662" spans="2:5" s="4" customFormat="1">
      <c r="B1662" s="28"/>
      <c r="C1662" s="18"/>
      <c r="E1662" s="50"/>
    </row>
    <row r="1663" spans="2:5" s="4" customFormat="1">
      <c r="B1663" s="28"/>
      <c r="C1663" s="18"/>
      <c r="E1663" s="50"/>
    </row>
    <row r="1664" spans="2:5" s="4" customFormat="1">
      <c r="B1664" s="28"/>
      <c r="C1664" s="18"/>
      <c r="E1664" s="50"/>
    </row>
    <row r="1665" spans="2:5" s="4" customFormat="1">
      <c r="B1665" s="28"/>
      <c r="C1665" s="18"/>
      <c r="E1665" s="50"/>
    </row>
    <row r="1666" spans="2:5" s="4" customFormat="1">
      <c r="B1666" s="28"/>
      <c r="C1666" s="18"/>
      <c r="E1666" s="50"/>
    </row>
    <row r="1667" spans="2:5" s="4" customFormat="1">
      <c r="B1667" s="28"/>
      <c r="C1667" s="18"/>
      <c r="E1667" s="50"/>
    </row>
    <row r="1668" spans="2:5" s="4" customFormat="1">
      <c r="B1668" s="28"/>
      <c r="C1668" s="18"/>
      <c r="E1668" s="50"/>
    </row>
    <row r="1669" spans="2:5" s="4" customFormat="1">
      <c r="B1669" s="28"/>
      <c r="C1669" s="18"/>
      <c r="E1669" s="50"/>
    </row>
    <row r="1670" spans="2:5" s="4" customFormat="1">
      <c r="B1670" s="28"/>
      <c r="C1670" s="18"/>
      <c r="E1670" s="50"/>
    </row>
    <row r="1671" spans="2:5" s="4" customFormat="1">
      <c r="B1671" s="28"/>
      <c r="C1671" s="18"/>
      <c r="E1671" s="50"/>
    </row>
    <row r="1672" spans="2:5" s="4" customFormat="1">
      <c r="B1672" s="28"/>
      <c r="C1672" s="18"/>
      <c r="E1672" s="50"/>
    </row>
    <row r="1673" spans="2:5" s="4" customFormat="1">
      <c r="B1673" s="28"/>
      <c r="C1673" s="18"/>
      <c r="E1673" s="50"/>
    </row>
    <row r="1674" spans="2:5" s="4" customFormat="1">
      <c r="B1674" s="28"/>
      <c r="C1674" s="18"/>
      <c r="E1674" s="50"/>
    </row>
    <row r="1675" spans="2:5" s="4" customFormat="1">
      <c r="B1675" s="28"/>
      <c r="C1675" s="18"/>
      <c r="E1675" s="50"/>
    </row>
    <row r="1676" spans="2:5" s="4" customFormat="1">
      <c r="B1676" s="28"/>
      <c r="C1676" s="18"/>
      <c r="E1676" s="50"/>
    </row>
    <row r="1677" spans="2:5" s="4" customFormat="1">
      <c r="B1677" s="28"/>
      <c r="C1677" s="18"/>
      <c r="E1677" s="50"/>
    </row>
    <row r="1678" spans="2:5" s="4" customFormat="1">
      <c r="B1678" s="28"/>
      <c r="C1678" s="18"/>
      <c r="E1678" s="50"/>
    </row>
    <row r="1679" spans="2:5" s="4" customFormat="1">
      <c r="B1679" s="28"/>
      <c r="C1679" s="18"/>
      <c r="E1679" s="50"/>
    </row>
    <row r="1680" spans="2:5" s="4" customFormat="1">
      <c r="B1680" s="28"/>
      <c r="C1680" s="18"/>
      <c r="E1680" s="50"/>
    </row>
    <row r="1681" spans="2:5" s="4" customFormat="1">
      <c r="B1681" s="28"/>
      <c r="C1681" s="18"/>
      <c r="E1681" s="50"/>
    </row>
    <row r="1682" spans="2:5" s="4" customFormat="1">
      <c r="B1682" s="28"/>
      <c r="C1682" s="18"/>
      <c r="E1682" s="50"/>
    </row>
    <row r="1683" spans="2:5" s="4" customFormat="1">
      <c r="B1683" s="28"/>
      <c r="C1683" s="18"/>
      <c r="E1683" s="50"/>
    </row>
    <row r="1684" spans="2:5" s="4" customFormat="1">
      <c r="B1684" s="28"/>
      <c r="C1684" s="18"/>
      <c r="E1684" s="50"/>
    </row>
    <row r="1685" spans="2:5" s="4" customFormat="1">
      <c r="B1685" s="28"/>
      <c r="C1685" s="18"/>
      <c r="E1685" s="50"/>
    </row>
    <row r="1686" spans="2:5" s="4" customFormat="1">
      <c r="B1686" s="28"/>
      <c r="C1686" s="18"/>
      <c r="E1686" s="50"/>
    </row>
    <row r="1687" spans="2:5" s="4" customFormat="1">
      <c r="B1687" s="28"/>
      <c r="C1687" s="18"/>
      <c r="E1687" s="50"/>
    </row>
    <row r="1688" spans="2:5" s="4" customFormat="1">
      <c r="B1688" s="28"/>
      <c r="C1688" s="18"/>
      <c r="E1688" s="50"/>
    </row>
    <row r="1689" spans="2:5" s="4" customFormat="1">
      <c r="B1689" s="28"/>
      <c r="C1689" s="18"/>
      <c r="E1689" s="50"/>
    </row>
    <row r="1690" spans="2:5" s="4" customFormat="1">
      <c r="B1690" s="28"/>
      <c r="C1690" s="18"/>
      <c r="E1690" s="50"/>
    </row>
    <row r="1691" spans="2:5" s="4" customFormat="1">
      <c r="B1691" s="28"/>
      <c r="C1691" s="18"/>
      <c r="E1691" s="50"/>
    </row>
    <row r="1692" spans="2:5" s="4" customFormat="1">
      <c r="B1692" s="28"/>
      <c r="C1692" s="18"/>
      <c r="E1692" s="50"/>
    </row>
    <row r="1693" spans="2:5" s="4" customFormat="1">
      <c r="B1693" s="28"/>
      <c r="C1693" s="18"/>
      <c r="E1693" s="50"/>
    </row>
    <row r="1694" spans="2:5" s="4" customFormat="1">
      <c r="B1694" s="28"/>
      <c r="C1694" s="18"/>
      <c r="E1694" s="50"/>
    </row>
    <row r="1695" spans="2:5" s="4" customFormat="1">
      <c r="B1695" s="28"/>
      <c r="C1695" s="18"/>
      <c r="E1695" s="50"/>
    </row>
    <row r="1696" spans="2:5" s="4" customFormat="1">
      <c r="B1696" s="28"/>
      <c r="C1696" s="18"/>
      <c r="E1696" s="50"/>
    </row>
    <row r="1697" spans="2:5" s="4" customFormat="1">
      <c r="B1697" s="28"/>
      <c r="C1697" s="18"/>
      <c r="E1697" s="50"/>
    </row>
    <row r="1698" spans="2:5" s="4" customFormat="1">
      <c r="B1698" s="28"/>
      <c r="C1698" s="18"/>
      <c r="E1698" s="50"/>
    </row>
    <row r="1699" spans="2:5" s="4" customFormat="1">
      <c r="B1699" s="28"/>
      <c r="C1699" s="18"/>
      <c r="E1699" s="50"/>
    </row>
    <row r="1700" spans="2:5" s="4" customFormat="1">
      <c r="B1700" s="28"/>
      <c r="C1700" s="18"/>
      <c r="E1700" s="50"/>
    </row>
    <row r="1701" spans="2:5" s="4" customFormat="1">
      <c r="B1701" s="28"/>
      <c r="C1701" s="18"/>
      <c r="E1701" s="50"/>
    </row>
    <row r="1702" spans="2:5" s="4" customFormat="1">
      <c r="B1702" s="28"/>
      <c r="C1702" s="18"/>
      <c r="E1702" s="50"/>
    </row>
    <row r="1703" spans="2:5" s="4" customFormat="1">
      <c r="B1703" s="28"/>
      <c r="C1703" s="18"/>
      <c r="E1703" s="50"/>
    </row>
    <row r="1704" spans="2:5" s="4" customFormat="1">
      <c r="B1704" s="28"/>
      <c r="C1704" s="18"/>
      <c r="E1704" s="50"/>
    </row>
    <row r="1705" spans="2:5" s="4" customFormat="1">
      <c r="B1705" s="28"/>
      <c r="C1705" s="18"/>
      <c r="E1705" s="50"/>
    </row>
    <row r="1706" spans="2:5" s="4" customFormat="1">
      <c r="B1706" s="28"/>
      <c r="C1706" s="18"/>
      <c r="E1706" s="50"/>
    </row>
    <row r="1707" spans="2:5" s="4" customFormat="1">
      <c r="B1707" s="28"/>
      <c r="C1707" s="18"/>
      <c r="E1707" s="50"/>
    </row>
    <row r="1708" spans="2:5" s="4" customFormat="1">
      <c r="B1708" s="28"/>
      <c r="C1708" s="18"/>
      <c r="E1708" s="50"/>
    </row>
    <row r="1709" spans="2:5" s="4" customFormat="1">
      <c r="B1709" s="28"/>
      <c r="C1709" s="18"/>
      <c r="E1709" s="50"/>
    </row>
    <row r="1710" spans="2:5" s="4" customFormat="1">
      <c r="B1710" s="28"/>
      <c r="C1710" s="18"/>
      <c r="E1710" s="50"/>
    </row>
    <row r="1711" spans="2:5" s="4" customFormat="1">
      <c r="B1711" s="28"/>
      <c r="C1711" s="18"/>
      <c r="E1711" s="50"/>
    </row>
    <row r="1712" spans="2:5" s="4" customFormat="1">
      <c r="B1712" s="28"/>
      <c r="C1712" s="18"/>
      <c r="E1712" s="50"/>
    </row>
    <row r="1713" spans="2:5" s="4" customFormat="1">
      <c r="B1713" s="28"/>
      <c r="C1713" s="18"/>
      <c r="E1713" s="50"/>
    </row>
    <row r="1714" spans="2:5" s="4" customFormat="1">
      <c r="B1714" s="28"/>
      <c r="C1714" s="18"/>
      <c r="E1714" s="50"/>
    </row>
    <row r="1715" spans="2:5" s="4" customFormat="1">
      <c r="B1715" s="28"/>
      <c r="C1715" s="18"/>
      <c r="E1715" s="50"/>
    </row>
    <row r="1716" spans="2:5" s="4" customFormat="1">
      <c r="B1716" s="28"/>
      <c r="C1716" s="18"/>
      <c r="E1716" s="50"/>
    </row>
    <row r="1717" spans="2:5" s="4" customFormat="1">
      <c r="B1717" s="28"/>
      <c r="C1717" s="18"/>
      <c r="E1717" s="50"/>
    </row>
    <row r="1718" spans="2:5" s="4" customFormat="1">
      <c r="B1718" s="28"/>
      <c r="C1718" s="18"/>
      <c r="E1718" s="50"/>
    </row>
    <row r="1719" spans="2:5" s="4" customFormat="1">
      <c r="B1719" s="28"/>
      <c r="C1719" s="18"/>
      <c r="E1719" s="50"/>
    </row>
    <row r="1720" spans="2:5" s="4" customFormat="1">
      <c r="B1720" s="28"/>
      <c r="C1720" s="18"/>
      <c r="E1720" s="50"/>
    </row>
    <row r="1721" spans="2:5" s="4" customFormat="1">
      <c r="B1721" s="28"/>
      <c r="C1721" s="18"/>
      <c r="E1721" s="50"/>
    </row>
    <row r="1722" spans="2:5" s="4" customFormat="1">
      <c r="B1722" s="28"/>
      <c r="C1722" s="18"/>
      <c r="E1722" s="50"/>
    </row>
    <row r="1723" spans="2:5" s="4" customFormat="1">
      <c r="B1723" s="28"/>
      <c r="C1723" s="18"/>
      <c r="E1723" s="50"/>
    </row>
    <row r="1724" spans="2:5" s="4" customFormat="1">
      <c r="B1724" s="28"/>
      <c r="C1724" s="18"/>
      <c r="E1724" s="50"/>
    </row>
    <row r="1725" spans="2:5" s="4" customFormat="1">
      <c r="B1725" s="28"/>
      <c r="C1725" s="18"/>
      <c r="E1725" s="50"/>
    </row>
    <row r="1726" spans="2:5" s="4" customFormat="1">
      <c r="B1726" s="28"/>
      <c r="C1726" s="18"/>
      <c r="E1726" s="50"/>
    </row>
    <row r="1727" spans="2:5" s="4" customFormat="1">
      <c r="B1727" s="28"/>
      <c r="C1727" s="18"/>
      <c r="E1727" s="50"/>
    </row>
    <row r="1728" spans="2:5" s="4" customFormat="1">
      <c r="B1728" s="28"/>
      <c r="C1728" s="18"/>
      <c r="E1728" s="50"/>
    </row>
    <row r="1729" spans="2:5" s="4" customFormat="1">
      <c r="B1729" s="28"/>
      <c r="C1729" s="18"/>
      <c r="E1729" s="50"/>
    </row>
    <row r="1730" spans="2:5" s="4" customFormat="1">
      <c r="B1730" s="28"/>
      <c r="C1730" s="18"/>
      <c r="E1730" s="50"/>
    </row>
    <row r="1731" spans="2:5" s="4" customFormat="1">
      <c r="B1731" s="28"/>
      <c r="C1731" s="18"/>
      <c r="E1731" s="50"/>
    </row>
    <row r="1732" spans="2:5" s="4" customFormat="1">
      <c r="B1732" s="28"/>
      <c r="C1732" s="18"/>
      <c r="E1732" s="50"/>
    </row>
    <row r="1733" spans="2:5" s="4" customFormat="1">
      <c r="B1733" s="28"/>
      <c r="C1733" s="18"/>
      <c r="E1733" s="50"/>
    </row>
    <row r="1734" spans="2:5" s="4" customFormat="1">
      <c r="B1734" s="28"/>
      <c r="C1734" s="18"/>
      <c r="E1734" s="50"/>
    </row>
    <row r="1735" spans="2:5" s="4" customFormat="1">
      <c r="B1735" s="28"/>
      <c r="C1735" s="18"/>
      <c r="E1735" s="50"/>
    </row>
    <row r="1736" spans="2:5" s="4" customFormat="1">
      <c r="B1736" s="28"/>
      <c r="C1736" s="18"/>
      <c r="E1736" s="50"/>
    </row>
    <row r="1737" spans="2:5" s="4" customFormat="1">
      <c r="B1737" s="28"/>
      <c r="C1737" s="18"/>
      <c r="E1737" s="50"/>
    </row>
    <row r="1738" spans="2:5" s="4" customFormat="1">
      <c r="B1738" s="28"/>
      <c r="C1738" s="18"/>
      <c r="E1738" s="50"/>
    </row>
    <row r="1739" spans="2:5" s="4" customFormat="1">
      <c r="B1739" s="28"/>
      <c r="C1739" s="18"/>
      <c r="E1739" s="50"/>
    </row>
    <row r="1740" spans="2:5" s="4" customFormat="1">
      <c r="B1740" s="28"/>
      <c r="C1740" s="18"/>
      <c r="E1740" s="50"/>
    </row>
    <row r="1741" spans="2:5" s="4" customFormat="1">
      <c r="B1741" s="28"/>
      <c r="C1741" s="18"/>
      <c r="E1741" s="50"/>
    </row>
    <row r="1742" spans="2:5" s="4" customFormat="1">
      <c r="B1742" s="28"/>
      <c r="C1742" s="18"/>
      <c r="E1742" s="50"/>
    </row>
    <row r="1743" spans="2:5" s="4" customFormat="1">
      <c r="B1743" s="28"/>
      <c r="C1743" s="18"/>
      <c r="E1743" s="50"/>
    </row>
    <row r="1744" spans="2:5" s="4" customFormat="1">
      <c r="B1744" s="28"/>
      <c r="C1744" s="18"/>
      <c r="E1744" s="50"/>
    </row>
    <row r="1745" spans="2:5" s="4" customFormat="1">
      <c r="B1745" s="28"/>
      <c r="C1745" s="18"/>
      <c r="E1745" s="50"/>
    </row>
    <row r="1746" spans="2:5" s="4" customFormat="1">
      <c r="B1746" s="28"/>
      <c r="C1746" s="18"/>
      <c r="E1746" s="50"/>
    </row>
    <row r="1747" spans="2:5" s="4" customFormat="1">
      <c r="B1747" s="28"/>
      <c r="C1747" s="18"/>
      <c r="E1747" s="50"/>
    </row>
    <row r="1748" spans="2:5" s="4" customFormat="1">
      <c r="B1748" s="28"/>
      <c r="C1748" s="18"/>
      <c r="E1748" s="50"/>
    </row>
    <row r="1749" spans="2:5" s="4" customFormat="1">
      <c r="B1749" s="28"/>
      <c r="C1749" s="18"/>
      <c r="E1749" s="50"/>
    </row>
    <row r="1750" spans="2:5" s="4" customFormat="1">
      <c r="B1750" s="28"/>
      <c r="C1750" s="18"/>
      <c r="E1750" s="50"/>
    </row>
    <row r="1751" spans="2:5" s="4" customFormat="1">
      <c r="B1751" s="28"/>
      <c r="C1751" s="18"/>
      <c r="E1751" s="50"/>
    </row>
    <row r="1752" spans="2:5" s="4" customFormat="1">
      <c r="B1752" s="28"/>
      <c r="C1752" s="18"/>
      <c r="E1752" s="50"/>
    </row>
    <row r="1753" spans="2:5" s="4" customFormat="1">
      <c r="B1753" s="28"/>
      <c r="C1753" s="18"/>
      <c r="E1753" s="50"/>
    </row>
    <row r="1754" spans="2:5" s="4" customFormat="1">
      <c r="B1754" s="28"/>
      <c r="C1754" s="18"/>
      <c r="E1754" s="50"/>
    </row>
    <row r="1755" spans="2:5" s="4" customFormat="1">
      <c r="B1755" s="28"/>
      <c r="C1755" s="18"/>
      <c r="E1755" s="50"/>
    </row>
    <row r="1756" spans="2:5" s="4" customFormat="1">
      <c r="B1756" s="28"/>
      <c r="C1756" s="18"/>
      <c r="E1756" s="50"/>
    </row>
    <row r="1757" spans="2:5" s="4" customFormat="1">
      <c r="B1757" s="28"/>
      <c r="C1757" s="18"/>
      <c r="E1757" s="50"/>
    </row>
    <row r="1758" spans="2:5" s="4" customFormat="1">
      <c r="B1758" s="28"/>
      <c r="C1758" s="18"/>
      <c r="E1758" s="50"/>
    </row>
    <row r="1759" spans="2:5" s="4" customFormat="1">
      <c r="B1759" s="28"/>
      <c r="C1759" s="18"/>
      <c r="E1759" s="50"/>
    </row>
    <row r="1760" spans="2:5" s="4" customFormat="1">
      <c r="B1760" s="28"/>
      <c r="C1760" s="18"/>
      <c r="E1760" s="50"/>
    </row>
    <row r="1761" spans="2:5" s="4" customFormat="1">
      <c r="B1761" s="28"/>
      <c r="C1761" s="18"/>
      <c r="E1761" s="50"/>
    </row>
    <row r="1762" spans="2:5" s="4" customFormat="1">
      <c r="B1762" s="28"/>
      <c r="C1762" s="18"/>
      <c r="E1762" s="50"/>
    </row>
    <row r="1763" spans="2:5" s="4" customFormat="1">
      <c r="B1763" s="28"/>
      <c r="C1763" s="18"/>
      <c r="E1763" s="50"/>
    </row>
    <row r="1764" spans="2:5" s="4" customFormat="1">
      <c r="B1764" s="28"/>
      <c r="C1764" s="18"/>
      <c r="E1764" s="50"/>
    </row>
    <row r="1765" spans="2:5" s="4" customFormat="1">
      <c r="B1765" s="28"/>
      <c r="C1765" s="18"/>
      <c r="E1765" s="50"/>
    </row>
    <row r="1766" spans="2:5" s="4" customFormat="1">
      <c r="B1766" s="28"/>
      <c r="C1766" s="18"/>
      <c r="E1766" s="50"/>
    </row>
    <row r="1767" spans="2:5" s="4" customFormat="1">
      <c r="B1767" s="28"/>
      <c r="C1767" s="18"/>
      <c r="E1767" s="50"/>
    </row>
    <row r="1768" spans="2:5" s="4" customFormat="1">
      <c r="B1768" s="28"/>
      <c r="C1768" s="18"/>
      <c r="E1768" s="50"/>
    </row>
    <row r="1769" spans="2:5" s="4" customFormat="1">
      <c r="B1769" s="28"/>
      <c r="C1769" s="18"/>
      <c r="E1769" s="50"/>
    </row>
    <row r="1770" spans="2:5" s="4" customFormat="1">
      <c r="B1770" s="28"/>
      <c r="C1770" s="18"/>
      <c r="E1770" s="50"/>
    </row>
    <row r="1771" spans="2:5" s="4" customFormat="1">
      <c r="B1771" s="28"/>
      <c r="C1771" s="18"/>
      <c r="E1771" s="50"/>
    </row>
    <row r="1772" spans="2:5" s="4" customFormat="1">
      <c r="B1772" s="28"/>
      <c r="C1772" s="18"/>
      <c r="E1772" s="50"/>
    </row>
    <row r="1773" spans="2:5" s="4" customFormat="1">
      <c r="B1773" s="28"/>
      <c r="C1773" s="18"/>
      <c r="E1773" s="50"/>
    </row>
    <row r="1774" spans="2:5" s="4" customFormat="1">
      <c r="B1774" s="28"/>
      <c r="C1774" s="18"/>
      <c r="E1774" s="50"/>
    </row>
    <row r="1775" spans="2:5" s="4" customFormat="1">
      <c r="B1775" s="28"/>
      <c r="C1775" s="18"/>
      <c r="E1775" s="50"/>
    </row>
    <row r="1776" spans="2:5" s="4" customFormat="1">
      <c r="B1776" s="28"/>
      <c r="C1776" s="18"/>
      <c r="E1776" s="50"/>
    </row>
    <row r="1777" spans="2:5" s="4" customFormat="1">
      <c r="B1777" s="28"/>
      <c r="C1777" s="18"/>
      <c r="E1777" s="50"/>
    </row>
    <row r="1778" spans="2:5" s="4" customFormat="1">
      <c r="B1778" s="28"/>
      <c r="C1778" s="18"/>
      <c r="E1778" s="50"/>
    </row>
    <row r="1779" spans="2:5" s="4" customFormat="1">
      <c r="B1779" s="28"/>
      <c r="C1779" s="18"/>
      <c r="E1779" s="50"/>
    </row>
    <row r="1780" spans="2:5" s="4" customFormat="1">
      <c r="B1780" s="28"/>
      <c r="C1780" s="18"/>
      <c r="E1780" s="50"/>
    </row>
    <row r="1781" spans="2:5" s="4" customFormat="1">
      <c r="B1781" s="28"/>
      <c r="C1781" s="18"/>
      <c r="E1781" s="50"/>
    </row>
    <row r="1782" spans="2:5" s="4" customFormat="1">
      <c r="B1782" s="28"/>
      <c r="C1782" s="18"/>
      <c r="E1782" s="50"/>
    </row>
    <row r="1783" spans="2:5" s="4" customFormat="1">
      <c r="B1783" s="28"/>
      <c r="C1783" s="18"/>
      <c r="E1783" s="50"/>
    </row>
    <row r="1784" spans="2:5" s="4" customFormat="1">
      <c r="B1784" s="28"/>
      <c r="C1784" s="18"/>
      <c r="E1784" s="50"/>
    </row>
    <row r="1785" spans="2:5" s="4" customFormat="1">
      <c r="B1785" s="28"/>
      <c r="C1785" s="18"/>
      <c r="E1785" s="50"/>
    </row>
    <row r="1786" spans="2:5" s="4" customFormat="1">
      <c r="B1786" s="28"/>
      <c r="C1786" s="18"/>
      <c r="E1786" s="50"/>
    </row>
    <row r="1787" spans="2:5" s="4" customFormat="1">
      <c r="B1787" s="28"/>
      <c r="C1787" s="18"/>
      <c r="E1787" s="50"/>
    </row>
    <row r="1788" spans="2:5" s="4" customFormat="1">
      <c r="B1788" s="28"/>
      <c r="C1788" s="18"/>
      <c r="E1788" s="50"/>
    </row>
    <row r="1789" spans="2:5" s="4" customFormat="1">
      <c r="B1789" s="28"/>
      <c r="C1789" s="18"/>
      <c r="E1789" s="50"/>
    </row>
    <row r="1790" spans="2:5" s="4" customFormat="1">
      <c r="B1790" s="28"/>
      <c r="C1790" s="18"/>
      <c r="E1790" s="50"/>
    </row>
    <row r="1791" spans="2:5" s="4" customFormat="1">
      <c r="B1791" s="28"/>
      <c r="C1791" s="18"/>
      <c r="E1791" s="50"/>
    </row>
    <row r="1792" spans="2:5" s="4" customFormat="1">
      <c r="B1792" s="28"/>
      <c r="C1792" s="18"/>
      <c r="E1792" s="50"/>
    </row>
    <row r="1793" spans="2:5" s="4" customFormat="1">
      <c r="B1793" s="28"/>
      <c r="C1793" s="18"/>
      <c r="E1793" s="50"/>
    </row>
    <row r="1794" spans="2:5" s="4" customFormat="1">
      <c r="B1794" s="28"/>
      <c r="C1794" s="18"/>
      <c r="E1794" s="50"/>
    </row>
    <row r="1795" spans="2:5" s="4" customFormat="1">
      <c r="B1795" s="28"/>
      <c r="C1795" s="18"/>
      <c r="E1795" s="50"/>
    </row>
    <row r="1796" spans="2:5" s="4" customFormat="1">
      <c r="B1796" s="28"/>
      <c r="C1796" s="18"/>
      <c r="E1796" s="50"/>
    </row>
    <row r="1797" spans="2:5" s="4" customFormat="1">
      <c r="B1797" s="28"/>
      <c r="C1797" s="18"/>
      <c r="E1797" s="50"/>
    </row>
    <row r="1798" spans="2:5" s="4" customFormat="1">
      <c r="B1798" s="28"/>
      <c r="C1798" s="18"/>
      <c r="E1798" s="50"/>
    </row>
    <row r="1799" spans="2:5" s="4" customFormat="1">
      <c r="B1799" s="28"/>
      <c r="C1799" s="18"/>
      <c r="E1799" s="50"/>
    </row>
    <row r="1800" spans="2:5" s="4" customFormat="1">
      <c r="B1800" s="28"/>
      <c r="C1800" s="18"/>
      <c r="E1800" s="50"/>
    </row>
    <row r="1801" spans="2:5" s="4" customFormat="1">
      <c r="B1801" s="28"/>
      <c r="C1801" s="18"/>
      <c r="E1801" s="50"/>
    </row>
    <row r="1802" spans="2:5" s="4" customFormat="1">
      <c r="B1802" s="28"/>
      <c r="C1802" s="18"/>
      <c r="E1802" s="50"/>
    </row>
    <row r="1803" spans="2:5" s="4" customFormat="1">
      <c r="B1803" s="28"/>
      <c r="C1803" s="18"/>
      <c r="E1803" s="50"/>
    </row>
    <row r="1804" spans="2:5" s="4" customFormat="1">
      <c r="B1804" s="28"/>
      <c r="C1804" s="18"/>
      <c r="E1804" s="50"/>
    </row>
    <row r="1805" spans="2:5" s="4" customFormat="1">
      <c r="B1805" s="28"/>
      <c r="C1805" s="18"/>
      <c r="E1805" s="50"/>
    </row>
    <row r="1806" spans="2:5" s="4" customFormat="1">
      <c r="B1806" s="28"/>
      <c r="C1806" s="18"/>
      <c r="E1806" s="50"/>
    </row>
    <row r="1807" spans="2:5" s="4" customFormat="1">
      <c r="B1807" s="28"/>
      <c r="C1807" s="18"/>
      <c r="E1807" s="50"/>
    </row>
    <row r="1808" spans="2:5" s="4" customFormat="1">
      <c r="B1808" s="28"/>
      <c r="C1808" s="18"/>
      <c r="E1808" s="50"/>
    </row>
    <row r="1809" spans="2:5" s="4" customFormat="1">
      <c r="B1809" s="28"/>
      <c r="C1809" s="18"/>
      <c r="E1809" s="50"/>
    </row>
    <row r="1810" spans="2:5" s="4" customFormat="1">
      <c r="B1810" s="28"/>
      <c r="C1810" s="18"/>
      <c r="E1810" s="50"/>
    </row>
    <row r="1811" spans="2:5" s="4" customFormat="1">
      <c r="B1811" s="28"/>
      <c r="C1811" s="18"/>
      <c r="E1811" s="50"/>
    </row>
    <row r="1812" spans="2:5" s="4" customFormat="1">
      <c r="B1812" s="28"/>
      <c r="C1812" s="18"/>
      <c r="E1812" s="50"/>
    </row>
    <row r="1813" spans="2:5" s="4" customFormat="1">
      <c r="B1813" s="28"/>
      <c r="C1813" s="18"/>
      <c r="E1813" s="50"/>
    </row>
    <row r="1814" spans="2:5" s="4" customFormat="1">
      <c r="B1814" s="28"/>
      <c r="C1814" s="18"/>
      <c r="E1814" s="50"/>
    </row>
    <row r="1815" spans="2:5" s="4" customFormat="1">
      <c r="B1815" s="28"/>
      <c r="C1815" s="18"/>
      <c r="E1815" s="50"/>
    </row>
    <row r="1816" spans="2:5" s="4" customFormat="1">
      <c r="B1816" s="28"/>
      <c r="C1816" s="18"/>
      <c r="E1816" s="50"/>
    </row>
    <row r="1817" spans="2:5" s="4" customFormat="1">
      <c r="B1817" s="28"/>
      <c r="C1817" s="18"/>
      <c r="E1817" s="50"/>
    </row>
    <row r="1818" spans="2:5" s="4" customFormat="1">
      <c r="B1818" s="28"/>
      <c r="C1818" s="18"/>
      <c r="E1818" s="50"/>
    </row>
    <row r="1819" spans="2:5" s="4" customFormat="1">
      <c r="B1819" s="28"/>
      <c r="C1819" s="18"/>
      <c r="E1819" s="50"/>
    </row>
    <row r="1820" spans="2:5" s="4" customFormat="1">
      <c r="B1820" s="28"/>
      <c r="C1820" s="18"/>
      <c r="E1820" s="50"/>
    </row>
    <row r="1821" spans="2:5" s="4" customFormat="1">
      <c r="B1821" s="28"/>
      <c r="C1821" s="18"/>
      <c r="E1821" s="50"/>
    </row>
    <row r="1822" spans="2:5" s="4" customFormat="1">
      <c r="B1822" s="28"/>
      <c r="C1822" s="18"/>
      <c r="E1822" s="50"/>
    </row>
    <row r="1823" spans="2:5" s="4" customFormat="1">
      <c r="B1823" s="28"/>
      <c r="C1823" s="18"/>
      <c r="E1823" s="50"/>
    </row>
    <row r="1824" spans="2:5" s="4" customFormat="1">
      <c r="B1824" s="28"/>
      <c r="C1824" s="18"/>
      <c r="E1824" s="50"/>
    </row>
    <row r="1825" spans="2:5" s="4" customFormat="1">
      <c r="B1825" s="28"/>
      <c r="C1825" s="18"/>
      <c r="E1825" s="50"/>
    </row>
    <row r="1826" spans="2:5" s="4" customFormat="1">
      <c r="B1826" s="28"/>
      <c r="C1826" s="18"/>
      <c r="E1826" s="50"/>
    </row>
    <row r="1827" spans="2:5" s="4" customFormat="1">
      <c r="B1827" s="28"/>
      <c r="C1827" s="18"/>
      <c r="E1827" s="50"/>
    </row>
    <row r="1828" spans="2:5" s="4" customFormat="1">
      <c r="B1828" s="28"/>
      <c r="C1828" s="18"/>
      <c r="E1828" s="50"/>
    </row>
    <row r="1829" spans="2:5" s="4" customFormat="1">
      <c r="B1829" s="28"/>
      <c r="C1829" s="18"/>
      <c r="E1829" s="50"/>
    </row>
    <row r="1830" spans="2:5" s="4" customFormat="1">
      <c r="B1830" s="28"/>
      <c r="C1830" s="18"/>
      <c r="E1830" s="50"/>
    </row>
    <row r="1831" spans="2:5" s="4" customFormat="1">
      <c r="B1831" s="28"/>
      <c r="C1831" s="18"/>
      <c r="E1831" s="50"/>
    </row>
    <row r="1832" spans="2:5" s="4" customFormat="1">
      <c r="B1832" s="28"/>
      <c r="C1832" s="18"/>
      <c r="E1832" s="50"/>
    </row>
    <row r="1833" spans="2:5" s="4" customFormat="1">
      <c r="B1833" s="28"/>
      <c r="C1833" s="18"/>
      <c r="E1833" s="50"/>
    </row>
    <row r="1834" spans="2:5" s="4" customFormat="1">
      <c r="B1834" s="28"/>
      <c r="C1834" s="18"/>
      <c r="E1834" s="50"/>
    </row>
    <row r="1835" spans="2:5" s="4" customFormat="1">
      <c r="B1835" s="28"/>
      <c r="C1835" s="18"/>
      <c r="E1835" s="50"/>
    </row>
    <row r="1836" spans="2:5" s="4" customFormat="1">
      <c r="B1836" s="28"/>
      <c r="C1836" s="18"/>
      <c r="E1836" s="50"/>
    </row>
    <row r="1837" spans="2:5" s="4" customFormat="1">
      <c r="B1837" s="28"/>
      <c r="C1837" s="18"/>
      <c r="E1837" s="50"/>
    </row>
    <row r="1838" spans="2:5" s="4" customFormat="1">
      <c r="B1838" s="28"/>
      <c r="C1838" s="18"/>
      <c r="E1838" s="50"/>
    </row>
    <row r="1839" spans="2:5" s="4" customFormat="1">
      <c r="B1839" s="28"/>
      <c r="C1839" s="18"/>
      <c r="E1839" s="50"/>
    </row>
    <row r="1840" spans="2:5" s="4" customFormat="1">
      <c r="B1840" s="28"/>
      <c r="C1840" s="18"/>
      <c r="E1840" s="50"/>
    </row>
    <row r="1841" spans="2:5" s="4" customFormat="1">
      <c r="B1841" s="28"/>
      <c r="C1841" s="18"/>
      <c r="E1841" s="50"/>
    </row>
    <row r="1842" spans="2:5" s="4" customFormat="1">
      <c r="B1842" s="28"/>
      <c r="C1842" s="18"/>
      <c r="E1842" s="50"/>
    </row>
    <row r="1843" spans="2:5" s="4" customFormat="1">
      <c r="B1843" s="28"/>
      <c r="C1843" s="18"/>
      <c r="E1843" s="50"/>
    </row>
    <row r="1844" spans="2:5" s="4" customFormat="1">
      <c r="B1844" s="28"/>
      <c r="C1844" s="18"/>
      <c r="E1844" s="50"/>
    </row>
    <row r="1845" spans="2:5" s="4" customFormat="1">
      <c r="B1845" s="28"/>
      <c r="C1845" s="18"/>
      <c r="E1845" s="50"/>
    </row>
    <row r="1846" spans="2:5" s="4" customFormat="1">
      <c r="B1846" s="28"/>
      <c r="C1846" s="18"/>
      <c r="E1846" s="50"/>
    </row>
    <row r="1847" spans="2:5" s="4" customFormat="1">
      <c r="B1847" s="28"/>
      <c r="C1847" s="18"/>
      <c r="E1847" s="50"/>
    </row>
    <row r="1848" spans="2:5" s="4" customFormat="1">
      <c r="B1848" s="28"/>
      <c r="C1848" s="18"/>
      <c r="E1848" s="50"/>
    </row>
    <row r="1849" spans="2:5" s="4" customFormat="1">
      <c r="B1849" s="28"/>
      <c r="C1849" s="18"/>
      <c r="E1849" s="50"/>
    </row>
    <row r="1850" spans="2:5" s="4" customFormat="1">
      <c r="B1850" s="28"/>
      <c r="C1850" s="18"/>
      <c r="E1850" s="50"/>
    </row>
    <row r="1851" spans="2:5" s="4" customFormat="1">
      <c r="B1851" s="28"/>
      <c r="C1851" s="18"/>
      <c r="E1851" s="50"/>
    </row>
    <row r="1852" spans="2:5" s="4" customFormat="1">
      <c r="B1852" s="28"/>
      <c r="C1852" s="18"/>
      <c r="E1852" s="50"/>
    </row>
    <row r="1853" spans="2:5" s="4" customFormat="1">
      <c r="B1853" s="28"/>
      <c r="C1853" s="18"/>
      <c r="E1853" s="50"/>
    </row>
    <row r="1854" spans="2:5" s="4" customFormat="1">
      <c r="B1854" s="28"/>
      <c r="C1854" s="18"/>
      <c r="E1854" s="50"/>
    </row>
    <row r="1855" spans="2:5" s="4" customFormat="1">
      <c r="B1855" s="28"/>
      <c r="C1855" s="18"/>
      <c r="E1855" s="50"/>
    </row>
    <row r="1856" spans="2:5" s="4" customFormat="1">
      <c r="B1856" s="28"/>
      <c r="C1856" s="18"/>
      <c r="E1856" s="50"/>
    </row>
    <row r="1857" spans="2:5" s="4" customFormat="1">
      <c r="B1857" s="28"/>
      <c r="C1857" s="18"/>
      <c r="E1857" s="50"/>
    </row>
    <row r="1858" spans="2:5" s="4" customFormat="1">
      <c r="B1858" s="28"/>
      <c r="C1858" s="18"/>
      <c r="E1858" s="50"/>
    </row>
    <row r="1859" spans="2:5" s="4" customFormat="1">
      <c r="B1859" s="28"/>
      <c r="C1859" s="18"/>
      <c r="E1859" s="50"/>
    </row>
    <row r="1860" spans="2:5" s="4" customFormat="1">
      <c r="B1860" s="28"/>
      <c r="C1860" s="18"/>
      <c r="E1860" s="50"/>
    </row>
    <row r="1861" spans="2:5" s="4" customFormat="1">
      <c r="B1861" s="28"/>
      <c r="C1861" s="18"/>
      <c r="E1861" s="50"/>
    </row>
    <row r="1862" spans="2:5" s="4" customFormat="1">
      <c r="B1862" s="28"/>
      <c r="C1862" s="18"/>
      <c r="E1862" s="50"/>
    </row>
    <row r="1863" spans="2:5" s="4" customFormat="1">
      <c r="B1863" s="28"/>
      <c r="C1863" s="18"/>
      <c r="E1863" s="50"/>
    </row>
    <row r="1864" spans="2:5" s="4" customFormat="1">
      <c r="B1864" s="28"/>
      <c r="C1864" s="18"/>
      <c r="E1864" s="50"/>
    </row>
    <row r="1865" spans="2:5" s="4" customFormat="1">
      <c r="B1865" s="28"/>
      <c r="C1865" s="18"/>
      <c r="E1865" s="50"/>
    </row>
    <row r="1866" spans="2:5" s="4" customFormat="1">
      <c r="B1866" s="28"/>
      <c r="C1866" s="18"/>
      <c r="E1866" s="50"/>
    </row>
    <row r="1867" spans="2:5" s="4" customFormat="1">
      <c r="B1867" s="28"/>
      <c r="C1867" s="18"/>
      <c r="E1867" s="50"/>
    </row>
    <row r="1868" spans="2:5" s="4" customFormat="1">
      <c r="B1868" s="28"/>
      <c r="C1868" s="18"/>
      <c r="E1868" s="50"/>
    </row>
    <row r="1869" spans="2:5" s="4" customFormat="1">
      <c r="B1869" s="28"/>
      <c r="C1869" s="18"/>
      <c r="E1869" s="50"/>
    </row>
    <row r="1870" spans="2:5" s="4" customFormat="1">
      <c r="B1870" s="28"/>
      <c r="C1870" s="18"/>
      <c r="E1870" s="50"/>
    </row>
    <row r="1871" spans="2:5" s="4" customFormat="1">
      <c r="B1871" s="28"/>
      <c r="C1871" s="18"/>
      <c r="E1871" s="50"/>
    </row>
    <row r="1872" spans="2:5" s="4" customFormat="1">
      <c r="B1872" s="28"/>
      <c r="C1872" s="18"/>
      <c r="E1872" s="50"/>
    </row>
    <row r="1873" spans="2:5" s="4" customFormat="1">
      <c r="B1873" s="28"/>
      <c r="C1873" s="18"/>
      <c r="E1873" s="50"/>
    </row>
    <row r="1874" spans="2:5" s="4" customFormat="1">
      <c r="B1874" s="28"/>
      <c r="C1874" s="18"/>
      <c r="E1874" s="50"/>
    </row>
    <row r="1875" spans="2:5" s="4" customFormat="1">
      <c r="B1875" s="28"/>
      <c r="C1875" s="18"/>
      <c r="E1875" s="50"/>
    </row>
    <row r="1876" spans="2:5" s="4" customFormat="1">
      <c r="B1876" s="28"/>
      <c r="C1876" s="18"/>
      <c r="E1876" s="50"/>
    </row>
    <row r="1877" spans="2:5" s="4" customFormat="1">
      <c r="B1877" s="28"/>
      <c r="C1877" s="18"/>
      <c r="E1877" s="50"/>
    </row>
    <row r="1878" spans="2:5" s="4" customFormat="1">
      <c r="B1878" s="28"/>
      <c r="C1878" s="18"/>
      <c r="E1878" s="50"/>
    </row>
    <row r="1879" spans="2:5" s="4" customFormat="1">
      <c r="B1879" s="28"/>
      <c r="C1879" s="18"/>
      <c r="E1879" s="50"/>
    </row>
    <row r="1880" spans="2:5" s="4" customFormat="1">
      <c r="B1880" s="28"/>
      <c r="C1880" s="18"/>
      <c r="E1880" s="50"/>
    </row>
    <row r="1881" spans="2:5" s="4" customFormat="1">
      <c r="B1881" s="28"/>
      <c r="C1881" s="18"/>
      <c r="E1881" s="50"/>
    </row>
    <row r="1882" spans="2:5" s="4" customFormat="1">
      <c r="B1882" s="28"/>
      <c r="C1882" s="18"/>
      <c r="E1882" s="50"/>
    </row>
    <row r="1883" spans="2:5" s="4" customFormat="1">
      <c r="B1883" s="28"/>
      <c r="C1883" s="18"/>
      <c r="E1883" s="50"/>
    </row>
    <row r="1884" spans="2:5" s="4" customFormat="1">
      <c r="B1884" s="28"/>
      <c r="C1884" s="18"/>
      <c r="E1884" s="50"/>
    </row>
    <row r="1885" spans="2:5" s="4" customFormat="1">
      <c r="B1885" s="28"/>
      <c r="C1885" s="18"/>
      <c r="E1885" s="50"/>
    </row>
    <row r="1886" spans="2:5" s="4" customFormat="1">
      <c r="B1886" s="28"/>
      <c r="C1886" s="18"/>
      <c r="E1886" s="50"/>
    </row>
    <row r="1887" spans="2:5" s="4" customFormat="1">
      <c r="B1887" s="28"/>
      <c r="C1887" s="18"/>
      <c r="E1887" s="50"/>
    </row>
    <row r="1888" spans="2:5" s="4" customFormat="1">
      <c r="B1888" s="28"/>
      <c r="C1888" s="18"/>
      <c r="E1888" s="50"/>
    </row>
    <row r="1889" spans="2:5" s="4" customFormat="1">
      <c r="B1889" s="28"/>
      <c r="C1889" s="18"/>
      <c r="E1889" s="50"/>
    </row>
    <row r="1890" spans="2:5" s="4" customFormat="1">
      <c r="B1890" s="28"/>
      <c r="C1890" s="18"/>
      <c r="E1890" s="50"/>
    </row>
    <row r="1891" spans="2:5" s="4" customFormat="1">
      <c r="B1891" s="28"/>
      <c r="C1891" s="18"/>
      <c r="E1891" s="50"/>
    </row>
    <row r="1892" spans="2:5" s="4" customFormat="1">
      <c r="B1892" s="28"/>
      <c r="C1892" s="18"/>
      <c r="E1892" s="50"/>
    </row>
    <row r="1893" spans="2:5" s="4" customFormat="1">
      <c r="B1893" s="28"/>
      <c r="C1893" s="18"/>
      <c r="E1893" s="50"/>
    </row>
    <row r="1894" spans="2:5" s="4" customFormat="1">
      <c r="B1894" s="28"/>
      <c r="C1894" s="18"/>
      <c r="E1894" s="50"/>
    </row>
    <row r="1895" spans="2:5" s="4" customFormat="1">
      <c r="B1895" s="28"/>
      <c r="C1895" s="18"/>
      <c r="E1895" s="50"/>
    </row>
    <row r="1896" spans="2:5" s="4" customFormat="1">
      <c r="B1896" s="28"/>
      <c r="C1896" s="18"/>
      <c r="E1896" s="50"/>
    </row>
    <row r="1897" spans="2:5" s="4" customFormat="1">
      <c r="B1897" s="28"/>
      <c r="C1897" s="18"/>
      <c r="E1897" s="50"/>
    </row>
    <row r="1898" spans="2:5" s="4" customFormat="1">
      <c r="B1898" s="28"/>
      <c r="C1898" s="18"/>
      <c r="E1898" s="50"/>
    </row>
    <row r="1899" spans="2:5" s="4" customFormat="1">
      <c r="B1899" s="28"/>
      <c r="C1899" s="18"/>
      <c r="E1899" s="50"/>
    </row>
    <row r="1900" spans="2:5" s="4" customFormat="1">
      <c r="B1900" s="28"/>
      <c r="C1900" s="18"/>
      <c r="E1900" s="50"/>
    </row>
    <row r="1901" spans="2:5" s="4" customFormat="1">
      <c r="B1901" s="28"/>
      <c r="C1901" s="18"/>
      <c r="E1901" s="50"/>
    </row>
    <row r="1902" spans="2:5" s="4" customFormat="1">
      <c r="B1902" s="28"/>
      <c r="C1902" s="18"/>
      <c r="E1902" s="50"/>
    </row>
    <row r="1903" spans="2:5" s="4" customFormat="1">
      <c r="B1903" s="28"/>
      <c r="C1903" s="18"/>
      <c r="E1903" s="50"/>
    </row>
    <row r="1904" spans="2:5" s="4" customFormat="1">
      <c r="B1904" s="28"/>
      <c r="C1904" s="18"/>
      <c r="E1904" s="50"/>
    </row>
    <row r="1905" spans="2:5" s="4" customFormat="1">
      <c r="B1905" s="28"/>
      <c r="C1905" s="18"/>
      <c r="E1905" s="50"/>
    </row>
    <row r="1906" spans="2:5" s="4" customFormat="1">
      <c r="B1906" s="28"/>
      <c r="C1906" s="18"/>
      <c r="E1906" s="50"/>
    </row>
    <row r="1907" spans="2:5" s="4" customFormat="1">
      <c r="B1907" s="28"/>
      <c r="C1907" s="18"/>
      <c r="E1907" s="50"/>
    </row>
    <row r="1908" spans="2:5" s="4" customFormat="1">
      <c r="B1908" s="28"/>
      <c r="C1908" s="18"/>
      <c r="E1908" s="50"/>
    </row>
    <row r="1909" spans="2:5" s="4" customFormat="1">
      <c r="B1909" s="28"/>
      <c r="C1909" s="18"/>
      <c r="E1909" s="50"/>
    </row>
    <row r="1910" spans="2:5" s="4" customFormat="1">
      <c r="B1910" s="28"/>
      <c r="C1910" s="18"/>
      <c r="E1910" s="50"/>
    </row>
    <row r="1911" spans="2:5" s="4" customFormat="1">
      <c r="B1911" s="28"/>
      <c r="C1911" s="18"/>
      <c r="E1911" s="50"/>
    </row>
    <row r="1912" spans="2:5" s="4" customFormat="1">
      <c r="B1912" s="28"/>
      <c r="C1912" s="18"/>
      <c r="E1912" s="50"/>
    </row>
    <row r="1913" spans="2:5" s="4" customFormat="1">
      <c r="B1913" s="28"/>
      <c r="C1913" s="18"/>
      <c r="E1913" s="50"/>
    </row>
    <row r="1914" spans="2:5" s="4" customFormat="1">
      <c r="B1914" s="28"/>
      <c r="C1914" s="18"/>
      <c r="E1914" s="50"/>
    </row>
    <row r="1915" spans="2:5" s="4" customFormat="1">
      <c r="B1915" s="28"/>
      <c r="C1915" s="18"/>
      <c r="E1915" s="50"/>
    </row>
    <row r="1916" spans="2:5" s="4" customFormat="1">
      <c r="B1916" s="28"/>
      <c r="C1916" s="18"/>
      <c r="E1916" s="50"/>
    </row>
    <row r="1917" spans="2:5" s="4" customFormat="1">
      <c r="B1917" s="28"/>
      <c r="C1917" s="18"/>
      <c r="E1917" s="50"/>
    </row>
    <row r="1918" spans="2:5" s="4" customFormat="1">
      <c r="B1918" s="28"/>
      <c r="C1918" s="18"/>
      <c r="E1918" s="50"/>
    </row>
    <row r="1919" spans="2:5" s="4" customFormat="1">
      <c r="B1919" s="28"/>
      <c r="C1919" s="18"/>
      <c r="E1919" s="50"/>
    </row>
    <row r="1920" spans="2:5" s="4" customFormat="1">
      <c r="B1920" s="28"/>
      <c r="C1920" s="18"/>
      <c r="E1920" s="50"/>
    </row>
    <row r="1921" spans="2:5" s="4" customFormat="1">
      <c r="B1921" s="28"/>
      <c r="C1921" s="18"/>
      <c r="E1921" s="50"/>
    </row>
    <row r="1922" spans="2:5" s="4" customFormat="1">
      <c r="B1922" s="28"/>
      <c r="C1922" s="18"/>
      <c r="E1922" s="50"/>
    </row>
    <row r="1923" spans="2:5" s="4" customFormat="1">
      <c r="B1923" s="28"/>
      <c r="C1923" s="18"/>
      <c r="E1923" s="50"/>
    </row>
    <row r="1924" spans="2:5" s="4" customFormat="1">
      <c r="B1924" s="28"/>
      <c r="C1924" s="18"/>
      <c r="E1924" s="50"/>
    </row>
    <row r="1925" spans="2:5" s="4" customFormat="1">
      <c r="B1925" s="28"/>
      <c r="C1925" s="18"/>
      <c r="E1925" s="50"/>
    </row>
    <row r="1926" spans="2:5" s="4" customFormat="1">
      <c r="B1926" s="28"/>
      <c r="C1926" s="18"/>
      <c r="E1926" s="50"/>
    </row>
    <row r="1927" spans="2:5" s="4" customFormat="1">
      <c r="B1927" s="28"/>
      <c r="C1927" s="18"/>
      <c r="E1927" s="50"/>
    </row>
    <row r="1928" spans="2:5" s="4" customFormat="1">
      <c r="B1928" s="28"/>
      <c r="C1928" s="18"/>
      <c r="E1928" s="50"/>
    </row>
    <row r="1929" spans="2:5" s="4" customFormat="1">
      <c r="B1929" s="28"/>
      <c r="C1929" s="18"/>
      <c r="E1929" s="50"/>
    </row>
    <row r="1930" spans="2:5" s="4" customFormat="1">
      <c r="B1930" s="28"/>
      <c r="C1930" s="18"/>
      <c r="E1930" s="50"/>
    </row>
    <row r="1931" spans="2:5" s="4" customFormat="1">
      <c r="B1931" s="28"/>
      <c r="C1931" s="18"/>
      <c r="E1931" s="50"/>
    </row>
    <row r="1932" spans="2:5" s="4" customFormat="1">
      <c r="B1932" s="28"/>
      <c r="C1932" s="18"/>
      <c r="E1932" s="50"/>
    </row>
    <row r="1933" spans="2:5" s="4" customFormat="1">
      <c r="B1933" s="28"/>
      <c r="C1933" s="18"/>
      <c r="E1933" s="50"/>
    </row>
    <row r="1934" spans="2:5" s="4" customFormat="1">
      <c r="B1934" s="28"/>
      <c r="C1934" s="18"/>
      <c r="E1934" s="50"/>
    </row>
    <row r="1935" spans="2:5" s="4" customFormat="1">
      <c r="B1935" s="28"/>
      <c r="C1935" s="18"/>
      <c r="E1935" s="50"/>
    </row>
    <row r="1936" spans="2:5" s="4" customFormat="1">
      <c r="B1936" s="28"/>
      <c r="C1936" s="18"/>
      <c r="E1936" s="50"/>
    </row>
    <row r="1937" spans="2:5" s="4" customFormat="1">
      <c r="B1937" s="28"/>
      <c r="C1937" s="18"/>
      <c r="E1937" s="50"/>
    </row>
    <row r="1938" spans="2:5" s="4" customFormat="1">
      <c r="B1938" s="28"/>
      <c r="C1938" s="18"/>
      <c r="E1938" s="50"/>
    </row>
    <row r="1939" spans="2:5" s="4" customFormat="1">
      <c r="B1939" s="28"/>
      <c r="C1939" s="18"/>
      <c r="E1939" s="50"/>
    </row>
    <row r="1940" spans="2:5" s="4" customFormat="1">
      <c r="B1940" s="28"/>
      <c r="C1940" s="18"/>
      <c r="E1940" s="50"/>
    </row>
    <row r="1941" spans="2:5" s="4" customFormat="1">
      <c r="B1941" s="28"/>
      <c r="C1941" s="18"/>
      <c r="E1941" s="50"/>
    </row>
    <row r="1942" spans="2:5" s="4" customFormat="1">
      <c r="B1942" s="28"/>
      <c r="C1942" s="18"/>
      <c r="E1942" s="50"/>
    </row>
    <row r="1943" spans="2:5" s="4" customFormat="1">
      <c r="B1943" s="28"/>
      <c r="C1943" s="18"/>
      <c r="E1943" s="50"/>
    </row>
    <row r="1944" spans="2:5" s="4" customFormat="1">
      <c r="B1944" s="28"/>
      <c r="C1944" s="18"/>
      <c r="E1944" s="50"/>
    </row>
    <row r="1945" spans="2:5" s="4" customFormat="1">
      <c r="B1945" s="28"/>
      <c r="C1945" s="18"/>
      <c r="E1945" s="50"/>
    </row>
    <row r="1946" spans="2:5" s="4" customFormat="1">
      <c r="B1946" s="28"/>
      <c r="C1946" s="18"/>
      <c r="E1946" s="50"/>
    </row>
    <row r="1947" spans="2:5" s="4" customFormat="1">
      <c r="B1947" s="28"/>
      <c r="C1947" s="18"/>
      <c r="E1947" s="50"/>
    </row>
    <row r="1948" spans="2:5" s="4" customFormat="1">
      <c r="B1948" s="28"/>
      <c r="C1948" s="18"/>
      <c r="E1948" s="50"/>
    </row>
    <row r="1949" spans="2:5" s="4" customFormat="1">
      <c r="B1949" s="28"/>
      <c r="C1949" s="18"/>
      <c r="E1949" s="50"/>
    </row>
    <row r="1950" spans="2:5" s="4" customFormat="1">
      <c r="B1950" s="28"/>
      <c r="C1950" s="18"/>
      <c r="E1950" s="50"/>
    </row>
    <row r="1951" spans="2:5" s="4" customFormat="1">
      <c r="B1951" s="28"/>
      <c r="C1951" s="18"/>
      <c r="E1951" s="50"/>
    </row>
    <row r="1952" spans="2:5" s="4" customFormat="1">
      <c r="B1952" s="28"/>
      <c r="C1952" s="18"/>
      <c r="E1952" s="50"/>
    </row>
    <row r="1953" spans="2:5" s="4" customFormat="1">
      <c r="B1953" s="28"/>
      <c r="C1953" s="18"/>
      <c r="E1953" s="50"/>
    </row>
    <row r="1954" spans="2:5" s="4" customFormat="1">
      <c r="B1954" s="28"/>
      <c r="C1954" s="18"/>
      <c r="E1954" s="50"/>
    </row>
    <row r="1955" spans="2:5" s="4" customFormat="1">
      <c r="B1955" s="28"/>
      <c r="C1955" s="18"/>
      <c r="E1955" s="50"/>
    </row>
    <row r="1956" spans="2:5" s="4" customFormat="1">
      <c r="B1956" s="28"/>
      <c r="C1956" s="18"/>
      <c r="E1956" s="50"/>
    </row>
    <row r="1957" spans="2:5" s="4" customFormat="1">
      <c r="B1957" s="28"/>
      <c r="C1957" s="18"/>
      <c r="E1957" s="50"/>
    </row>
    <row r="1958" spans="2:5" s="4" customFormat="1">
      <c r="B1958" s="28"/>
      <c r="C1958" s="18"/>
      <c r="E1958" s="50"/>
    </row>
    <row r="1959" spans="2:5" s="4" customFormat="1">
      <c r="B1959" s="28"/>
      <c r="C1959" s="18"/>
      <c r="E1959" s="50"/>
    </row>
    <row r="1960" spans="2:5" s="4" customFormat="1">
      <c r="B1960" s="28"/>
      <c r="C1960" s="18"/>
      <c r="E1960" s="50"/>
    </row>
    <row r="1961" spans="2:5" s="4" customFormat="1">
      <c r="B1961" s="28"/>
      <c r="C1961" s="18"/>
      <c r="E1961" s="50"/>
    </row>
    <row r="1962" spans="2:5" s="4" customFormat="1">
      <c r="B1962" s="28"/>
      <c r="C1962" s="18"/>
      <c r="E1962" s="50"/>
    </row>
    <row r="1963" spans="2:5" s="4" customFormat="1">
      <c r="B1963" s="28"/>
      <c r="C1963" s="18"/>
      <c r="E1963" s="50"/>
    </row>
    <row r="1964" spans="2:5" s="4" customFormat="1">
      <c r="B1964" s="28"/>
      <c r="C1964" s="18"/>
      <c r="E1964" s="50"/>
    </row>
    <row r="1965" spans="2:5" s="4" customFormat="1">
      <c r="B1965" s="28"/>
      <c r="C1965" s="18"/>
      <c r="E1965" s="50"/>
    </row>
    <row r="1966" spans="2:5" s="4" customFormat="1">
      <c r="B1966" s="28"/>
      <c r="C1966" s="18"/>
      <c r="E1966" s="50"/>
    </row>
    <row r="1967" spans="2:5" s="4" customFormat="1">
      <c r="B1967" s="28"/>
      <c r="C1967" s="18"/>
      <c r="E1967" s="50"/>
    </row>
    <row r="1968" spans="2:5" s="4" customFormat="1">
      <c r="B1968" s="28"/>
      <c r="C1968" s="18"/>
      <c r="E1968" s="50"/>
    </row>
    <row r="1969" spans="2:5" s="4" customFormat="1">
      <c r="B1969" s="28"/>
      <c r="C1969" s="18"/>
      <c r="E1969" s="50"/>
    </row>
    <row r="1970" spans="2:5" s="4" customFormat="1">
      <c r="B1970" s="28"/>
      <c r="C1970" s="18"/>
      <c r="E1970" s="50"/>
    </row>
    <row r="1971" spans="2:5" s="4" customFormat="1">
      <c r="B1971" s="28"/>
      <c r="C1971" s="18"/>
      <c r="E1971" s="50"/>
    </row>
    <row r="1972" spans="2:5" s="4" customFormat="1">
      <c r="B1972" s="28"/>
      <c r="C1972" s="18"/>
      <c r="E1972" s="50"/>
    </row>
    <row r="1973" spans="2:5" s="4" customFormat="1">
      <c r="B1973" s="28"/>
      <c r="C1973" s="18"/>
      <c r="E1973" s="50"/>
    </row>
    <row r="1974" spans="2:5" s="4" customFormat="1">
      <c r="B1974" s="28"/>
      <c r="C1974" s="18"/>
      <c r="E1974" s="50"/>
    </row>
    <row r="1975" spans="2:5" s="4" customFormat="1">
      <c r="B1975" s="28"/>
      <c r="C1975" s="18"/>
      <c r="E1975" s="50"/>
    </row>
    <row r="1976" spans="2:5" s="4" customFormat="1">
      <c r="B1976" s="28"/>
      <c r="C1976" s="18"/>
      <c r="E1976" s="50"/>
    </row>
    <row r="1977" spans="2:5" s="4" customFormat="1">
      <c r="B1977" s="28"/>
      <c r="C1977" s="18"/>
      <c r="E1977" s="50"/>
    </row>
    <row r="1978" spans="2:5" s="4" customFormat="1">
      <c r="B1978" s="28"/>
      <c r="C1978" s="18"/>
      <c r="E1978" s="50"/>
    </row>
    <row r="1979" spans="2:5" s="4" customFormat="1">
      <c r="B1979" s="28"/>
      <c r="C1979" s="18"/>
      <c r="E1979" s="50"/>
    </row>
    <row r="1980" spans="2:5" s="4" customFormat="1">
      <c r="B1980" s="28"/>
      <c r="C1980" s="18"/>
      <c r="E1980" s="50"/>
    </row>
    <row r="1981" spans="2:5" s="4" customFormat="1">
      <c r="B1981" s="28"/>
      <c r="C1981" s="18"/>
      <c r="E1981" s="50"/>
    </row>
    <row r="1982" spans="2:5" s="4" customFormat="1">
      <c r="B1982" s="28"/>
      <c r="C1982" s="18"/>
      <c r="E1982" s="50"/>
    </row>
    <row r="1983" spans="2:5" s="4" customFormat="1">
      <c r="B1983" s="28"/>
      <c r="C1983" s="18"/>
      <c r="E1983" s="50"/>
    </row>
    <row r="1984" spans="2:5" s="4" customFormat="1">
      <c r="B1984" s="28"/>
      <c r="C1984" s="18"/>
      <c r="E1984" s="50"/>
    </row>
    <row r="1985" spans="2:5" s="4" customFormat="1">
      <c r="B1985" s="28"/>
      <c r="C1985" s="18"/>
      <c r="E1985" s="50"/>
    </row>
    <row r="1986" spans="2:5" s="4" customFormat="1">
      <c r="B1986" s="28"/>
      <c r="C1986" s="18"/>
      <c r="E1986" s="50"/>
    </row>
    <row r="1987" spans="2:5" s="4" customFormat="1">
      <c r="B1987" s="28"/>
      <c r="C1987" s="18"/>
      <c r="E1987" s="50"/>
    </row>
    <row r="1988" spans="2:5" s="4" customFormat="1">
      <c r="B1988" s="28"/>
      <c r="C1988" s="18"/>
      <c r="E1988" s="50"/>
    </row>
    <row r="1989" spans="2:5" s="4" customFormat="1">
      <c r="B1989" s="28"/>
      <c r="C1989" s="18"/>
      <c r="E1989" s="50"/>
    </row>
    <row r="1990" spans="2:5" s="4" customFormat="1">
      <c r="B1990" s="28"/>
      <c r="C1990" s="18"/>
      <c r="E1990" s="50"/>
    </row>
    <row r="1991" spans="2:5" s="4" customFormat="1">
      <c r="B1991" s="28"/>
      <c r="C1991" s="18"/>
      <c r="E1991" s="50"/>
    </row>
    <row r="1992" spans="2:5" s="4" customFormat="1">
      <c r="B1992" s="28"/>
      <c r="C1992" s="18"/>
      <c r="E1992" s="50"/>
    </row>
    <row r="1993" spans="2:5" s="4" customFormat="1">
      <c r="B1993" s="28"/>
      <c r="C1993" s="18"/>
      <c r="E1993" s="50"/>
    </row>
    <row r="1994" spans="2:5" s="4" customFormat="1">
      <c r="B1994" s="28"/>
      <c r="C1994" s="18"/>
      <c r="E1994" s="50"/>
    </row>
    <row r="1995" spans="2:5" s="4" customFormat="1">
      <c r="B1995" s="28"/>
      <c r="C1995" s="18"/>
      <c r="E1995" s="50"/>
    </row>
    <row r="1996" spans="2:5" s="4" customFormat="1">
      <c r="B1996" s="28"/>
      <c r="C1996" s="18"/>
      <c r="E1996" s="50"/>
    </row>
    <row r="1997" spans="2:5" s="4" customFormat="1">
      <c r="B1997" s="28"/>
      <c r="C1997" s="18"/>
      <c r="E1997" s="50"/>
    </row>
    <row r="1998" spans="2:5" s="4" customFormat="1">
      <c r="B1998" s="28"/>
      <c r="C1998" s="18"/>
      <c r="E1998" s="50"/>
    </row>
    <row r="1999" spans="2:5" s="4" customFormat="1">
      <c r="B1999" s="28"/>
      <c r="C1999" s="18"/>
      <c r="E1999" s="50"/>
    </row>
    <row r="2000" spans="2:5" s="4" customFormat="1">
      <c r="B2000" s="28"/>
      <c r="C2000" s="18"/>
      <c r="E2000" s="50"/>
    </row>
    <row r="2001" spans="2:5" s="4" customFormat="1">
      <c r="B2001" s="28"/>
      <c r="C2001" s="18"/>
      <c r="E2001" s="50"/>
    </row>
    <row r="2002" spans="2:5" s="4" customFormat="1">
      <c r="B2002" s="28"/>
      <c r="C2002" s="18"/>
      <c r="E2002" s="50"/>
    </row>
    <row r="2003" spans="2:5" s="4" customFormat="1">
      <c r="B2003" s="28"/>
      <c r="C2003" s="18"/>
      <c r="E2003" s="50"/>
    </row>
    <row r="2004" spans="2:5" s="4" customFormat="1">
      <c r="B2004" s="28"/>
      <c r="C2004" s="18"/>
      <c r="E2004" s="50"/>
    </row>
    <row r="2005" spans="2:5" s="4" customFormat="1">
      <c r="B2005" s="28"/>
      <c r="C2005" s="18"/>
      <c r="E2005" s="50"/>
    </row>
    <row r="2006" spans="2:5" s="4" customFormat="1">
      <c r="B2006" s="28"/>
      <c r="C2006" s="18"/>
      <c r="E2006" s="50"/>
    </row>
    <row r="2007" spans="2:5" s="4" customFormat="1">
      <c r="B2007" s="28"/>
      <c r="C2007" s="18"/>
      <c r="E2007" s="50"/>
    </row>
    <row r="2008" spans="2:5" s="4" customFormat="1">
      <c r="B2008" s="28"/>
      <c r="C2008" s="18"/>
      <c r="E2008" s="50"/>
    </row>
    <row r="2009" spans="2:5" s="4" customFormat="1">
      <c r="B2009" s="28"/>
      <c r="C2009" s="18"/>
      <c r="E2009" s="50"/>
    </row>
    <row r="2010" spans="2:5" s="4" customFormat="1">
      <c r="B2010" s="28"/>
      <c r="C2010" s="18"/>
      <c r="E2010" s="50"/>
    </row>
    <row r="2011" spans="2:5" s="4" customFormat="1">
      <c r="B2011" s="28"/>
      <c r="C2011" s="18"/>
      <c r="E2011" s="50"/>
    </row>
    <row r="2012" spans="2:5" s="4" customFormat="1">
      <c r="B2012" s="28"/>
      <c r="C2012" s="18"/>
      <c r="E2012" s="50"/>
    </row>
    <row r="2013" spans="2:5" s="4" customFormat="1">
      <c r="B2013" s="28"/>
      <c r="C2013" s="18"/>
      <c r="E2013" s="50"/>
    </row>
    <row r="2014" spans="2:5" s="4" customFormat="1">
      <c r="B2014" s="28"/>
      <c r="C2014" s="18"/>
      <c r="E2014" s="50"/>
    </row>
    <row r="2015" spans="2:5" s="4" customFormat="1">
      <c r="B2015" s="28"/>
      <c r="C2015" s="18"/>
      <c r="E2015" s="50"/>
    </row>
    <row r="2016" spans="2:5" s="4" customFormat="1">
      <c r="B2016" s="28"/>
      <c r="C2016" s="18"/>
      <c r="E2016" s="50"/>
    </row>
    <row r="2017" spans="2:5" s="4" customFormat="1">
      <c r="B2017" s="28"/>
      <c r="C2017" s="18"/>
      <c r="E2017" s="50"/>
    </row>
    <row r="2018" spans="2:5" s="4" customFormat="1">
      <c r="B2018" s="28"/>
      <c r="C2018" s="18"/>
      <c r="E2018" s="50"/>
    </row>
    <row r="2019" spans="2:5" s="4" customFormat="1">
      <c r="B2019" s="28"/>
      <c r="C2019" s="18"/>
      <c r="E2019" s="50"/>
    </row>
    <row r="2020" spans="2:5" s="4" customFormat="1">
      <c r="B2020" s="28"/>
      <c r="C2020" s="18"/>
      <c r="E2020" s="50"/>
    </row>
    <row r="2021" spans="2:5" s="4" customFormat="1">
      <c r="B2021" s="28"/>
      <c r="C2021" s="18"/>
      <c r="E2021" s="50"/>
    </row>
    <row r="2022" spans="2:5" s="4" customFormat="1">
      <c r="B2022" s="28"/>
      <c r="C2022" s="18"/>
      <c r="E2022" s="50"/>
    </row>
    <row r="2023" spans="2:5" s="4" customFormat="1">
      <c r="B2023" s="28"/>
      <c r="C2023" s="18"/>
      <c r="E2023" s="50"/>
    </row>
    <row r="2024" spans="2:5" s="4" customFormat="1">
      <c r="B2024" s="28"/>
      <c r="C2024" s="18"/>
      <c r="E2024" s="50"/>
    </row>
    <row r="2025" spans="2:5" s="4" customFormat="1">
      <c r="B2025" s="28"/>
      <c r="C2025" s="18"/>
      <c r="E2025" s="50"/>
    </row>
    <row r="2026" spans="2:5" s="4" customFormat="1">
      <c r="B2026" s="28"/>
      <c r="C2026" s="18"/>
      <c r="E2026" s="50"/>
    </row>
    <row r="2027" spans="2:5" s="4" customFormat="1">
      <c r="B2027" s="28"/>
      <c r="C2027" s="18"/>
      <c r="E2027" s="50"/>
    </row>
    <row r="2028" spans="2:5" s="4" customFormat="1">
      <c r="B2028" s="28"/>
      <c r="C2028" s="18"/>
      <c r="E2028" s="50"/>
    </row>
    <row r="2029" spans="2:5" s="4" customFormat="1">
      <c r="B2029" s="28"/>
      <c r="C2029" s="18"/>
      <c r="E2029" s="50"/>
    </row>
    <row r="2030" spans="2:5" s="4" customFormat="1">
      <c r="B2030" s="28"/>
      <c r="C2030" s="18"/>
      <c r="E2030" s="50"/>
    </row>
    <row r="2031" spans="2:5" s="4" customFormat="1">
      <c r="B2031" s="28"/>
      <c r="C2031" s="18"/>
      <c r="E2031" s="50"/>
    </row>
    <row r="2032" spans="2:5" s="4" customFormat="1">
      <c r="B2032" s="28"/>
      <c r="C2032" s="18"/>
      <c r="E2032" s="50"/>
    </row>
    <row r="2033" spans="2:5" s="4" customFormat="1">
      <c r="B2033" s="28"/>
      <c r="C2033" s="18"/>
      <c r="E2033" s="50"/>
    </row>
    <row r="2034" spans="2:5" s="4" customFormat="1">
      <c r="B2034" s="28"/>
      <c r="C2034" s="18"/>
      <c r="E2034" s="50"/>
    </row>
    <row r="2035" spans="2:5" s="4" customFormat="1">
      <c r="B2035" s="28"/>
      <c r="C2035" s="18"/>
      <c r="E2035" s="50"/>
    </row>
    <row r="2036" spans="2:5" s="4" customFormat="1">
      <c r="B2036" s="28"/>
      <c r="C2036" s="18"/>
      <c r="E2036" s="50"/>
    </row>
    <row r="2037" spans="2:5" s="4" customFormat="1">
      <c r="B2037" s="28"/>
      <c r="C2037" s="18"/>
      <c r="E2037" s="50"/>
    </row>
    <row r="2038" spans="2:5" s="4" customFormat="1">
      <c r="B2038" s="28"/>
      <c r="C2038" s="18"/>
      <c r="E2038" s="50"/>
    </row>
    <row r="2039" spans="2:5" s="4" customFormat="1">
      <c r="B2039" s="28"/>
      <c r="C2039" s="18"/>
      <c r="E2039" s="50"/>
    </row>
    <row r="2040" spans="2:5" s="4" customFormat="1">
      <c r="B2040" s="28"/>
      <c r="C2040" s="18"/>
      <c r="E2040" s="50"/>
    </row>
    <row r="2041" spans="2:5" s="4" customFormat="1">
      <c r="B2041" s="28"/>
      <c r="C2041" s="18"/>
      <c r="E2041" s="50"/>
    </row>
    <row r="2042" spans="2:5" s="4" customFormat="1">
      <c r="B2042" s="28"/>
      <c r="C2042" s="18"/>
      <c r="E2042" s="50"/>
    </row>
    <row r="2043" spans="2:5" s="4" customFormat="1">
      <c r="B2043" s="28"/>
      <c r="C2043" s="18"/>
      <c r="E2043" s="50"/>
    </row>
    <row r="2044" spans="2:5" s="4" customFormat="1">
      <c r="B2044" s="28"/>
      <c r="C2044" s="18"/>
      <c r="E2044" s="50"/>
    </row>
    <row r="2045" spans="2:5" s="4" customFormat="1">
      <c r="B2045" s="28"/>
      <c r="C2045" s="18"/>
      <c r="E2045" s="50"/>
    </row>
    <row r="2046" spans="2:5" s="4" customFormat="1">
      <c r="B2046" s="28"/>
      <c r="C2046" s="18"/>
      <c r="E2046" s="50"/>
    </row>
    <row r="2047" spans="2:5" s="4" customFormat="1">
      <c r="B2047" s="28"/>
      <c r="C2047" s="18"/>
      <c r="E2047" s="50"/>
    </row>
    <row r="2048" spans="2:5" s="4" customFormat="1">
      <c r="B2048" s="28"/>
      <c r="C2048" s="18"/>
      <c r="E2048" s="50"/>
    </row>
    <row r="2049" spans="2:5" s="4" customFormat="1">
      <c r="B2049" s="28"/>
      <c r="C2049" s="18"/>
      <c r="E2049" s="50"/>
    </row>
    <row r="2050" spans="2:5" s="4" customFormat="1">
      <c r="B2050" s="28"/>
      <c r="C2050" s="18"/>
      <c r="E2050" s="50"/>
    </row>
    <row r="2051" spans="2:5" s="4" customFormat="1">
      <c r="B2051" s="28"/>
      <c r="C2051" s="18"/>
      <c r="E2051" s="50"/>
    </row>
    <row r="2052" spans="2:5" s="4" customFormat="1">
      <c r="B2052" s="28"/>
      <c r="C2052" s="18"/>
      <c r="E2052" s="50"/>
    </row>
    <row r="2053" spans="2:5" s="4" customFormat="1">
      <c r="B2053" s="28"/>
      <c r="C2053" s="18"/>
      <c r="E2053" s="50"/>
    </row>
    <row r="2054" spans="2:5" s="4" customFormat="1">
      <c r="B2054" s="28"/>
      <c r="C2054" s="18"/>
      <c r="E2054" s="50"/>
    </row>
    <row r="2055" spans="2:5" s="4" customFormat="1">
      <c r="B2055" s="28"/>
      <c r="C2055" s="18"/>
      <c r="E2055" s="50"/>
    </row>
    <row r="2056" spans="2:5" s="4" customFormat="1">
      <c r="B2056" s="28"/>
      <c r="C2056" s="18"/>
      <c r="E2056" s="50"/>
    </row>
    <row r="2057" spans="2:5" s="4" customFormat="1">
      <c r="B2057" s="28"/>
      <c r="C2057" s="18"/>
      <c r="E2057" s="50"/>
    </row>
    <row r="2058" spans="2:5" s="4" customFormat="1">
      <c r="B2058" s="28"/>
      <c r="C2058" s="18"/>
      <c r="E2058" s="50"/>
    </row>
    <row r="2059" spans="2:5" s="4" customFormat="1">
      <c r="B2059" s="28"/>
      <c r="C2059" s="18"/>
      <c r="E2059" s="50"/>
    </row>
    <row r="2060" spans="2:5" s="4" customFormat="1">
      <c r="B2060" s="28"/>
      <c r="C2060" s="18"/>
      <c r="E2060" s="50"/>
    </row>
    <row r="2061" spans="2:5" s="4" customFormat="1">
      <c r="B2061" s="28"/>
      <c r="C2061" s="18"/>
      <c r="E2061" s="50"/>
    </row>
    <row r="2062" spans="2:5" s="4" customFormat="1">
      <c r="B2062" s="28"/>
      <c r="C2062" s="18"/>
      <c r="E2062" s="50"/>
    </row>
    <row r="2063" spans="2:5" s="4" customFormat="1">
      <c r="B2063" s="28"/>
      <c r="C2063" s="18"/>
      <c r="E2063" s="50"/>
    </row>
    <row r="2064" spans="2:5" s="4" customFormat="1">
      <c r="B2064" s="28"/>
      <c r="C2064" s="18"/>
      <c r="E2064" s="50"/>
    </row>
    <row r="2065" spans="2:5" s="4" customFormat="1">
      <c r="B2065" s="28"/>
      <c r="C2065" s="18"/>
      <c r="E2065" s="50"/>
    </row>
    <row r="2066" spans="2:5" s="4" customFormat="1">
      <c r="B2066" s="28"/>
      <c r="C2066" s="18"/>
      <c r="E2066" s="50"/>
    </row>
    <row r="2067" spans="2:5" s="4" customFormat="1">
      <c r="B2067" s="28"/>
      <c r="C2067" s="18"/>
      <c r="E2067" s="50"/>
    </row>
    <row r="2068" spans="2:5" s="4" customFormat="1">
      <c r="B2068" s="28"/>
      <c r="C2068" s="18"/>
      <c r="E2068" s="50"/>
    </row>
    <row r="2069" spans="2:5" s="4" customFormat="1">
      <c r="B2069" s="28"/>
      <c r="C2069" s="18"/>
      <c r="E2069" s="50"/>
    </row>
    <row r="2070" spans="2:5" s="4" customFormat="1">
      <c r="B2070" s="28"/>
      <c r="C2070" s="18"/>
      <c r="E2070" s="50"/>
    </row>
    <row r="2071" spans="2:5" s="4" customFormat="1">
      <c r="B2071" s="28"/>
      <c r="C2071" s="18"/>
      <c r="E2071" s="50"/>
    </row>
    <row r="2072" spans="2:5" s="4" customFormat="1">
      <c r="B2072" s="28"/>
      <c r="C2072" s="18"/>
      <c r="E2072" s="50"/>
    </row>
    <row r="2073" spans="2:5" s="4" customFormat="1">
      <c r="B2073" s="28"/>
      <c r="C2073" s="18"/>
      <c r="E2073" s="50"/>
    </row>
    <row r="2074" spans="2:5" s="4" customFormat="1">
      <c r="B2074" s="28"/>
      <c r="C2074" s="18"/>
      <c r="E2074" s="50"/>
    </row>
    <row r="2075" spans="2:5" s="4" customFormat="1">
      <c r="B2075" s="28"/>
      <c r="C2075" s="18"/>
      <c r="E2075" s="50"/>
    </row>
    <row r="2076" spans="2:5" s="4" customFormat="1">
      <c r="B2076" s="28"/>
      <c r="C2076" s="18"/>
      <c r="E2076" s="50"/>
    </row>
    <row r="2077" spans="2:5" s="4" customFormat="1">
      <c r="B2077" s="28"/>
      <c r="C2077" s="18"/>
      <c r="E2077" s="50"/>
    </row>
    <row r="2078" spans="2:5" s="4" customFormat="1">
      <c r="B2078" s="28"/>
      <c r="C2078" s="18"/>
      <c r="E2078" s="50"/>
    </row>
    <row r="2079" spans="2:5" s="4" customFormat="1">
      <c r="B2079" s="28"/>
      <c r="C2079" s="18"/>
      <c r="E2079" s="50"/>
    </row>
    <row r="2080" spans="2:5" s="4" customFormat="1">
      <c r="B2080" s="28"/>
      <c r="C2080" s="18"/>
      <c r="E2080" s="50"/>
    </row>
    <row r="2081" spans="2:5" s="4" customFormat="1">
      <c r="B2081" s="28"/>
      <c r="C2081" s="18"/>
      <c r="E2081" s="50"/>
    </row>
    <row r="2082" spans="2:5" s="4" customFormat="1">
      <c r="B2082" s="28"/>
      <c r="C2082" s="18"/>
      <c r="E2082" s="50"/>
    </row>
    <row r="2083" spans="2:5" s="4" customFormat="1">
      <c r="B2083" s="28"/>
      <c r="C2083" s="18"/>
      <c r="E2083" s="50"/>
    </row>
    <row r="2084" spans="2:5" s="4" customFormat="1">
      <c r="B2084" s="28"/>
      <c r="C2084" s="18"/>
      <c r="E2084" s="50"/>
    </row>
    <row r="2085" spans="2:5" s="4" customFormat="1">
      <c r="B2085" s="28"/>
      <c r="C2085" s="18"/>
      <c r="E2085" s="50"/>
    </row>
    <row r="2086" spans="2:5" s="4" customFormat="1">
      <c r="B2086" s="28"/>
      <c r="C2086" s="18"/>
      <c r="E2086" s="50"/>
    </row>
    <row r="2087" spans="2:5" s="4" customFormat="1">
      <c r="B2087" s="28"/>
      <c r="C2087" s="18"/>
      <c r="E2087" s="50"/>
    </row>
    <row r="2088" spans="2:5" s="4" customFormat="1">
      <c r="B2088" s="28"/>
      <c r="C2088" s="18"/>
      <c r="E2088" s="50"/>
    </row>
    <row r="2089" spans="2:5" s="4" customFormat="1">
      <c r="B2089" s="28"/>
      <c r="C2089" s="18"/>
      <c r="E2089" s="50"/>
    </row>
    <row r="2090" spans="2:5" s="4" customFormat="1">
      <c r="B2090" s="28"/>
      <c r="C2090" s="18"/>
      <c r="E2090" s="50"/>
    </row>
    <row r="2091" spans="2:5" s="4" customFormat="1">
      <c r="B2091" s="28"/>
      <c r="C2091" s="18"/>
      <c r="E2091" s="50"/>
    </row>
    <row r="2092" spans="2:5" s="4" customFormat="1">
      <c r="B2092" s="28"/>
      <c r="C2092" s="18"/>
      <c r="E2092" s="50"/>
    </row>
    <row r="2093" spans="2:5" s="4" customFormat="1">
      <c r="B2093" s="28"/>
      <c r="C2093" s="18"/>
      <c r="E2093" s="50"/>
    </row>
    <row r="2094" spans="2:5" s="4" customFormat="1">
      <c r="B2094" s="28"/>
      <c r="C2094" s="18"/>
      <c r="E2094" s="50"/>
    </row>
    <row r="2095" spans="2:5" s="4" customFormat="1">
      <c r="B2095" s="28"/>
      <c r="C2095" s="18"/>
      <c r="E2095" s="50"/>
    </row>
    <row r="2096" spans="2:5" s="4" customFormat="1">
      <c r="B2096" s="28"/>
      <c r="C2096" s="18"/>
      <c r="E2096" s="50"/>
    </row>
    <row r="2097" spans="2:5" s="4" customFormat="1">
      <c r="B2097" s="28"/>
      <c r="C2097" s="18"/>
      <c r="E2097" s="50"/>
    </row>
    <row r="2098" spans="2:5" s="4" customFormat="1">
      <c r="B2098" s="28"/>
      <c r="C2098" s="18"/>
      <c r="E2098" s="50"/>
    </row>
    <row r="2099" spans="2:5" s="4" customFormat="1">
      <c r="B2099" s="28"/>
      <c r="C2099" s="18"/>
      <c r="E2099" s="50"/>
    </row>
    <row r="2100" spans="2:5" s="4" customFormat="1">
      <c r="B2100" s="28"/>
      <c r="C2100" s="18"/>
      <c r="E2100" s="50"/>
    </row>
    <row r="2101" spans="2:5" s="4" customFormat="1">
      <c r="B2101" s="28"/>
      <c r="C2101" s="18"/>
      <c r="E2101" s="50"/>
    </row>
    <row r="2102" spans="2:5" s="4" customFormat="1">
      <c r="B2102" s="28"/>
      <c r="C2102" s="18"/>
      <c r="E2102" s="50"/>
    </row>
    <row r="2103" spans="2:5" s="4" customFormat="1">
      <c r="B2103" s="28"/>
      <c r="C2103" s="18"/>
      <c r="E2103" s="50"/>
    </row>
    <row r="2104" spans="2:5" s="4" customFormat="1">
      <c r="B2104" s="28"/>
      <c r="C2104" s="18"/>
      <c r="E2104" s="50"/>
    </row>
    <row r="2105" spans="2:5" s="4" customFormat="1">
      <c r="B2105" s="28"/>
      <c r="C2105" s="18"/>
      <c r="E2105" s="50"/>
    </row>
    <row r="2106" spans="2:5" s="4" customFormat="1">
      <c r="B2106" s="28"/>
      <c r="C2106" s="18"/>
      <c r="E2106" s="50"/>
    </row>
    <row r="2107" spans="2:5" s="4" customFormat="1">
      <c r="B2107" s="28"/>
      <c r="C2107" s="18"/>
      <c r="E2107" s="50"/>
    </row>
    <row r="2108" spans="2:5" s="4" customFormat="1">
      <c r="B2108" s="28"/>
      <c r="C2108" s="18"/>
      <c r="E2108" s="50"/>
    </row>
    <row r="2109" spans="2:5" s="4" customFormat="1">
      <c r="B2109" s="28"/>
      <c r="C2109" s="18"/>
      <c r="E2109" s="50"/>
    </row>
    <row r="2110" spans="2:5" s="4" customFormat="1">
      <c r="B2110" s="28"/>
      <c r="C2110" s="18"/>
      <c r="E2110" s="50"/>
    </row>
    <row r="2111" spans="2:5" s="4" customFormat="1">
      <c r="B2111" s="28"/>
      <c r="C2111" s="18"/>
      <c r="E2111" s="50"/>
    </row>
    <row r="2112" spans="2:5" s="4" customFormat="1">
      <c r="B2112" s="28"/>
      <c r="C2112" s="18"/>
      <c r="E2112" s="50"/>
    </row>
    <row r="2113" spans="2:5" s="4" customFormat="1">
      <c r="B2113" s="28"/>
      <c r="C2113" s="18"/>
      <c r="E2113" s="50"/>
    </row>
    <row r="2114" spans="2:5" s="4" customFormat="1">
      <c r="B2114" s="28"/>
      <c r="C2114" s="18"/>
      <c r="E2114" s="50"/>
    </row>
    <row r="2115" spans="2:5" s="4" customFormat="1">
      <c r="B2115" s="28"/>
      <c r="C2115" s="18"/>
      <c r="E2115" s="50"/>
    </row>
    <row r="2116" spans="2:5" s="4" customFormat="1">
      <c r="B2116" s="28"/>
      <c r="C2116" s="18"/>
      <c r="E2116" s="50"/>
    </row>
    <row r="2117" spans="2:5" s="4" customFormat="1">
      <c r="B2117" s="28"/>
      <c r="C2117" s="18"/>
      <c r="E2117" s="50"/>
    </row>
    <row r="2118" spans="2:5" s="4" customFormat="1">
      <c r="B2118" s="28"/>
      <c r="C2118" s="18"/>
      <c r="E2118" s="50"/>
    </row>
    <row r="2119" spans="2:5" s="4" customFormat="1">
      <c r="B2119" s="28"/>
      <c r="C2119" s="18"/>
      <c r="E2119" s="50"/>
    </row>
    <row r="2120" spans="2:5" s="4" customFormat="1">
      <c r="B2120" s="28"/>
      <c r="C2120" s="18"/>
      <c r="E2120" s="50"/>
    </row>
    <row r="2121" spans="2:5" s="4" customFormat="1">
      <c r="B2121" s="28"/>
      <c r="C2121" s="18"/>
      <c r="E2121" s="50"/>
    </row>
    <row r="2122" spans="2:5" s="4" customFormat="1">
      <c r="B2122" s="28"/>
      <c r="C2122" s="18"/>
      <c r="E2122" s="50"/>
    </row>
    <row r="2123" spans="2:5" s="4" customFormat="1">
      <c r="B2123" s="28"/>
      <c r="C2123" s="18"/>
      <c r="E2123" s="50"/>
    </row>
    <row r="2124" spans="2:5" s="4" customFormat="1">
      <c r="B2124" s="28"/>
      <c r="C2124" s="18"/>
      <c r="E2124" s="50"/>
    </row>
    <row r="2125" spans="2:5" s="4" customFormat="1">
      <c r="B2125" s="28"/>
      <c r="C2125" s="18"/>
      <c r="E2125" s="50"/>
    </row>
    <row r="2126" spans="2:5" s="4" customFormat="1">
      <c r="B2126" s="28"/>
      <c r="C2126" s="18"/>
      <c r="E2126" s="50"/>
    </row>
    <row r="2127" spans="2:5" s="4" customFormat="1">
      <c r="B2127" s="28"/>
      <c r="C2127" s="18"/>
      <c r="E2127" s="50"/>
    </row>
    <row r="2128" spans="2:5" s="4" customFormat="1">
      <c r="B2128" s="28"/>
      <c r="C2128" s="18"/>
      <c r="E2128" s="50"/>
    </row>
    <row r="2129" spans="2:5" s="4" customFormat="1">
      <c r="B2129" s="28"/>
      <c r="C2129" s="18"/>
      <c r="E2129" s="50"/>
    </row>
    <row r="2130" spans="2:5" s="4" customFormat="1">
      <c r="B2130" s="28"/>
      <c r="C2130" s="18"/>
      <c r="E2130" s="50"/>
    </row>
    <row r="2131" spans="2:5" s="4" customFormat="1">
      <c r="B2131" s="28"/>
      <c r="C2131" s="18"/>
      <c r="E2131" s="50"/>
    </row>
    <row r="2132" spans="2:5" s="4" customFormat="1">
      <c r="B2132" s="28"/>
      <c r="C2132" s="18"/>
      <c r="E2132" s="50"/>
    </row>
    <row r="2133" spans="2:5" s="4" customFormat="1">
      <c r="B2133" s="28"/>
      <c r="C2133" s="18"/>
      <c r="E2133" s="50"/>
    </row>
    <row r="2134" spans="2:5" s="4" customFormat="1">
      <c r="B2134" s="28"/>
      <c r="C2134" s="18"/>
      <c r="E2134" s="50"/>
    </row>
    <row r="2135" spans="2:5" s="4" customFormat="1">
      <c r="B2135" s="28"/>
      <c r="C2135" s="18"/>
      <c r="E2135" s="50"/>
    </row>
    <row r="2136" spans="2:5" s="4" customFormat="1">
      <c r="B2136" s="28"/>
      <c r="C2136" s="18"/>
      <c r="E2136" s="50"/>
    </row>
    <row r="2137" spans="2:5" s="4" customFormat="1">
      <c r="B2137" s="28"/>
      <c r="C2137" s="18"/>
      <c r="E2137" s="50"/>
    </row>
    <row r="2138" spans="2:5" s="4" customFormat="1">
      <c r="B2138" s="28"/>
      <c r="C2138" s="18"/>
      <c r="E2138" s="50"/>
    </row>
    <row r="2139" spans="2:5" s="4" customFormat="1">
      <c r="B2139" s="28"/>
      <c r="C2139" s="18"/>
      <c r="E2139" s="50"/>
    </row>
    <row r="2140" spans="2:5" s="4" customFormat="1">
      <c r="B2140" s="28"/>
      <c r="C2140" s="18"/>
      <c r="E2140" s="50"/>
    </row>
    <row r="2141" spans="2:5" s="4" customFormat="1">
      <c r="B2141" s="28"/>
      <c r="C2141" s="18"/>
      <c r="E2141" s="50"/>
    </row>
    <row r="2142" spans="2:5" s="4" customFormat="1">
      <c r="B2142" s="28"/>
      <c r="C2142" s="18"/>
      <c r="E2142" s="50"/>
    </row>
    <row r="2143" spans="2:5" s="4" customFormat="1">
      <c r="B2143" s="28"/>
      <c r="C2143" s="18"/>
      <c r="E2143" s="50"/>
    </row>
    <row r="2144" spans="2:5" s="4" customFormat="1">
      <c r="B2144" s="28"/>
      <c r="C2144" s="18"/>
      <c r="E2144" s="50"/>
    </row>
    <row r="2145" spans="2:5" s="4" customFormat="1">
      <c r="B2145" s="28"/>
      <c r="C2145" s="18"/>
      <c r="E2145" s="50"/>
    </row>
    <row r="2146" spans="2:5" s="4" customFormat="1">
      <c r="B2146" s="28"/>
      <c r="C2146" s="18"/>
      <c r="E2146" s="50"/>
    </row>
    <row r="2147" spans="2:5" s="4" customFormat="1">
      <c r="B2147" s="28"/>
      <c r="C2147" s="18"/>
      <c r="E2147" s="50"/>
    </row>
    <row r="2148" spans="2:5" s="4" customFormat="1">
      <c r="B2148" s="28"/>
      <c r="C2148" s="18"/>
      <c r="E2148" s="50"/>
    </row>
    <row r="2149" spans="2:5" s="4" customFormat="1">
      <c r="B2149" s="28"/>
      <c r="C2149" s="18"/>
      <c r="E2149" s="50"/>
    </row>
    <row r="2150" spans="2:5" s="4" customFormat="1">
      <c r="B2150" s="28"/>
      <c r="C2150" s="18"/>
      <c r="E2150" s="50"/>
    </row>
    <row r="2151" spans="2:5" s="4" customFormat="1">
      <c r="B2151" s="28"/>
      <c r="C2151" s="18"/>
      <c r="E2151" s="50"/>
    </row>
    <row r="2152" spans="2:5" s="4" customFormat="1">
      <c r="B2152" s="28"/>
      <c r="C2152" s="18"/>
      <c r="E2152" s="50"/>
    </row>
    <row r="2153" spans="2:5" s="4" customFormat="1">
      <c r="B2153" s="28"/>
      <c r="C2153" s="18"/>
      <c r="E2153" s="50"/>
    </row>
    <row r="2154" spans="2:5" s="4" customFormat="1">
      <c r="B2154" s="28"/>
      <c r="C2154" s="18"/>
      <c r="E2154" s="50"/>
    </row>
    <row r="2155" spans="2:5" s="4" customFormat="1">
      <c r="B2155" s="28"/>
      <c r="C2155" s="18"/>
      <c r="E2155" s="50"/>
    </row>
    <row r="2156" spans="2:5" s="4" customFormat="1">
      <c r="B2156" s="28"/>
      <c r="C2156" s="18"/>
      <c r="E2156" s="50"/>
    </row>
    <row r="2157" spans="2:5" s="4" customFormat="1">
      <c r="B2157" s="28"/>
      <c r="C2157" s="18"/>
      <c r="E2157" s="50"/>
    </row>
    <row r="2158" spans="2:5" s="4" customFormat="1">
      <c r="B2158" s="28"/>
      <c r="C2158" s="18"/>
      <c r="E2158" s="50"/>
    </row>
    <row r="2159" spans="2:5" s="4" customFormat="1">
      <c r="B2159" s="28"/>
      <c r="C2159" s="18"/>
      <c r="E2159" s="50"/>
    </row>
    <row r="2160" spans="2:5" s="4" customFormat="1">
      <c r="B2160" s="28"/>
      <c r="C2160" s="18"/>
      <c r="E2160" s="50"/>
    </row>
    <row r="2161" spans="2:5" s="4" customFormat="1">
      <c r="B2161" s="28"/>
      <c r="C2161" s="18"/>
      <c r="E2161" s="50"/>
    </row>
    <row r="2162" spans="2:5" s="4" customFormat="1">
      <c r="B2162" s="28"/>
      <c r="C2162" s="18"/>
      <c r="E2162" s="50"/>
    </row>
    <row r="2163" spans="2:5" s="4" customFormat="1">
      <c r="B2163" s="28"/>
      <c r="C2163" s="18"/>
      <c r="E2163" s="50"/>
    </row>
    <row r="2164" spans="2:5" s="4" customFormat="1">
      <c r="B2164" s="28"/>
      <c r="C2164" s="18"/>
      <c r="E2164" s="50"/>
    </row>
    <row r="2165" spans="2:5" s="4" customFormat="1">
      <c r="B2165" s="28"/>
      <c r="C2165" s="18"/>
      <c r="E2165" s="50"/>
    </row>
    <row r="2166" spans="2:5" s="4" customFormat="1">
      <c r="B2166" s="28"/>
      <c r="C2166" s="18"/>
      <c r="E2166" s="50"/>
    </row>
    <row r="2167" spans="2:5" s="4" customFormat="1">
      <c r="B2167" s="28"/>
      <c r="C2167" s="18"/>
      <c r="E2167" s="50"/>
    </row>
    <row r="2168" spans="2:5" s="4" customFormat="1">
      <c r="B2168" s="28"/>
      <c r="C2168" s="18"/>
      <c r="E2168" s="50"/>
    </row>
    <row r="2169" spans="2:5" s="4" customFormat="1">
      <c r="B2169" s="28"/>
      <c r="C2169" s="18"/>
      <c r="E2169" s="50"/>
    </row>
    <row r="2170" spans="2:5" s="4" customFormat="1">
      <c r="B2170" s="28"/>
      <c r="C2170" s="18"/>
      <c r="E2170" s="50"/>
    </row>
    <row r="2171" spans="2:5" s="4" customFormat="1">
      <c r="B2171" s="28"/>
      <c r="C2171" s="18"/>
      <c r="E2171" s="50"/>
    </row>
    <row r="2172" spans="2:5" s="4" customFormat="1">
      <c r="B2172" s="28"/>
      <c r="C2172" s="18"/>
      <c r="E2172" s="50"/>
    </row>
    <row r="2173" spans="2:5" s="4" customFormat="1">
      <c r="B2173" s="28"/>
      <c r="C2173" s="18"/>
      <c r="E2173" s="50"/>
    </row>
    <row r="2174" spans="2:5" s="4" customFormat="1">
      <c r="B2174" s="28"/>
      <c r="C2174" s="18"/>
      <c r="E2174" s="50"/>
    </row>
    <row r="2175" spans="2:5" s="4" customFormat="1">
      <c r="B2175" s="28"/>
      <c r="C2175" s="18"/>
      <c r="E2175" s="50"/>
    </row>
    <row r="2176" spans="2:5" s="4" customFormat="1">
      <c r="B2176" s="28"/>
      <c r="C2176" s="18"/>
      <c r="E2176" s="50"/>
    </row>
    <row r="2177" spans="2:5" s="4" customFormat="1">
      <c r="B2177" s="28"/>
      <c r="C2177" s="18"/>
      <c r="E2177" s="50"/>
    </row>
    <row r="2178" spans="2:5" s="4" customFormat="1">
      <c r="B2178" s="28"/>
      <c r="C2178" s="18"/>
      <c r="E2178" s="50"/>
    </row>
    <row r="2179" spans="2:5" s="4" customFormat="1">
      <c r="B2179" s="28"/>
      <c r="C2179" s="18"/>
      <c r="E2179" s="50"/>
    </row>
    <row r="2180" spans="2:5" s="4" customFormat="1">
      <c r="B2180" s="28"/>
      <c r="C2180" s="18"/>
      <c r="E2180" s="50"/>
    </row>
    <row r="2181" spans="2:5" s="4" customFormat="1">
      <c r="B2181" s="28"/>
      <c r="C2181" s="18"/>
      <c r="E2181" s="50"/>
    </row>
    <row r="2182" spans="2:5" s="4" customFormat="1">
      <c r="B2182" s="28"/>
      <c r="C2182" s="18"/>
      <c r="E2182" s="50"/>
    </row>
    <row r="2183" spans="2:5" s="4" customFormat="1">
      <c r="B2183" s="28"/>
      <c r="C2183" s="18"/>
      <c r="E2183" s="50"/>
    </row>
    <row r="2184" spans="2:5" s="4" customFormat="1">
      <c r="B2184" s="28"/>
      <c r="C2184" s="18"/>
      <c r="E2184" s="50"/>
    </row>
    <row r="2185" spans="2:5" s="4" customFormat="1">
      <c r="B2185" s="28"/>
      <c r="C2185" s="18"/>
      <c r="E2185" s="50"/>
    </row>
    <row r="2186" spans="2:5" s="4" customFormat="1">
      <c r="B2186" s="28"/>
      <c r="C2186" s="18"/>
      <c r="E2186" s="50"/>
    </row>
    <row r="2187" spans="2:5" s="4" customFormat="1">
      <c r="B2187" s="28"/>
      <c r="C2187" s="18"/>
      <c r="E2187" s="50"/>
    </row>
    <row r="2188" spans="2:5" s="4" customFormat="1">
      <c r="B2188" s="28"/>
      <c r="C2188" s="18"/>
      <c r="E2188" s="50"/>
    </row>
    <row r="2189" spans="2:5" s="4" customFormat="1">
      <c r="B2189" s="28"/>
      <c r="C2189" s="18"/>
      <c r="E2189" s="50"/>
    </row>
    <row r="2190" spans="2:5" s="4" customFormat="1">
      <c r="B2190" s="28"/>
      <c r="C2190" s="18"/>
      <c r="E2190" s="50"/>
    </row>
    <row r="2191" spans="2:5" s="4" customFormat="1">
      <c r="B2191" s="28"/>
      <c r="C2191" s="18"/>
      <c r="E2191" s="50"/>
    </row>
    <row r="2192" spans="2:5" s="4" customFormat="1">
      <c r="B2192" s="28"/>
      <c r="C2192" s="18"/>
      <c r="E2192" s="50"/>
    </row>
    <row r="2193" spans="2:5" s="4" customFormat="1">
      <c r="B2193" s="28"/>
      <c r="C2193" s="18"/>
      <c r="E2193" s="50"/>
    </row>
    <row r="2194" spans="2:5" s="4" customFormat="1">
      <c r="B2194" s="28"/>
      <c r="C2194" s="18"/>
      <c r="E2194" s="50"/>
    </row>
    <row r="2195" spans="2:5" s="4" customFormat="1">
      <c r="B2195" s="28"/>
      <c r="C2195" s="18"/>
      <c r="E2195" s="50"/>
    </row>
    <row r="2196" spans="2:5" s="4" customFormat="1">
      <c r="B2196" s="28"/>
      <c r="C2196" s="18"/>
      <c r="E2196" s="50"/>
    </row>
    <row r="2197" spans="2:5" s="4" customFormat="1">
      <c r="B2197" s="28"/>
      <c r="C2197" s="18"/>
      <c r="E2197" s="50"/>
    </row>
    <row r="2198" spans="2:5" s="4" customFormat="1">
      <c r="B2198" s="28"/>
      <c r="C2198" s="18"/>
      <c r="E2198" s="50"/>
    </row>
    <row r="2199" spans="2:5" s="4" customFormat="1">
      <c r="B2199" s="28"/>
      <c r="C2199" s="18"/>
      <c r="E2199" s="50"/>
    </row>
    <row r="2200" spans="2:5" s="4" customFormat="1">
      <c r="B2200" s="28"/>
      <c r="C2200" s="18"/>
      <c r="E2200" s="50"/>
    </row>
    <row r="2201" spans="2:5" s="4" customFormat="1">
      <c r="B2201" s="28"/>
      <c r="C2201" s="18"/>
      <c r="E2201" s="50"/>
    </row>
    <row r="2202" spans="2:5" s="4" customFormat="1">
      <c r="B2202" s="28"/>
      <c r="C2202" s="18"/>
      <c r="E2202" s="50"/>
    </row>
    <row r="2203" spans="2:5" s="4" customFormat="1">
      <c r="B2203" s="28"/>
      <c r="C2203" s="18"/>
      <c r="E2203" s="50"/>
    </row>
    <row r="2204" spans="2:5" s="4" customFormat="1">
      <c r="B2204" s="28"/>
      <c r="C2204" s="18"/>
      <c r="E2204" s="50"/>
    </row>
    <row r="2205" spans="2:5" s="4" customFormat="1">
      <c r="B2205" s="28"/>
      <c r="C2205" s="18"/>
      <c r="E2205" s="50"/>
    </row>
    <row r="2206" spans="2:5" s="4" customFormat="1">
      <c r="B2206" s="28"/>
      <c r="C2206" s="18"/>
      <c r="E2206" s="50"/>
    </row>
    <row r="2207" spans="2:5" s="4" customFormat="1">
      <c r="B2207" s="28"/>
      <c r="C2207" s="18"/>
      <c r="E2207" s="50"/>
    </row>
    <row r="2208" spans="2:5" s="4" customFormat="1">
      <c r="B2208" s="28"/>
      <c r="C2208" s="18"/>
      <c r="E2208" s="50"/>
    </row>
    <row r="2209" spans="2:5" s="4" customFormat="1">
      <c r="B2209" s="28"/>
      <c r="C2209" s="18"/>
      <c r="E2209" s="50"/>
    </row>
    <row r="2210" spans="2:5" s="4" customFormat="1">
      <c r="B2210" s="28"/>
      <c r="C2210" s="18"/>
      <c r="E2210" s="50"/>
    </row>
    <row r="2211" spans="2:5" s="4" customFormat="1">
      <c r="B2211" s="28"/>
      <c r="C2211" s="18"/>
      <c r="E2211" s="50"/>
    </row>
    <row r="2212" spans="2:5" s="4" customFormat="1">
      <c r="B2212" s="28"/>
      <c r="C2212" s="18"/>
      <c r="E2212" s="50"/>
    </row>
    <row r="2213" spans="2:5" s="4" customFormat="1">
      <c r="B2213" s="28"/>
      <c r="C2213" s="18"/>
      <c r="E2213" s="50"/>
    </row>
    <row r="2214" spans="2:5" s="4" customFormat="1">
      <c r="B2214" s="28"/>
      <c r="C2214" s="18"/>
      <c r="E2214" s="50"/>
    </row>
    <row r="2215" spans="2:5" s="4" customFormat="1">
      <c r="B2215" s="28"/>
      <c r="C2215" s="18"/>
      <c r="E2215" s="50"/>
    </row>
    <row r="2216" spans="2:5" s="4" customFormat="1">
      <c r="B2216" s="28"/>
      <c r="C2216" s="18"/>
      <c r="E2216" s="50"/>
    </row>
    <row r="2217" spans="2:5" s="4" customFormat="1">
      <c r="B2217" s="28"/>
      <c r="C2217" s="18"/>
      <c r="E2217" s="50"/>
    </row>
    <row r="2218" spans="2:5" s="4" customFormat="1">
      <c r="B2218" s="28"/>
      <c r="C2218" s="18"/>
      <c r="E2218" s="50"/>
    </row>
    <row r="2219" spans="2:5" s="4" customFormat="1">
      <c r="B2219" s="28"/>
      <c r="C2219" s="18"/>
      <c r="E2219" s="50"/>
    </row>
    <row r="2220" spans="2:5" s="4" customFormat="1">
      <c r="B2220" s="28"/>
      <c r="C2220" s="18"/>
      <c r="E2220" s="50"/>
    </row>
    <row r="2221" spans="2:5" s="4" customFormat="1">
      <c r="B2221" s="28"/>
      <c r="C2221" s="18"/>
      <c r="E2221" s="50"/>
    </row>
    <row r="2222" spans="2:5" s="4" customFormat="1">
      <c r="B2222" s="28"/>
      <c r="C2222" s="18"/>
      <c r="E2222" s="50"/>
    </row>
    <row r="2223" spans="2:5" s="4" customFormat="1">
      <c r="B2223" s="28"/>
      <c r="C2223" s="18"/>
      <c r="E2223" s="50"/>
    </row>
    <row r="2224" spans="2:5" s="4" customFormat="1">
      <c r="B2224" s="28"/>
      <c r="C2224" s="18"/>
      <c r="E2224" s="50"/>
    </row>
    <row r="2225" spans="2:5" s="4" customFormat="1">
      <c r="B2225" s="28"/>
      <c r="C2225" s="18"/>
      <c r="E2225" s="50"/>
    </row>
    <row r="2226" spans="2:5" s="4" customFormat="1">
      <c r="B2226" s="28"/>
      <c r="C2226" s="18"/>
      <c r="E2226" s="50"/>
    </row>
    <row r="2227" spans="2:5" s="4" customFormat="1">
      <c r="B2227" s="28"/>
      <c r="C2227" s="18"/>
      <c r="E2227" s="50"/>
    </row>
    <row r="2228" spans="2:5" s="4" customFormat="1">
      <c r="B2228" s="28"/>
      <c r="C2228" s="18"/>
      <c r="E2228" s="50"/>
    </row>
    <row r="2229" spans="2:5" s="4" customFormat="1">
      <c r="B2229" s="28"/>
      <c r="C2229" s="18"/>
      <c r="E2229" s="50"/>
    </row>
    <row r="2230" spans="2:5" s="4" customFormat="1">
      <c r="B2230" s="28"/>
      <c r="C2230" s="18"/>
      <c r="E2230" s="50"/>
    </row>
    <row r="2231" spans="2:5" s="4" customFormat="1">
      <c r="B2231" s="28"/>
      <c r="C2231" s="18"/>
      <c r="E2231" s="50"/>
    </row>
    <row r="2232" spans="2:5" s="4" customFormat="1">
      <c r="B2232" s="28"/>
      <c r="C2232" s="18"/>
      <c r="E2232" s="50"/>
    </row>
    <row r="2233" spans="2:5" s="4" customFormat="1">
      <c r="B2233" s="28"/>
      <c r="C2233" s="18"/>
      <c r="E2233" s="50"/>
    </row>
    <row r="2234" spans="2:5" s="4" customFormat="1">
      <c r="B2234" s="28"/>
      <c r="C2234" s="18"/>
      <c r="E2234" s="50"/>
    </row>
    <row r="2235" spans="2:5" s="4" customFormat="1">
      <c r="B2235" s="28"/>
      <c r="C2235" s="18"/>
      <c r="E2235" s="50"/>
    </row>
    <row r="2236" spans="2:5" s="4" customFormat="1">
      <c r="B2236" s="28"/>
      <c r="C2236" s="18"/>
      <c r="E2236" s="50"/>
    </row>
    <row r="2237" spans="2:5" s="4" customFormat="1">
      <c r="B2237" s="28"/>
      <c r="C2237" s="18"/>
      <c r="E2237" s="50"/>
    </row>
    <row r="2238" spans="2:5" s="4" customFormat="1">
      <c r="B2238" s="28"/>
      <c r="C2238" s="18"/>
      <c r="E2238" s="50"/>
    </row>
    <row r="2239" spans="2:5" s="4" customFormat="1">
      <c r="B2239" s="28"/>
      <c r="C2239" s="18"/>
      <c r="E2239" s="50"/>
    </row>
    <row r="2240" spans="2:5" s="4" customFormat="1">
      <c r="B2240" s="28"/>
      <c r="C2240" s="18"/>
      <c r="E2240" s="50"/>
    </row>
    <row r="2241" spans="2:5" s="4" customFormat="1">
      <c r="B2241" s="28"/>
      <c r="C2241" s="18"/>
      <c r="E2241" s="50"/>
    </row>
    <row r="2242" spans="2:5" s="4" customFormat="1">
      <c r="B2242" s="28"/>
      <c r="C2242" s="18"/>
      <c r="E2242" s="50"/>
    </row>
    <row r="2243" spans="2:5" s="4" customFormat="1">
      <c r="B2243" s="28"/>
      <c r="C2243" s="18"/>
      <c r="E2243" s="50"/>
    </row>
    <row r="2244" spans="2:5" s="4" customFormat="1">
      <c r="B2244" s="28"/>
      <c r="C2244" s="18"/>
      <c r="E2244" s="50"/>
    </row>
    <row r="2245" spans="2:5" s="4" customFormat="1">
      <c r="B2245" s="28"/>
      <c r="C2245" s="18"/>
      <c r="E2245" s="50"/>
    </row>
    <row r="2246" spans="2:5" s="4" customFormat="1">
      <c r="B2246" s="28"/>
      <c r="C2246" s="18"/>
      <c r="E2246" s="50"/>
    </row>
    <row r="2247" spans="2:5" s="4" customFormat="1">
      <c r="B2247" s="28"/>
      <c r="C2247" s="18"/>
      <c r="E2247" s="50"/>
    </row>
    <row r="2248" spans="2:5" s="4" customFormat="1">
      <c r="B2248" s="28"/>
      <c r="C2248" s="18"/>
      <c r="E2248" s="50"/>
    </row>
    <row r="2249" spans="2:5" s="4" customFormat="1">
      <c r="B2249" s="28"/>
      <c r="C2249" s="18"/>
      <c r="E2249" s="50"/>
    </row>
    <row r="2250" spans="2:5" s="4" customFormat="1">
      <c r="B2250" s="28"/>
      <c r="C2250" s="18"/>
      <c r="E2250" s="50"/>
    </row>
    <row r="2251" spans="2:5" s="4" customFormat="1">
      <c r="B2251" s="28"/>
      <c r="C2251" s="18"/>
      <c r="E2251" s="50"/>
    </row>
    <row r="2252" spans="2:5" s="4" customFormat="1">
      <c r="B2252" s="28"/>
      <c r="C2252" s="18"/>
      <c r="E2252" s="50"/>
    </row>
    <row r="2253" spans="2:5" s="4" customFormat="1">
      <c r="B2253" s="28"/>
      <c r="C2253" s="18"/>
      <c r="E2253" s="50"/>
    </row>
    <row r="2254" spans="2:5" s="4" customFormat="1">
      <c r="B2254" s="28"/>
      <c r="C2254" s="18"/>
      <c r="E2254" s="50"/>
    </row>
    <row r="2255" spans="2:5" s="4" customFormat="1">
      <c r="B2255" s="28"/>
      <c r="C2255" s="18"/>
      <c r="E2255" s="50"/>
    </row>
    <row r="2256" spans="2:5" s="4" customFormat="1">
      <c r="B2256" s="28"/>
      <c r="C2256" s="18"/>
      <c r="E2256" s="50"/>
    </row>
    <row r="2257" spans="2:5" s="4" customFormat="1">
      <c r="B2257" s="28"/>
      <c r="C2257" s="18"/>
      <c r="E2257" s="50"/>
    </row>
    <row r="2258" spans="2:5" s="4" customFormat="1">
      <c r="B2258" s="28"/>
      <c r="C2258" s="18"/>
      <c r="E2258" s="50"/>
    </row>
    <row r="2259" spans="2:5" s="4" customFormat="1">
      <c r="B2259" s="28"/>
      <c r="C2259" s="18"/>
      <c r="E2259" s="50"/>
    </row>
    <row r="2260" spans="2:5" s="4" customFormat="1">
      <c r="B2260" s="28"/>
      <c r="C2260" s="18"/>
      <c r="E2260" s="50"/>
    </row>
    <row r="2261" spans="2:5" s="4" customFormat="1">
      <c r="B2261" s="28"/>
      <c r="C2261" s="18"/>
      <c r="E2261" s="50"/>
    </row>
    <row r="2262" spans="2:5" s="4" customFormat="1">
      <c r="B2262" s="28"/>
      <c r="C2262" s="18"/>
      <c r="E2262" s="50"/>
    </row>
    <row r="2263" spans="2:5" s="4" customFormat="1">
      <c r="B2263" s="28"/>
      <c r="C2263" s="18"/>
      <c r="E2263" s="50"/>
    </row>
    <row r="2264" spans="2:5" s="4" customFormat="1">
      <c r="B2264" s="28"/>
      <c r="C2264" s="18"/>
      <c r="E2264" s="50"/>
    </row>
    <row r="2265" spans="2:5" s="4" customFormat="1">
      <c r="B2265" s="28"/>
      <c r="C2265" s="18"/>
      <c r="E2265" s="50"/>
    </row>
    <row r="2266" spans="2:5" s="4" customFormat="1">
      <c r="B2266" s="28"/>
      <c r="C2266" s="18"/>
      <c r="E2266" s="50"/>
    </row>
    <row r="2267" spans="2:5" s="4" customFormat="1">
      <c r="B2267" s="28"/>
      <c r="C2267" s="18"/>
      <c r="E2267" s="50"/>
    </row>
    <row r="2268" spans="2:5" s="4" customFormat="1">
      <c r="B2268" s="28"/>
      <c r="C2268" s="18"/>
      <c r="E2268" s="50"/>
    </row>
    <row r="2269" spans="2:5" s="4" customFormat="1">
      <c r="B2269" s="28"/>
      <c r="C2269" s="18"/>
      <c r="E2269" s="50"/>
    </row>
    <row r="2270" spans="2:5" s="4" customFormat="1">
      <c r="B2270" s="28"/>
      <c r="C2270" s="18"/>
      <c r="E2270" s="50"/>
    </row>
    <row r="2271" spans="2:5" s="4" customFormat="1">
      <c r="B2271" s="28"/>
      <c r="C2271" s="18"/>
      <c r="E2271" s="50"/>
    </row>
    <row r="2272" spans="2:5" s="4" customFormat="1">
      <c r="B2272" s="28"/>
      <c r="C2272" s="18"/>
      <c r="E2272" s="50"/>
    </row>
    <row r="2273" spans="2:5" s="4" customFormat="1">
      <c r="B2273" s="28"/>
      <c r="C2273" s="18"/>
      <c r="E2273" s="50"/>
    </row>
    <row r="2274" spans="2:5" s="4" customFormat="1">
      <c r="B2274" s="28"/>
      <c r="C2274" s="18"/>
      <c r="E2274" s="50"/>
    </row>
    <row r="2275" spans="2:5" s="4" customFormat="1">
      <c r="B2275" s="28"/>
      <c r="C2275" s="18"/>
      <c r="E2275" s="50"/>
    </row>
    <row r="2276" spans="2:5" s="4" customFormat="1">
      <c r="B2276" s="28"/>
      <c r="C2276" s="18"/>
      <c r="E2276" s="50"/>
    </row>
    <row r="2277" spans="2:5" s="4" customFormat="1">
      <c r="B2277" s="28"/>
      <c r="C2277" s="18"/>
      <c r="E2277" s="50"/>
    </row>
    <row r="2278" spans="2:5" s="4" customFormat="1">
      <c r="B2278" s="28"/>
      <c r="C2278" s="18"/>
      <c r="E2278" s="50"/>
    </row>
    <row r="2279" spans="2:5" s="4" customFormat="1">
      <c r="B2279" s="28"/>
      <c r="C2279" s="18"/>
      <c r="E2279" s="50"/>
    </row>
    <row r="2280" spans="2:5" s="4" customFormat="1">
      <c r="B2280" s="28"/>
      <c r="C2280" s="18"/>
      <c r="E2280" s="50"/>
    </row>
    <row r="2281" spans="2:5" s="4" customFormat="1">
      <c r="B2281" s="28"/>
      <c r="C2281" s="18"/>
      <c r="E2281" s="50"/>
    </row>
    <row r="2282" spans="2:5" s="4" customFormat="1">
      <c r="B2282" s="28"/>
      <c r="C2282" s="18"/>
      <c r="E2282" s="50"/>
    </row>
    <row r="2283" spans="2:5" s="4" customFormat="1">
      <c r="B2283" s="28"/>
      <c r="C2283" s="18"/>
      <c r="E2283" s="50"/>
    </row>
    <row r="2284" spans="2:5" s="4" customFormat="1">
      <c r="B2284" s="28"/>
      <c r="C2284" s="18"/>
      <c r="E2284" s="50"/>
    </row>
    <row r="2285" spans="2:5" s="4" customFormat="1">
      <c r="B2285" s="28"/>
      <c r="C2285" s="18"/>
      <c r="E2285" s="50"/>
    </row>
    <row r="2286" spans="2:5" s="4" customFormat="1">
      <c r="B2286" s="28"/>
      <c r="C2286" s="18"/>
      <c r="E2286" s="50"/>
    </row>
    <row r="2287" spans="2:5" s="4" customFormat="1">
      <c r="B2287" s="28"/>
      <c r="C2287" s="18"/>
      <c r="E2287" s="50"/>
    </row>
    <row r="2288" spans="2:5" s="4" customFormat="1">
      <c r="B2288" s="28"/>
      <c r="C2288" s="18"/>
      <c r="E2288" s="50"/>
    </row>
    <row r="2289" spans="2:5" s="4" customFormat="1">
      <c r="B2289" s="28"/>
      <c r="C2289" s="18"/>
      <c r="E2289" s="50"/>
    </row>
    <row r="2290" spans="2:5" s="4" customFormat="1">
      <c r="B2290" s="28"/>
      <c r="C2290" s="18"/>
      <c r="E2290" s="50"/>
    </row>
    <row r="2291" spans="2:5" s="4" customFormat="1">
      <c r="B2291" s="28"/>
      <c r="C2291" s="18"/>
      <c r="E2291" s="50"/>
    </row>
    <row r="2292" spans="2:5" s="4" customFormat="1">
      <c r="B2292" s="28"/>
      <c r="C2292" s="18"/>
      <c r="E2292" s="50"/>
    </row>
    <row r="2293" spans="2:5" s="4" customFormat="1">
      <c r="B2293" s="28"/>
      <c r="C2293" s="18"/>
      <c r="E2293" s="50"/>
    </row>
    <row r="2294" spans="2:5" s="4" customFormat="1">
      <c r="B2294" s="28"/>
      <c r="C2294" s="18"/>
      <c r="E2294" s="50"/>
    </row>
    <row r="2295" spans="2:5" s="4" customFormat="1">
      <c r="B2295" s="28"/>
      <c r="C2295" s="18"/>
      <c r="E2295" s="50"/>
    </row>
    <row r="2296" spans="2:5" s="4" customFormat="1">
      <c r="B2296" s="28"/>
      <c r="C2296" s="18"/>
      <c r="E2296" s="50"/>
    </row>
    <row r="2297" spans="2:5" s="4" customFormat="1">
      <c r="B2297" s="28"/>
      <c r="C2297" s="18"/>
      <c r="E2297" s="50"/>
    </row>
    <row r="2298" spans="2:5" s="4" customFormat="1">
      <c r="B2298" s="28"/>
      <c r="C2298" s="18"/>
      <c r="E2298" s="50"/>
    </row>
    <row r="2299" spans="2:5" s="4" customFormat="1">
      <c r="B2299" s="28"/>
      <c r="C2299" s="18"/>
      <c r="E2299" s="50"/>
    </row>
    <row r="2300" spans="2:5" s="4" customFormat="1">
      <c r="B2300" s="28"/>
      <c r="C2300" s="18"/>
      <c r="E2300" s="50"/>
    </row>
    <row r="2301" spans="2:5" s="4" customFormat="1">
      <c r="B2301" s="28"/>
      <c r="C2301" s="18"/>
      <c r="E2301" s="50"/>
    </row>
    <row r="2302" spans="2:5" s="4" customFormat="1">
      <c r="B2302" s="28"/>
      <c r="C2302" s="18"/>
      <c r="E2302" s="50"/>
    </row>
    <row r="2303" spans="2:5" s="4" customFormat="1">
      <c r="B2303" s="28"/>
      <c r="C2303" s="18"/>
      <c r="E2303" s="50"/>
    </row>
    <row r="2304" spans="2:5" s="4" customFormat="1">
      <c r="B2304" s="28"/>
      <c r="C2304" s="18"/>
      <c r="E2304" s="50"/>
    </row>
    <row r="2305" spans="2:5" s="4" customFormat="1">
      <c r="B2305" s="28"/>
      <c r="C2305" s="18"/>
      <c r="E2305" s="50"/>
    </row>
    <row r="2306" spans="2:5" s="4" customFormat="1">
      <c r="B2306" s="28"/>
      <c r="C2306" s="18"/>
      <c r="E2306" s="50"/>
    </row>
    <row r="2307" spans="2:5" s="4" customFormat="1">
      <c r="B2307" s="28"/>
      <c r="C2307" s="18"/>
      <c r="E2307" s="50"/>
    </row>
    <row r="2308" spans="2:5" s="4" customFormat="1">
      <c r="B2308" s="28"/>
      <c r="C2308" s="18"/>
      <c r="E2308" s="50"/>
    </row>
    <row r="2309" spans="2:5" s="4" customFormat="1">
      <c r="B2309" s="28"/>
      <c r="C2309" s="18"/>
      <c r="E2309" s="50"/>
    </row>
    <row r="2310" spans="2:5" s="4" customFormat="1">
      <c r="B2310" s="28"/>
      <c r="C2310" s="18"/>
      <c r="E2310" s="50"/>
    </row>
    <row r="2311" spans="2:5" s="4" customFormat="1">
      <c r="B2311" s="28"/>
      <c r="C2311" s="18"/>
      <c r="E2311" s="50"/>
    </row>
    <row r="2312" spans="2:5" s="4" customFormat="1">
      <c r="B2312" s="28"/>
      <c r="C2312" s="18"/>
      <c r="E2312" s="50"/>
    </row>
    <row r="2313" spans="2:5" s="4" customFormat="1">
      <c r="B2313" s="28"/>
      <c r="C2313" s="18"/>
      <c r="E2313" s="50"/>
    </row>
    <row r="2314" spans="2:5" s="4" customFormat="1">
      <c r="B2314" s="28"/>
      <c r="C2314" s="18"/>
      <c r="E2314" s="50"/>
    </row>
    <row r="2315" spans="2:5" s="4" customFormat="1">
      <c r="B2315" s="28"/>
      <c r="C2315" s="18"/>
      <c r="E2315" s="50"/>
    </row>
    <row r="2316" spans="2:5" s="4" customFormat="1">
      <c r="B2316" s="28"/>
      <c r="C2316" s="18"/>
      <c r="E2316" s="50"/>
    </row>
    <row r="2317" spans="2:5" s="4" customFormat="1">
      <c r="B2317" s="28"/>
      <c r="C2317" s="18"/>
      <c r="E2317" s="50"/>
    </row>
    <row r="2318" spans="2:5" s="4" customFormat="1">
      <c r="B2318" s="28"/>
      <c r="C2318" s="18"/>
      <c r="E2318" s="50"/>
    </row>
    <row r="2319" spans="2:5" s="4" customFormat="1">
      <c r="B2319" s="28"/>
      <c r="C2319" s="18"/>
      <c r="E2319" s="50"/>
    </row>
    <row r="2320" spans="2:5" s="4" customFormat="1">
      <c r="B2320" s="28"/>
      <c r="C2320" s="18"/>
      <c r="E2320" s="50"/>
    </row>
    <row r="2321" spans="2:5" s="4" customFormat="1">
      <c r="B2321" s="28"/>
      <c r="C2321" s="18"/>
      <c r="E2321" s="50"/>
    </row>
    <row r="2322" spans="2:5" s="4" customFormat="1">
      <c r="B2322" s="28"/>
      <c r="C2322" s="18"/>
      <c r="E2322" s="50"/>
    </row>
    <row r="2323" spans="2:5" s="4" customFormat="1">
      <c r="B2323" s="28"/>
      <c r="C2323" s="18"/>
      <c r="E2323" s="50"/>
    </row>
    <row r="2324" spans="2:5" s="4" customFormat="1">
      <c r="B2324" s="28"/>
      <c r="C2324" s="18"/>
      <c r="E2324" s="50"/>
    </row>
    <row r="2325" spans="2:5" s="4" customFormat="1">
      <c r="B2325" s="28"/>
      <c r="C2325" s="18"/>
      <c r="E2325" s="50"/>
    </row>
    <row r="2326" spans="2:5" s="4" customFormat="1">
      <c r="B2326" s="28"/>
      <c r="C2326" s="18"/>
      <c r="E2326" s="50"/>
    </row>
    <row r="2327" spans="2:5" s="4" customFormat="1">
      <c r="B2327" s="28"/>
      <c r="C2327" s="18"/>
      <c r="E2327" s="50"/>
    </row>
    <row r="2328" spans="2:5" s="4" customFormat="1">
      <c r="B2328" s="28"/>
      <c r="C2328" s="18"/>
      <c r="E2328" s="50"/>
    </row>
    <row r="2329" spans="2:5" s="4" customFormat="1">
      <c r="B2329" s="28"/>
      <c r="C2329" s="18"/>
      <c r="E2329" s="50"/>
    </row>
    <row r="2330" spans="2:5" s="4" customFormat="1">
      <c r="B2330" s="28"/>
      <c r="C2330" s="18"/>
      <c r="E2330" s="50"/>
    </row>
    <row r="2331" spans="2:5" s="4" customFormat="1">
      <c r="B2331" s="28"/>
      <c r="C2331" s="18"/>
      <c r="E2331" s="50"/>
    </row>
    <row r="2332" spans="2:5" s="4" customFormat="1">
      <c r="B2332" s="28"/>
      <c r="C2332" s="18"/>
      <c r="E2332" s="50"/>
    </row>
    <row r="2333" spans="2:5" s="4" customFormat="1">
      <c r="B2333" s="28"/>
      <c r="C2333" s="18"/>
      <c r="E2333" s="50"/>
    </row>
    <row r="2334" spans="2:5" s="4" customFormat="1">
      <c r="B2334" s="28"/>
      <c r="C2334" s="18"/>
      <c r="E2334" s="50"/>
    </row>
    <row r="2335" spans="2:5" s="4" customFormat="1">
      <c r="B2335" s="28"/>
      <c r="C2335" s="18"/>
      <c r="E2335" s="50"/>
    </row>
    <row r="2336" spans="2:5" s="4" customFormat="1">
      <c r="B2336" s="28"/>
      <c r="C2336" s="18"/>
      <c r="E2336" s="50"/>
    </row>
    <row r="2337" spans="2:5" s="4" customFormat="1">
      <c r="B2337" s="28"/>
      <c r="C2337" s="18"/>
      <c r="E2337" s="50"/>
    </row>
    <row r="2338" spans="2:5" s="4" customFormat="1">
      <c r="B2338" s="28"/>
      <c r="C2338" s="18"/>
      <c r="E2338" s="50"/>
    </row>
    <row r="2339" spans="2:5" s="4" customFormat="1">
      <c r="B2339" s="28"/>
      <c r="C2339" s="18"/>
      <c r="E2339" s="50"/>
    </row>
    <row r="2340" spans="2:5" s="4" customFormat="1">
      <c r="B2340" s="28"/>
      <c r="C2340" s="18"/>
      <c r="E2340" s="50"/>
    </row>
    <row r="2341" spans="2:5" s="4" customFormat="1">
      <c r="B2341" s="28"/>
      <c r="C2341" s="18"/>
      <c r="E2341" s="50"/>
    </row>
    <row r="2342" spans="2:5" s="4" customFormat="1">
      <c r="B2342" s="28"/>
      <c r="C2342" s="18"/>
      <c r="E2342" s="50"/>
    </row>
    <row r="2343" spans="2:5" s="4" customFormat="1">
      <c r="B2343" s="28"/>
      <c r="C2343" s="18"/>
      <c r="E2343" s="50"/>
    </row>
    <row r="2344" spans="2:5" s="4" customFormat="1">
      <c r="B2344" s="28"/>
      <c r="C2344" s="18"/>
      <c r="E2344" s="50"/>
    </row>
    <row r="2345" spans="2:5" s="4" customFormat="1">
      <c r="B2345" s="28"/>
      <c r="C2345" s="18"/>
      <c r="E2345" s="50"/>
    </row>
    <row r="2346" spans="2:5" s="4" customFormat="1">
      <c r="B2346" s="28"/>
      <c r="C2346" s="18"/>
      <c r="E2346" s="50"/>
    </row>
    <row r="2347" spans="2:5" s="4" customFormat="1">
      <c r="B2347" s="28"/>
      <c r="C2347" s="18"/>
      <c r="E2347" s="50"/>
    </row>
    <row r="2348" spans="2:5" s="4" customFormat="1">
      <c r="B2348" s="28"/>
      <c r="C2348" s="18"/>
      <c r="E2348" s="50"/>
    </row>
    <row r="2349" spans="2:5" s="4" customFormat="1">
      <c r="B2349" s="28"/>
      <c r="C2349" s="18"/>
      <c r="E2349" s="50"/>
    </row>
    <row r="2350" spans="2:5" s="4" customFormat="1">
      <c r="B2350" s="28"/>
      <c r="C2350" s="18"/>
      <c r="E2350" s="50"/>
    </row>
    <row r="2351" spans="2:5" s="4" customFormat="1">
      <c r="B2351" s="28"/>
      <c r="C2351" s="18"/>
      <c r="E2351" s="50"/>
    </row>
    <row r="2352" spans="2:5" s="4" customFormat="1">
      <c r="B2352" s="28"/>
      <c r="C2352" s="18"/>
      <c r="E2352" s="50"/>
    </row>
    <row r="2353" spans="2:5" s="4" customFormat="1">
      <c r="B2353" s="28"/>
      <c r="C2353" s="18"/>
      <c r="E2353" s="50"/>
    </row>
    <row r="2354" spans="2:5" s="4" customFormat="1">
      <c r="B2354" s="28"/>
      <c r="C2354" s="18"/>
      <c r="E2354" s="50"/>
    </row>
    <row r="2355" spans="2:5" s="4" customFormat="1">
      <c r="B2355" s="28"/>
      <c r="C2355" s="18"/>
      <c r="E2355" s="50"/>
    </row>
    <row r="2356" spans="2:5" s="4" customFormat="1">
      <c r="B2356" s="28"/>
      <c r="C2356" s="18"/>
      <c r="E2356" s="50"/>
    </row>
    <row r="2357" spans="2:5" s="4" customFormat="1">
      <c r="B2357" s="28"/>
      <c r="C2357" s="18"/>
      <c r="E2357" s="50"/>
    </row>
    <row r="2358" spans="2:5" s="4" customFormat="1">
      <c r="B2358" s="28"/>
      <c r="C2358" s="18"/>
      <c r="E2358" s="50"/>
    </row>
    <row r="2359" spans="2:5" s="4" customFormat="1">
      <c r="B2359" s="28"/>
      <c r="C2359" s="18"/>
      <c r="E2359" s="50"/>
    </row>
    <row r="2360" spans="2:5" s="4" customFormat="1">
      <c r="B2360" s="28"/>
      <c r="C2360" s="18"/>
      <c r="E2360" s="50"/>
    </row>
    <row r="2361" spans="2:5" s="4" customFormat="1">
      <c r="B2361" s="28"/>
      <c r="C2361" s="18"/>
      <c r="E2361" s="50"/>
    </row>
    <row r="2362" spans="2:5" s="4" customFormat="1">
      <c r="B2362" s="28"/>
      <c r="C2362" s="18"/>
      <c r="E2362" s="50"/>
    </row>
    <row r="2363" spans="2:5" s="4" customFormat="1">
      <c r="B2363" s="28"/>
      <c r="C2363" s="18"/>
      <c r="E2363" s="50"/>
    </row>
    <row r="2364" spans="2:5" s="4" customFormat="1">
      <c r="B2364" s="28"/>
      <c r="C2364" s="18"/>
      <c r="E2364" s="50"/>
    </row>
    <row r="2365" spans="2:5" s="4" customFormat="1">
      <c r="B2365" s="28"/>
      <c r="C2365" s="18"/>
      <c r="E2365" s="50"/>
    </row>
    <row r="2366" spans="2:5" s="4" customFormat="1">
      <c r="B2366" s="28"/>
      <c r="C2366" s="18"/>
      <c r="E2366" s="50"/>
    </row>
    <row r="2367" spans="2:5" s="4" customFormat="1">
      <c r="B2367" s="28"/>
      <c r="C2367" s="18"/>
      <c r="E2367" s="50"/>
    </row>
    <row r="2368" spans="2:5" s="4" customFormat="1">
      <c r="B2368" s="28"/>
      <c r="C2368" s="18"/>
      <c r="E2368" s="50"/>
    </row>
    <row r="2369" spans="2:5" s="4" customFormat="1">
      <c r="B2369" s="28"/>
      <c r="C2369" s="18"/>
      <c r="E2369" s="50"/>
    </row>
    <row r="2370" spans="2:5" s="4" customFormat="1">
      <c r="B2370" s="28"/>
      <c r="C2370" s="18"/>
      <c r="E2370" s="50"/>
    </row>
    <row r="2371" spans="2:5" s="4" customFormat="1">
      <c r="B2371" s="28"/>
      <c r="C2371" s="18"/>
      <c r="E2371" s="50"/>
    </row>
    <row r="2372" spans="2:5" s="4" customFormat="1">
      <c r="B2372" s="28"/>
      <c r="C2372" s="18"/>
      <c r="E2372" s="50"/>
    </row>
    <row r="2373" spans="2:5" s="4" customFormat="1">
      <c r="B2373" s="28"/>
      <c r="C2373" s="18"/>
      <c r="E2373" s="50"/>
    </row>
    <row r="2374" spans="2:5" s="4" customFormat="1">
      <c r="B2374" s="28"/>
      <c r="C2374" s="18"/>
      <c r="E2374" s="50"/>
    </row>
    <row r="2375" spans="2:5" s="4" customFormat="1">
      <c r="B2375" s="28"/>
      <c r="C2375" s="18"/>
      <c r="E2375" s="50"/>
    </row>
    <row r="2376" spans="2:5" s="4" customFormat="1">
      <c r="B2376" s="28"/>
      <c r="C2376" s="18"/>
      <c r="E2376" s="50"/>
    </row>
    <row r="2377" spans="2:5" s="4" customFormat="1">
      <c r="B2377" s="28"/>
      <c r="C2377" s="18"/>
      <c r="E2377" s="50"/>
    </row>
    <row r="2378" spans="2:5" s="4" customFormat="1">
      <c r="B2378" s="28"/>
      <c r="C2378" s="18"/>
      <c r="E2378" s="50"/>
    </row>
    <row r="2379" spans="2:5" s="4" customFormat="1">
      <c r="B2379" s="28"/>
      <c r="C2379" s="18"/>
      <c r="E2379" s="50"/>
    </row>
    <row r="2380" spans="2:5" s="4" customFormat="1">
      <c r="B2380" s="28"/>
      <c r="C2380" s="18"/>
      <c r="E2380" s="50"/>
    </row>
    <row r="2381" spans="2:5" s="4" customFormat="1">
      <c r="B2381" s="28"/>
      <c r="C2381" s="18"/>
      <c r="E2381" s="50"/>
    </row>
    <row r="2382" spans="2:5" s="4" customFormat="1">
      <c r="B2382" s="28"/>
      <c r="C2382" s="18"/>
      <c r="E2382" s="50"/>
    </row>
    <row r="2383" spans="2:5" s="4" customFormat="1">
      <c r="B2383" s="28"/>
      <c r="C2383" s="18"/>
      <c r="E2383" s="50"/>
    </row>
    <row r="2384" spans="2:5" s="4" customFormat="1">
      <c r="B2384" s="28"/>
      <c r="C2384" s="18"/>
      <c r="E2384" s="50"/>
    </row>
    <row r="2385" spans="2:5" s="4" customFormat="1">
      <c r="B2385" s="28"/>
      <c r="C2385" s="18"/>
      <c r="E2385" s="50"/>
    </row>
    <row r="2386" spans="2:5" s="4" customFormat="1">
      <c r="B2386" s="28"/>
      <c r="C2386" s="18"/>
      <c r="E2386" s="50"/>
    </row>
    <row r="2387" spans="2:5" s="4" customFormat="1">
      <c r="B2387" s="28"/>
      <c r="C2387" s="18"/>
      <c r="E2387" s="50"/>
    </row>
    <row r="2388" spans="2:5" s="4" customFormat="1">
      <c r="B2388" s="28"/>
      <c r="C2388" s="18"/>
      <c r="E2388" s="50"/>
    </row>
    <row r="2389" spans="2:5" s="4" customFormat="1">
      <c r="B2389" s="28"/>
      <c r="C2389" s="18"/>
      <c r="E2389" s="50"/>
    </row>
    <row r="2390" spans="2:5" s="4" customFormat="1">
      <c r="B2390" s="28"/>
      <c r="C2390" s="18"/>
      <c r="E2390" s="50"/>
    </row>
    <row r="2391" spans="2:5" s="4" customFormat="1">
      <c r="B2391" s="28"/>
      <c r="C2391" s="18"/>
      <c r="E2391" s="50"/>
    </row>
    <row r="2392" spans="2:5" s="4" customFormat="1">
      <c r="B2392" s="28"/>
      <c r="C2392" s="18"/>
      <c r="E2392" s="50"/>
    </row>
    <row r="2393" spans="2:5" s="4" customFormat="1">
      <c r="B2393" s="28"/>
      <c r="C2393" s="18"/>
      <c r="E2393" s="50"/>
    </row>
    <row r="2394" spans="2:5" s="4" customFormat="1">
      <c r="B2394" s="28"/>
      <c r="C2394" s="18"/>
      <c r="E2394" s="50"/>
    </row>
    <row r="2395" spans="2:5" s="4" customFormat="1">
      <c r="B2395" s="28"/>
      <c r="C2395" s="18"/>
      <c r="E2395" s="50"/>
    </row>
    <row r="2396" spans="2:5" s="4" customFormat="1">
      <c r="B2396" s="28"/>
      <c r="C2396" s="18"/>
      <c r="E2396" s="50"/>
    </row>
    <row r="2397" spans="2:5" s="4" customFormat="1">
      <c r="B2397" s="28"/>
      <c r="C2397" s="18"/>
      <c r="E2397" s="50"/>
    </row>
    <row r="2398" spans="2:5" s="4" customFormat="1">
      <c r="B2398" s="28"/>
      <c r="C2398" s="18"/>
      <c r="E2398" s="50"/>
    </row>
    <row r="2399" spans="2:5" s="4" customFormat="1">
      <c r="B2399" s="28"/>
      <c r="C2399" s="18"/>
      <c r="E2399" s="50"/>
    </row>
    <row r="2400" spans="2:5" s="4" customFormat="1">
      <c r="B2400" s="28"/>
      <c r="C2400" s="18"/>
      <c r="E2400" s="50"/>
    </row>
    <row r="2401" spans="2:5" s="4" customFormat="1">
      <c r="B2401" s="28"/>
      <c r="C2401" s="18"/>
      <c r="E2401" s="50"/>
    </row>
    <row r="2402" spans="2:5" s="4" customFormat="1">
      <c r="B2402" s="28"/>
      <c r="C2402" s="18"/>
      <c r="E2402" s="50"/>
    </row>
    <row r="2403" spans="2:5" s="4" customFormat="1">
      <c r="B2403" s="28"/>
      <c r="C2403" s="18"/>
      <c r="E2403" s="50"/>
    </row>
    <row r="2404" spans="2:5" s="4" customFormat="1">
      <c r="B2404" s="28"/>
      <c r="C2404" s="18"/>
      <c r="E2404" s="50"/>
    </row>
    <row r="2405" spans="2:5" s="4" customFormat="1">
      <c r="B2405" s="28"/>
      <c r="C2405" s="18"/>
      <c r="E2405" s="50"/>
    </row>
    <row r="2406" spans="2:5" s="4" customFormat="1">
      <c r="B2406" s="28"/>
      <c r="C2406" s="18"/>
      <c r="E2406" s="50"/>
    </row>
    <row r="2407" spans="2:5" s="4" customFormat="1">
      <c r="B2407" s="28"/>
      <c r="C2407" s="18"/>
      <c r="E2407" s="50"/>
    </row>
    <row r="2408" spans="2:5" s="4" customFormat="1">
      <c r="B2408" s="28"/>
      <c r="C2408" s="18"/>
      <c r="E2408" s="50"/>
    </row>
    <row r="2409" spans="2:5" s="4" customFormat="1">
      <c r="B2409" s="28"/>
      <c r="C2409" s="18"/>
      <c r="E2409" s="50"/>
    </row>
    <row r="2410" spans="2:5" s="4" customFormat="1">
      <c r="B2410" s="28"/>
      <c r="C2410" s="18"/>
      <c r="E2410" s="50"/>
    </row>
    <row r="2411" spans="2:5" s="4" customFormat="1">
      <c r="B2411" s="28"/>
      <c r="C2411" s="18"/>
      <c r="E2411" s="50"/>
    </row>
    <row r="2412" spans="2:5" s="4" customFormat="1">
      <c r="B2412" s="28"/>
      <c r="C2412" s="18"/>
      <c r="E2412" s="50"/>
    </row>
    <row r="2413" spans="2:5" s="4" customFormat="1">
      <c r="B2413" s="28"/>
      <c r="C2413" s="18"/>
      <c r="E2413" s="50"/>
    </row>
    <row r="2414" spans="2:5" s="4" customFormat="1">
      <c r="B2414" s="28"/>
      <c r="C2414" s="18"/>
      <c r="E2414" s="50"/>
    </row>
    <row r="2415" spans="2:5" s="4" customFormat="1">
      <c r="B2415" s="28"/>
      <c r="C2415" s="18"/>
      <c r="E2415" s="50"/>
    </row>
    <row r="2416" spans="2:5" s="4" customFormat="1">
      <c r="B2416" s="28"/>
      <c r="C2416" s="18"/>
      <c r="E2416" s="50"/>
    </row>
    <row r="2417" spans="2:5" s="4" customFormat="1">
      <c r="B2417" s="28"/>
      <c r="C2417" s="18"/>
      <c r="E2417" s="50"/>
    </row>
    <row r="2418" spans="2:5" s="4" customFormat="1">
      <c r="B2418" s="28"/>
      <c r="C2418" s="18"/>
      <c r="E2418" s="50"/>
    </row>
    <row r="2419" spans="2:5" s="4" customFormat="1">
      <c r="B2419" s="28"/>
      <c r="C2419" s="18"/>
      <c r="E2419" s="50"/>
    </row>
    <row r="2420" spans="2:5" s="4" customFormat="1">
      <c r="B2420" s="28"/>
      <c r="C2420" s="18"/>
      <c r="E2420" s="50"/>
    </row>
    <row r="2421" spans="2:5" s="4" customFormat="1">
      <c r="B2421" s="28"/>
      <c r="C2421" s="18"/>
      <c r="E2421" s="50"/>
    </row>
    <row r="2422" spans="2:5" s="4" customFormat="1">
      <c r="B2422" s="28"/>
      <c r="C2422" s="18"/>
      <c r="E2422" s="50"/>
    </row>
    <row r="2423" spans="2:5" s="4" customFormat="1">
      <c r="B2423" s="28"/>
      <c r="C2423" s="18"/>
      <c r="E2423" s="50"/>
    </row>
    <row r="2424" spans="2:5" s="4" customFormat="1">
      <c r="B2424" s="28"/>
      <c r="C2424" s="18"/>
      <c r="E2424" s="50"/>
    </row>
    <row r="2425" spans="2:5" s="4" customFormat="1">
      <c r="B2425" s="28"/>
      <c r="C2425" s="18"/>
      <c r="E2425" s="50"/>
    </row>
    <row r="2426" spans="2:5" s="4" customFormat="1">
      <c r="B2426" s="28"/>
      <c r="C2426" s="18"/>
      <c r="E2426" s="50"/>
    </row>
    <row r="2427" spans="2:5" s="4" customFormat="1">
      <c r="B2427" s="28"/>
      <c r="C2427" s="18"/>
      <c r="E2427" s="50"/>
    </row>
    <row r="2428" spans="2:5" s="4" customFormat="1">
      <c r="B2428" s="28"/>
      <c r="C2428" s="18"/>
      <c r="E2428" s="50"/>
    </row>
    <row r="2429" spans="2:5" s="4" customFormat="1">
      <c r="B2429" s="28"/>
      <c r="C2429" s="18"/>
      <c r="E2429" s="50"/>
    </row>
    <row r="2430" spans="2:5" s="4" customFormat="1">
      <c r="B2430" s="28"/>
      <c r="C2430" s="18"/>
      <c r="E2430" s="50"/>
    </row>
    <row r="2431" spans="2:5" s="4" customFormat="1">
      <c r="B2431" s="28"/>
      <c r="C2431" s="18"/>
      <c r="E2431" s="50"/>
    </row>
    <row r="2432" spans="2:5" s="4" customFormat="1">
      <c r="B2432" s="28"/>
      <c r="C2432" s="18"/>
      <c r="E2432" s="50"/>
    </row>
    <row r="2433" spans="2:5" s="4" customFormat="1">
      <c r="B2433" s="28"/>
      <c r="C2433" s="18"/>
      <c r="E2433" s="50"/>
    </row>
    <row r="2434" spans="2:5" s="4" customFormat="1">
      <c r="B2434" s="28"/>
      <c r="C2434" s="18"/>
      <c r="E2434" s="50"/>
    </row>
    <row r="2435" spans="2:5" s="4" customFormat="1">
      <c r="B2435" s="28"/>
      <c r="C2435" s="18"/>
      <c r="E2435" s="50"/>
    </row>
    <row r="2436" spans="2:5" s="4" customFormat="1">
      <c r="B2436" s="28"/>
      <c r="C2436" s="18"/>
      <c r="E2436" s="50"/>
    </row>
    <row r="2437" spans="2:5" s="4" customFormat="1">
      <c r="B2437" s="28"/>
      <c r="C2437" s="18"/>
      <c r="E2437" s="50"/>
    </row>
    <row r="2438" spans="2:5" s="4" customFormat="1">
      <c r="B2438" s="28"/>
      <c r="C2438" s="18"/>
      <c r="E2438" s="50"/>
    </row>
    <row r="2439" spans="2:5" s="4" customFormat="1">
      <c r="B2439" s="28"/>
      <c r="C2439" s="18"/>
      <c r="E2439" s="50"/>
    </row>
    <row r="2440" spans="2:5" s="4" customFormat="1">
      <c r="B2440" s="28"/>
      <c r="C2440" s="18"/>
      <c r="E2440" s="50"/>
    </row>
    <row r="2441" spans="2:5" s="4" customFormat="1">
      <c r="B2441" s="28"/>
      <c r="C2441" s="18"/>
      <c r="E2441" s="50"/>
    </row>
    <row r="2442" spans="2:5" s="4" customFormat="1">
      <c r="B2442" s="28"/>
      <c r="C2442" s="18"/>
      <c r="E2442" s="50"/>
    </row>
    <row r="2443" spans="2:5" s="4" customFormat="1">
      <c r="B2443" s="28"/>
      <c r="C2443" s="18"/>
      <c r="E2443" s="50"/>
    </row>
    <row r="2444" spans="2:5" s="4" customFormat="1">
      <c r="B2444" s="28"/>
      <c r="C2444" s="18"/>
      <c r="E2444" s="50"/>
    </row>
    <row r="2445" spans="2:5" s="4" customFormat="1">
      <c r="B2445" s="28"/>
      <c r="C2445" s="18"/>
      <c r="E2445" s="50"/>
    </row>
    <row r="2446" spans="2:5" s="4" customFormat="1">
      <c r="B2446" s="28"/>
      <c r="C2446" s="18"/>
      <c r="E2446" s="50"/>
    </row>
    <row r="2447" spans="2:5" s="4" customFormat="1">
      <c r="B2447" s="28"/>
      <c r="C2447" s="18"/>
      <c r="E2447" s="50"/>
    </row>
    <row r="2448" spans="2:5" s="4" customFormat="1">
      <c r="B2448" s="28"/>
      <c r="C2448" s="18"/>
      <c r="E2448" s="50"/>
    </row>
    <row r="2449" spans="2:5" s="4" customFormat="1">
      <c r="B2449" s="28"/>
      <c r="C2449" s="18"/>
      <c r="E2449" s="50"/>
    </row>
    <row r="2450" spans="2:5" s="4" customFormat="1">
      <c r="B2450" s="28"/>
      <c r="C2450" s="18"/>
      <c r="E2450" s="50"/>
    </row>
    <row r="2451" spans="2:5" s="4" customFormat="1">
      <c r="B2451" s="28"/>
      <c r="C2451" s="18"/>
      <c r="E2451" s="50"/>
    </row>
    <row r="2452" spans="2:5" s="4" customFormat="1">
      <c r="B2452" s="28"/>
      <c r="C2452" s="18"/>
      <c r="E2452" s="50"/>
    </row>
    <row r="2453" spans="2:5" s="4" customFormat="1">
      <c r="B2453" s="28"/>
      <c r="C2453" s="18"/>
      <c r="E2453" s="50"/>
    </row>
    <row r="2454" spans="2:5" s="4" customFormat="1">
      <c r="B2454" s="28"/>
      <c r="C2454" s="18"/>
      <c r="E2454" s="50"/>
    </row>
    <row r="2455" spans="2:5" s="4" customFormat="1">
      <c r="B2455" s="28"/>
      <c r="C2455" s="18"/>
      <c r="E2455" s="50"/>
    </row>
    <row r="2456" spans="2:5" s="4" customFormat="1">
      <c r="B2456" s="28"/>
      <c r="C2456" s="18"/>
      <c r="E2456" s="50"/>
    </row>
    <row r="2457" spans="2:5" s="4" customFormat="1">
      <c r="B2457" s="28"/>
      <c r="C2457" s="18"/>
      <c r="E2457" s="50"/>
    </row>
    <row r="2458" spans="2:5" s="4" customFormat="1">
      <c r="B2458" s="28"/>
      <c r="C2458" s="18"/>
      <c r="E2458" s="50"/>
    </row>
    <row r="2459" spans="2:5" s="4" customFormat="1">
      <c r="B2459" s="28"/>
      <c r="C2459" s="18"/>
      <c r="E2459" s="50"/>
    </row>
    <row r="2460" spans="2:5" s="4" customFormat="1">
      <c r="B2460" s="28"/>
      <c r="C2460" s="18"/>
      <c r="E2460" s="50"/>
    </row>
    <row r="2461" spans="2:5" s="4" customFormat="1">
      <c r="B2461" s="28"/>
      <c r="C2461" s="18"/>
      <c r="E2461" s="50"/>
    </row>
    <row r="2462" spans="2:5" s="4" customFormat="1">
      <c r="B2462" s="28"/>
      <c r="C2462" s="18"/>
      <c r="E2462" s="50"/>
    </row>
    <row r="2463" spans="2:5" s="4" customFormat="1">
      <c r="B2463" s="28"/>
      <c r="C2463" s="18"/>
      <c r="E2463" s="50"/>
    </row>
    <row r="2464" spans="2:5" s="4" customFormat="1">
      <c r="B2464" s="28"/>
      <c r="C2464" s="18"/>
      <c r="E2464" s="50"/>
    </row>
    <row r="2465" spans="2:5" s="4" customFormat="1">
      <c r="B2465" s="28"/>
      <c r="C2465" s="18"/>
      <c r="E2465" s="50"/>
    </row>
    <row r="2466" spans="2:5" s="4" customFormat="1">
      <c r="B2466" s="28"/>
      <c r="C2466" s="18"/>
      <c r="E2466" s="50"/>
    </row>
    <row r="2467" spans="2:5" s="4" customFormat="1">
      <c r="B2467" s="28"/>
      <c r="C2467" s="18"/>
      <c r="E2467" s="50"/>
    </row>
    <row r="2468" spans="2:5" s="4" customFormat="1">
      <c r="B2468" s="28"/>
      <c r="C2468" s="18"/>
      <c r="E2468" s="50"/>
    </row>
    <row r="2469" spans="2:5" s="4" customFormat="1">
      <c r="B2469" s="28"/>
      <c r="C2469" s="18"/>
      <c r="E2469" s="50"/>
    </row>
    <row r="2470" spans="2:5" s="4" customFormat="1">
      <c r="B2470" s="28"/>
      <c r="C2470" s="18"/>
      <c r="E2470" s="50"/>
    </row>
    <row r="2471" spans="2:5" s="4" customFormat="1">
      <c r="B2471" s="28"/>
      <c r="C2471" s="18"/>
      <c r="E2471" s="50"/>
    </row>
    <row r="2472" spans="2:5" s="4" customFormat="1">
      <c r="B2472" s="28"/>
      <c r="C2472" s="18"/>
      <c r="E2472" s="50"/>
    </row>
    <row r="2473" spans="2:5" s="4" customFormat="1">
      <c r="B2473" s="28"/>
      <c r="C2473" s="18"/>
      <c r="E2473" s="50"/>
    </row>
    <row r="2474" spans="2:5" s="4" customFormat="1">
      <c r="B2474" s="28"/>
      <c r="C2474" s="18"/>
      <c r="E2474" s="50"/>
    </row>
    <row r="2475" spans="2:5" s="4" customFormat="1">
      <c r="B2475" s="28"/>
      <c r="C2475" s="18"/>
      <c r="E2475" s="50"/>
    </row>
    <row r="2476" spans="2:5" s="4" customFormat="1">
      <c r="B2476" s="28"/>
      <c r="C2476" s="18"/>
      <c r="E2476" s="50"/>
    </row>
    <row r="2477" spans="2:5" s="4" customFormat="1">
      <c r="B2477" s="28"/>
      <c r="C2477" s="18"/>
      <c r="E2477" s="50"/>
    </row>
    <row r="2478" spans="2:5" s="4" customFormat="1">
      <c r="B2478" s="28"/>
      <c r="C2478" s="18"/>
      <c r="E2478" s="50"/>
    </row>
    <row r="2479" spans="2:5" s="4" customFormat="1">
      <c r="B2479" s="28"/>
      <c r="C2479" s="18"/>
      <c r="E2479" s="50"/>
    </row>
    <row r="2480" spans="2:5" s="4" customFormat="1">
      <c r="B2480" s="28"/>
      <c r="C2480" s="18"/>
      <c r="E2480" s="50"/>
    </row>
    <row r="2481" spans="2:5" s="4" customFormat="1">
      <c r="B2481" s="28"/>
      <c r="C2481" s="18"/>
      <c r="E2481" s="50"/>
    </row>
    <row r="2482" spans="2:5" s="4" customFormat="1">
      <c r="B2482" s="28"/>
      <c r="C2482" s="18"/>
      <c r="E2482" s="50"/>
    </row>
    <row r="2483" spans="2:5" s="4" customFormat="1">
      <c r="B2483" s="28"/>
      <c r="C2483" s="18"/>
      <c r="E2483" s="50"/>
    </row>
    <row r="2484" spans="2:5" s="4" customFormat="1">
      <c r="B2484" s="28"/>
      <c r="C2484" s="18"/>
      <c r="E2484" s="50"/>
    </row>
    <row r="2485" spans="2:5" s="4" customFormat="1">
      <c r="B2485" s="28"/>
      <c r="C2485" s="18"/>
      <c r="E2485" s="50"/>
    </row>
    <row r="2486" spans="2:5" s="4" customFormat="1">
      <c r="B2486" s="28"/>
      <c r="C2486" s="18"/>
      <c r="E2486" s="50"/>
    </row>
    <row r="2487" spans="2:5" s="4" customFormat="1">
      <c r="B2487" s="28"/>
      <c r="C2487" s="18"/>
      <c r="E2487" s="50"/>
    </row>
    <row r="2488" spans="2:5" s="4" customFormat="1">
      <c r="B2488" s="28"/>
      <c r="C2488" s="18"/>
      <c r="E2488" s="50"/>
    </row>
    <row r="2489" spans="2:5" s="4" customFormat="1">
      <c r="B2489" s="28"/>
      <c r="C2489" s="18"/>
      <c r="E2489" s="50"/>
    </row>
    <row r="2490" spans="2:5" s="4" customFormat="1">
      <c r="B2490" s="28"/>
      <c r="C2490" s="18"/>
      <c r="E2490" s="50"/>
    </row>
    <row r="2491" spans="2:5" s="4" customFormat="1">
      <c r="B2491" s="28"/>
      <c r="C2491" s="18"/>
      <c r="E2491" s="50"/>
    </row>
    <row r="2492" spans="2:5" s="4" customFormat="1">
      <c r="B2492" s="28"/>
      <c r="C2492" s="18"/>
      <c r="E2492" s="50"/>
    </row>
    <row r="2493" spans="2:5" s="4" customFormat="1">
      <c r="B2493" s="28"/>
      <c r="C2493" s="18"/>
      <c r="E2493" s="50"/>
    </row>
    <row r="2494" spans="2:5" s="4" customFormat="1">
      <c r="B2494" s="28"/>
      <c r="C2494" s="18"/>
      <c r="E2494" s="50"/>
    </row>
    <row r="2495" spans="2:5" s="4" customFormat="1">
      <c r="B2495" s="28"/>
      <c r="C2495" s="18"/>
      <c r="E2495" s="50"/>
    </row>
    <row r="2496" spans="2:5" s="4" customFormat="1">
      <c r="B2496" s="28"/>
      <c r="C2496" s="18"/>
      <c r="E2496" s="50"/>
    </row>
    <row r="2497" spans="2:5" s="4" customFormat="1">
      <c r="B2497" s="28"/>
      <c r="C2497" s="18"/>
      <c r="E2497" s="50"/>
    </row>
    <row r="2498" spans="2:5" s="4" customFormat="1">
      <c r="B2498" s="28"/>
      <c r="C2498" s="18"/>
      <c r="E2498" s="50"/>
    </row>
    <row r="2499" spans="2:5" s="4" customFormat="1">
      <c r="B2499" s="28"/>
      <c r="C2499" s="18"/>
      <c r="E2499" s="50"/>
    </row>
    <row r="2500" spans="2:5" s="4" customFormat="1">
      <c r="B2500" s="28"/>
      <c r="C2500" s="18"/>
      <c r="E2500" s="50"/>
    </row>
    <row r="2501" spans="2:5" s="4" customFormat="1">
      <c r="B2501" s="28"/>
      <c r="C2501" s="18"/>
      <c r="E2501" s="50"/>
    </row>
    <row r="2502" spans="2:5" s="4" customFormat="1">
      <c r="B2502" s="28"/>
      <c r="C2502" s="18"/>
      <c r="E2502" s="50"/>
    </row>
    <row r="2503" spans="2:5" s="4" customFormat="1">
      <c r="B2503" s="28"/>
      <c r="C2503" s="18"/>
      <c r="E2503" s="50"/>
    </row>
    <row r="2504" spans="2:5" s="4" customFormat="1">
      <c r="B2504" s="28"/>
      <c r="C2504" s="18"/>
      <c r="E2504" s="50"/>
    </row>
    <row r="2505" spans="2:5" s="4" customFormat="1">
      <c r="B2505" s="28"/>
      <c r="C2505" s="18"/>
      <c r="E2505" s="50"/>
    </row>
    <row r="2506" spans="2:5" s="4" customFormat="1">
      <c r="B2506" s="28"/>
      <c r="C2506" s="18"/>
      <c r="E2506" s="50"/>
    </row>
    <row r="2507" spans="2:5" s="4" customFormat="1">
      <c r="B2507" s="28"/>
      <c r="C2507" s="18"/>
      <c r="E2507" s="50"/>
    </row>
    <row r="2508" spans="2:5" s="4" customFormat="1">
      <c r="B2508" s="28"/>
      <c r="C2508" s="18"/>
      <c r="E2508" s="50"/>
    </row>
    <row r="2509" spans="2:5" s="4" customFormat="1">
      <c r="B2509" s="28"/>
      <c r="C2509" s="18"/>
      <c r="E2509" s="50"/>
    </row>
    <row r="2510" spans="2:5" s="4" customFormat="1">
      <c r="B2510" s="28"/>
      <c r="C2510" s="18"/>
      <c r="E2510" s="50"/>
    </row>
    <row r="2511" spans="2:5" s="4" customFormat="1">
      <c r="B2511" s="28"/>
      <c r="C2511" s="18"/>
      <c r="E2511" s="50"/>
    </row>
    <row r="2512" spans="2:5" s="4" customFormat="1">
      <c r="B2512" s="28"/>
      <c r="C2512" s="18"/>
      <c r="E2512" s="50"/>
    </row>
    <row r="2513" spans="2:5" s="4" customFormat="1">
      <c r="B2513" s="28"/>
      <c r="C2513" s="18"/>
      <c r="E2513" s="50"/>
    </row>
    <row r="2514" spans="2:5" s="4" customFormat="1">
      <c r="B2514" s="28"/>
      <c r="C2514" s="18"/>
      <c r="E2514" s="50"/>
    </row>
    <row r="2515" spans="2:5" s="4" customFormat="1">
      <c r="B2515" s="28"/>
      <c r="C2515" s="18"/>
      <c r="E2515" s="50"/>
    </row>
    <row r="2516" spans="2:5" s="4" customFormat="1">
      <c r="B2516" s="28"/>
      <c r="C2516" s="18"/>
      <c r="E2516" s="50"/>
    </row>
    <row r="2517" spans="2:5" s="4" customFormat="1">
      <c r="B2517" s="28"/>
      <c r="C2517" s="18"/>
      <c r="E2517" s="50"/>
    </row>
    <row r="2518" spans="2:5" s="4" customFormat="1">
      <c r="B2518" s="28"/>
      <c r="C2518" s="18"/>
      <c r="E2518" s="50"/>
    </row>
    <row r="2519" spans="2:5" s="4" customFormat="1">
      <c r="B2519" s="28"/>
      <c r="C2519" s="18"/>
      <c r="E2519" s="50"/>
    </row>
    <row r="2520" spans="2:5" s="4" customFormat="1">
      <c r="B2520" s="28"/>
      <c r="C2520" s="18"/>
      <c r="E2520" s="50"/>
    </row>
    <row r="2521" spans="2:5" s="4" customFormat="1">
      <c r="B2521" s="28"/>
      <c r="C2521" s="18"/>
      <c r="E2521" s="50"/>
    </row>
    <row r="2522" spans="2:5" s="4" customFormat="1">
      <c r="B2522" s="28"/>
      <c r="C2522" s="18"/>
      <c r="E2522" s="50"/>
    </row>
    <row r="2523" spans="2:5" s="4" customFormat="1">
      <c r="B2523" s="28"/>
      <c r="C2523" s="18"/>
      <c r="E2523" s="50"/>
    </row>
    <row r="2524" spans="2:5" s="4" customFormat="1">
      <c r="B2524" s="28"/>
      <c r="C2524" s="18"/>
      <c r="E2524" s="50"/>
    </row>
    <row r="2525" spans="2:5" s="4" customFormat="1">
      <c r="B2525" s="28"/>
      <c r="C2525" s="18"/>
      <c r="E2525" s="50"/>
    </row>
    <row r="2526" spans="2:5" s="4" customFormat="1">
      <c r="B2526" s="28"/>
      <c r="C2526" s="18"/>
      <c r="E2526" s="50"/>
    </row>
    <row r="2527" spans="2:5" s="4" customFormat="1">
      <c r="B2527" s="28"/>
      <c r="C2527" s="18"/>
      <c r="E2527" s="50"/>
    </row>
    <row r="2528" spans="2:5" s="4" customFormat="1">
      <c r="B2528" s="28"/>
      <c r="C2528" s="18"/>
      <c r="E2528" s="50"/>
    </row>
    <row r="2529" spans="2:5" s="4" customFormat="1">
      <c r="B2529" s="28"/>
      <c r="C2529" s="18"/>
      <c r="E2529" s="50"/>
    </row>
    <row r="2530" spans="2:5" s="4" customFormat="1">
      <c r="B2530" s="28"/>
      <c r="C2530" s="18"/>
      <c r="E2530" s="50"/>
    </row>
    <row r="2531" spans="2:5" s="4" customFormat="1">
      <c r="B2531" s="28"/>
      <c r="C2531" s="18"/>
      <c r="E2531" s="50"/>
    </row>
    <row r="2532" spans="2:5" s="4" customFormat="1">
      <c r="B2532" s="28"/>
      <c r="C2532" s="18"/>
      <c r="E2532" s="50"/>
    </row>
    <row r="2533" spans="2:5" s="4" customFormat="1">
      <c r="B2533" s="28"/>
      <c r="C2533" s="18"/>
      <c r="E2533" s="50"/>
    </row>
    <row r="2534" spans="2:5" s="4" customFormat="1">
      <c r="B2534" s="28"/>
      <c r="C2534" s="18"/>
      <c r="E2534" s="50"/>
    </row>
    <row r="2535" spans="2:5" s="4" customFormat="1">
      <c r="B2535" s="28"/>
      <c r="C2535" s="18"/>
      <c r="E2535" s="50"/>
    </row>
    <row r="2536" spans="2:5" s="4" customFormat="1">
      <c r="B2536" s="28"/>
      <c r="C2536" s="18"/>
      <c r="E2536" s="50"/>
    </row>
    <row r="2537" spans="2:5" s="4" customFormat="1">
      <c r="B2537" s="28"/>
      <c r="C2537" s="18"/>
      <c r="E2537" s="50"/>
    </row>
    <row r="2538" spans="2:5" s="4" customFormat="1">
      <c r="B2538" s="28"/>
      <c r="C2538" s="18"/>
      <c r="E2538" s="50"/>
    </row>
    <row r="2539" spans="2:5" s="4" customFormat="1">
      <c r="B2539" s="28"/>
      <c r="C2539" s="18"/>
      <c r="E2539" s="50"/>
    </row>
    <row r="2540" spans="2:5" s="4" customFormat="1">
      <c r="B2540" s="28"/>
      <c r="C2540" s="18"/>
      <c r="E2540" s="50"/>
    </row>
    <row r="2541" spans="2:5" s="4" customFormat="1">
      <c r="B2541" s="28"/>
      <c r="C2541" s="18"/>
      <c r="E2541" s="50"/>
    </row>
    <row r="2542" spans="2:5" s="4" customFormat="1">
      <c r="B2542" s="28"/>
      <c r="C2542" s="18"/>
      <c r="E2542" s="50"/>
    </row>
    <row r="2543" spans="2:5" s="4" customFormat="1">
      <c r="B2543" s="28"/>
      <c r="C2543" s="18"/>
      <c r="E2543" s="50"/>
    </row>
    <row r="2544" spans="2:5" s="4" customFormat="1">
      <c r="B2544" s="28"/>
      <c r="C2544" s="18"/>
      <c r="E2544" s="50"/>
    </row>
    <row r="2545" spans="2:5" s="4" customFormat="1">
      <c r="B2545" s="28"/>
      <c r="C2545" s="18"/>
      <c r="E2545" s="50"/>
    </row>
    <row r="2546" spans="2:5" s="4" customFormat="1">
      <c r="B2546" s="28"/>
      <c r="C2546" s="18"/>
      <c r="E2546" s="50"/>
    </row>
    <row r="2547" spans="2:5" s="4" customFormat="1">
      <c r="B2547" s="28"/>
      <c r="C2547" s="18"/>
      <c r="E2547" s="50"/>
    </row>
    <row r="2548" spans="2:5" s="4" customFormat="1">
      <c r="B2548" s="28"/>
      <c r="C2548" s="18"/>
      <c r="E2548" s="50"/>
    </row>
    <row r="2549" spans="2:5" s="4" customFormat="1">
      <c r="B2549" s="28"/>
      <c r="C2549" s="18"/>
      <c r="E2549" s="50"/>
    </row>
    <row r="2550" spans="2:5" s="4" customFormat="1">
      <c r="B2550" s="28"/>
      <c r="C2550" s="18"/>
      <c r="E2550" s="50"/>
    </row>
    <row r="2551" spans="2:5" s="4" customFormat="1">
      <c r="B2551" s="28"/>
      <c r="C2551" s="18"/>
      <c r="E2551" s="50"/>
    </row>
    <row r="2552" spans="2:5" s="4" customFormat="1">
      <c r="B2552" s="28"/>
      <c r="C2552" s="18"/>
      <c r="E2552" s="50"/>
    </row>
    <row r="2553" spans="2:5" s="4" customFormat="1">
      <c r="B2553" s="28"/>
      <c r="C2553" s="18"/>
      <c r="E2553" s="50"/>
    </row>
    <row r="2554" spans="2:5" s="4" customFormat="1">
      <c r="B2554" s="28"/>
      <c r="C2554" s="18"/>
      <c r="E2554" s="50"/>
    </row>
    <row r="2555" spans="2:5" s="4" customFormat="1">
      <c r="B2555" s="28"/>
      <c r="C2555" s="18"/>
      <c r="E2555" s="50"/>
    </row>
    <row r="2556" spans="2:5" s="4" customFormat="1">
      <c r="B2556" s="28"/>
      <c r="C2556" s="18"/>
      <c r="E2556" s="50"/>
    </row>
    <row r="2557" spans="2:5" s="4" customFormat="1">
      <c r="B2557" s="28"/>
      <c r="C2557" s="18"/>
      <c r="E2557" s="50"/>
    </row>
    <row r="2558" spans="2:5" s="4" customFormat="1">
      <c r="B2558" s="28"/>
      <c r="C2558" s="18"/>
      <c r="E2558" s="50"/>
    </row>
    <row r="2559" spans="2:5" s="4" customFormat="1">
      <c r="B2559" s="28"/>
      <c r="C2559" s="18"/>
      <c r="E2559" s="50"/>
    </row>
    <row r="2560" spans="2:5" s="4" customFormat="1">
      <c r="B2560" s="28"/>
      <c r="C2560" s="18"/>
      <c r="E2560" s="50"/>
    </row>
    <row r="2561" spans="2:5" s="4" customFormat="1">
      <c r="B2561" s="28"/>
      <c r="C2561" s="18"/>
      <c r="E2561" s="50"/>
    </row>
    <row r="2562" spans="2:5" s="4" customFormat="1">
      <c r="B2562" s="28"/>
      <c r="C2562" s="18"/>
      <c r="E2562" s="50"/>
    </row>
    <row r="2563" spans="2:5" s="4" customFormat="1">
      <c r="B2563" s="28"/>
      <c r="C2563" s="18"/>
      <c r="E2563" s="50"/>
    </row>
    <row r="2564" spans="2:5" s="4" customFormat="1">
      <c r="B2564" s="28"/>
      <c r="C2564" s="18"/>
      <c r="E2564" s="50"/>
    </row>
    <row r="2565" spans="2:5" s="4" customFormat="1">
      <c r="B2565" s="28"/>
      <c r="C2565" s="18"/>
      <c r="E2565" s="50"/>
    </row>
    <row r="2566" spans="2:5" s="4" customFormat="1">
      <c r="B2566" s="28"/>
      <c r="C2566" s="18"/>
      <c r="E2566" s="50"/>
    </row>
    <row r="2567" spans="2:5" s="4" customFormat="1">
      <c r="B2567" s="28"/>
      <c r="C2567" s="18"/>
      <c r="E2567" s="50"/>
    </row>
    <row r="2568" spans="2:5" s="4" customFormat="1">
      <c r="B2568" s="28"/>
      <c r="C2568" s="18"/>
      <c r="E2568" s="50"/>
    </row>
    <row r="2569" spans="2:5" s="4" customFormat="1">
      <c r="B2569" s="28"/>
      <c r="C2569" s="18"/>
      <c r="E2569" s="50"/>
    </row>
    <row r="2570" spans="2:5" s="4" customFormat="1">
      <c r="B2570" s="28"/>
      <c r="C2570" s="18"/>
      <c r="E2570" s="50"/>
    </row>
    <row r="2571" spans="2:5" s="4" customFormat="1">
      <c r="B2571" s="28"/>
      <c r="C2571" s="18"/>
      <c r="E2571" s="50"/>
    </row>
    <row r="2572" spans="2:5" s="4" customFormat="1">
      <c r="B2572" s="28"/>
      <c r="C2572" s="18"/>
      <c r="E2572" s="50"/>
    </row>
    <row r="2573" spans="2:5" s="4" customFormat="1">
      <c r="B2573" s="28"/>
      <c r="C2573" s="18"/>
      <c r="E2573" s="50"/>
    </row>
    <row r="2574" spans="2:5" s="4" customFormat="1">
      <c r="B2574" s="28"/>
      <c r="C2574" s="18"/>
      <c r="E2574" s="50"/>
    </row>
    <row r="2575" spans="2:5" s="4" customFormat="1">
      <c r="B2575" s="28"/>
      <c r="C2575" s="18"/>
      <c r="E2575" s="50"/>
    </row>
    <row r="2576" spans="2:5" s="4" customFormat="1">
      <c r="B2576" s="28"/>
      <c r="C2576" s="18"/>
      <c r="E2576" s="50"/>
    </row>
    <row r="2577" spans="2:5" s="4" customFormat="1">
      <c r="B2577" s="28"/>
      <c r="C2577" s="18"/>
      <c r="E2577" s="50"/>
    </row>
    <row r="2578" spans="2:5" s="4" customFormat="1">
      <c r="B2578" s="28"/>
      <c r="C2578" s="18"/>
      <c r="E2578" s="50"/>
    </row>
    <row r="2579" spans="2:5" s="4" customFormat="1">
      <c r="B2579" s="28"/>
      <c r="C2579" s="18"/>
      <c r="E2579" s="50"/>
    </row>
    <row r="2580" spans="2:5" s="4" customFormat="1">
      <c r="B2580" s="28"/>
      <c r="C2580" s="18"/>
      <c r="E2580" s="50"/>
    </row>
    <row r="2581" spans="2:5" s="4" customFormat="1">
      <c r="B2581" s="28"/>
      <c r="C2581" s="18"/>
      <c r="E2581" s="50"/>
    </row>
    <row r="2582" spans="2:5" s="4" customFormat="1">
      <c r="B2582" s="28"/>
      <c r="C2582" s="18"/>
      <c r="E2582" s="50"/>
    </row>
    <row r="2583" spans="2:5" s="4" customFormat="1">
      <c r="B2583" s="28"/>
      <c r="C2583" s="18"/>
      <c r="E2583" s="50"/>
    </row>
    <row r="2584" spans="2:5" s="4" customFormat="1">
      <c r="B2584" s="28"/>
      <c r="C2584" s="18"/>
      <c r="E2584" s="50"/>
    </row>
    <row r="2585" spans="2:5" s="4" customFormat="1">
      <c r="B2585" s="28"/>
      <c r="C2585" s="18"/>
      <c r="E2585" s="50"/>
    </row>
    <row r="2586" spans="2:5" s="4" customFormat="1">
      <c r="B2586" s="28"/>
      <c r="C2586" s="18"/>
      <c r="E2586" s="50"/>
    </row>
    <row r="2587" spans="2:5" s="4" customFormat="1">
      <c r="B2587" s="28"/>
      <c r="C2587" s="18"/>
      <c r="E2587" s="50"/>
    </row>
    <row r="2588" spans="2:5" s="4" customFormat="1">
      <c r="B2588" s="28"/>
      <c r="C2588" s="18"/>
      <c r="E2588" s="50"/>
    </row>
    <row r="2589" spans="2:5" s="4" customFormat="1">
      <c r="B2589" s="28"/>
      <c r="C2589" s="18"/>
      <c r="E2589" s="50"/>
    </row>
    <row r="2590" spans="2:5" s="4" customFormat="1">
      <c r="B2590" s="28"/>
      <c r="C2590" s="18"/>
      <c r="E2590" s="50"/>
    </row>
    <row r="2591" spans="2:5" s="4" customFormat="1">
      <c r="B2591" s="28"/>
      <c r="C2591" s="18"/>
      <c r="E2591" s="50"/>
    </row>
    <row r="2592" spans="2:5" s="4" customFormat="1">
      <c r="B2592" s="28"/>
      <c r="C2592" s="18"/>
      <c r="E2592" s="50"/>
    </row>
    <row r="2593" spans="2:5" s="4" customFormat="1">
      <c r="B2593" s="28"/>
      <c r="C2593" s="18"/>
      <c r="E2593" s="50"/>
    </row>
    <row r="2594" spans="2:5" s="4" customFormat="1">
      <c r="B2594" s="28"/>
      <c r="C2594" s="18"/>
      <c r="E2594" s="50"/>
    </row>
    <row r="2595" spans="2:5" s="4" customFormat="1">
      <c r="B2595" s="28"/>
      <c r="C2595" s="18"/>
      <c r="E2595" s="50"/>
    </row>
    <row r="2596" spans="2:5" s="4" customFormat="1">
      <c r="B2596" s="28"/>
      <c r="C2596" s="18"/>
      <c r="E2596" s="50"/>
    </row>
    <row r="2597" spans="2:5" s="4" customFormat="1">
      <c r="B2597" s="28"/>
      <c r="C2597" s="18"/>
      <c r="E2597" s="50"/>
    </row>
    <row r="2598" spans="2:5" s="4" customFormat="1">
      <c r="B2598" s="28"/>
      <c r="C2598" s="18"/>
      <c r="E2598" s="50"/>
    </row>
    <row r="2599" spans="2:5" s="4" customFormat="1">
      <c r="B2599" s="28"/>
      <c r="C2599" s="18"/>
      <c r="E2599" s="50"/>
    </row>
    <row r="2600" spans="2:5" s="4" customFormat="1">
      <c r="B2600" s="28"/>
      <c r="C2600" s="18"/>
      <c r="E2600" s="50"/>
    </row>
    <row r="2601" spans="2:5" s="4" customFormat="1">
      <c r="B2601" s="28"/>
      <c r="C2601" s="18"/>
      <c r="E2601" s="50"/>
    </row>
    <row r="2602" spans="2:5" s="4" customFormat="1">
      <c r="B2602" s="28"/>
      <c r="C2602" s="18"/>
      <c r="E2602" s="50"/>
    </row>
    <row r="2603" spans="2:5" s="4" customFormat="1">
      <c r="B2603" s="28"/>
      <c r="C2603" s="18"/>
      <c r="E2603" s="50"/>
    </row>
    <row r="2604" spans="2:5" s="4" customFormat="1">
      <c r="B2604" s="28"/>
      <c r="C2604" s="18"/>
      <c r="E2604" s="50"/>
    </row>
    <row r="2605" spans="2:5" s="4" customFormat="1">
      <c r="B2605" s="28"/>
      <c r="C2605" s="18"/>
      <c r="E2605" s="50"/>
    </row>
    <row r="2606" spans="2:5" s="4" customFormat="1">
      <c r="B2606" s="28"/>
      <c r="C2606" s="18"/>
      <c r="E2606" s="50"/>
    </row>
    <row r="2607" spans="2:5" s="4" customFormat="1">
      <c r="B2607" s="28"/>
      <c r="C2607" s="18"/>
      <c r="E2607" s="50"/>
    </row>
    <row r="2608" spans="2:5" s="4" customFormat="1">
      <c r="B2608" s="28"/>
      <c r="C2608" s="18"/>
      <c r="E2608" s="50"/>
    </row>
    <row r="2609" spans="2:5" s="4" customFormat="1">
      <c r="B2609" s="28"/>
      <c r="C2609" s="18"/>
      <c r="E2609" s="50"/>
    </row>
    <row r="2610" spans="2:5" s="4" customFormat="1">
      <c r="B2610" s="28"/>
      <c r="C2610" s="18"/>
      <c r="E2610" s="50"/>
    </row>
    <row r="2611" spans="2:5" s="4" customFormat="1">
      <c r="B2611" s="28"/>
      <c r="C2611" s="18"/>
      <c r="E2611" s="50"/>
    </row>
    <row r="2612" spans="2:5" s="4" customFormat="1">
      <c r="B2612" s="28"/>
      <c r="C2612" s="18"/>
      <c r="E2612" s="50"/>
    </row>
    <row r="2613" spans="2:5" s="4" customFormat="1">
      <c r="B2613" s="28"/>
      <c r="C2613" s="18"/>
      <c r="E2613" s="50"/>
    </row>
    <row r="2614" spans="2:5" s="4" customFormat="1">
      <c r="B2614" s="28"/>
      <c r="C2614" s="18"/>
      <c r="E2614" s="50"/>
    </row>
    <row r="2615" spans="2:5" s="4" customFormat="1">
      <c r="B2615" s="28"/>
      <c r="C2615" s="18"/>
      <c r="E2615" s="50"/>
    </row>
    <row r="2616" spans="2:5" s="4" customFormat="1">
      <c r="B2616" s="28"/>
      <c r="C2616" s="18"/>
      <c r="E2616" s="50"/>
    </row>
    <row r="2617" spans="2:5" s="4" customFormat="1">
      <c r="B2617" s="28"/>
      <c r="C2617" s="18"/>
      <c r="E2617" s="50"/>
    </row>
    <row r="2618" spans="2:5" s="4" customFormat="1">
      <c r="B2618" s="28"/>
      <c r="C2618" s="18"/>
      <c r="E2618" s="50"/>
    </row>
    <row r="2619" spans="2:5" s="4" customFormat="1">
      <c r="B2619" s="28"/>
      <c r="C2619" s="18"/>
      <c r="E2619" s="50"/>
    </row>
    <row r="2620" spans="2:5" s="4" customFormat="1">
      <c r="B2620" s="28"/>
      <c r="C2620" s="18"/>
      <c r="E2620" s="50"/>
    </row>
    <row r="2621" spans="2:5" s="4" customFormat="1">
      <c r="B2621" s="28"/>
      <c r="C2621" s="18"/>
      <c r="E2621" s="50"/>
    </row>
    <row r="2622" spans="2:5" s="4" customFormat="1">
      <c r="B2622" s="28"/>
      <c r="C2622" s="18"/>
      <c r="E2622" s="50"/>
    </row>
    <row r="2623" spans="2:5" s="4" customFormat="1">
      <c r="B2623" s="28"/>
      <c r="C2623" s="18"/>
      <c r="E2623" s="50"/>
    </row>
    <row r="2624" spans="2:5" s="4" customFormat="1">
      <c r="B2624" s="28"/>
      <c r="C2624" s="18"/>
      <c r="E2624" s="50"/>
    </row>
    <row r="2625" spans="2:5" s="4" customFormat="1">
      <c r="B2625" s="28"/>
      <c r="C2625" s="18"/>
      <c r="E2625" s="50"/>
    </row>
    <row r="2626" spans="2:5" s="4" customFormat="1">
      <c r="B2626" s="28"/>
      <c r="C2626" s="18"/>
      <c r="E2626" s="50"/>
    </row>
    <row r="2627" spans="2:5" s="4" customFormat="1">
      <c r="B2627" s="28"/>
      <c r="C2627" s="18"/>
      <c r="E2627" s="50"/>
    </row>
    <row r="2628" spans="2:5" s="4" customFormat="1">
      <c r="B2628" s="28"/>
      <c r="C2628" s="18"/>
      <c r="E2628" s="50"/>
    </row>
    <row r="2629" spans="2:5" s="4" customFormat="1">
      <c r="B2629" s="28"/>
      <c r="C2629" s="18"/>
      <c r="E2629" s="50"/>
    </row>
    <row r="2630" spans="2:5" s="4" customFormat="1">
      <c r="B2630" s="28"/>
      <c r="C2630" s="18"/>
      <c r="E2630" s="50"/>
    </row>
    <row r="2631" spans="2:5" s="4" customFormat="1">
      <c r="B2631" s="28"/>
      <c r="C2631" s="18"/>
      <c r="E2631" s="50"/>
    </row>
    <row r="2632" spans="2:5" s="4" customFormat="1">
      <c r="B2632" s="28"/>
      <c r="C2632" s="18"/>
      <c r="E2632" s="50"/>
    </row>
    <row r="2633" spans="2:5" s="4" customFormat="1">
      <c r="B2633" s="28"/>
      <c r="C2633" s="18"/>
      <c r="E2633" s="50"/>
    </row>
    <row r="2634" spans="2:5" s="4" customFormat="1">
      <c r="B2634" s="28"/>
      <c r="C2634" s="18"/>
      <c r="E2634" s="50"/>
    </row>
    <row r="2635" spans="2:5" s="4" customFormat="1">
      <c r="B2635" s="28"/>
      <c r="C2635" s="18"/>
      <c r="E2635" s="50"/>
    </row>
    <row r="2636" spans="2:5" s="4" customFormat="1">
      <c r="B2636" s="28"/>
      <c r="C2636" s="18"/>
      <c r="E2636" s="50"/>
    </row>
    <row r="2637" spans="2:5" s="4" customFormat="1">
      <c r="B2637" s="28"/>
      <c r="C2637" s="18"/>
      <c r="E2637" s="50"/>
    </row>
    <row r="2638" spans="2:5" s="4" customFormat="1">
      <c r="B2638" s="28"/>
      <c r="C2638" s="18"/>
      <c r="E2638" s="50"/>
    </row>
    <row r="2639" spans="2:5" s="4" customFormat="1">
      <c r="B2639" s="28"/>
      <c r="C2639" s="18"/>
      <c r="E2639" s="50"/>
    </row>
    <row r="2640" spans="2:5" s="4" customFormat="1">
      <c r="B2640" s="28"/>
      <c r="C2640" s="18"/>
      <c r="E2640" s="50"/>
    </row>
    <row r="2641" spans="2:5" s="4" customFormat="1">
      <c r="B2641" s="28"/>
      <c r="C2641" s="18"/>
      <c r="E2641" s="50"/>
    </row>
    <row r="2642" spans="2:5" s="4" customFormat="1">
      <c r="B2642" s="28"/>
      <c r="C2642" s="18"/>
      <c r="E2642" s="50"/>
    </row>
    <row r="2643" spans="2:5" s="4" customFormat="1">
      <c r="B2643" s="28"/>
      <c r="C2643" s="18"/>
      <c r="E2643" s="50"/>
    </row>
    <row r="2644" spans="2:5" s="4" customFormat="1">
      <c r="B2644" s="28"/>
      <c r="C2644" s="18"/>
      <c r="E2644" s="50"/>
    </row>
    <row r="2645" spans="2:5" s="4" customFormat="1">
      <c r="B2645" s="28"/>
      <c r="C2645" s="18"/>
      <c r="E2645" s="50"/>
    </row>
    <row r="2646" spans="2:5" s="4" customFormat="1">
      <c r="B2646" s="28"/>
      <c r="C2646" s="18"/>
      <c r="E2646" s="50"/>
    </row>
    <row r="2647" spans="2:5" s="4" customFormat="1">
      <c r="B2647" s="28"/>
      <c r="C2647" s="18"/>
      <c r="E2647" s="50"/>
    </row>
    <row r="2648" spans="2:5" s="4" customFormat="1">
      <c r="B2648" s="28"/>
      <c r="C2648" s="18"/>
      <c r="E2648" s="50"/>
    </row>
    <row r="2649" spans="2:5" s="4" customFormat="1">
      <c r="B2649" s="28"/>
      <c r="C2649" s="18"/>
      <c r="E2649" s="50"/>
    </row>
    <row r="2650" spans="2:5" s="4" customFormat="1">
      <c r="B2650" s="28"/>
      <c r="C2650" s="18"/>
      <c r="E2650" s="50"/>
    </row>
    <row r="2651" spans="2:5" s="4" customFormat="1">
      <c r="B2651" s="28"/>
      <c r="C2651" s="18"/>
      <c r="E2651" s="50"/>
    </row>
    <row r="2652" spans="2:5" s="4" customFormat="1">
      <c r="B2652" s="28"/>
      <c r="C2652" s="18"/>
      <c r="E2652" s="50"/>
    </row>
    <row r="2653" spans="2:5" s="4" customFormat="1">
      <c r="B2653" s="28"/>
      <c r="C2653" s="18"/>
      <c r="E2653" s="50"/>
    </row>
    <row r="2654" spans="2:5" s="4" customFormat="1">
      <c r="B2654" s="28"/>
      <c r="C2654" s="18"/>
      <c r="E2654" s="50"/>
    </row>
    <row r="2655" spans="2:5" s="4" customFormat="1">
      <c r="B2655" s="28"/>
      <c r="C2655" s="18"/>
      <c r="E2655" s="50"/>
    </row>
    <row r="2656" spans="2:5" s="4" customFormat="1">
      <c r="B2656" s="28"/>
      <c r="C2656" s="18"/>
      <c r="E2656" s="50"/>
    </row>
    <row r="2657" spans="2:5" s="4" customFormat="1">
      <c r="B2657" s="28"/>
      <c r="C2657" s="18"/>
      <c r="E2657" s="50"/>
    </row>
    <row r="2658" spans="2:5" s="4" customFormat="1">
      <c r="B2658" s="28"/>
      <c r="C2658" s="18"/>
      <c r="E2658" s="50"/>
    </row>
    <row r="2659" spans="2:5" s="4" customFormat="1">
      <c r="B2659" s="28"/>
      <c r="C2659" s="18"/>
      <c r="E2659" s="50"/>
    </row>
    <row r="2660" spans="2:5" s="4" customFormat="1">
      <c r="B2660" s="28"/>
      <c r="C2660" s="18"/>
      <c r="E2660" s="50"/>
    </row>
    <row r="2661" spans="2:5" s="4" customFormat="1">
      <c r="B2661" s="28"/>
      <c r="C2661" s="18"/>
      <c r="E2661" s="50"/>
    </row>
    <row r="2662" spans="2:5" s="4" customFormat="1">
      <c r="B2662" s="28"/>
      <c r="C2662" s="18"/>
      <c r="E2662" s="50"/>
    </row>
    <row r="2663" spans="2:5" s="4" customFormat="1">
      <c r="B2663" s="28"/>
      <c r="C2663" s="18"/>
      <c r="E2663" s="50"/>
    </row>
    <row r="2664" spans="2:5" s="4" customFormat="1">
      <c r="B2664" s="28"/>
      <c r="C2664" s="18"/>
      <c r="E2664" s="50"/>
    </row>
    <row r="2665" spans="2:5" s="4" customFormat="1">
      <c r="B2665" s="28"/>
      <c r="C2665" s="18"/>
      <c r="E2665" s="50"/>
    </row>
    <row r="2666" spans="2:5" s="4" customFormat="1">
      <c r="B2666" s="28"/>
      <c r="C2666" s="18"/>
      <c r="E2666" s="50"/>
    </row>
    <row r="2667" spans="2:5" s="4" customFormat="1">
      <c r="B2667" s="28"/>
      <c r="C2667" s="18"/>
      <c r="E2667" s="50"/>
    </row>
    <row r="2668" spans="2:5" s="4" customFormat="1">
      <c r="B2668" s="28"/>
      <c r="C2668" s="18"/>
      <c r="E2668" s="50"/>
    </row>
    <row r="2669" spans="2:5" s="4" customFormat="1">
      <c r="B2669" s="28"/>
      <c r="C2669" s="18"/>
      <c r="E2669" s="50"/>
    </row>
    <row r="2670" spans="2:5" s="4" customFormat="1">
      <c r="B2670" s="28"/>
      <c r="C2670" s="18"/>
      <c r="E2670" s="50"/>
    </row>
    <row r="2671" spans="2:5" s="4" customFormat="1">
      <c r="B2671" s="28"/>
      <c r="C2671" s="18"/>
      <c r="E2671" s="50"/>
    </row>
    <row r="2672" spans="2:5" s="4" customFormat="1">
      <c r="B2672" s="28"/>
      <c r="C2672" s="18"/>
      <c r="E2672" s="50"/>
    </row>
    <row r="2673" spans="2:5" s="4" customFormat="1">
      <c r="B2673" s="28"/>
      <c r="C2673" s="18"/>
      <c r="E2673" s="50"/>
    </row>
    <row r="2674" spans="2:5" s="4" customFormat="1">
      <c r="B2674" s="28"/>
      <c r="C2674" s="18"/>
      <c r="E2674" s="50"/>
    </row>
    <row r="2675" spans="2:5" s="4" customFormat="1">
      <c r="B2675" s="28"/>
      <c r="C2675" s="18"/>
      <c r="E2675" s="50"/>
    </row>
    <row r="2676" spans="2:5" s="4" customFormat="1">
      <c r="B2676" s="28"/>
      <c r="C2676" s="18"/>
      <c r="E2676" s="50"/>
    </row>
    <row r="2677" spans="2:5" s="4" customFormat="1">
      <c r="B2677" s="28"/>
      <c r="C2677" s="18"/>
      <c r="E2677" s="50"/>
    </row>
    <row r="2678" spans="2:5" s="4" customFormat="1">
      <c r="B2678" s="28"/>
      <c r="C2678" s="18"/>
      <c r="E2678" s="50"/>
    </row>
    <row r="2679" spans="2:5" s="4" customFormat="1">
      <c r="B2679" s="28"/>
      <c r="C2679" s="18"/>
      <c r="E2679" s="50"/>
    </row>
    <row r="2680" spans="2:5" s="4" customFormat="1">
      <c r="B2680" s="28"/>
      <c r="C2680" s="18"/>
      <c r="E2680" s="50"/>
    </row>
    <row r="2681" spans="2:5" s="4" customFormat="1">
      <c r="B2681" s="28"/>
      <c r="C2681" s="18"/>
      <c r="E2681" s="50"/>
    </row>
    <row r="2682" spans="2:5" s="4" customFormat="1">
      <c r="B2682" s="28"/>
      <c r="C2682" s="18"/>
      <c r="E2682" s="50"/>
    </row>
    <row r="2683" spans="2:5" s="4" customFormat="1">
      <c r="B2683" s="28"/>
      <c r="C2683" s="18"/>
      <c r="E2683" s="50"/>
    </row>
    <row r="2684" spans="2:5" s="4" customFormat="1">
      <c r="B2684" s="28"/>
      <c r="C2684" s="18"/>
      <c r="E2684" s="50"/>
    </row>
    <row r="2685" spans="2:5" s="4" customFormat="1">
      <c r="B2685" s="28"/>
      <c r="C2685" s="18"/>
      <c r="E2685" s="50"/>
    </row>
    <row r="2686" spans="2:5" s="4" customFormat="1">
      <c r="B2686" s="28"/>
      <c r="C2686" s="18"/>
      <c r="E2686" s="50"/>
    </row>
    <row r="2687" spans="2:5" s="4" customFormat="1">
      <c r="B2687" s="28"/>
      <c r="C2687" s="18"/>
      <c r="E2687" s="50"/>
    </row>
    <row r="2688" spans="2:5" s="4" customFormat="1">
      <c r="B2688" s="28"/>
      <c r="C2688" s="18"/>
      <c r="E2688" s="50"/>
    </row>
    <row r="2689" spans="2:5" s="4" customFormat="1">
      <c r="B2689" s="28"/>
      <c r="C2689" s="18"/>
      <c r="E2689" s="50"/>
    </row>
    <row r="2690" spans="2:5" s="4" customFormat="1">
      <c r="B2690" s="28"/>
      <c r="C2690" s="18"/>
      <c r="E2690" s="50"/>
    </row>
    <row r="2691" spans="2:5" s="4" customFormat="1">
      <c r="B2691" s="28"/>
      <c r="C2691" s="18"/>
      <c r="E2691" s="50"/>
    </row>
    <row r="2692" spans="2:5" s="4" customFormat="1">
      <c r="B2692" s="28"/>
      <c r="C2692" s="18"/>
      <c r="E2692" s="50"/>
    </row>
    <row r="2693" spans="2:5" s="4" customFormat="1">
      <c r="B2693" s="28"/>
      <c r="C2693" s="18"/>
      <c r="E2693" s="50"/>
    </row>
    <row r="2694" spans="2:5" s="4" customFormat="1">
      <c r="B2694" s="28"/>
      <c r="C2694" s="18"/>
      <c r="E2694" s="50"/>
    </row>
    <row r="2695" spans="2:5" s="4" customFormat="1">
      <c r="B2695" s="28"/>
      <c r="C2695" s="18"/>
      <c r="E2695" s="50"/>
    </row>
    <row r="2696" spans="2:5" s="4" customFormat="1">
      <c r="B2696" s="28"/>
      <c r="C2696" s="18"/>
      <c r="E2696" s="50"/>
    </row>
    <row r="2697" spans="2:5" s="4" customFormat="1">
      <c r="B2697" s="28"/>
      <c r="C2697" s="18"/>
      <c r="E2697" s="50"/>
    </row>
    <row r="2698" spans="2:5" s="4" customFormat="1">
      <c r="B2698" s="28"/>
      <c r="C2698" s="18"/>
      <c r="E2698" s="50"/>
    </row>
    <row r="2699" spans="2:5" s="4" customFormat="1">
      <c r="B2699" s="28"/>
      <c r="C2699" s="18"/>
      <c r="E2699" s="50"/>
    </row>
    <row r="2700" spans="2:5" s="4" customFormat="1">
      <c r="B2700" s="28"/>
      <c r="C2700" s="18"/>
      <c r="E2700" s="50"/>
    </row>
    <row r="2701" spans="2:5" s="4" customFormat="1">
      <c r="B2701" s="28"/>
      <c r="C2701" s="18"/>
      <c r="E2701" s="50"/>
    </row>
    <row r="2702" spans="2:5" s="4" customFormat="1">
      <c r="B2702" s="28"/>
      <c r="C2702" s="18"/>
      <c r="E2702" s="50"/>
    </row>
    <row r="2703" spans="2:5" s="4" customFormat="1">
      <c r="B2703" s="28"/>
      <c r="C2703" s="18"/>
      <c r="E2703" s="50"/>
    </row>
    <row r="2704" spans="2:5" s="4" customFormat="1">
      <c r="B2704" s="28"/>
      <c r="C2704" s="18"/>
      <c r="E2704" s="50"/>
    </row>
    <row r="2705" spans="2:5" s="4" customFormat="1">
      <c r="B2705" s="28"/>
      <c r="C2705" s="18"/>
      <c r="E2705" s="50"/>
    </row>
    <row r="2706" spans="2:5" s="4" customFormat="1">
      <c r="B2706" s="28"/>
      <c r="C2706" s="18"/>
      <c r="E2706" s="50"/>
    </row>
    <row r="2707" spans="2:5" s="4" customFormat="1">
      <c r="B2707" s="28"/>
      <c r="C2707" s="18"/>
      <c r="E2707" s="50"/>
    </row>
    <row r="2708" spans="2:5" s="4" customFormat="1">
      <c r="B2708" s="28"/>
      <c r="C2708" s="18"/>
      <c r="E2708" s="50"/>
    </row>
    <row r="2709" spans="2:5" s="4" customFormat="1">
      <c r="B2709" s="28"/>
      <c r="C2709" s="18"/>
      <c r="E2709" s="50"/>
    </row>
    <row r="2710" spans="2:5" s="4" customFormat="1">
      <c r="B2710" s="28"/>
      <c r="C2710" s="18"/>
      <c r="E2710" s="50"/>
    </row>
    <row r="2711" spans="2:5" s="4" customFormat="1">
      <c r="B2711" s="28"/>
      <c r="C2711" s="18"/>
      <c r="E2711" s="50"/>
    </row>
    <row r="2712" spans="2:5" s="4" customFormat="1">
      <c r="B2712" s="28"/>
      <c r="C2712" s="18"/>
      <c r="E2712" s="50"/>
    </row>
    <row r="2713" spans="2:5" s="4" customFormat="1">
      <c r="B2713" s="28"/>
      <c r="C2713" s="18"/>
      <c r="E2713" s="50"/>
    </row>
    <row r="2714" spans="2:5" s="4" customFormat="1">
      <c r="B2714" s="28"/>
      <c r="C2714" s="18"/>
      <c r="E2714" s="50"/>
    </row>
    <row r="2715" spans="2:5" s="4" customFormat="1">
      <c r="B2715" s="28"/>
      <c r="C2715" s="18"/>
      <c r="E2715" s="50"/>
    </row>
    <row r="2716" spans="2:5" s="4" customFormat="1">
      <c r="B2716" s="28"/>
      <c r="C2716" s="18"/>
      <c r="E2716" s="50"/>
    </row>
    <row r="2717" spans="2:5" s="4" customFormat="1">
      <c r="B2717" s="28"/>
      <c r="C2717" s="18"/>
      <c r="E2717" s="50"/>
    </row>
    <row r="2718" spans="2:5" s="4" customFormat="1">
      <c r="B2718" s="28"/>
      <c r="C2718" s="18"/>
      <c r="E2718" s="50"/>
    </row>
    <row r="2719" spans="2:5" s="4" customFormat="1">
      <c r="B2719" s="28"/>
      <c r="C2719" s="18"/>
      <c r="E2719" s="50"/>
    </row>
    <row r="2720" spans="2:5" s="4" customFormat="1">
      <c r="B2720" s="28"/>
      <c r="C2720" s="18"/>
      <c r="E2720" s="50"/>
    </row>
    <row r="2721" spans="2:5" s="4" customFormat="1">
      <c r="B2721" s="28"/>
      <c r="C2721" s="18"/>
      <c r="E2721" s="50"/>
    </row>
    <row r="2722" spans="2:5" s="4" customFormat="1">
      <c r="B2722" s="28"/>
      <c r="C2722" s="18"/>
      <c r="E2722" s="50"/>
    </row>
    <row r="2723" spans="2:5" s="4" customFormat="1">
      <c r="B2723" s="28"/>
      <c r="C2723" s="18"/>
      <c r="E2723" s="50"/>
    </row>
    <row r="2724" spans="2:5" s="4" customFormat="1">
      <c r="B2724" s="28"/>
      <c r="C2724" s="18"/>
      <c r="E2724" s="50"/>
    </row>
    <row r="2725" spans="2:5" s="4" customFormat="1">
      <c r="B2725" s="28"/>
      <c r="C2725" s="18"/>
      <c r="E2725" s="50"/>
    </row>
    <row r="2726" spans="2:5" s="4" customFormat="1">
      <c r="B2726" s="28"/>
      <c r="C2726" s="18"/>
      <c r="E2726" s="50"/>
    </row>
    <row r="2727" spans="2:5" s="4" customFormat="1">
      <c r="B2727" s="28"/>
      <c r="C2727" s="18"/>
      <c r="E2727" s="50"/>
    </row>
    <row r="2728" spans="2:5" s="4" customFormat="1">
      <c r="B2728" s="28"/>
      <c r="C2728" s="18"/>
      <c r="E2728" s="50"/>
    </row>
    <row r="2729" spans="2:5" s="4" customFormat="1">
      <c r="B2729" s="28"/>
      <c r="C2729" s="18"/>
      <c r="E2729" s="50"/>
    </row>
    <row r="2730" spans="2:5" s="4" customFormat="1">
      <c r="B2730" s="28"/>
      <c r="C2730" s="18"/>
      <c r="E2730" s="50"/>
    </row>
    <row r="2731" spans="2:5" s="4" customFormat="1">
      <c r="B2731" s="28"/>
      <c r="C2731" s="18"/>
      <c r="E2731" s="50"/>
    </row>
    <row r="2732" spans="2:5" s="4" customFormat="1">
      <c r="B2732" s="28"/>
      <c r="C2732" s="18"/>
      <c r="E2732" s="50"/>
    </row>
    <row r="2733" spans="2:5" s="4" customFormat="1">
      <c r="B2733" s="28"/>
      <c r="C2733" s="18"/>
      <c r="E2733" s="50"/>
    </row>
    <row r="2734" spans="2:5" s="4" customFormat="1">
      <c r="B2734" s="28"/>
      <c r="C2734" s="18"/>
      <c r="E2734" s="50"/>
    </row>
    <row r="2735" spans="2:5" s="4" customFormat="1">
      <c r="B2735" s="28"/>
      <c r="C2735" s="18"/>
      <c r="E2735" s="50"/>
    </row>
    <row r="2736" spans="2:5" s="4" customFormat="1">
      <c r="B2736" s="28"/>
      <c r="C2736" s="18"/>
      <c r="E2736" s="50"/>
    </row>
    <row r="2737" spans="2:5" s="4" customFormat="1">
      <c r="B2737" s="28"/>
      <c r="C2737" s="18"/>
      <c r="E2737" s="50"/>
    </row>
    <row r="2738" spans="2:5" s="4" customFormat="1">
      <c r="B2738" s="28"/>
      <c r="C2738" s="18"/>
      <c r="E2738" s="50"/>
    </row>
    <row r="2739" spans="2:5" s="4" customFormat="1">
      <c r="B2739" s="28"/>
      <c r="C2739" s="18"/>
      <c r="E2739" s="50"/>
    </row>
    <row r="2740" spans="2:5" s="4" customFormat="1">
      <c r="B2740" s="28"/>
      <c r="C2740" s="18"/>
      <c r="E2740" s="50"/>
    </row>
    <row r="2741" spans="2:5" s="4" customFormat="1">
      <c r="B2741" s="28"/>
      <c r="C2741" s="18"/>
      <c r="E2741" s="50"/>
    </row>
    <row r="2742" spans="2:5" s="4" customFormat="1">
      <c r="B2742" s="28"/>
      <c r="C2742" s="18"/>
      <c r="E2742" s="50"/>
    </row>
    <row r="2743" spans="2:5" s="4" customFormat="1">
      <c r="B2743" s="28"/>
      <c r="C2743" s="18"/>
      <c r="E2743" s="50"/>
    </row>
    <row r="2744" spans="2:5" s="4" customFormat="1">
      <c r="B2744" s="28"/>
      <c r="C2744" s="18"/>
      <c r="E2744" s="50"/>
    </row>
    <row r="2745" spans="2:5" s="4" customFormat="1">
      <c r="B2745" s="28"/>
      <c r="C2745" s="18"/>
      <c r="E2745" s="50"/>
    </row>
    <row r="2746" spans="2:5" s="4" customFormat="1">
      <c r="B2746" s="28"/>
      <c r="C2746" s="18"/>
      <c r="E2746" s="50"/>
    </row>
    <row r="2747" spans="2:5" s="4" customFormat="1">
      <c r="B2747" s="28"/>
      <c r="C2747" s="18"/>
      <c r="E2747" s="50"/>
    </row>
    <row r="2748" spans="2:5" s="4" customFormat="1">
      <c r="B2748" s="28"/>
      <c r="C2748" s="18"/>
      <c r="E2748" s="50"/>
    </row>
    <row r="2749" spans="2:5" s="4" customFormat="1">
      <c r="B2749" s="28"/>
      <c r="C2749" s="18"/>
      <c r="E2749" s="50"/>
    </row>
    <row r="2750" spans="2:5" s="4" customFormat="1">
      <c r="B2750" s="28"/>
      <c r="C2750" s="18"/>
      <c r="E2750" s="50"/>
    </row>
    <row r="2751" spans="2:5" s="4" customFormat="1">
      <c r="B2751" s="28"/>
      <c r="C2751" s="18"/>
      <c r="E2751" s="50"/>
    </row>
    <row r="2752" spans="2:5" s="4" customFormat="1">
      <c r="B2752" s="28"/>
      <c r="C2752" s="18"/>
      <c r="E2752" s="50"/>
    </row>
    <row r="2753" spans="2:5" s="4" customFormat="1">
      <c r="B2753" s="28"/>
      <c r="C2753" s="18"/>
      <c r="E2753" s="50"/>
    </row>
    <row r="2754" spans="2:5" s="4" customFormat="1">
      <c r="B2754" s="28"/>
      <c r="C2754" s="18"/>
      <c r="E2754" s="50"/>
    </row>
    <row r="2755" spans="2:5" s="4" customFormat="1">
      <c r="B2755" s="28"/>
      <c r="C2755" s="18"/>
      <c r="E2755" s="50"/>
    </row>
    <row r="2756" spans="2:5" s="4" customFormat="1">
      <c r="B2756" s="28"/>
      <c r="C2756" s="18"/>
      <c r="E2756" s="50"/>
    </row>
    <row r="2757" spans="2:5" s="4" customFormat="1">
      <c r="B2757" s="28"/>
      <c r="C2757" s="18"/>
      <c r="E2757" s="50"/>
    </row>
    <row r="2758" spans="2:5" s="4" customFormat="1">
      <c r="B2758" s="28"/>
      <c r="C2758" s="18"/>
      <c r="E2758" s="50"/>
    </row>
    <row r="2759" spans="2:5" s="4" customFormat="1">
      <c r="B2759" s="28"/>
      <c r="C2759" s="18"/>
      <c r="E2759" s="50"/>
    </row>
    <row r="2760" spans="2:5" s="4" customFormat="1">
      <c r="B2760" s="28"/>
      <c r="C2760" s="18"/>
      <c r="E2760" s="50"/>
    </row>
    <row r="2761" spans="2:5" s="4" customFormat="1">
      <c r="B2761" s="28"/>
      <c r="C2761" s="18"/>
      <c r="E2761" s="50"/>
    </row>
    <row r="2762" spans="2:5" s="4" customFormat="1">
      <c r="B2762" s="28"/>
      <c r="C2762" s="18"/>
      <c r="E2762" s="50"/>
    </row>
    <row r="2763" spans="2:5" s="4" customFormat="1">
      <c r="B2763" s="28"/>
      <c r="C2763" s="18"/>
      <c r="E2763" s="50"/>
    </row>
    <row r="2764" spans="2:5" s="4" customFormat="1">
      <c r="B2764" s="28"/>
      <c r="C2764" s="18"/>
      <c r="E2764" s="50"/>
    </row>
    <row r="2765" spans="2:5" s="4" customFormat="1">
      <c r="B2765" s="28"/>
      <c r="C2765" s="18"/>
      <c r="E2765" s="50"/>
    </row>
    <row r="2766" spans="2:5" s="4" customFormat="1">
      <c r="B2766" s="28"/>
      <c r="C2766" s="18"/>
      <c r="E2766" s="50"/>
    </row>
    <row r="2767" spans="2:5" s="4" customFormat="1">
      <c r="B2767" s="28"/>
      <c r="C2767" s="18"/>
      <c r="E2767" s="50"/>
    </row>
    <row r="2768" spans="2:5" s="4" customFormat="1">
      <c r="B2768" s="28"/>
      <c r="C2768" s="18"/>
      <c r="E2768" s="50"/>
    </row>
    <row r="2769" spans="2:5" s="4" customFormat="1">
      <c r="B2769" s="28"/>
      <c r="C2769" s="18"/>
      <c r="E2769" s="50"/>
    </row>
    <row r="2770" spans="2:5" s="4" customFormat="1">
      <c r="B2770" s="28"/>
      <c r="C2770" s="18"/>
      <c r="E2770" s="50"/>
    </row>
    <row r="2771" spans="2:5" s="4" customFormat="1">
      <c r="B2771" s="28"/>
      <c r="C2771" s="18"/>
      <c r="E2771" s="50"/>
    </row>
    <row r="2772" spans="2:5" s="4" customFormat="1">
      <c r="B2772" s="28"/>
      <c r="C2772" s="18"/>
      <c r="E2772" s="50"/>
    </row>
    <row r="2773" spans="2:5" s="4" customFormat="1">
      <c r="B2773" s="28"/>
      <c r="C2773" s="18"/>
      <c r="E2773" s="50"/>
    </row>
    <row r="2774" spans="2:5" s="4" customFormat="1">
      <c r="B2774" s="28"/>
      <c r="C2774" s="18"/>
      <c r="E2774" s="50"/>
    </row>
    <row r="2775" spans="2:5" s="4" customFormat="1">
      <c r="B2775" s="28"/>
      <c r="C2775" s="18"/>
      <c r="E2775" s="50"/>
    </row>
    <row r="2776" spans="2:5" s="4" customFormat="1">
      <c r="B2776" s="28"/>
      <c r="C2776" s="18"/>
      <c r="E2776" s="50"/>
    </row>
    <row r="2777" spans="2:5" s="4" customFormat="1">
      <c r="B2777" s="28"/>
      <c r="C2777" s="18"/>
      <c r="E2777" s="50"/>
    </row>
    <row r="2778" spans="2:5" s="4" customFormat="1">
      <c r="B2778" s="28"/>
      <c r="C2778" s="18"/>
      <c r="E2778" s="50"/>
    </row>
    <row r="2779" spans="2:5" s="4" customFormat="1">
      <c r="B2779" s="28"/>
      <c r="C2779" s="18"/>
      <c r="E2779" s="50"/>
    </row>
    <row r="2780" spans="2:5" s="4" customFormat="1">
      <c r="B2780" s="28"/>
      <c r="C2780" s="18"/>
      <c r="E2780" s="50"/>
    </row>
    <row r="2781" spans="2:5" s="4" customFormat="1">
      <c r="B2781" s="28"/>
      <c r="C2781" s="18"/>
      <c r="E2781" s="50"/>
    </row>
    <row r="2782" spans="2:5" s="4" customFormat="1">
      <c r="B2782" s="28"/>
      <c r="C2782" s="18"/>
      <c r="E2782" s="50"/>
    </row>
    <row r="2783" spans="2:5" s="4" customFormat="1">
      <c r="B2783" s="28"/>
      <c r="C2783" s="18"/>
      <c r="E2783" s="50"/>
    </row>
    <row r="2784" spans="2:5" s="4" customFormat="1">
      <c r="B2784" s="28"/>
      <c r="C2784" s="18"/>
      <c r="E2784" s="50"/>
    </row>
    <row r="2785" spans="2:5" s="4" customFormat="1">
      <c r="B2785" s="28"/>
      <c r="C2785" s="18"/>
      <c r="E2785" s="50"/>
    </row>
    <row r="2786" spans="2:5" s="4" customFormat="1">
      <c r="B2786" s="28"/>
      <c r="C2786" s="18"/>
      <c r="E2786" s="50"/>
    </row>
    <row r="2787" spans="2:5" s="4" customFormat="1">
      <c r="B2787" s="28"/>
      <c r="C2787" s="18"/>
      <c r="E2787" s="50"/>
    </row>
    <row r="2788" spans="2:5" s="4" customFormat="1">
      <c r="B2788" s="28"/>
      <c r="C2788" s="18"/>
      <c r="E2788" s="50"/>
    </row>
    <row r="2789" spans="2:5" s="4" customFormat="1">
      <c r="B2789" s="28"/>
      <c r="C2789" s="18"/>
      <c r="E2789" s="50"/>
    </row>
    <row r="2790" spans="2:5" s="4" customFormat="1">
      <c r="B2790" s="28"/>
      <c r="C2790" s="18"/>
      <c r="E2790" s="50"/>
    </row>
    <row r="2791" spans="2:5" s="4" customFormat="1">
      <c r="B2791" s="28"/>
      <c r="C2791" s="18"/>
      <c r="E2791" s="50"/>
    </row>
    <row r="2792" spans="2:5" s="4" customFormat="1">
      <c r="B2792" s="28"/>
      <c r="C2792" s="18"/>
      <c r="E2792" s="50"/>
    </row>
    <row r="2793" spans="2:5" s="4" customFormat="1">
      <c r="B2793" s="28"/>
      <c r="C2793" s="18"/>
      <c r="E2793" s="50"/>
    </row>
    <row r="2794" spans="2:5" s="4" customFormat="1">
      <c r="B2794" s="28"/>
      <c r="C2794" s="18"/>
      <c r="E2794" s="50"/>
    </row>
    <row r="2795" spans="2:5" s="4" customFormat="1">
      <c r="B2795" s="28"/>
      <c r="C2795" s="18"/>
      <c r="E2795" s="50"/>
    </row>
    <row r="2796" spans="2:5" s="4" customFormat="1">
      <c r="B2796" s="28"/>
      <c r="C2796" s="18"/>
      <c r="E2796" s="50"/>
    </row>
    <row r="2797" spans="2:5" s="4" customFormat="1">
      <c r="B2797" s="28"/>
      <c r="C2797" s="18"/>
      <c r="E2797" s="50"/>
    </row>
    <row r="2798" spans="2:5" s="4" customFormat="1">
      <c r="B2798" s="28"/>
      <c r="C2798" s="18"/>
      <c r="E2798" s="50"/>
    </row>
    <row r="2799" spans="2:5" s="4" customFormat="1">
      <c r="B2799" s="28"/>
      <c r="C2799" s="18"/>
      <c r="E2799" s="50"/>
    </row>
    <row r="2800" spans="2:5" s="4" customFormat="1">
      <c r="B2800" s="28"/>
      <c r="C2800" s="18"/>
      <c r="E2800" s="50"/>
    </row>
    <row r="2801" spans="2:5" s="4" customFormat="1">
      <c r="B2801" s="28"/>
      <c r="C2801" s="18"/>
      <c r="E2801" s="50"/>
    </row>
    <row r="2802" spans="2:5" s="4" customFormat="1">
      <c r="B2802" s="28"/>
      <c r="C2802" s="18"/>
      <c r="E2802" s="50"/>
    </row>
    <row r="2803" spans="2:5" s="4" customFormat="1">
      <c r="B2803" s="28"/>
      <c r="C2803" s="18"/>
      <c r="E2803" s="50"/>
    </row>
    <row r="2804" spans="2:5" s="4" customFormat="1">
      <c r="B2804" s="28"/>
      <c r="C2804" s="18"/>
      <c r="E2804" s="50"/>
    </row>
    <row r="2805" spans="2:5" s="4" customFormat="1">
      <c r="B2805" s="28"/>
      <c r="C2805" s="18"/>
      <c r="E2805" s="50"/>
    </row>
    <row r="2806" spans="2:5" s="4" customFormat="1">
      <c r="B2806" s="28"/>
      <c r="C2806" s="18"/>
      <c r="E2806" s="50"/>
    </row>
    <row r="2807" spans="2:5" s="4" customFormat="1">
      <c r="B2807" s="28"/>
      <c r="C2807" s="18"/>
      <c r="E2807" s="50"/>
    </row>
    <row r="2808" spans="2:5" s="4" customFormat="1">
      <c r="B2808" s="28"/>
      <c r="C2808" s="18"/>
      <c r="E2808" s="50"/>
    </row>
    <row r="2809" spans="2:5" s="4" customFormat="1">
      <c r="B2809" s="28"/>
      <c r="C2809" s="18"/>
      <c r="E2809" s="50"/>
    </row>
    <row r="2810" spans="2:5" s="4" customFormat="1">
      <c r="B2810" s="28"/>
      <c r="C2810" s="18"/>
      <c r="E2810" s="50"/>
    </row>
    <row r="2811" spans="2:5" s="4" customFormat="1">
      <c r="B2811" s="28"/>
      <c r="C2811" s="18"/>
      <c r="E2811" s="50"/>
    </row>
    <row r="2812" spans="2:5" s="4" customFormat="1">
      <c r="B2812" s="28"/>
      <c r="C2812" s="18"/>
      <c r="E2812" s="50"/>
    </row>
    <row r="2813" spans="2:5" s="4" customFormat="1">
      <c r="B2813" s="28"/>
      <c r="C2813" s="18"/>
      <c r="E2813" s="50"/>
    </row>
    <row r="2814" spans="2:5" s="4" customFormat="1">
      <c r="B2814" s="28"/>
      <c r="C2814" s="18"/>
      <c r="E2814" s="50"/>
    </row>
    <row r="2815" spans="2:5" s="4" customFormat="1">
      <c r="B2815" s="28"/>
      <c r="C2815" s="18"/>
      <c r="E2815" s="50"/>
    </row>
    <row r="2816" spans="2:5" s="4" customFormat="1">
      <c r="B2816" s="28"/>
      <c r="C2816" s="18"/>
      <c r="E2816" s="50"/>
    </row>
    <row r="2817" spans="2:5" s="4" customFormat="1">
      <c r="B2817" s="28"/>
      <c r="C2817" s="18"/>
      <c r="E2817" s="50"/>
    </row>
    <row r="2818" spans="2:5" s="4" customFormat="1">
      <c r="B2818" s="28"/>
      <c r="C2818" s="18"/>
      <c r="E2818" s="50"/>
    </row>
    <row r="2819" spans="2:5" s="4" customFormat="1">
      <c r="B2819" s="28"/>
      <c r="C2819" s="18"/>
      <c r="E2819" s="50"/>
    </row>
    <row r="2820" spans="2:5" s="4" customFormat="1">
      <c r="B2820" s="28"/>
      <c r="C2820" s="18"/>
      <c r="E2820" s="50"/>
    </row>
    <row r="2821" spans="2:5" s="4" customFormat="1">
      <c r="B2821" s="28"/>
      <c r="C2821" s="18"/>
      <c r="E2821" s="50"/>
    </row>
    <row r="2822" spans="2:5" s="4" customFormat="1">
      <c r="B2822" s="28"/>
      <c r="C2822" s="18"/>
      <c r="E2822" s="50"/>
    </row>
    <row r="2823" spans="2:5" s="4" customFormat="1">
      <c r="B2823" s="28"/>
      <c r="C2823" s="18"/>
      <c r="E2823" s="50"/>
    </row>
    <row r="2824" spans="2:5" s="4" customFormat="1">
      <c r="B2824" s="28"/>
      <c r="C2824" s="18"/>
      <c r="E2824" s="50"/>
    </row>
    <row r="2825" spans="2:5" s="4" customFormat="1">
      <c r="B2825" s="28"/>
      <c r="C2825" s="18"/>
      <c r="E2825" s="50"/>
    </row>
    <row r="2826" spans="2:5" s="4" customFormat="1">
      <c r="B2826" s="28"/>
      <c r="C2826" s="18"/>
      <c r="E2826" s="50"/>
    </row>
    <row r="2827" spans="2:5" s="4" customFormat="1">
      <c r="B2827" s="28"/>
      <c r="C2827" s="18"/>
      <c r="E2827" s="50"/>
    </row>
    <row r="2828" spans="2:5" s="4" customFormat="1">
      <c r="B2828" s="28"/>
      <c r="C2828" s="18"/>
      <c r="E2828" s="50"/>
    </row>
    <row r="2829" spans="2:5" s="4" customFormat="1">
      <c r="B2829" s="28"/>
      <c r="C2829" s="18"/>
      <c r="E2829" s="50"/>
    </row>
    <row r="2830" spans="2:5" s="4" customFormat="1">
      <c r="B2830" s="28"/>
      <c r="C2830" s="18"/>
      <c r="E2830" s="50"/>
    </row>
    <row r="2831" spans="2:5" s="4" customFormat="1">
      <c r="B2831" s="28"/>
      <c r="C2831" s="18"/>
      <c r="E2831" s="50"/>
    </row>
    <row r="2832" spans="2:5" s="4" customFormat="1">
      <c r="B2832" s="28"/>
      <c r="C2832" s="18"/>
      <c r="E2832" s="50"/>
    </row>
    <row r="2833" spans="2:5" s="4" customFormat="1">
      <c r="B2833" s="28"/>
      <c r="C2833" s="18"/>
      <c r="E2833" s="50"/>
    </row>
    <row r="2834" spans="2:5" s="4" customFormat="1">
      <c r="B2834" s="28"/>
      <c r="C2834" s="18"/>
      <c r="E2834" s="50"/>
    </row>
    <row r="2835" spans="2:5" s="4" customFormat="1">
      <c r="B2835" s="28"/>
      <c r="C2835" s="18"/>
      <c r="E2835" s="50"/>
    </row>
    <row r="2836" spans="2:5" s="4" customFormat="1">
      <c r="B2836" s="28"/>
      <c r="C2836" s="18"/>
      <c r="E2836" s="50"/>
    </row>
    <row r="2837" spans="2:5" s="4" customFormat="1">
      <c r="B2837" s="28"/>
      <c r="C2837" s="18"/>
      <c r="E2837" s="50"/>
    </row>
    <row r="2838" spans="2:5" s="4" customFormat="1">
      <c r="B2838" s="28"/>
      <c r="C2838" s="18"/>
      <c r="E2838" s="50"/>
    </row>
    <row r="2839" spans="2:5" s="4" customFormat="1">
      <c r="B2839" s="28"/>
      <c r="C2839" s="18"/>
      <c r="E2839" s="50"/>
    </row>
    <row r="2840" spans="2:5" s="4" customFormat="1">
      <c r="B2840" s="28"/>
      <c r="C2840" s="18"/>
      <c r="E2840" s="50"/>
    </row>
    <row r="2841" spans="2:5" s="4" customFormat="1">
      <c r="B2841" s="28"/>
      <c r="C2841" s="18"/>
      <c r="E2841" s="50"/>
    </row>
    <row r="2842" spans="2:5" s="4" customFormat="1">
      <c r="B2842" s="28"/>
      <c r="C2842" s="18"/>
      <c r="E2842" s="50"/>
    </row>
    <row r="2843" spans="2:5" s="4" customFormat="1">
      <c r="B2843" s="28"/>
      <c r="C2843" s="18"/>
      <c r="E2843" s="50"/>
    </row>
    <row r="2844" spans="2:5" s="4" customFormat="1">
      <c r="B2844" s="28"/>
      <c r="C2844" s="18"/>
      <c r="E2844" s="50"/>
    </row>
    <row r="2845" spans="2:5" s="4" customFormat="1">
      <c r="B2845" s="28"/>
      <c r="C2845" s="18"/>
      <c r="E2845" s="50"/>
    </row>
    <row r="2846" spans="2:5" s="4" customFormat="1">
      <c r="B2846" s="28"/>
      <c r="C2846" s="18"/>
      <c r="E2846" s="50"/>
    </row>
    <row r="2847" spans="2:5" s="4" customFormat="1">
      <c r="B2847" s="28"/>
      <c r="C2847" s="18"/>
      <c r="E2847" s="50"/>
    </row>
    <row r="2848" spans="2:5" s="4" customFormat="1">
      <c r="B2848" s="28"/>
      <c r="C2848" s="18"/>
      <c r="E2848" s="50"/>
    </row>
    <row r="2849" spans="2:5" s="4" customFormat="1">
      <c r="B2849" s="28"/>
      <c r="C2849" s="18"/>
      <c r="E2849" s="50"/>
    </row>
    <row r="2850" spans="2:5" s="4" customFormat="1">
      <c r="B2850" s="28"/>
      <c r="C2850" s="18"/>
      <c r="E2850" s="50"/>
    </row>
    <row r="2851" spans="2:5" s="4" customFormat="1">
      <c r="B2851" s="28"/>
      <c r="C2851" s="18"/>
      <c r="E2851" s="50"/>
    </row>
    <row r="2852" spans="2:5" s="4" customFormat="1">
      <c r="B2852" s="28"/>
      <c r="C2852" s="18"/>
      <c r="E2852" s="50"/>
    </row>
    <row r="2853" spans="2:5" s="4" customFormat="1">
      <c r="B2853" s="28"/>
      <c r="C2853" s="18"/>
      <c r="E2853" s="50"/>
    </row>
    <row r="2854" spans="2:5" s="4" customFormat="1">
      <c r="B2854" s="28"/>
      <c r="C2854" s="18"/>
      <c r="E2854" s="50"/>
    </row>
    <row r="2855" spans="2:5" s="4" customFormat="1">
      <c r="B2855" s="28"/>
      <c r="C2855" s="18"/>
      <c r="E2855" s="50"/>
    </row>
    <row r="2856" spans="2:5" s="4" customFormat="1">
      <c r="B2856" s="28"/>
      <c r="C2856" s="18"/>
      <c r="E2856" s="50"/>
    </row>
    <row r="2857" spans="2:5" s="4" customFormat="1">
      <c r="B2857" s="28"/>
      <c r="C2857" s="18"/>
      <c r="E2857" s="50"/>
    </row>
    <row r="2858" spans="2:5" s="4" customFormat="1">
      <c r="B2858" s="28"/>
      <c r="C2858" s="18"/>
      <c r="E2858" s="50"/>
    </row>
    <row r="2859" spans="2:5" s="4" customFormat="1">
      <c r="B2859" s="28"/>
      <c r="C2859" s="18"/>
      <c r="E2859" s="50"/>
    </row>
    <row r="2860" spans="2:5" s="4" customFormat="1">
      <c r="B2860" s="28"/>
      <c r="C2860" s="18"/>
      <c r="E2860" s="50"/>
    </row>
    <row r="2861" spans="2:5" s="4" customFormat="1">
      <c r="B2861" s="28"/>
      <c r="C2861" s="18"/>
      <c r="E2861" s="50"/>
    </row>
    <row r="2862" spans="2:5" s="4" customFormat="1">
      <c r="B2862" s="28"/>
      <c r="C2862" s="18"/>
      <c r="E2862" s="50"/>
    </row>
    <row r="2863" spans="2:5" s="4" customFormat="1">
      <c r="B2863" s="28"/>
      <c r="C2863" s="18"/>
      <c r="E2863" s="50"/>
    </row>
    <row r="2864" spans="2:5" s="4" customFormat="1">
      <c r="B2864" s="28"/>
      <c r="C2864" s="18"/>
      <c r="E2864" s="50"/>
    </row>
    <row r="2865" spans="2:5" s="4" customFormat="1">
      <c r="B2865" s="28"/>
      <c r="C2865" s="18"/>
      <c r="E2865" s="50"/>
    </row>
    <row r="2866" spans="2:5" s="4" customFormat="1">
      <c r="B2866" s="28"/>
      <c r="C2866" s="18"/>
      <c r="E2866" s="50"/>
    </row>
    <row r="2867" spans="2:5" s="4" customFormat="1">
      <c r="B2867" s="28"/>
      <c r="C2867" s="18"/>
      <c r="E2867" s="50"/>
    </row>
    <row r="2868" spans="2:5" s="4" customFormat="1">
      <c r="B2868" s="28"/>
      <c r="C2868" s="18"/>
      <c r="E2868" s="50"/>
    </row>
    <row r="2869" spans="2:5" s="4" customFormat="1">
      <c r="B2869" s="28"/>
      <c r="C2869" s="18"/>
      <c r="E2869" s="50"/>
    </row>
    <row r="2870" spans="2:5" s="4" customFormat="1">
      <c r="B2870" s="28"/>
      <c r="C2870" s="18"/>
      <c r="E2870" s="50"/>
    </row>
    <row r="2871" spans="2:5" s="4" customFormat="1">
      <c r="B2871" s="28"/>
      <c r="C2871" s="18"/>
      <c r="E2871" s="50"/>
    </row>
    <row r="2872" spans="2:5" s="4" customFormat="1">
      <c r="B2872" s="28"/>
      <c r="C2872" s="18"/>
      <c r="E2872" s="50"/>
    </row>
    <row r="2873" spans="2:5" s="4" customFormat="1">
      <c r="B2873" s="28"/>
      <c r="C2873" s="18"/>
      <c r="E2873" s="50"/>
    </row>
    <row r="2874" spans="2:5" s="4" customFormat="1">
      <c r="B2874" s="28"/>
      <c r="C2874" s="18"/>
      <c r="E2874" s="50"/>
    </row>
    <row r="2875" spans="2:5" s="4" customFormat="1">
      <c r="B2875" s="28"/>
      <c r="C2875" s="18"/>
      <c r="E2875" s="50"/>
    </row>
    <row r="2876" spans="2:5" s="4" customFormat="1">
      <c r="B2876" s="28"/>
      <c r="C2876" s="18"/>
      <c r="E2876" s="50"/>
    </row>
    <row r="2877" spans="2:5" s="4" customFormat="1">
      <c r="B2877" s="28"/>
      <c r="C2877" s="18"/>
      <c r="E2877" s="50"/>
    </row>
    <row r="2878" spans="2:5" s="4" customFormat="1">
      <c r="B2878" s="28"/>
      <c r="C2878" s="18"/>
      <c r="E2878" s="50"/>
    </row>
    <row r="2879" spans="2:5" s="4" customFormat="1">
      <c r="B2879" s="28"/>
      <c r="C2879" s="18"/>
      <c r="E2879" s="50"/>
    </row>
    <row r="2880" spans="2:5" s="4" customFormat="1">
      <c r="B2880" s="28"/>
      <c r="C2880" s="18"/>
      <c r="E2880" s="50"/>
    </row>
    <row r="2881" spans="2:5" s="4" customFormat="1">
      <c r="B2881" s="28"/>
      <c r="C2881" s="18"/>
      <c r="E2881" s="50"/>
    </row>
    <row r="2882" spans="2:5" s="4" customFormat="1">
      <c r="B2882" s="28"/>
      <c r="C2882" s="18"/>
      <c r="E2882" s="50"/>
    </row>
    <row r="2883" spans="2:5" s="4" customFormat="1">
      <c r="B2883" s="28"/>
      <c r="C2883" s="18"/>
      <c r="E2883" s="50"/>
    </row>
    <row r="2884" spans="2:5" s="4" customFormat="1">
      <c r="B2884" s="28"/>
      <c r="C2884" s="18"/>
      <c r="E2884" s="50"/>
    </row>
    <row r="2885" spans="2:5" s="4" customFormat="1">
      <c r="B2885" s="28"/>
      <c r="C2885" s="18"/>
      <c r="E2885" s="50"/>
    </row>
    <row r="2886" spans="2:5" s="4" customFormat="1">
      <c r="B2886" s="28"/>
      <c r="C2886" s="18"/>
      <c r="E2886" s="50"/>
    </row>
    <row r="2887" spans="2:5" s="4" customFormat="1">
      <c r="B2887" s="28"/>
      <c r="C2887" s="18"/>
      <c r="E2887" s="50"/>
    </row>
    <row r="2888" spans="2:5" s="4" customFormat="1">
      <c r="B2888" s="28"/>
      <c r="C2888" s="18"/>
      <c r="E2888" s="50"/>
    </row>
    <row r="2889" spans="2:5" s="4" customFormat="1">
      <c r="B2889" s="28"/>
      <c r="C2889" s="18"/>
      <c r="E2889" s="50"/>
    </row>
    <row r="2890" spans="2:5" s="4" customFormat="1">
      <c r="B2890" s="28"/>
      <c r="C2890" s="18"/>
      <c r="E2890" s="50"/>
    </row>
    <row r="2891" spans="2:5" s="4" customFormat="1">
      <c r="B2891" s="28"/>
      <c r="C2891" s="18"/>
      <c r="E2891" s="50"/>
    </row>
    <row r="2892" spans="2:5" s="4" customFormat="1">
      <c r="B2892" s="28"/>
      <c r="C2892" s="18"/>
      <c r="E2892" s="50"/>
    </row>
    <row r="2893" spans="2:5" s="4" customFormat="1">
      <c r="B2893" s="28"/>
      <c r="C2893" s="18"/>
      <c r="E2893" s="50"/>
    </row>
    <row r="2894" spans="2:5" s="4" customFormat="1">
      <c r="B2894" s="28"/>
      <c r="C2894" s="18"/>
      <c r="E2894" s="50"/>
    </row>
    <row r="2895" spans="2:5" s="4" customFormat="1">
      <c r="B2895" s="28"/>
      <c r="C2895" s="18"/>
      <c r="E2895" s="50"/>
    </row>
    <row r="2896" spans="2:5" s="4" customFormat="1">
      <c r="B2896" s="28"/>
      <c r="C2896" s="18"/>
      <c r="E2896" s="50"/>
    </row>
    <row r="2897" spans="2:5" s="4" customFormat="1">
      <c r="B2897" s="28"/>
      <c r="C2897" s="18"/>
      <c r="E2897" s="50"/>
    </row>
    <row r="2898" spans="2:5" s="4" customFormat="1">
      <c r="B2898" s="28"/>
      <c r="C2898" s="18"/>
      <c r="E2898" s="50"/>
    </row>
    <row r="2899" spans="2:5" s="4" customFormat="1">
      <c r="B2899" s="28"/>
      <c r="C2899" s="18"/>
      <c r="E2899" s="50"/>
    </row>
    <row r="2900" spans="2:5" s="4" customFormat="1">
      <c r="B2900" s="28"/>
      <c r="C2900" s="18"/>
      <c r="E2900" s="50"/>
    </row>
    <row r="2901" spans="2:5" s="4" customFormat="1">
      <c r="B2901" s="28"/>
      <c r="C2901" s="18"/>
      <c r="E2901" s="50"/>
    </row>
    <row r="2902" spans="2:5" s="4" customFormat="1">
      <c r="B2902" s="28"/>
      <c r="C2902" s="18"/>
      <c r="E2902" s="50"/>
    </row>
    <row r="2903" spans="2:5" s="4" customFormat="1">
      <c r="B2903" s="28"/>
      <c r="C2903" s="18"/>
      <c r="E2903" s="50"/>
    </row>
    <row r="2904" spans="2:5" s="4" customFormat="1">
      <c r="B2904" s="28"/>
      <c r="C2904" s="18"/>
      <c r="E2904" s="50"/>
    </row>
    <row r="2905" spans="2:5" s="4" customFormat="1">
      <c r="B2905" s="28"/>
      <c r="C2905" s="18"/>
      <c r="E2905" s="50"/>
    </row>
    <row r="2906" spans="2:5" s="4" customFormat="1">
      <c r="B2906" s="28"/>
      <c r="C2906" s="18"/>
      <c r="E2906" s="50"/>
    </row>
    <row r="2907" spans="2:5" s="4" customFormat="1">
      <c r="B2907" s="28"/>
      <c r="C2907" s="18"/>
      <c r="E2907" s="50"/>
    </row>
    <row r="2908" spans="2:5" s="4" customFormat="1">
      <c r="B2908" s="28"/>
      <c r="C2908" s="18"/>
      <c r="E2908" s="50"/>
    </row>
    <row r="2909" spans="2:5" s="4" customFormat="1">
      <c r="B2909" s="28"/>
      <c r="C2909" s="18"/>
      <c r="E2909" s="50"/>
    </row>
    <row r="2910" spans="2:5" s="4" customFormat="1">
      <c r="B2910" s="28"/>
      <c r="C2910" s="18"/>
      <c r="E2910" s="50"/>
    </row>
    <row r="2911" spans="2:5" s="4" customFormat="1">
      <c r="B2911" s="28"/>
      <c r="C2911" s="18"/>
      <c r="E2911" s="50"/>
    </row>
    <row r="2912" spans="2:5" s="4" customFormat="1">
      <c r="B2912" s="28"/>
      <c r="C2912" s="18"/>
      <c r="E2912" s="50"/>
    </row>
    <row r="2913" spans="2:5" s="4" customFormat="1">
      <c r="B2913" s="28"/>
      <c r="C2913" s="18"/>
      <c r="E2913" s="50"/>
    </row>
    <row r="2914" spans="2:5" s="4" customFormat="1">
      <c r="B2914" s="28"/>
      <c r="C2914" s="18"/>
      <c r="E2914" s="50"/>
    </row>
    <row r="2915" spans="2:5" s="4" customFormat="1">
      <c r="B2915" s="28"/>
      <c r="C2915" s="18"/>
      <c r="E2915" s="50"/>
    </row>
    <row r="2916" spans="2:5" s="4" customFormat="1">
      <c r="B2916" s="28"/>
      <c r="C2916" s="18"/>
      <c r="E2916" s="50"/>
    </row>
    <row r="2917" spans="2:5" s="4" customFormat="1">
      <c r="B2917" s="28"/>
      <c r="C2917" s="18"/>
      <c r="E2917" s="50"/>
    </row>
    <row r="2918" spans="2:5" s="4" customFormat="1">
      <c r="B2918" s="28"/>
      <c r="C2918" s="18"/>
      <c r="E2918" s="50"/>
    </row>
    <row r="2919" spans="2:5" s="4" customFormat="1">
      <c r="B2919" s="28"/>
      <c r="C2919" s="18"/>
      <c r="E2919" s="50"/>
    </row>
    <row r="2920" spans="2:5" s="4" customFormat="1">
      <c r="B2920" s="28"/>
      <c r="C2920" s="18"/>
      <c r="E2920" s="50"/>
    </row>
    <row r="2921" spans="2:5" s="4" customFormat="1">
      <c r="B2921" s="28"/>
      <c r="C2921" s="18"/>
      <c r="E2921" s="50"/>
    </row>
    <row r="2922" spans="2:5" s="4" customFormat="1">
      <c r="B2922" s="28"/>
      <c r="C2922" s="18"/>
      <c r="E2922" s="50"/>
    </row>
    <row r="2923" spans="2:5" s="4" customFormat="1">
      <c r="B2923" s="28"/>
      <c r="C2923" s="18"/>
      <c r="E2923" s="50"/>
    </row>
    <row r="2924" spans="2:5" s="4" customFormat="1">
      <c r="B2924" s="28"/>
      <c r="C2924" s="18"/>
      <c r="E2924" s="50"/>
    </row>
    <row r="2925" spans="2:5" s="4" customFormat="1">
      <c r="B2925" s="28"/>
      <c r="C2925" s="18"/>
      <c r="E2925" s="50"/>
    </row>
    <row r="2926" spans="2:5" s="4" customFormat="1">
      <c r="B2926" s="28"/>
      <c r="C2926" s="18"/>
      <c r="E2926" s="50"/>
    </row>
    <row r="2927" spans="2:5" s="4" customFormat="1">
      <c r="B2927" s="28"/>
      <c r="C2927" s="18"/>
      <c r="E2927" s="50"/>
    </row>
    <row r="2928" spans="2:5" s="4" customFormat="1">
      <c r="B2928" s="28"/>
      <c r="C2928" s="18"/>
      <c r="E2928" s="50"/>
    </row>
    <row r="2929" spans="2:5" s="4" customFormat="1">
      <c r="B2929" s="28"/>
      <c r="C2929" s="18"/>
      <c r="E2929" s="50"/>
    </row>
    <row r="2930" spans="2:5" s="4" customFormat="1">
      <c r="B2930" s="28"/>
      <c r="C2930" s="18"/>
      <c r="E2930" s="50"/>
    </row>
    <row r="2931" spans="2:5" s="4" customFormat="1">
      <c r="B2931" s="28"/>
      <c r="C2931" s="18"/>
      <c r="E2931" s="50"/>
    </row>
    <row r="2932" spans="2:5" s="4" customFormat="1">
      <c r="B2932" s="28"/>
      <c r="C2932" s="18"/>
      <c r="E2932" s="50"/>
    </row>
    <row r="2933" spans="2:5" s="4" customFormat="1">
      <c r="B2933" s="28"/>
      <c r="C2933" s="18"/>
      <c r="E2933" s="50"/>
    </row>
    <row r="2934" spans="2:5" s="4" customFormat="1">
      <c r="B2934" s="28"/>
      <c r="C2934" s="18"/>
      <c r="E2934" s="50"/>
    </row>
    <row r="2935" spans="2:5" s="4" customFormat="1">
      <c r="B2935" s="28"/>
      <c r="C2935" s="18"/>
      <c r="E2935" s="50"/>
    </row>
    <row r="2936" spans="2:5" s="4" customFormat="1">
      <c r="B2936" s="28"/>
      <c r="C2936" s="18"/>
      <c r="E2936" s="50"/>
    </row>
    <row r="2937" spans="2:5" s="4" customFormat="1">
      <c r="B2937" s="28"/>
      <c r="C2937" s="18"/>
      <c r="E2937" s="50"/>
    </row>
    <row r="2938" spans="2:5" s="4" customFormat="1">
      <c r="B2938" s="28"/>
      <c r="C2938" s="18"/>
      <c r="E2938" s="50"/>
    </row>
    <row r="2939" spans="2:5" s="4" customFormat="1">
      <c r="B2939" s="28"/>
      <c r="C2939" s="18"/>
      <c r="E2939" s="50"/>
    </row>
    <row r="2940" spans="2:5" s="4" customFormat="1">
      <c r="B2940" s="28"/>
      <c r="C2940" s="18"/>
      <c r="E2940" s="50"/>
    </row>
    <row r="2941" spans="2:5" s="4" customFormat="1">
      <c r="B2941" s="28"/>
      <c r="C2941" s="18"/>
      <c r="E2941" s="50"/>
    </row>
    <row r="2942" spans="2:5" s="4" customFormat="1">
      <c r="B2942" s="28"/>
      <c r="C2942" s="18"/>
      <c r="E2942" s="50"/>
    </row>
    <row r="2943" spans="2:5" s="4" customFormat="1">
      <c r="B2943" s="28"/>
      <c r="C2943" s="18"/>
      <c r="E2943" s="50"/>
    </row>
    <row r="2944" spans="2:5" s="4" customFormat="1">
      <c r="B2944" s="28"/>
      <c r="C2944" s="18"/>
      <c r="E2944" s="50"/>
    </row>
    <row r="2945" spans="2:5" s="4" customFormat="1">
      <c r="B2945" s="28"/>
      <c r="C2945" s="18"/>
      <c r="E2945" s="50"/>
    </row>
    <row r="2946" spans="2:5" s="4" customFormat="1">
      <c r="B2946" s="28"/>
      <c r="C2946" s="18"/>
      <c r="E2946" s="50"/>
    </row>
    <row r="2947" spans="2:5" s="4" customFormat="1">
      <c r="B2947" s="28"/>
      <c r="C2947" s="18"/>
      <c r="E2947" s="50"/>
    </row>
    <row r="2948" spans="2:5" s="4" customFormat="1">
      <c r="B2948" s="28"/>
      <c r="C2948" s="18"/>
      <c r="E2948" s="50"/>
    </row>
    <row r="2949" spans="2:5" s="4" customFormat="1">
      <c r="B2949" s="28"/>
      <c r="C2949" s="18"/>
      <c r="E2949" s="50"/>
    </row>
    <row r="2950" spans="2:5" s="4" customFormat="1">
      <c r="B2950" s="28"/>
      <c r="C2950" s="18"/>
      <c r="E2950" s="50"/>
    </row>
    <row r="2951" spans="2:5" s="4" customFormat="1">
      <c r="B2951" s="28"/>
      <c r="C2951" s="18"/>
      <c r="E2951" s="50"/>
    </row>
    <row r="2952" spans="2:5" s="4" customFormat="1">
      <c r="B2952" s="28"/>
      <c r="C2952" s="18"/>
      <c r="E2952" s="50"/>
    </row>
    <row r="2953" spans="2:5" s="4" customFormat="1">
      <c r="B2953" s="28"/>
      <c r="C2953" s="18"/>
      <c r="E2953" s="50"/>
    </row>
    <row r="2954" spans="2:5" s="4" customFormat="1">
      <c r="B2954" s="28"/>
      <c r="C2954" s="18"/>
      <c r="E2954" s="50"/>
    </row>
    <row r="2955" spans="2:5" s="4" customFormat="1">
      <c r="B2955" s="28"/>
      <c r="C2955" s="18"/>
      <c r="E2955" s="50"/>
    </row>
    <row r="2956" spans="2:5" s="4" customFormat="1">
      <c r="B2956" s="28"/>
      <c r="C2956" s="18"/>
      <c r="E2956" s="50"/>
    </row>
    <row r="2957" spans="2:5" s="4" customFormat="1">
      <c r="B2957" s="28"/>
      <c r="C2957" s="18"/>
      <c r="E2957" s="50"/>
    </row>
    <row r="2958" spans="2:5" s="4" customFormat="1">
      <c r="B2958" s="28"/>
      <c r="C2958" s="18"/>
      <c r="E2958" s="50"/>
    </row>
    <row r="2959" spans="2:5" s="4" customFormat="1">
      <c r="B2959" s="28"/>
      <c r="C2959" s="18"/>
      <c r="E2959" s="50"/>
    </row>
    <row r="2960" spans="2:5" s="4" customFormat="1">
      <c r="B2960" s="28"/>
      <c r="C2960" s="18"/>
      <c r="E2960" s="50"/>
    </row>
    <row r="2961" spans="2:5" s="4" customFormat="1">
      <c r="B2961" s="28"/>
      <c r="C2961" s="18"/>
      <c r="E2961" s="50"/>
    </row>
    <row r="2962" spans="2:5" s="4" customFormat="1">
      <c r="B2962" s="28"/>
      <c r="C2962" s="18"/>
      <c r="E2962" s="50"/>
    </row>
    <row r="2963" spans="2:5" s="4" customFormat="1">
      <c r="B2963" s="28"/>
      <c r="C2963" s="18"/>
      <c r="E2963" s="50"/>
    </row>
    <row r="2964" spans="2:5" s="4" customFormat="1">
      <c r="B2964" s="28"/>
      <c r="C2964" s="18"/>
      <c r="E2964" s="50"/>
    </row>
    <row r="2965" spans="2:5" s="4" customFormat="1">
      <c r="B2965" s="28"/>
      <c r="C2965" s="18"/>
      <c r="E2965" s="50"/>
    </row>
    <row r="2966" spans="2:5" s="4" customFormat="1">
      <c r="B2966" s="28"/>
      <c r="C2966" s="18"/>
      <c r="E2966" s="50"/>
    </row>
    <row r="2967" spans="2:5" s="4" customFormat="1">
      <c r="B2967" s="28"/>
      <c r="C2967" s="18"/>
      <c r="E2967" s="50"/>
    </row>
    <row r="2968" spans="2:5" s="4" customFormat="1">
      <c r="B2968" s="28"/>
      <c r="C2968" s="18"/>
      <c r="E2968" s="50"/>
    </row>
    <row r="2969" spans="2:5" s="4" customFormat="1">
      <c r="B2969" s="28"/>
      <c r="C2969" s="18"/>
      <c r="E2969" s="50"/>
    </row>
    <row r="2970" spans="2:5" s="4" customFormat="1">
      <c r="B2970" s="28"/>
      <c r="C2970" s="18"/>
      <c r="E2970" s="50"/>
    </row>
    <row r="2971" spans="2:5" s="4" customFormat="1">
      <c r="B2971" s="28"/>
      <c r="C2971" s="18"/>
      <c r="E2971" s="50"/>
    </row>
    <row r="2972" spans="2:5" s="4" customFormat="1">
      <c r="B2972" s="28"/>
      <c r="C2972" s="18"/>
      <c r="E2972" s="50"/>
    </row>
    <row r="2973" spans="2:5" s="4" customFormat="1">
      <c r="B2973" s="28"/>
      <c r="C2973" s="18"/>
      <c r="E2973" s="50"/>
    </row>
    <row r="2974" spans="2:5" s="4" customFormat="1">
      <c r="B2974" s="28"/>
      <c r="C2974" s="18"/>
      <c r="E2974" s="50"/>
    </row>
    <row r="2975" spans="2:5" s="4" customFormat="1">
      <c r="B2975" s="28"/>
      <c r="C2975" s="18"/>
      <c r="E2975" s="50"/>
    </row>
    <row r="2976" spans="2:5" s="4" customFormat="1">
      <c r="B2976" s="28"/>
      <c r="C2976" s="18"/>
      <c r="E2976" s="50"/>
    </row>
    <row r="2977" spans="2:5" s="4" customFormat="1">
      <c r="B2977" s="28"/>
      <c r="C2977" s="18"/>
      <c r="E2977" s="50"/>
    </row>
    <row r="2978" spans="2:5" s="4" customFormat="1">
      <c r="B2978" s="28"/>
      <c r="C2978" s="18"/>
      <c r="E2978" s="50"/>
    </row>
    <row r="2979" spans="2:5" s="4" customFormat="1">
      <c r="B2979" s="28"/>
      <c r="C2979" s="18"/>
      <c r="E2979" s="50"/>
    </row>
    <row r="2980" spans="2:5" s="4" customFormat="1">
      <c r="B2980" s="28"/>
      <c r="C2980" s="18"/>
      <c r="E2980" s="50"/>
    </row>
    <row r="2981" spans="2:5" s="4" customFormat="1">
      <c r="B2981" s="28"/>
      <c r="C2981" s="18"/>
      <c r="E2981" s="50"/>
    </row>
    <row r="2982" spans="2:5" s="4" customFormat="1">
      <c r="B2982" s="28"/>
      <c r="C2982" s="18"/>
      <c r="E2982" s="50"/>
    </row>
    <row r="2983" spans="2:5" s="4" customFormat="1">
      <c r="B2983" s="28"/>
      <c r="C2983" s="18"/>
      <c r="E2983" s="50"/>
    </row>
    <row r="2984" spans="2:5" s="4" customFormat="1">
      <c r="B2984" s="28"/>
      <c r="C2984" s="18"/>
      <c r="E2984" s="50"/>
    </row>
    <row r="2985" spans="2:5" s="4" customFormat="1">
      <c r="B2985" s="28"/>
      <c r="C2985" s="18"/>
      <c r="E2985" s="50"/>
    </row>
    <row r="2986" spans="2:5" s="4" customFormat="1">
      <c r="B2986" s="28"/>
      <c r="C2986" s="18"/>
      <c r="E2986" s="50"/>
    </row>
    <row r="2987" spans="2:5" s="4" customFormat="1">
      <c r="B2987" s="28"/>
      <c r="C2987" s="18"/>
      <c r="E2987" s="50"/>
    </row>
    <row r="2988" spans="2:5" s="4" customFormat="1">
      <c r="B2988" s="28"/>
      <c r="C2988" s="18"/>
      <c r="E2988" s="50"/>
    </row>
    <row r="2989" spans="2:5" s="4" customFormat="1">
      <c r="B2989" s="28"/>
      <c r="C2989" s="18"/>
      <c r="E2989" s="50"/>
    </row>
    <row r="2990" spans="2:5" s="4" customFormat="1">
      <c r="B2990" s="28"/>
      <c r="C2990" s="18"/>
      <c r="E2990" s="50"/>
    </row>
    <row r="2991" spans="2:5" s="4" customFormat="1">
      <c r="B2991" s="28"/>
      <c r="C2991" s="18"/>
      <c r="E2991" s="50"/>
    </row>
    <row r="2992" spans="2:5" s="4" customFormat="1">
      <c r="B2992" s="28"/>
      <c r="C2992" s="18"/>
      <c r="E2992" s="50"/>
    </row>
    <row r="2993" spans="2:5" s="4" customFormat="1">
      <c r="B2993" s="28"/>
      <c r="C2993" s="18"/>
      <c r="E2993" s="50"/>
    </row>
    <row r="2994" spans="2:5" s="4" customFormat="1">
      <c r="B2994" s="28"/>
      <c r="C2994" s="18"/>
      <c r="E2994" s="50"/>
    </row>
    <row r="2995" spans="2:5" s="4" customFormat="1">
      <c r="B2995" s="28"/>
      <c r="C2995" s="18"/>
      <c r="E2995" s="50"/>
    </row>
    <row r="2996" spans="2:5" s="4" customFormat="1">
      <c r="B2996" s="28"/>
      <c r="C2996" s="18"/>
      <c r="E2996" s="50"/>
    </row>
    <row r="2997" spans="2:5" s="4" customFormat="1">
      <c r="B2997" s="28"/>
      <c r="C2997" s="18"/>
      <c r="E2997" s="50"/>
    </row>
    <row r="2998" spans="2:5" s="4" customFormat="1">
      <c r="B2998" s="28"/>
      <c r="C2998" s="18"/>
      <c r="E2998" s="50"/>
    </row>
    <row r="2999" spans="2:5" s="4" customFormat="1">
      <c r="B2999" s="28"/>
      <c r="C2999" s="18"/>
      <c r="E2999" s="50"/>
    </row>
    <row r="3000" spans="2:5" s="4" customFormat="1">
      <c r="B3000" s="28"/>
      <c r="C3000" s="18"/>
      <c r="E3000" s="50"/>
    </row>
    <row r="3001" spans="2:5" s="4" customFormat="1">
      <c r="B3001" s="28"/>
      <c r="C3001" s="18"/>
      <c r="E3001" s="50"/>
    </row>
    <row r="3002" spans="2:5" s="4" customFormat="1">
      <c r="B3002" s="28"/>
      <c r="C3002" s="18"/>
      <c r="E3002" s="50"/>
    </row>
    <row r="3003" spans="2:5" s="4" customFormat="1">
      <c r="B3003" s="28"/>
      <c r="C3003" s="18"/>
      <c r="E3003" s="50"/>
    </row>
    <row r="3004" spans="2:5" s="4" customFormat="1">
      <c r="B3004" s="28"/>
      <c r="C3004" s="18"/>
      <c r="E3004" s="50"/>
    </row>
    <row r="3005" spans="2:5" s="4" customFormat="1">
      <c r="B3005" s="28"/>
      <c r="C3005" s="18"/>
      <c r="E3005" s="50"/>
    </row>
    <row r="3006" spans="2:5" s="4" customFormat="1">
      <c r="B3006" s="28"/>
      <c r="C3006" s="18"/>
      <c r="E3006" s="50"/>
    </row>
    <row r="3007" spans="2:5" s="4" customFormat="1">
      <c r="B3007" s="28"/>
      <c r="C3007" s="18"/>
      <c r="E3007" s="50"/>
    </row>
    <row r="3008" spans="2:5" s="4" customFormat="1">
      <c r="B3008" s="28"/>
      <c r="C3008" s="18"/>
      <c r="E3008" s="50"/>
    </row>
    <row r="3009" spans="2:5" s="4" customFormat="1">
      <c r="B3009" s="28"/>
      <c r="C3009" s="18"/>
      <c r="E3009" s="50"/>
    </row>
    <row r="3010" spans="2:5" s="4" customFormat="1">
      <c r="B3010" s="28"/>
      <c r="C3010" s="18"/>
      <c r="E3010" s="50"/>
    </row>
    <row r="3011" spans="2:5" s="4" customFormat="1">
      <c r="B3011" s="28"/>
      <c r="C3011" s="18"/>
      <c r="E3011" s="50"/>
    </row>
    <row r="3012" spans="2:5" s="4" customFormat="1">
      <c r="B3012" s="28"/>
      <c r="C3012" s="18"/>
      <c r="E3012" s="50"/>
    </row>
    <row r="3013" spans="2:5" s="4" customFormat="1">
      <c r="B3013" s="28"/>
      <c r="C3013" s="18"/>
      <c r="E3013" s="50"/>
    </row>
    <row r="3014" spans="2:5" s="4" customFormat="1">
      <c r="B3014" s="28"/>
      <c r="C3014" s="18"/>
      <c r="E3014" s="50"/>
    </row>
    <row r="3015" spans="2:5" s="4" customFormat="1">
      <c r="B3015" s="28"/>
      <c r="C3015" s="18"/>
      <c r="E3015" s="50"/>
    </row>
    <row r="3016" spans="2:5" s="4" customFormat="1">
      <c r="B3016" s="28"/>
      <c r="C3016" s="18"/>
      <c r="E3016" s="50"/>
    </row>
    <row r="3017" spans="2:5" s="4" customFormat="1">
      <c r="B3017" s="28"/>
      <c r="C3017" s="18"/>
      <c r="E3017" s="50"/>
    </row>
    <row r="3018" spans="2:5" s="4" customFormat="1">
      <c r="B3018" s="28"/>
      <c r="C3018" s="18"/>
      <c r="E3018" s="50"/>
    </row>
    <row r="3019" spans="2:5" s="4" customFormat="1">
      <c r="B3019" s="28"/>
      <c r="C3019" s="18"/>
      <c r="E3019" s="50"/>
    </row>
    <row r="3020" spans="2:5" s="4" customFormat="1">
      <c r="B3020" s="28"/>
      <c r="C3020" s="18"/>
      <c r="E3020" s="50"/>
    </row>
    <row r="3021" spans="2:5" s="4" customFormat="1">
      <c r="B3021" s="28"/>
      <c r="C3021" s="18"/>
      <c r="E3021" s="50"/>
    </row>
    <row r="3022" spans="2:5" s="4" customFormat="1">
      <c r="B3022" s="28"/>
      <c r="C3022" s="18"/>
      <c r="E3022" s="50"/>
    </row>
    <row r="3023" spans="2:5" s="4" customFormat="1">
      <c r="B3023" s="28"/>
      <c r="C3023" s="18"/>
      <c r="E3023" s="50"/>
    </row>
    <row r="3024" spans="2:5" s="4" customFormat="1">
      <c r="B3024" s="28"/>
      <c r="C3024" s="18"/>
      <c r="E3024" s="50"/>
    </row>
    <row r="3025" spans="2:5" s="4" customFormat="1">
      <c r="B3025" s="28"/>
      <c r="C3025" s="18"/>
      <c r="E3025" s="50"/>
    </row>
    <row r="3026" spans="2:5" s="4" customFormat="1">
      <c r="B3026" s="28"/>
      <c r="C3026" s="18"/>
      <c r="E3026" s="50"/>
    </row>
    <row r="3027" spans="2:5" s="4" customFormat="1">
      <c r="B3027" s="28"/>
      <c r="C3027" s="18"/>
      <c r="E3027" s="50"/>
    </row>
    <row r="3028" spans="2:5" s="4" customFormat="1">
      <c r="B3028" s="28"/>
      <c r="C3028" s="18"/>
      <c r="E3028" s="50"/>
    </row>
    <row r="3029" spans="2:5" s="4" customFormat="1">
      <c r="B3029" s="28"/>
      <c r="C3029" s="18"/>
      <c r="E3029" s="50"/>
    </row>
    <row r="3030" spans="2:5" s="4" customFormat="1">
      <c r="B3030" s="28"/>
      <c r="C3030" s="18"/>
      <c r="E3030" s="50"/>
    </row>
    <row r="3031" spans="2:5" s="4" customFormat="1">
      <c r="B3031" s="28"/>
      <c r="C3031" s="18"/>
      <c r="E3031" s="50"/>
    </row>
    <row r="3032" spans="2:5" s="4" customFormat="1">
      <c r="B3032" s="28"/>
      <c r="C3032" s="18"/>
      <c r="E3032" s="50"/>
    </row>
    <row r="3033" spans="2:5" s="4" customFormat="1">
      <c r="B3033" s="28"/>
      <c r="C3033" s="18"/>
      <c r="E3033" s="50"/>
    </row>
    <row r="3034" spans="2:5" s="4" customFormat="1">
      <c r="B3034" s="28"/>
      <c r="C3034" s="18"/>
      <c r="E3034" s="50"/>
    </row>
    <row r="3035" spans="2:5" s="4" customFormat="1">
      <c r="B3035" s="28"/>
      <c r="C3035" s="18"/>
      <c r="E3035" s="50"/>
    </row>
    <row r="3036" spans="2:5" s="4" customFormat="1">
      <c r="B3036" s="28"/>
      <c r="C3036" s="18"/>
      <c r="E3036" s="50"/>
    </row>
    <row r="3037" spans="2:5" s="4" customFormat="1">
      <c r="B3037" s="28"/>
      <c r="C3037" s="18"/>
      <c r="E3037" s="50"/>
    </row>
    <row r="3038" spans="2:5" s="4" customFormat="1">
      <c r="B3038" s="28"/>
      <c r="C3038" s="18"/>
      <c r="E3038" s="50"/>
    </row>
    <row r="3039" spans="2:5" s="4" customFormat="1">
      <c r="B3039" s="28"/>
      <c r="C3039" s="18"/>
      <c r="E3039" s="50"/>
    </row>
    <row r="3040" spans="2:5" s="4" customFormat="1">
      <c r="B3040" s="28"/>
      <c r="C3040" s="18"/>
      <c r="E3040" s="50"/>
    </row>
    <row r="3041" spans="2:5" s="4" customFormat="1">
      <c r="B3041" s="28"/>
      <c r="C3041" s="18"/>
      <c r="E3041" s="50"/>
    </row>
    <row r="3042" spans="2:5" s="4" customFormat="1">
      <c r="B3042" s="28"/>
      <c r="C3042" s="18"/>
      <c r="E3042" s="50"/>
    </row>
    <row r="3043" spans="2:5" s="4" customFormat="1">
      <c r="B3043" s="28"/>
      <c r="C3043" s="18"/>
      <c r="E3043" s="50"/>
    </row>
    <row r="3044" spans="2:5" s="4" customFormat="1">
      <c r="B3044" s="28"/>
      <c r="C3044" s="18"/>
      <c r="E3044" s="50"/>
    </row>
    <row r="3045" spans="2:5" s="4" customFormat="1">
      <c r="B3045" s="28"/>
      <c r="C3045" s="18"/>
      <c r="E3045" s="50"/>
    </row>
    <row r="3046" spans="2:5" s="4" customFormat="1">
      <c r="B3046" s="28"/>
      <c r="C3046" s="18"/>
      <c r="E3046" s="50"/>
    </row>
    <row r="3047" spans="2:5" s="4" customFormat="1">
      <c r="B3047" s="28"/>
      <c r="C3047" s="18"/>
      <c r="E3047" s="50"/>
    </row>
    <row r="3048" spans="2:5" s="4" customFormat="1">
      <c r="B3048" s="28"/>
      <c r="C3048" s="18"/>
      <c r="E3048" s="50"/>
    </row>
    <row r="3049" spans="2:5" s="4" customFormat="1">
      <c r="B3049" s="28"/>
      <c r="C3049" s="18"/>
      <c r="E3049" s="50"/>
    </row>
    <row r="3050" spans="2:5" s="4" customFormat="1">
      <c r="B3050" s="28"/>
      <c r="C3050" s="18"/>
      <c r="E3050" s="50"/>
    </row>
    <row r="3051" spans="2:5" s="4" customFormat="1">
      <c r="B3051" s="28"/>
      <c r="C3051" s="18"/>
      <c r="E3051" s="50"/>
    </row>
    <row r="3052" spans="2:5" s="4" customFormat="1">
      <c r="B3052" s="28"/>
      <c r="C3052" s="18"/>
      <c r="E3052" s="50"/>
    </row>
    <row r="3053" spans="2:5" s="4" customFormat="1">
      <c r="B3053" s="28"/>
      <c r="C3053" s="18"/>
      <c r="E3053" s="50"/>
    </row>
    <row r="3054" spans="2:5" s="4" customFormat="1">
      <c r="B3054" s="28"/>
      <c r="C3054" s="18"/>
      <c r="E3054" s="50"/>
    </row>
    <row r="3055" spans="2:5" s="4" customFormat="1">
      <c r="B3055" s="28"/>
      <c r="C3055" s="18"/>
      <c r="E3055" s="50"/>
    </row>
    <row r="3056" spans="2:5" s="4" customFormat="1">
      <c r="B3056" s="28"/>
      <c r="C3056" s="18"/>
      <c r="E3056" s="50"/>
    </row>
    <row r="3057" spans="2:5" s="4" customFormat="1">
      <c r="B3057" s="28"/>
      <c r="C3057" s="18"/>
      <c r="E3057" s="50"/>
    </row>
    <row r="3058" spans="2:5" s="4" customFormat="1">
      <c r="B3058" s="28"/>
      <c r="C3058" s="18"/>
      <c r="E3058" s="50"/>
    </row>
    <row r="3059" spans="2:5" s="4" customFormat="1">
      <c r="B3059" s="28"/>
      <c r="C3059" s="18"/>
      <c r="E3059" s="50"/>
    </row>
    <row r="3060" spans="2:5" s="4" customFormat="1">
      <c r="B3060" s="28"/>
      <c r="C3060" s="18"/>
      <c r="E3060" s="50"/>
    </row>
    <row r="3061" spans="2:5" s="4" customFormat="1">
      <c r="B3061" s="28"/>
      <c r="C3061" s="18"/>
      <c r="E3061" s="50"/>
    </row>
    <row r="3062" spans="2:5" s="4" customFormat="1">
      <c r="B3062" s="28"/>
      <c r="C3062" s="18"/>
      <c r="E3062" s="50"/>
    </row>
    <row r="3063" spans="2:5" s="4" customFormat="1">
      <c r="B3063" s="28"/>
      <c r="C3063" s="18"/>
      <c r="E3063" s="50"/>
    </row>
    <row r="3064" spans="2:5" s="4" customFormat="1">
      <c r="B3064" s="28"/>
      <c r="C3064" s="18"/>
      <c r="E3064" s="50"/>
    </row>
    <row r="3065" spans="2:5" s="4" customFormat="1">
      <c r="B3065" s="28"/>
      <c r="C3065" s="18"/>
      <c r="E3065" s="50"/>
    </row>
    <row r="3066" spans="2:5" s="4" customFormat="1">
      <c r="B3066" s="28"/>
      <c r="C3066" s="18"/>
      <c r="E3066" s="50"/>
    </row>
    <row r="3067" spans="2:5" s="4" customFormat="1">
      <c r="B3067" s="28"/>
      <c r="C3067" s="18"/>
      <c r="E3067" s="50"/>
    </row>
    <row r="3068" spans="2:5" s="4" customFormat="1">
      <c r="B3068" s="28"/>
      <c r="C3068" s="18"/>
      <c r="E3068" s="50"/>
    </row>
    <row r="3069" spans="2:5" s="4" customFormat="1">
      <c r="B3069" s="28"/>
      <c r="C3069" s="18"/>
      <c r="E3069" s="50"/>
    </row>
    <row r="3070" spans="2:5" s="4" customFormat="1">
      <c r="B3070" s="28"/>
      <c r="C3070" s="18"/>
      <c r="E3070" s="50"/>
    </row>
    <row r="3071" spans="2:5" s="4" customFormat="1">
      <c r="B3071" s="28"/>
      <c r="C3071" s="18"/>
      <c r="E3071" s="50"/>
    </row>
    <row r="3072" spans="2:5" s="4" customFormat="1">
      <c r="B3072" s="28"/>
      <c r="C3072" s="18"/>
      <c r="E3072" s="50"/>
    </row>
    <row r="3073" spans="2:5" s="4" customFormat="1">
      <c r="B3073" s="28"/>
      <c r="C3073" s="18"/>
      <c r="E3073" s="50"/>
    </row>
    <row r="3074" spans="2:5" s="4" customFormat="1">
      <c r="B3074" s="28"/>
      <c r="C3074" s="18"/>
      <c r="E3074" s="50"/>
    </row>
    <row r="3075" spans="2:5" s="4" customFormat="1">
      <c r="B3075" s="28"/>
      <c r="C3075" s="18"/>
      <c r="E3075" s="50"/>
    </row>
    <row r="3076" spans="2:5" s="4" customFormat="1">
      <c r="B3076" s="28"/>
      <c r="C3076" s="18"/>
      <c r="E3076" s="50"/>
    </row>
    <row r="3077" spans="2:5" s="4" customFormat="1">
      <c r="B3077" s="28"/>
      <c r="C3077" s="18"/>
      <c r="E3077" s="50"/>
    </row>
    <row r="3078" spans="2:5" s="4" customFormat="1">
      <c r="B3078" s="28"/>
      <c r="C3078" s="18"/>
      <c r="E3078" s="50"/>
    </row>
    <row r="3079" spans="2:5" s="4" customFormat="1">
      <c r="B3079" s="28"/>
      <c r="C3079" s="18"/>
      <c r="E3079" s="50"/>
    </row>
    <row r="3080" spans="2:5" s="4" customFormat="1">
      <c r="B3080" s="28"/>
      <c r="C3080" s="18"/>
      <c r="E3080" s="50"/>
    </row>
    <row r="3081" spans="2:5" s="4" customFormat="1">
      <c r="B3081" s="28"/>
      <c r="C3081" s="18"/>
      <c r="E3081" s="50"/>
    </row>
    <row r="3082" spans="2:5" s="4" customFormat="1">
      <c r="B3082" s="28"/>
      <c r="C3082" s="18"/>
      <c r="E3082" s="50"/>
    </row>
    <row r="3083" spans="2:5" s="4" customFormat="1">
      <c r="B3083" s="28"/>
      <c r="C3083" s="18"/>
      <c r="E3083" s="50"/>
    </row>
    <row r="3084" spans="2:5" s="4" customFormat="1">
      <c r="B3084" s="28"/>
      <c r="C3084" s="18"/>
      <c r="E3084" s="50"/>
    </row>
    <row r="3085" spans="2:5" s="4" customFormat="1">
      <c r="B3085" s="28"/>
      <c r="C3085" s="18"/>
      <c r="E3085" s="50"/>
    </row>
    <row r="3086" spans="2:5" s="4" customFormat="1">
      <c r="B3086" s="28"/>
      <c r="C3086" s="18"/>
      <c r="E3086" s="50"/>
    </row>
    <row r="3087" spans="2:5" s="4" customFormat="1">
      <c r="B3087" s="28"/>
      <c r="C3087" s="18"/>
      <c r="E3087" s="50"/>
    </row>
    <row r="3088" spans="2:5" s="4" customFormat="1">
      <c r="B3088" s="28"/>
      <c r="C3088" s="18"/>
      <c r="E3088" s="50"/>
    </row>
    <row r="3089" spans="2:5" s="4" customFormat="1">
      <c r="B3089" s="28"/>
      <c r="C3089" s="18"/>
      <c r="E3089" s="50"/>
    </row>
    <row r="3090" spans="2:5" s="4" customFormat="1">
      <c r="B3090" s="28"/>
      <c r="C3090" s="18"/>
      <c r="E3090" s="50"/>
    </row>
    <row r="3091" spans="2:5" s="4" customFormat="1">
      <c r="B3091" s="28"/>
      <c r="C3091" s="18"/>
      <c r="E3091" s="50"/>
    </row>
    <row r="3092" spans="2:5" s="4" customFormat="1">
      <c r="B3092" s="28"/>
      <c r="C3092" s="18"/>
      <c r="E3092" s="50"/>
    </row>
    <row r="3093" spans="2:5" s="4" customFormat="1">
      <c r="B3093" s="28"/>
      <c r="C3093" s="18"/>
      <c r="E3093" s="50"/>
    </row>
    <row r="3094" spans="2:5" s="4" customFormat="1">
      <c r="B3094" s="28"/>
      <c r="C3094" s="18"/>
      <c r="E3094" s="50"/>
    </row>
    <row r="3095" spans="2:5" s="4" customFormat="1">
      <c r="B3095" s="28"/>
      <c r="C3095" s="18"/>
      <c r="E3095" s="50"/>
    </row>
    <row r="3096" spans="2:5" s="4" customFormat="1">
      <c r="B3096" s="28"/>
      <c r="C3096" s="18"/>
      <c r="E3096" s="50"/>
    </row>
    <row r="3097" spans="2:5" s="4" customFormat="1">
      <c r="B3097" s="28"/>
      <c r="C3097" s="18"/>
      <c r="E3097" s="50"/>
    </row>
    <row r="3098" spans="2:5" s="4" customFormat="1">
      <c r="B3098" s="28"/>
      <c r="C3098" s="18"/>
      <c r="E3098" s="50"/>
    </row>
    <row r="3099" spans="2:5" s="4" customFormat="1">
      <c r="B3099" s="28"/>
      <c r="C3099" s="18"/>
      <c r="E3099" s="50"/>
    </row>
    <row r="3100" spans="2:5" s="4" customFormat="1">
      <c r="B3100" s="28"/>
      <c r="C3100" s="18"/>
      <c r="E3100" s="50"/>
    </row>
    <row r="3101" spans="2:5" s="4" customFormat="1">
      <c r="B3101" s="28"/>
      <c r="C3101" s="18"/>
      <c r="E3101" s="50"/>
    </row>
    <row r="3102" spans="2:5" s="4" customFormat="1">
      <c r="B3102" s="28"/>
      <c r="C3102" s="18"/>
      <c r="E3102" s="50"/>
    </row>
    <row r="3103" spans="2:5" s="4" customFormat="1">
      <c r="B3103" s="28"/>
      <c r="C3103" s="18"/>
      <c r="E3103" s="50"/>
    </row>
    <row r="3104" spans="2:5" s="4" customFormat="1">
      <c r="B3104" s="28"/>
      <c r="C3104" s="18"/>
      <c r="E3104" s="50"/>
    </row>
    <row r="3105" spans="2:5" s="4" customFormat="1">
      <c r="B3105" s="28"/>
      <c r="C3105" s="18"/>
      <c r="E3105" s="50"/>
    </row>
    <row r="3106" spans="2:5" s="4" customFormat="1">
      <c r="B3106" s="28"/>
      <c r="C3106" s="18"/>
      <c r="E3106" s="50"/>
    </row>
    <row r="3107" spans="2:5" s="4" customFormat="1">
      <c r="B3107" s="28"/>
      <c r="C3107" s="18"/>
      <c r="E3107" s="50"/>
    </row>
    <row r="3108" spans="2:5" s="4" customFormat="1">
      <c r="B3108" s="28"/>
      <c r="C3108" s="18"/>
      <c r="E3108" s="50"/>
    </row>
    <row r="3109" spans="2:5" s="4" customFormat="1">
      <c r="B3109" s="28"/>
      <c r="C3109" s="18"/>
      <c r="E3109" s="50"/>
    </row>
    <row r="3110" spans="2:5" s="4" customFormat="1">
      <c r="B3110" s="28"/>
      <c r="C3110" s="18"/>
      <c r="E3110" s="50"/>
    </row>
    <row r="3111" spans="2:5" s="4" customFormat="1">
      <c r="B3111" s="28"/>
      <c r="C3111" s="18"/>
      <c r="E3111" s="50"/>
    </row>
    <row r="3112" spans="2:5" s="4" customFormat="1">
      <c r="B3112" s="28"/>
      <c r="C3112" s="18"/>
      <c r="E3112" s="50"/>
    </row>
    <row r="3113" spans="2:5" s="4" customFormat="1">
      <c r="B3113" s="28"/>
      <c r="C3113" s="18"/>
      <c r="E3113" s="50"/>
    </row>
    <row r="3114" spans="2:5" s="4" customFormat="1">
      <c r="B3114" s="28"/>
      <c r="C3114" s="18"/>
      <c r="E3114" s="50"/>
    </row>
    <row r="3115" spans="2:5" s="4" customFormat="1">
      <c r="B3115" s="28"/>
      <c r="C3115" s="18"/>
      <c r="E3115" s="50"/>
    </row>
    <row r="3116" spans="2:5" s="4" customFormat="1">
      <c r="B3116" s="28"/>
      <c r="C3116" s="18"/>
      <c r="E3116" s="50"/>
    </row>
    <row r="3117" spans="2:5" s="4" customFormat="1">
      <c r="B3117" s="28"/>
      <c r="C3117" s="18"/>
      <c r="E3117" s="50"/>
    </row>
    <row r="3118" spans="2:5" s="4" customFormat="1">
      <c r="B3118" s="28"/>
      <c r="C3118" s="18"/>
      <c r="E3118" s="50"/>
    </row>
    <row r="3119" spans="2:5" s="4" customFormat="1">
      <c r="B3119" s="28"/>
      <c r="C3119" s="18"/>
      <c r="E3119" s="50"/>
    </row>
    <row r="3120" spans="2:5" s="4" customFormat="1">
      <c r="B3120" s="28"/>
      <c r="C3120" s="18"/>
      <c r="E3120" s="50"/>
    </row>
    <row r="3121" spans="2:5" s="4" customFormat="1">
      <c r="B3121" s="28"/>
      <c r="C3121" s="18"/>
      <c r="E3121" s="50"/>
    </row>
    <row r="3122" spans="2:5" s="4" customFormat="1">
      <c r="B3122" s="28"/>
      <c r="C3122" s="18"/>
      <c r="E3122" s="50"/>
    </row>
    <row r="3123" spans="2:5" s="4" customFormat="1">
      <c r="B3123" s="28"/>
      <c r="C3123" s="18"/>
      <c r="E3123" s="50"/>
    </row>
    <row r="3124" spans="2:5" s="4" customFormat="1">
      <c r="B3124" s="28"/>
      <c r="C3124" s="18"/>
      <c r="E3124" s="50"/>
    </row>
    <row r="3125" spans="2:5" s="4" customFormat="1">
      <c r="B3125" s="28"/>
      <c r="C3125" s="18"/>
      <c r="E3125" s="50"/>
    </row>
    <row r="3126" spans="2:5" s="4" customFormat="1">
      <c r="B3126" s="28"/>
      <c r="C3126" s="18"/>
      <c r="E3126" s="50"/>
    </row>
    <row r="3127" spans="2:5" s="4" customFormat="1">
      <c r="B3127" s="28"/>
      <c r="C3127" s="18"/>
      <c r="E3127" s="50"/>
    </row>
    <row r="3128" spans="2:5" s="4" customFormat="1">
      <c r="B3128" s="28"/>
      <c r="C3128" s="18"/>
      <c r="E3128" s="50"/>
    </row>
    <row r="3129" spans="2:5" s="4" customFormat="1">
      <c r="B3129" s="28"/>
      <c r="C3129" s="18"/>
      <c r="E3129" s="50"/>
    </row>
    <row r="3130" spans="2:5" s="4" customFormat="1">
      <c r="B3130" s="28"/>
      <c r="C3130" s="18"/>
      <c r="E3130" s="50"/>
    </row>
    <row r="3131" spans="2:5" s="4" customFormat="1">
      <c r="B3131" s="28"/>
      <c r="C3131" s="18"/>
      <c r="E3131" s="50"/>
    </row>
    <row r="3132" spans="2:5" s="4" customFormat="1">
      <c r="B3132" s="28"/>
      <c r="C3132" s="18"/>
      <c r="E3132" s="50"/>
    </row>
    <row r="3133" spans="2:5" s="4" customFormat="1">
      <c r="B3133" s="28"/>
      <c r="C3133" s="18"/>
      <c r="E3133" s="50"/>
    </row>
    <row r="3134" spans="2:5" s="4" customFormat="1">
      <c r="B3134" s="28"/>
      <c r="C3134" s="18"/>
      <c r="E3134" s="50"/>
    </row>
    <row r="3135" spans="2:5" s="4" customFormat="1">
      <c r="B3135" s="28"/>
      <c r="C3135" s="18"/>
      <c r="E3135" s="50"/>
    </row>
    <row r="3136" spans="2:5" s="4" customFormat="1">
      <c r="B3136" s="28"/>
      <c r="C3136" s="18"/>
      <c r="E3136" s="50"/>
    </row>
    <row r="3137" spans="2:5" s="4" customFormat="1">
      <c r="B3137" s="28"/>
      <c r="C3137" s="18"/>
      <c r="E3137" s="50"/>
    </row>
    <row r="3138" spans="2:5" s="4" customFormat="1">
      <c r="B3138" s="28"/>
      <c r="C3138" s="18"/>
      <c r="E3138" s="50"/>
    </row>
    <row r="3139" spans="2:5" s="4" customFormat="1">
      <c r="B3139" s="28"/>
      <c r="C3139" s="18"/>
      <c r="E3139" s="50"/>
    </row>
    <row r="3140" spans="2:5" s="4" customFormat="1">
      <c r="B3140" s="28"/>
      <c r="C3140" s="18"/>
      <c r="E3140" s="50"/>
    </row>
    <row r="3141" spans="2:5" s="4" customFormat="1">
      <c r="B3141" s="28"/>
      <c r="C3141" s="18"/>
      <c r="E3141" s="50"/>
    </row>
    <row r="3142" spans="2:5" s="4" customFormat="1">
      <c r="B3142" s="28"/>
      <c r="C3142" s="18"/>
      <c r="E3142" s="50"/>
    </row>
    <row r="3143" spans="2:5" s="4" customFormat="1">
      <c r="B3143" s="28"/>
      <c r="C3143" s="18"/>
      <c r="E3143" s="50"/>
    </row>
    <row r="3144" spans="2:5" s="4" customFormat="1">
      <c r="B3144" s="28"/>
      <c r="C3144" s="18"/>
      <c r="E3144" s="50"/>
    </row>
    <row r="3145" spans="2:5" s="4" customFormat="1">
      <c r="B3145" s="28"/>
      <c r="C3145" s="18"/>
      <c r="E3145" s="50"/>
    </row>
    <row r="3146" spans="2:5" s="4" customFormat="1">
      <c r="B3146" s="28"/>
      <c r="C3146" s="18"/>
      <c r="E3146" s="50"/>
    </row>
    <row r="3147" spans="2:5" s="4" customFormat="1">
      <c r="B3147" s="28"/>
      <c r="C3147" s="18"/>
      <c r="E3147" s="50"/>
    </row>
    <row r="3148" spans="2:5" s="4" customFormat="1">
      <c r="B3148" s="28"/>
      <c r="C3148" s="18"/>
      <c r="E3148" s="50"/>
    </row>
    <row r="3149" spans="2:5" s="4" customFormat="1">
      <c r="B3149" s="28"/>
      <c r="C3149" s="18"/>
      <c r="E3149" s="50"/>
    </row>
    <row r="3150" spans="2:5" s="4" customFormat="1">
      <c r="B3150" s="28"/>
      <c r="C3150" s="18"/>
      <c r="E3150" s="50"/>
    </row>
    <row r="3151" spans="2:5" s="4" customFormat="1">
      <c r="B3151" s="28"/>
      <c r="C3151" s="18"/>
      <c r="E3151" s="50"/>
    </row>
    <row r="3152" spans="2:5" s="4" customFormat="1">
      <c r="B3152" s="28"/>
      <c r="C3152" s="18"/>
      <c r="E3152" s="50"/>
    </row>
    <row r="3153" spans="2:5" s="4" customFormat="1">
      <c r="B3153" s="28"/>
      <c r="C3153" s="18"/>
      <c r="E3153" s="50"/>
    </row>
    <row r="3154" spans="2:5" s="4" customFormat="1">
      <c r="B3154" s="28"/>
      <c r="C3154" s="18"/>
      <c r="E3154" s="50"/>
    </row>
    <row r="3155" spans="2:5" s="4" customFormat="1">
      <c r="B3155" s="28"/>
      <c r="C3155" s="18"/>
      <c r="E3155" s="50"/>
    </row>
    <row r="3156" spans="2:5" s="4" customFormat="1">
      <c r="B3156" s="28"/>
      <c r="C3156" s="18"/>
      <c r="E3156" s="50"/>
    </row>
    <row r="3157" spans="2:5" s="4" customFormat="1">
      <c r="B3157" s="28"/>
      <c r="C3157" s="18"/>
      <c r="E3157" s="50"/>
    </row>
    <row r="3158" spans="2:5" s="4" customFormat="1">
      <c r="B3158" s="28"/>
      <c r="C3158" s="18"/>
      <c r="E3158" s="50"/>
    </row>
    <row r="3159" spans="2:5" s="4" customFormat="1">
      <c r="B3159" s="28"/>
      <c r="C3159" s="18"/>
      <c r="E3159" s="50"/>
    </row>
    <row r="3160" spans="2:5" s="4" customFormat="1">
      <c r="B3160" s="28"/>
      <c r="C3160" s="18"/>
      <c r="E3160" s="50"/>
    </row>
    <row r="3161" spans="2:5" s="4" customFormat="1">
      <c r="B3161" s="28"/>
      <c r="C3161" s="18"/>
      <c r="E3161" s="50"/>
    </row>
    <row r="3162" spans="2:5" s="4" customFormat="1">
      <c r="B3162" s="28"/>
      <c r="C3162" s="18"/>
      <c r="E3162" s="50"/>
    </row>
    <row r="3163" spans="2:5" s="4" customFormat="1">
      <c r="B3163" s="28"/>
      <c r="C3163" s="18"/>
      <c r="E3163" s="50"/>
    </row>
    <row r="3164" spans="2:5" s="4" customFormat="1">
      <c r="B3164" s="28"/>
      <c r="C3164" s="18"/>
      <c r="E3164" s="50"/>
    </row>
    <row r="3165" spans="2:5" s="4" customFormat="1">
      <c r="B3165" s="28"/>
      <c r="C3165" s="18"/>
      <c r="E3165" s="50"/>
    </row>
    <row r="3166" spans="2:5" s="4" customFormat="1">
      <c r="B3166" s="28"/>
      <c r="C3166" s="18"/>
      <c r="E3166" s="50"/>
    </row>
    <row r="3167" spans="2:5" s="4" customFormat="1">
      <c r="B3167" s="28"/>
      <c r="C3167" s="18"/>
      <c r="E3167" s="50"/>
    </row>
    <row r="3168" spans="2:5" s="4" customFormat="1">
      <c r="B3168" s="28"/>
      <c r="C3168" s="18"/>
      <c r="E3168" s="50"/>
    </row>
    <row r="3169" spans="2:5" s="4" customFormat="1">
      <c r="B3169" s="28"/>
      <c r="C3169" s="18"/>
      <c r="E3169" s="50"/>
    </row>
    <row r="3170" spans="2:5" s="4" customFormat="1">
      <c r="B3170" s="28"/>
      <c r="C3170" s="18"/>
      <c r="E3170" s="50"/>
    </row>
    <row r="3171" spans="2:5" s="4" customFormat="1">
      <c r="B3171" s="28"/>
      <c r="C3171" s="18"/>
      <c r="E3171" s="50"/>
    </row>
    <row r="3172" spans="2:5" s="4" customFormat="1">
      <c r="B3172" s="28"/>
      <c r="C3172" s="18"/>
      <c r="E3172" s="50"/>
    </row>
    <row r="3173" spans="2:5" s="4" customFormat="1">
      <c r="B3173" s="28"/>
      <c r="C3173" s="18"/>
      <c r="E3173" s="50"/>
    </row>
    <row r="3174" spans="2:5" s="4" customFormat="1">
      <c r="B3174" s="28"/>
      <c r="C3174" s="18"/>
      <c r="E3174" s="50"/>
    </row>
    <row r="3175" spans="2:5" s="4" customFormat="1">
      <c r="B3175" s="28"/>
      <c r="C3175" s="18"/>
      <c r="E3175" s="50"/>
    </row>
    <row r="3176" spans="2:5" s="4" customFormat="1">
      <c r="B3176" s="28"/>
      <c r="C3176" s="18"/>
      <c r="E3176" s="50"/>
    </row>
    <row r="3177" spans="2:5" s="4" customFormat="1">
      <c r="B3177" s="28"/>
      <c r="C3177" s="18"/>
      <c r="E3177" s="50"/>
    </row>
    <row r="3178" spans="2:5" s="4" customFormat="1">
      <c r="B3178" s="28"/>
      <c r="C3178" s="18"/>
      <c r="E3178" s="50"/>
    </row>
    <row r="3179" spans="2:5" s="4" customFormat="1">
      <c r="B3179" s="28"/>
      <c r="C3179" s="18"/>
      <c r="E3179" s="50"/>
    </row>
    <row r="3180" spans="2:5" s="4" customFormat="1">
      <c r="B3180" s="28"/>
      <c r="C3180" s="18"/>
      <c r="E3180" s="50"/>
    </row>
    <row r="3181" spans="2:5" s="4" customFormat="1">
      <c r="B3181" s="28"/>
      <c r="C3181" s="18"/>
      <c r="E3181" s="50"/>
    </row>
    <row r="3182" spans="2:5" s="4" customFormat="1">
      <c r="B3182" s="28"/>
      <c r="C3182" s="18"/>
      <c r="E3182" s="50"/>
    </row>
    <row r="3183" spans="2:5" s="4" customFormat="1">
      <c r="B3183" s="28"/>
      <c r="C3183" s="18"/>
      <c r="E3183" s="50"/>
    </row>
    <row r="3184" spans="2:5" s="4" customFormat="1">
      <c r="B3184" s="28"/>
      <c r="C3184" s="18"/>
      <c r="E3184" s="50"/>
    </row>
    <row r="3185" spans="2:5" s="4" customFormat="1">
      <c r="B3185" s="28"/>
      <c r="C3185" s="18"/>
      <c r="E3185" s="50"/>
    </row>
    <row r="3186" spans="2:5" s="4" customFormat="1">
      <c r="B3186" s="28"/>
      <c r="C3186" s="18"/>
      <c r="E3186" s="50"/>
    </row>
    <row r="3187" spans="2:5" s="4" customFormat="1">
      <c r="B3187" s="28"/>
      <c r="C3187" s="18"/>
      <c r="E3187" s="50"/>
    </row>
    <row r="3188" spans="2:5" s="4" customFormat="1">
      <c r="B3188" s="28"/>
      <c r="C3188" s="18"/>
      <c r="E3188" s="50"/>
    </row>
    <row r="3189" spans="2:5" s="4" customFormat="1">
      <c r="B3189" s="28"/>
      <c r="C3189" s="18"/>
      <c r="E3189" s="50"/>
    </row>
    <row r="3190" spans="2:5" s="4" customFormat="1">
      <c r="B3190" s="28"/>
      <c r="C3190" s="18"/>
      <c r="E3190" s="50"/>
    </row>
    <row r="3191" spans="2:5" s="4" customFormat="1">
      <c r="B3191" s="28"/>
      <c r="C3191" s="18"/>
      <c r="E3191" s="50"/>
    </row>
    <row r="3192" spans="2:5" s="4" customFormat="1">
      <c r="B3192" s="28"/>
      <c r="C3192" s="18"/>
      <c r="E3192" s="50"/>
    </row>
    <row r="3193" spans="2:5" s="4" customFormat="1">
      <c r="B3193" s="28"/>
      <c r="C3193" s="18"/>
      <c r="E3193" s="50"/>
    </row>
    <row r="3194" spans="2:5" s="4" customFormat="1">
      <c r="B3194" s="28"/>
      <c r="C3194" s="18"/>
      <c r="E3194" s="50"/>
    </row>
    <row r="3195" spans="2:5" s="4" customFormat="1">
      <c r="B3195" s="28"/>
      <c r="C3195" s="18"/>
      <c r="E3195" s="50"/>
    </row>
    <row r="3196" spans="2:5" s="4" customFormat="1">
      <c r="B3196" s="28"/>
      <c r="C3196" s="18"/>
      <c r="E3196" s="50"/>
    </row>
    <row r="3197" spans="2:5" s="4" customFormat="1">
      <c r="B3197" s="28"/>
      <c r="C3197" s="18"/>
      <c r="E3197" s="50"/>
    </row>
    <row r="3198" spans="2:5" s="4" customFormat="1">
      <c r="B3198" s="28"/>
      <c r="C3198" s="18"/>
      <c r="E3198" s="50"/>
    </row>
    <row r="3199" spans="2:5" s="4" customFormat="1">
      <c r="B3199" s="28"/>
      <c r="C3199" s="18"/>
      <c r="E3199" s="50"/>
    </row>
    <row r="3200" spans="2:5" s="4" customFormat="1">
      <c r="B3200" s="28"/>
      <c r="C3200" s="18"/>
      <c r="E3200" s="50"/>
    </row>
    <row r="3201" spans="2:5" s="4" customFormat="1">
      <c r="B3201" s="28"/>
      <c r="C3201" s="18"/>
      <c r="E3201" s="50"/>
    </row>
    <row r="3202" spans="2:5" s="4" customFormat="1">
      <c r="B3202" s="28"/>
      <c r="C3202" s="18"/>
      <c r="E3202" s="50"/>
    </row>
    <row r="3203" spans="2:5" s="4" customFormat="1">
      <c r="B3203" s="28"/>
      <c r="C3203" s="18"/>
      <c r="E3203" s="50"/>
    </row>
    <row r="3204" spans="2:5" s="4" customFormat="1">
      <c r="B3204" s="28"/>
      <c r="C3204" s="18"/>
      <c r="E3204" s="50"/>
    </row>
    <row r="3205" spans="2:5" s="4" customFormat="1">
      <c r="B3205" s="28"/>
      <c r="C3205" s="18"/>
      <c r="E3205" s="50"/>
    </row>
    <row r="3206" spans="2:5" s="4" customFormat="1">
      <c r="B3206" s="28"/>
      <c r="C3206" s="18"/>
      <c r="E3206" s="50"/>
    </row>
    <row r="3207" spans="2:5" s="4" customFormat="1">
      <c r="B3207" s="28"/>
      <c r="C3207" s="18"/>
      <c r="E3207" s="50"/>
    </row>
    <row r="3208" spans="2:5" s="4" customFormat="1">
      <c r="B3208" s="28"/>
      <c r="C3208" s="18"/>
      <c r="E3208" s="50"/>
    </row>
    <row r="3209" spans="2:5" s="4" customFormat="1">
      <c r="B3209" s="28"/>
      <c r="C3209" s="18"/>
      <c r="E3209" s="50"/>
    </row>
    <row r="3210" spans="2:5" s="4" customFormat="1">
      <c r="B3210" s="28"/>
      <c r="C3210" s="18"/>
      <c r="E3210" s="50"/>
    </row>
    <row r="3211" spans="2:5" s="4" customFormat="1">
      <c r="B3211" s="28"/>
      <c r="C3211" s="18"/>
      <c r="E3211" s="50"/>
    </row>
    <row r="3212" spans="2:5" s="4" customFormat="1">
      <c r="B3212" s="28"/>
      <c r="C3212" s="18"/>
      <c r="E3212" s="50"/>
    </row>
    <row r="3213" spans="2:5" s="4" customFormat="1">
      <c r="B3213" s="28"/>
      <c r="C3213" s="18"/>
      <c r="E3213" s="50"/>
    </row>
    <row r="3214" spans="2:5" s="4" customFormat="1">
      <c r="B3214" s="28"/>
      <c r="C3214" s="18"/>
      <c r="E3214" s="50"/>
    </row>
    <row r="3215" spans="2:5" s="4" customFormat="1">
      <c r="B3215" s="28"/>
      <c r="C3215" s="18"/>
      <c r="E3215" s="50"/>
    </row>
    <row r="3216" spans="2:5" s="4" customFormat="1">
      <c r="B3216" s="28"/>
      <c r="C3216" s="18"/>
      <c r="E3216" s="50"/>
    </row>
    <row r="3217" spans="2:5" s="4" customFormat="1">
      <c r="B3217" s="28"/>
      <c r="C3217" s="18"/>
      <c r="E3217" s="50"/>
    </row>
    <row r="3218" spans="2:5" s="4" customFormat="1">
      <c r="B3218" s="28"/>
      <c r="C3218" s="18"/>
      <c r="E3218" s="50"/>
    </row>
    <row r="3219" spans="2:5" s="4" customFormat="1">
      <c r="B3219" s="28"/>
      <c r="C3219" s="18"/>
      <c r="E3219" s="50"/>
    </row>
    <row r="3220" spans="2:5" s="4" customFormat="1">
      <c r="B3220" s="28"/>
      <c r="C3220" s="18"/>
      <c r="E3220" s="50"/>
    </row>
    <row r="3221" spans="2:5" s="4" customFormat="1">
      <c r="B3221" s="28"/>
      <c r="C3221" s="18"/>
      <c r="E3221" s="50"/>
    </row>
    <row r="3222" spans="2:5" s="4" customFormat="1">
      <c r="B3222" s="28"/>
      <c r="C3222" s="18"/>
      <c r="E3222" s="50"/>
    </row>
    <row r="3223" spans="2:5" s="4" customFormat="1">
      <c r="B3223" s="28"/>
      <c r="C3223" s="18"/>
      <c r="E3223" s="50"/>
    </row>
    <row r="3224" spans="2:5" s="4" customFormat="1">
      <c r="B3224" s="28"/>
      <c r="C3224" s="18"/>
      <c r="E3224" s="50"/>
    </row>
    <row r="3225" spans="2:5" s="4" customFormat="1">
      <c r="B3225" s="28"/>
      <c r="C3225" s="18"/>
      <c r="E3225" s="50"/>
    </row>
    <row r="3226" spans="2:5" s="4" customFormat="1">
      <c r="B3226" s="28"/>
      <c r="C3226" s="18"/>
      <c r="E3226" s="50"/>
    </row>
    <row r="3227" spans="2:5" s="4" customFormat="1">
      <c r="B3227" s="28"/>
      <c r="C3227" s="18"/>
      <c r="E3227" s="50"/>
    </row>
    <row r="3228" spans="2:5" s="4" customFormat="1">
      <c r="B3228" s="28"/>
      <c r="C3228" s="18"/>
      <c r="E3228" s="50"/>
    </row>
    <row r="3229" spans="2:5" s="4" customFormat="1">
      <c r="B3229" s="28"/>
      <c r="C3229" s="18"/>
      <c r="E3229" s="50"/>
    </row>
    <row r="3230" spans="2:5" s="4" customFormat="1">
      <c r="B3230" s="28"/>
      <c r="C3230" s="18"/>
      <c r="E3230" s="50"/>
    </row>
    <row r="3231" spans="2:5" s="4" customFormat="1">
      <c r="B3231" s="28"/>
      <c r="C3231" s="18"/>
      <c r="E3231" s="50"/>
    </row>
    <row r="3232" spans="2:5" s="4" customFormat="1">
      <c r="B3232" s="28"/>
      <c r="C3232" s="18"/>
      <c r="E3232" s="50"/>
    </row>
    <row r="3233" spans="2:5" s="4" customFormat="1">
      <c r="B3233" s="28"/>
      <c r="C3233" s="18"/>
      <c r="E3233" s="50"/>
    </row>
    <row r="3234" spans="2:5" s="4" customFormat="1">
      <c r="B3234" s="28"/>
      <c r="C3234" s="18"/>
      <c r="E3234" s="50"/>
    </row>
    <row r="3235" spans="2:5" s="4" customFormat="1">
      <c r="B3235" s="28"/>
      <c r="C3235" s="18"/>
      <c r="E3235" s="50"/>
    </row>
    <row r="3236" spans="2:5" s="4" customFormat="1">
      <c r="B3236" s="28"/>
      <c r="C3236" s="18"/>
      <c r="E3236" s="50"/>
    </row>
    <row r="3237" spans="2:5" s="4" customFormat="1">
      <c r="B3237" s="28"/>
      <c r="C3237" s="18"/>
      <c r="E3237" s="50"/>
    </row>
    <row r="3238" spans="2:5" s="4" customFormat="1">
      <c r="B3238" s="28"/>
      <c r="C3238" s="18"/>
      <c r="E3238" s="50"/>
    </row>
    <row r="3239" spans="2:5" s="4" customFormat="1">
      <c r="B3239" s="28"/>
      <c r="C3239" s="18"/>
      <c r="E3239" s="50"/>
    </row>
    <row r="3240" spans="2:5" s="4" customFormat="1">
      <c r="B3240" s="28"/>
      <c r="C3240" s="18"/>
      <c r="E3240" s="50"/>
    </row>
    <row r="3241" spans="2:5" s="4" customFormat="1">
      <c r="B3241" s="28"/>
      <c r="C3241" s="18"/>
      <c r="E3241" s="50"/>
    </row>
    <row r="3242" spans="2:5" s="4" customFormat="1">
      <c r="B3242" s="28"/>
      <c r="C3242" s="18"/>
      <c r="E3242" s="50"/>
    </row>
    <row r="3243" spans="2:5" s="4" customFormat="1">
      <c r="B3243" s="28"/>
      <c r="C3243" s="18"/>
      <c r="E3243" s="50"/>
    </row>
    <row r="3244" spans="2:5" s="4" customFormat="1">
      <c r="B3244" s="28"/>
      <c r="C3244" s="18"/>
      <c r="E3244" s="50"/>
    </row>
    <row r="3245" spans="2:5" s="4" customFormat="1">
      <c r="B3245" s="28"/>
      <c r="C3245" s="18"/>
      <c r="E3245" s="50"/>
    </row>
    <row r="3246" spans="2:5" s="4" customFormat="1">
      <c r="B3246" s="28"/>
      <c r="C3246" s="18"/>
      <c r="E3246" s="50"/>
    </row>
    <row r="3247" spans="2:5" s="4" customFormat="1">
      <c r="B3247" s="28"/>
      <c r="C3247" s="18"/>
      <c r="E3247" s="50"/>
    </row>
    <row r="3248" spans="2:5" s="4" customFormat="1">
      <c r="B3248" s="28"/>
      <c r="C3248" s="18"/>
      <c r="E3248" s="50"/>
    </row>
    <row r="3249" spans="2:5" s="4" customFormat="1">
      <c r="B3249" s="28"/>
      <c r="C3249" s="18"/>
      <c r="E3249" s="50"/>
    </row>
    <row r="3250" spans="2:5" s="4" customFormat="1">
      <c r="B3250" s="28"/>
      <c r="C3250" s="18"/>
      <c r="E3250" s="50"/>
    </row>
    <row r="3251" spans="2:5" s="4" customFormat="1">
      <c r="B3251" s="28"/>
      <c r="C3251" s="18"/>
      <c r="E3251" s="50"/>
    </row>
    <row r="3252" spans="2:5" s="4" customFormat="1">
      <c r="B3252" s="28"/>
      <c r="C3252" s="18"/>
      <c r="E3252" s="50"/>
    </row>
    <row r="3253" spans="2:5" s="4" customFormat="1">
      <c r="B3253" s="28"/>
      <c r="C3253" s="18"/>
      <c r="E3253" s="50"/>
    </row>
    <row r="3254" spans="2:5" s="4" customFormat="1">
      <c r="B3254" s="28"/>
      <c r="C3254" s="18"/>
      <c r="E3254" s="50"/>
    </row>
    <row r="3255" spans="2:5" s="4" customFormat="1">
      <c r="B3255" s="28"/>
      <c r="C3255" s="18"/>
      <c r="E3255" s="50"/>
    </row>
    <row r="3256" spans="2:5" s="4" customFormat="1">
      <c r="B3256" s="28"/>
      <c r="C3256" s="18"/>
      <c r="E3256" s="50"/>
    </row>
    <row r="3257" spans="2:5" s="4" customFormat="1">
      <c r="B3257" s="28"/>
      <c r="C3257" s="18"/>
      <c r="E3257" s="50"/>
    </row>
    <row r="3258" spans="2:5" s="4" customFormat="1">
      <c r="B3258" s="28"/>
      <c r="C3258" s="18"/>
      <c r="E3258" s="50"/>
    </row>
    <row r="3259" spans="2:5" s="4" customFormat="1">
      <c r="B3259" s="28"/>
      <c r="C3259" s="18"/>
      <c r="E3259" s="50"/>
    </row>
    <row r="3260" spans="2:5" s="4" customFormat="1">
      <c r="B3260" s="28"/>
      <c r="C3260" s="18"/>
      <c r="E3260" s="50"/>
    </row>
    <row r="3261" spans="2:5" s="4" customFormat="1">
      <c r="B3261" s="28"/>
      <c r="C3261" s="18"/>
      <c r="E3261" s="50"/>
    </row>
    <row r="3262" spans="2:5" s="4" customFormat="1">
      <c r="B3262" s="28"/>
      <c r="C3262" s="18"/>
      <c r="E3262" s="50"/>
    </row>
    <row r="3263" spans="2:5" s="4" customFormat="1">
      <c r="B3263" s="28"/>
      <c r="C3263" s="18"/>
      <c r="E3263" s="50"/>
    </row>
    <row r="3264" spans="2:5" s="4" customFormat="1">
      <c r="B3264" s="28"/>
      <c r="C3264" s="18"/>
      <c r="E3264" s="50"/>
    </row>
    <row r="3265" spans="2:5" s="4" customFormat="1">
      <c r="B3265" s="28"/>
      <c r="C3265" s="18"/>
      <c r="E3265" s="50"/>
    </row>
    <row r="3266" spans="2:5" s="4" customFormat="1">
      <c r="B3266" s="28"/>
      <c r="C3266" s="18"/>
      <c r="E3266" s="50"/>
    </row>
    <row r="3267" spans="2:5" s="4" customFormat="1">
      <c r="B3267" s="28"/>
      <c r="C3267" s="18"/>
      <c r="E3267" s="50"/>
    </row>
    <row r="3268" spans="2:5" s="4" customFormat="1">
      <c r="B3268" s="28"/>
      <c r="C3268" s="18"/>
      <c r="E3268" s="50"/>
    </row>
    <row r="3269" spans="2:5" s="4" customFormat="1">
      <c r="B3269" s="28"/>
      <c r="C3269" s="18"/>
      <c r="E3269" s="50"/>
    </row>
    <row r="3270" spans="2:5" s="4" customFormat="1">
      <c r="B3270" s="28"/>
      <c r="C3270" s="18"/>
      <c r="E3270" s="50"/>
    </row>
    <row r="3271" spans="2:5" s="4" customFormat="1">
      <c r="B3271" s="28"/>
      <c r="C3271" s="18"/>
      <c r="E3271" s="50"/>
    </row>
    <row r="3272" spans="2:5" s="4" customFormat="1">
      <c r="B3272" s="28"/>
      <c r="C3272" s="18"/>
      <c r="E3272" s="50"/>
    </row>
    <row r="3273" spans="2:5" s="4" customFormat="1">
      <c r="B3273" s="28"/>
      <c r="C3273" s="18"/>
      <c r="E3273" s="50"/>
    </row>
    <row r="3274" spans="2:5" s="4" customFormat="1">
      <c r="B3274" s="28"/>
      <c r="C3274" s="18"/>
      <c r="E3274" s="50"/>
    </row>
    <row r="3275" spans="2:5" s="4" customFormat="1">
      <c r="B3275" s="28"/>
      <c r="C3275" s="18"/>
      <c r="E3275" s="50"/>
    </row>
    <row r="3276" spans="2:5" s="4" customFormat="1">
      <c r="B3276" s="28"/>
      <c r="C3276" s="18"/>
      <c r="E3276" s="50"/>
    </row>
    <row r="3277" spans="2:5" s="4" customFormat="1">
      <c r="B3277" s="28"/>
      <c r="C3277" s="18"/>
      <c r="E3277" s="50"/>
    </row>
    <row r="3278" spans="2:5" s="4" customFormat="1">
      <c r="B3278" s="28"/>
      <c r="C3278" s="18"/>
      <c r="E3278" s="50"/>
    </row>
    <row r="3279" spans="2:5" s="4" customFormat="1">
      <c r="B3279" s="28"/>
      <c r="C3279" s="18"/>
      <c r="E3279" s="50"/>
    </row>
    <row r="3280" spans="2:5" s="4" customFormat="1">
      <c r="B3280" s="28"/>
      <c r="C3280" s="18"/>
      <c r="E3280" s="50"/>
    </row>
    <row r="3281" spans="2:5" s="4" customFormat="1">
      <c r="B3281" s="28"/>
      <c r="C3281" s="18"/>
      <c r="E3281" s="50"/>
    </row>
    <row r="3282" spans="2:5" s="4" customFormat="1">
      <c r="B3282" s="28"/>
      <c r="C3282" s="18"/>
      <c r="E3282" s="50"/>
    </row>
    <row r="3283" spans="2:5" s="4" customFormat="1">
      <c r="B3283" s="28"/>
      <c r="C3283" s="18"/>
      <c r="E3283" s="50"/>
    </row>
    <row r="3284" spans="2:5" s="4" customFormat="1">
      <c r="B3284" s="28"/>
      <c r="C3284" s="18"/>
      <c r="E3284" s="50"/>
    </row>
    <row r="3285" spans="2:5" s="4" customFormat="1">
      <c r="B3285" s="28"/>
      <c r="C3285" s="18"/>
      <c r="E3285" s="50"/>
    </row>
    <row r="3286" spans="2:5" s="4" customFormat="1">
      <c r="B3286" s="28"/>
      <c r="C3286" s="18"/>
      <c r="E3286" s="50"/>
    </row>
    <row r="3287" spans="2:5" s="4" customFormat="1">
      <c r="B3287" s="28"/>
      <c r="C3287" s="18"/>
      <c r="E3287" s="50"/>
    </row>
    <row r="3288" spans="2:5" s="4" customFormat="1">
      <c r="B3288" s="28"/>
      <c r="C3288" s="18"/>
      <c r="E3288" s="50"/>
    </row>
    <row r="3289" spans="2:5" s="4" customFormat="1">
      <c r="B3289" s="28"/>
      <c r="C3289" s="18"/>
      <c r="E3289" s="50"/>
    </row>
    <row r="3290" spans="2:5" s="4" customFormat="1">
      <c r="B3290" s="28"/>
      <c r="C3290" s="18"/>
      <c r="E3290" s="50"/>
    </row>
    <row r="3291" spans="2:5" s="4" customFormat="1">
      <c r="B3291" s="28"/>
      <c r="C3291" s="18"/>
      <c r="E3291" s="50"/>
    </row>
    <row r="3292" spans="2:5" s="4" customFormat="1">
      <c r="B3292" s="28"/>
      <c r="C3292" s="18"/>
      <c r="E3292" s="50"/>
    </row>
    <row r="3293" spans="2:5" s="4" customFormat="1">
      <c r="B3293" s="28"/>
      <c r="C3293" s="18"/>
      <c r="E3293" s="50"/>
    </row>
    <row r="3294" spans="2:5" s="4" customFormat="1">
      <c r="B3294" s="28"/>
      <c r="C3294" s="18"/>
      <c r="E3294" s="50"/>
    </row>
    <row r="3295" spans="2:5" s="4" customFormat="1">
      <c r="B3295" s="28"/>
      <c r="C3295" s="18"/>
      <c r="E3295" s="50"/>
    </row>
    <row r="3296" spans="2:5" s="4" customFormat="1">
      <c r="B3296" s="28"/>
      <c r="C3296" s="18"/>
      <c r="E3296" s="50"/>
    </row>
    <row r="3297" spans="2:5" s="4" customFormat="1">
      <c r="B3297" s="28"/>
      <c r="C3297" s="18"/>
      <c r="E3297" s="50"/>
    </row>
    <row r="3298" spans="2:5" s="4" customFormat="1">
      <c r="B3298" s="28"/>
      <c r="C3298" s="18"/>
      <c r="E3298" s="50"/>
    </row>
    <row r="3299" spans="2:5" s="4" customFormat="1">
      <c r="B3299" s="28"/>
      <c r="C3299" s="18"/>
      <c r="E3299" s="50"/>
    </row>
    <row r="3300" spans="2:5" s="4" customFormat="1">
      <c r="B3300" s="28"/>
      <c r="C3300" s="18"/>
      <c r="E3300" s="50"/>
    </row>
    <row r="3301" spans="2:5" s="4" customFormat="1">
      <c r="B3301" s="28"/>
      <c r="C3301" s="18"/>
      <c r="E3301" s="50"/>
    </row>
    <row r="3302" spans="2:5" s="4" customFormat="1">
      <c r="B3302" s="28"/>
      <c r="C3302" s="18"/>
      <c r="E3302" s="50"/>
    </row>
    <row r="3303" spans="2:5" s="4" customFormat="1">
      <c r="B3303" s="28"/>
      <c r="C3303" s="18"/>
      <c r="E3303" s="50"/>
    </row>
    <row r="3304" spans="2:5" s="4" customFormat="1">
      <c r="B3304" s="28"/>
      <c r="C3304" s="18"/>
      <c r="E3304" s="50"/>
    </row>
    <row r="3305" spans="2:5" s="4" customFormat="1">
      <c r="B3305" s="28"/>
      <c r="C3305" s="18"/>
      <c r="E3305" s="50"/>
    </row>
    <row r="3306" spans="2:5" s="4" customFormat="1">
      <c r="B3306" s="28"/>
      <c r="C3306" s="18"/>
      <c r="E3306" s="50"/>
    </row>
    <row r="3307" spans="2:5" s="4" customFormat="1">
      <c r="B3307" s="28"/>
      <c r="C3307" s="18"/>
      <c r="E3307" s="50"/>
    </row>
    <row r="3308" spans="2:5" s="4" customFormat="1">
      <c r="B3308" s="28"/>
      <c r="C3308" s="18"/>
      <c r="E3308" s="50"/>
    </row>
    <row r="3309" spans="2:5" s="4" customFormat="1">
      <c r="B3309" s="28"/>
      <c r="C3309" s="18"/>
      <c r="E3309" s="50"/>
    </row>
    <row r="3310" spans="2:5" s="4" customFormat="1">
      <c r="B3310" s="28"/>
      <c r="C3310" s="18"/>
      <c r="E3310" s="50"/>
    </row>
    <row r="3311" spans="2:5" s="4" customFormat="1">
      <c r="B3311" s="28"/>
      <c r="C3311" s="18"/>
      <c r="E3311" s="50"/>
    </row>
    <row r="3312" spans="2:5" s="4" customFormat="1">
      <c r="B3312" s="28"/>
      <c r="C3312" s="18"/>
      <c r="E3312" s="50"/>
    </row>
    <row r="3313" spans="2:5" s="4" customFormat="1">
      <c r="B3313" s="28"/>
      <c r="C3313" s="18"/>
      <c r="E3313" s="50"/>
    </row>
    <row r="3314" spans="2:5" s="4" customFormat="1">
      <c r="B3314" s="28"/>
      <c r="C3314" s="18"/>
      <c r="E3314" s="50"/>
    </row>
    <row r="3315" spans="2:5" s="4" customFormat="1">
      <c r="B3315" s="28"/>
      <c r="C3315" s="18"/>
      <c r="E3315" s="50"/>
    </row>
    <row r="3316" spans="2:5" s="4" customFormat="1">
      <c r="B3316" s="28"/>
      <c r="C3316" s="18"/>
      <c r="E3316" s="50"/>
    </row>
    <row r="3317" spans="2:5" s="4" customFormat="1">
      <c r="B3317" s="28"/>
      <c r="C3317" s="18"/>
      <c r="E3317" s="50"/>
    </row>
    <row r="3318" spans="2:5" s="4" customFormat="1">
      <c r="B3318" s="28"/>
      <c r="C3318" s="18"/>
      <c r="E3318" s="50"/>
    </row>
    <row r="3319" spans="2:5" s="4" customFormat="1">
      <c r="B3319" s="28"/>
      <c r="C3319" s="18"/>
      <c r="E3319" s="50"/>
    </row>
    <row r="3320" spans="2:5" s="4" customFormat="1">
      <c r="B3320" s="28"/>
      <c r="C3320" s="18"/>
      <c r="E3320" s="50"/>
    </row>
    <row r="3321" spans="2:5" s="4" customFormat="1">
      <c r="B3321" s="28"/>
      <c r="C3321" s="18"/>
      <c r="E3321" s="50"/>
    </row>
    <row r="3322" spans="2:5" s="4" customFormat="1">
      <c r="B3322" s="28"/>
      <c r="C3322" s="18"/>
      <c r="E3322" s="50"/>
    </row>
    <row r="3323" spans="2:5" s="4" customFormat="1">
      <c r="B3323" s="28"/>
      <c r="C3323" s="18"/>
      <c r="E3323" s="50"/>
    </row>
    <row r="3324" spans="2:5" s="4" customFormat="1">
      <c r="B3324" s="28"/>
      <c r="C3324" s="18"/>
      <c r="E3324" s="50"/>
    </row>
    <row r="3325" spans="2:5" s="4" customFormat="1">
      <c r="B3325" s="28"/>
      <c r="C3325" s="18"/>
      <c r="E3325" s="50"/>
    </row>
    <row r="3326" spans="2:5" s="4" customFormat="1">
      <c r="B3326" s="28"/>
      <c r="C3326" s="18"/>
      <c r="E3326" s="50"/>
    </row>
    <row r="3327" spans="2:5" s="4" customFormat="1">
      <c r="B3327" s="28"/>
      <c r="C3327" s="18"/>
      <c r="E3327" s="50"/>
    </row>
    <row r="3328" spans="2:5" s="4" customFormat="1">
      <c r="B3328" s="28"/>
      <c r="C3328" s="18"/>
      <c r="E3328" s="50"/>
    </row>
    <row r="3329" spans="2:5" s="4" customFormat="1">
      <c r="B3329" s="28"/>
      <c r="C3329" s="18"/>
      <c r="E3329" s="50"/>
    </row>
    <row r="3330" spans="2:5" s="4" customFormat="1">
      <c r="B3330" s="28"/>
      <c r="C3330" s="18"/>
      <c r="E3330" s="50"/>
    </row>
    <row r="3331" spans="2:5" s="4" customFormat="1">
      <c r="B3331" s="28"/>
      <c r="C3331" s="18"/>
      <c r="E3331" s="50"/>
    </row>
    <row r="3332" spans="2:5" s="4" customFormat="1">
      <c r="B3332" s="28"/>
      <c r="C3332" s="18"/>
      <c r="E3332" s="50"/>
    </row>
    <row r="3333" spans="2:5" s="4" customFormat="1">
      <c r="B3333" s="28"/>
      <c r="C3333" s="18"/>
      <c r="E3333" s="50"/>
    </row>
    <row r="3334" spans="2:5" s="4" customFormat="1">
      <c r="B3334" s="28"/>
      <c r="C3334" s="18"/>
      <c r="E3334" s="50"/>
    </row>
    <row r="3335" spans="2:5" s="4" customFormat="1">
      <c r="B3335" s="28"/>
      <c r="C3335" s="18"/>
      <c r="E3335" s="50"/>
    </row>
    <row r="3336" spans="2:5" s="4" customFormat="1">
      <c r="B3336" s="28"/>
      <c r="C3336" s="18"/>
      <c r="E3336" s="50"/>
    </row>
    <row r="3337" spans="2:5" s="4" customFormat="1">
      <c r="B3337" s="28"/>
      <c r="C3337" s="18"/>
      <c r="E3337" s="50"/>
    </row>
    <row r="3338" spans="2:5" s="4" customFormat="1">
      <c r="B3338" s="28"/>
      <c r="C3338" s="18"/>
      <c r="E3338" s="50"/>
    </row>
    <row r="3339" spans="2:5" s="4" customFormat="1">
      <c r="B3339" s="28"/>
      <c r="C3339" s="18"/>
      <c r="E3339" s="50"/>
    </row>
    <row r="3340" spans="2:5" s="4" customFormat="1">
      <c r="B3340" s="28"/>
      <c r="C3340" s="18"/>
      <c r="E3340" s="50"/>
    </row>
    <row r="3341" spans="2:5" s="4" customFormat="1">
      <c r="B3341" s="28"/>
      <c r="C3341" s="18"/>
      <c r="E3341" s="50"/>
    </row>
    <row r="3342" spans="2:5" s="4" customFormat="1">
      <c r="B3342" s="28"/>
      <c r="C3342" s="18"/>
      <c r="E3342" s="50"/>
    </row>
    <row r="3343" spans="2:5" s="4" customFormat="1">
      <c r="B3343" s="28"/>
      <c r="C3343" s="18"/>
      <c r="E3343" s="50"/>
    </row>
    <row r="3344" spans="2:5" s="4" customFormat="1">
      <c r="B3344" s="28"/>
      <c r="C3344" s="18"/>
      <c r="E3344" s="50"/>
    </row>
    <row r="3345" spans="2:5" s="4" customFormat="1">
      <c r="B3345" s="28"/>
      <c r="C3345" s="18"/>
      <c r="E3345" s="50"/>
    </row>
    <row r="3346" spans="2:5" s="4" customFormat="1">
      <c r="B3346" s="28"/>
      <c r="C3346" s="18"/>
      <c r="E3346" s="50"/>
    </row>
    <row r="3347" spans="2:5" s="4" customFormat="1">
      <c r="B3347" s="28"/>
      <c r="C3347" s="18"/>
      <c r="E3347" s="50"/>
    </row>
    <row r="3348" spans="2:5" s="4" customFormat="1">
      <c r="B3348" s="28"/>
      <c r="C3348" s="18"/>
      <c r="E3348" s="50"/>
    </row>
    <row r="3349" spans="2:5" s="4" customFormat="1">
      <c r="B3349" s="28"/>
      <c r="C3349" s="18"/>
      <c r="E3349" s="50"/>
    </row>
    <row r="3350" spans="2:5" s="4" customFormat="1">
      <c r="B3350" s="28"/>
      <c r="C3350" s="18"/>
      <c r="E3350" s="50"/>
    </row>
    <row r="3351" spans="2:5" s="4" customFormat="1">
      <c r="B3351" s="28"/>
      <c r="C3351" s="18"/>
      <c r="E3351" s="50"/>
    </row>
    <row r="3352" spans="2:5" s="4" customFormat="1">
      <c r="B3352" s="28"/>
      <c r="C3352" s="18"/>
      <c r="E3352" s="50"/>
    </row>
    <row r="3353" spans="2:5" s="4" customFormat="1">
      <c r="B3353" s="28"/>
      <c r="C3353" s="18"/>
      <c r="E3353" s="50"/>
    </row>
    <row r="3354" spans="2:5" s="4" customFormat="1">
      <c r="B3354" s="28"/>
      <c r="C3354" s="18"/>
      <c r="E3354" s="50"/>
    </row>
    <row r="3355" spans="2:5" s="4" customFormat="1">
      <c r="B3355" s="28"/>
      <c r="C3355" s="18"/>
      <c r="E3355" s="50"/>
    </row>
    <row r="3356" spans="2:5" s="4" customFormat="1">
      <c r="B3356" s="28"/>
      <c r="C3356" s="18"/>
      <c r="E3356" s="50"/>
    </row>
    <row r="3357" spans="2:5" s="4" customFormat="1">
      <c r="B3357" s="28"/>
      <c r="C3357" s="18"/>
      <c r="E3357" s="50"/>
    </row>
    <row r="3358" spans="2:5" s="4" customFormat="1">
      <c r="B3358" s="28"/>
      <c r="C3358" s="18"/>
      <c r="E3358" s="50"/>
    </row>
    <row r="3359" spans="2:5" s="4" customFormat="1">
      <c r="B3359" s="28"/>
      <c r="C3359" s="18"/>
      <c r="E3359" s="50"/>
    </row>
    <row r="3360" spans="2:5" s="4" customFormat="1">
      <c r="B3360" s="28"/>
      <c r="C3360" s="18"/>
      <c r="E3360" s="50"/>
    </row>
    <row r="3361" spans="2:5" s="4" customFormat="1">
      <c r="B3361" s="28"/>
      <c r="C3361" s="18"/>
      <c r="E3361" s="50"/>
    </row>
    <row r="3362" spans="2:5" s="4" customFormat="1">
      <c r="B3362" s="28"/>
      <c r="C3362" s="18"/>
      <c r="E3362" s="50"/>
    </row>
    <row r="3363" spans="2:5" s="4" customFormat="1">
      <c r="B3363" s="28"/>
      <c r="C3363" s="18"/>
      <c r="E3363" s="50"/>
    </row>
    <row r="3364" spans="2:5" s="4" customFormat="1">
      <c r="B3364" s="28"/>
      <c r="C3364" s="18"/>
      <c r="E3364" s="50"/>
    </row>
    <row r="3365" spans="2:5" s="4" customFormat="1">
      <c r="B3365" s="28"/>
      <c r="C3365" s="18"/>
      <c r="E3365" s="50"/>
    </row>
    <row r="3366" spans="2:5" s="4" customFormat="1">
      <c r="B3366" s="28"/>
      <c r="C3366" s="18"/>
      <c r="E3366" s="50"/>
    </row>
    <row r="3367" spans="2:5" s="4" customFormat="1">
      <c r="B3367" s="28"/>
      <c r="C3367" s="18"/>
      <c r="E3367" s="50"/>
    </row>
    <row r="3368" spans="2:5" s="4" customFormat="1">
      <c r="B3368" s="28"/>
      <c r="C3368" s="18"/>
      <c r="E3368" s="50"/>
    </row>
    <row r="3369" spans="2:5" s="4" customFormat="1">
      <c r="B3369" s="28"/>
      <c r="C3369" s="18"/>
      <c r="E3369" s="50"/>
    </row>
    <row r="3370" spans="2:5" s="4" customFormat="1">
      <c r="B3370" s="28"/>
      <c r="C3370" s="18"/>
      <c r="E3370" s="50"/>
    </row>
    <row r="3371" spans="2:5" s="4" customFormat="1">
      <c r="B3371" s="28"/>
      <c r="C3371" s="18"/>
      <c r="E3371" s="50"/>
    </row>
    <row r="3372" spans="2:5" s="4" customFormat="1">
      <c r="B3372" s="28"/>
      <c r="C3372" s="18"/>
      <c r="E3372" s="50"/>
    </row>
    <row r="3373" spans="2:5" s="4" customFormat="1">
      <c r="B3373" s="28"/>
      <c r="C3373" s="18"/>
      <c r="E3373" s="50"/>
    </row>
    <row r="3374" spans="2:5" s="4" customFormat="1">
      <c r="B3374" s="28"/>
      <c r="C3374" s="18"/>
      <c r="E3374" s="50"/>
    </row>
    <row r="3375" spans="2:5" s="4" customFormat="1">
      <c r="B3375" s="28"/>
      <c r="C3375" s="18"/>
      <c r="E3375" s="50"/>
    </row>
    <row r="3376" spans="2:5" s="4" customFormat="1">
      <c r="B3376" s="28"/>
      <c r="C3376" s="18"/>
      <c r="E3376" s="50"/>
    </row>
    <row r="3377" spans="2:5" s="4" customFormat="1">
      <c r="B3377" s="28"/>
      <c r="C3377" s="18"/>
      <c r="E3377" s="50"/>
    </row>
    <row r="3378" spans="2:5" s="4" customFormat="1">
      <c r="B3378" s="28"/>
      <c r="C3378" s="18"/>
      <c r="E3378" s="50"/>
    </row>
    <row r="3379" spans="2:5" s="4" customFormat="1">
      <c r="B3379" s="28"/>
      <c r="C3379" s="18"/>
      <c r="E3379" s="50"/>
    </row>
    <row r="3380" spans="2:5" s="4" customFormat="1">
      <c r="B3380" s="28"/>
      <c r="C3380" s="18"/>
      <c r="E3380" s="50"/>
    </row>
    <row r="3381" spans="2:5" s="4" customFormat="1">
      <c r="B3381" s="28"/>
      <c r="C3381" s="18"/>
      <c r="E3381" s="50"/>
    </row>
    <row r="3382" spans="2:5" s="4" customFormat="1">
      <c r="B3382" s="28"/>
      <c r="C3382" s="18"/>
      <c r="E3382" s="50"/>
    </row>
    <row r="3383" spans="2:5" s="4" customFormat="1">
      <c r="B3383" s="28"/>
      <c r="C3383" s="18"/>
      <c r="E3383" s="50"/>
    </row>
    <row r="3384" spans="2:5" s="4" customFormat="1">
      <c r="B3384" s="28"/>
      <c r="C3384" s="18"/>
      <c r="E3384" s="50"/>
    </row>
    <row r="3385" spans="2:5" s="4" customFormat="1">
      <c r="B3385" s="28"/>
      <c r="C3385" s="18"/>
      <c r="E3385" s="50"/>
    </row>
    <row r="3386" spans="2:5" s="4" customFormat="1">
      <c r="B3386" s="28"/>
      <c r="C3386" s="18"/>
      <c r="E3386" s="50"/>
    </row>
    <row r="3387" spans="2:5" s="4" customFormat="1">
      <c r="B3387" s="28"/>
      <c r="C3387" s="18"/>
      <c r="E3387" s="50"/>
    </row>
    <row r="3388" spans="2:5" s="4" customFormat="1">
      <c r="B3388" s="28"/>
      <c r="C3388" s="18"/>
      <c r="E3388" s="50"/>
    </row>
    <row r="3389" spans="2:5" s="4" customFormat="1">
      <c r="B3389" s="28"/>
      <c r="C3389" s="18"/>
      <c r="E3389" s="50"/>
    </row>
    <row r="3390" spans="2:5" s="4" customFormat="1">
      <c r="B3390" s="28"/>
      <c r="C3390" s="18"/>
      <c r="E3390" s="50"/>
    </row>
    <row r="3391" spans="2:5" s="4" customFormat="1">
      <c r="B3391" s="28"/>
      <c r="C3391" s="18"/>
      <c r="E3391" s="50"/>
    </row>
    <row r="3392" spans="2:5" s="4" customFormat="1">
      <c r="B3392" s="28"/>
      <c r="C3392" s="18"/>
      <c r="E3392" s="50"/>
    </row>
    <row r="3393" spans="2:5" s="4" customFormat="1">
      <c r="B3393" s="28"/>
      <c r="C3393" s="18"/>
      <c r="E3393" s="50"/>
    </row>
    <row r="3394" spans="2:5" s="4" customFormat="1">
      <c r="B3394" s="28"/>
      <c r="C3394" s="18"/>
      <c r="E3394" s="50"/>
    </row>
    <row r="3395" spans="2:5" s="4" customFormat="1">
      <c r="B3395" s="28"/>
      <c r="C3395" s="18"/>
      <c r="E3395" s="50"/>
    </row>
    <row r="3396" spans="2:5" s="4" customFormat="1">
      <c r="B3396" s="28"/>
      <c r="C3396" s="18"/>
      <c r="E3396" s="50"/>
    </row>
    <row r="3397" spans="2:5" s="4" customFormat="1">
      <c r="B3397" s="28"/>
      <c r="C3397" s="18"/>
      <c r="E3397" s="50"/>
    </row>
    <row r="3398" spans="2:5" s="4" customFormat="1">
      <c r="B3398" s="28"/>
      <c r="C3398" s="18"/>
      <c r="E3398" s="50"/>
    </row>
    <row r="3399" spans="2:5" s="4" customFormat="1">
      <c r="B3399" s="28"/>
      <c r="C3399" s="18"/>
      <c r="E3399" s="50"/>
    </row>
    <row r="3400" spans="2:5" s="4" customFormat="1">
      <c r="B3400" s="28"/>
      <c r="C3400" s="18"/>
      <c r="E3400" s="50"/>
    </row>
    <row r="3401" spans="2:5" s="4" customFormat="1">
      <c r="B3401" s="28"/>
      <c r="C3401" s="18"/>
      <c r="E3401" s="50"/>
    </row>
    <row r="3402" spans="2:5" s="4" customFormat="1">
      <c r="B3402" s="28"/>
      <c r="C3402" s="18"/>
      <c r="E3402" s="50"/>
    </row>
    <row r="3403" spans="2:5" s="4" customFormat="1">
      <c r="B3403" s="28"/>
      <c r="C3403" s="18"/>
      <c r="E3403" s="50"/>
    </row>
    <row r="3404" spans="2:5" s="4" customFormat="1">
      <c r="B3404" s="28"/>
      <c r="C3404" s="18"/>
      <c r="E3404" s="50"/>
    </row>
    <row r="3405" spans="2:5" s="4" customFormat="1">
      <c r="B3405" s="28"/>
      <c r="C3405" s="18"/>
      <c r="E3405" s="50"/>
    </row>
    <row r="3406" spans="2:5" s="4" customFormat="1">
      <c r="B3406" s="28"/>
      <c r="C3406" s="18"/>
      <c r="E3406" s="50"/>
    </row>
    <row r="3407" spans="2:5" s="4" customFormat="1">
      <c r="B3407" s="28"/>
      <c r="C3407" s="18"/>
      <c r="E3407" s="50"/>
    </row>
    <row r="3408" spans="2:5" s="4" customFormat="1">
      <c r="B3408" s="28"/>
      <c r="C3408" s="18"/>
      <c r="E3408" s="50"/>
    </row>
    <row r="3409" spans="2:5" s="4" customFormat="1">
      <c r="B3409" s="28"/>
      <c r="C3409" s="18"/>
      <c r="E3409" s="50"/>
    </row>
    <row r="3410" spans="2:5" s="4" customFormat="1">
      <c r="B3410" s="28"/>
      <c r="C3410" s="18"/>
      <c r="E3410" s="50"/>
    </row>
    <row r="3411" spans="2:5" s="4" customFormat="1">
      <c r="B3411" s="28"/>
      <c r="C3411" s="18"/>
      <c r="E3411" s="50"/>
    </row>
    <row r="3412" spans="2:5" s="4" customFormat="1">
      <c r="B3412" s="28"/>
      <c r="C3412" s="18"/>
      <c r="E3412" s="50"/>
    </row>
    <row r="3413" spans="2:5" s="4" customFormat="1">
      <c r="B3413" s="28"/>
      <c r="C3413" s="18"/>
      <c r="E3413" s="50"/>
    </row>
    <row r="3414" spans="2:5" s="4" customFormat="1">
      <c r="B3414" s="28"/>
      <c r="C3414" s="18"/>
      <c r="E3414" s="50"/>
    </row>
    <row r="3415" spans="2:5" s="4" customFormat="1">
      <c r="B3415" s="28"/>
      <c r="C3415" s="18"/>
      <c r="E3415" s="50"/>
    </row>
    <row r="3416" spans="2:5" s="4" customFormat="1">
      <c r="B3416" s="28"/>
      <c r="C3416" s="18"/>
      <c r="E3416" s="50"/>
    </row>
    <row r="3417" spans="2:5" s="4" customFormat="1">
      <c r="B3417" s="28"/>
      <c r="C3417" s="18"/>
      <c r="E3417" s="50"/>
    </row>
    <row r="3418" spans="2:5" s="4" customFormat="1">
      <c r="B3418" s="28"/>
      <c r="C3418" s="18"/>
      <c r="E3418" s="50"/>
    </row>
    <row r="3419" spans="2:5" s="4" customFormat="1">
      <c r="B3419" s="28"/>
      <c r="C3419" s="18"/>
      <c r="E3419" s="50"/>
    </row>
    <row r="3420" spans="2:5" s="4" customFormat="1">
      <c r="B3420" s="28"/>
      <c r="C3420" s="18"/>
      <c r="E3420" s="50"/>
    </row>
    <row r="3421" spans="2:5" s="4" customFormat="1">
      <c r="B3421" s="28"/>
      <c r="C3421" s="18"/>
      <c r="E3421" s="50"/>
    </row>
    <row r="3422" spans="2:5" s="4" customFormat="1">
      <c r="B3422" s="28"/>
      <c r="C3422" s="18"/>
      <c r="E3422" s="50"/>
    </row>
    <row r="3423" spans="2:5" s="4" customFormat="1">
      <c r="B3423" s="28"/>
      <c r="C3423" s="18"/>
      <c r="E3423" s="50"/>
    </row>
    <row r="3424" spans="2:5" s="4" customFormat="1">
      <c r="B3424" s="28"/>
      <c r="C3424" s="18"/>
      <c r="E3424" s="50"/>
    </row>
    <row r="3425" spans="2:5" s="4" customFormat="1">
      <c r="B3425" s="28"/>
      <c r="C3425" s="18"/>
      <c r="E3425" s="50"/>
    </row>
    <row r="3426" spans="2:5" s="4" customFormat="1">
      <c r="B3426" s="28"/>
      <c r="C3426" s="18"/>
      <c r="E3426" s="50"/>
    </row>
    <row r="3427" spans="2:5" s="4" customFormat="1">
      <c r="B3427" s="28"/>
      <c r="C3427" s="18"/>
      <c r="E3427" s="50"/>
    </row>
    <row r="3428" spans="2:5" s="4" customFormat="1">
      <c r="B3428" s="28"/>
      <c r="C3428" s="18"/>
      <c r="E3428" s="50"/>
    </row>
    <row r="3429" spans="2:5" s="4" customFormat="1">
      <c r="B3429" s="28"/>
      <c r="C3429" s="18"/>
      <c r="E3429" s="50"/>
    </row>
    <row r="3430" spans="2:5" s="4" customFormat="1">
      <c r="B3430" s="28"/>
      <c r="C3430" s="18"/>
      <c r="E3430" s="50"/>
    </row>
    <row r="3431" spans="2:5" s="4" customFormat="1">
      <c r="B3431" s="28"/>
      <c r="C3431" s="18"/>
      <c r="E3431" s="50"/>
    </row>
    <row r="3432" spans="2:5" s="4" customFormat="1">
      <c r="B3432" s="28"/>
      <c r="C3432" s="18"/>
      <c r="E3432" s="50"/>
    </row>
    <row r="3433" spans="2:5" s="4" customFormat="1">
      <c r="B3433" s="28"/>
      <c r="C3433" s="18"/>
      <c r="E3433" s="50"/>
    </row>
    <row r="3434" spans="2:5" s="4" customFormat="1">
      <c r="B3434" s="28"/>
      <c r="C3434" s="18"/>
      <c r="E3434" s="50"/>
    </row>
    <row r="3435" spans="2:5" s="4" customFormat="1">
      <c r="B3435" s="28"/>
      <c r="C3435" s="18"/>
      <c r="E3435" s="50"/>
    </row>
    <row r="3436" spans="2:5" s="4" customFormat="1">
      <c r="B3436" s="28"/>
      <c r="C3436" s="18"/>
      <c r="E3436" s="50"/>
    </row>
    <row r="3437" spans="2:5" s="4" customFormat="1">
      <c r="B3437" s="28"/>
      <c r="C3437" s="18"/>
      <c r="E3437" s="50"/>
    </row>
    <row r="3438" spans="2:5" s="4" customFormat="1">
      <c r="B3438" s="28"/>
      <c r="C3438" s="18"/>
      <c r="E3438" s="50"/>
    </row>
    <row r="3439" spans="2:5" s="4" customFormat="1">
      <c r="B3439" s="28"/>
      <c r="C3439" s="18"/>
      <c r="E3439" s="50"/>
    </row>
    <row r="3440" spans="2:5" s="4" customFormat="1">
      <c r="B3440" s="28"/>
      <c r="C3440" s="18"/>
      <c r="E3440" s="50"/>
    </row>
    <row r="3441" spans="1:7" s="4" customFormat="1">
      <c r="B3441" s="28"/>
      <c r="C3441" s="18"/>
      <c r="E3441" s="50"/>
    </row>
    <row r="3442" spans="1:7" s="4" customFormat="1">
      <c r="B3442" s="28"/>
      <c r="C3442" s="18"/>
      <c r="E3442" s="50"/>
    </row>
    <row r="3443" spans="1:7" s="4" customFormat="1">
      <c r="A3443"/>
      <c r="B3443" s="25"/>
      <c r="C3443" s="2"/>
      <c r="D3443"/>
      <c r="E3443" s="48"/>
      <c r="F3443"/>
      <c r="G3443"/>
    </row>
    <row r="3444" spans="1:7" s="4" customFormat="1">
      <c r="A3444"/>
      <c r="B3444" s="25"/>
      <c r="C3444" s="2"/>
      <c r="D3444"/>
      <c r="E3444" s="48"/>
      <c r="F3444"/>
      <c r="G3444"/>
    </row>
    <row r="3445" spans="1:7" s="4" customFormat="1">
      <c r="A3445"/>
      <c r="B3445" s="25"/>
      <c r="C3445" s="2"/>
      <c r="D3445"/>
      <c r="E3445" s="48"/>
      <c r="F3445"/>
      <c r="G3445"/>
    </row>
    <row r="3446" spans="1:7" s="4" customFormat="1">
      <c r="A3446"/>
      <c r="B3446" s="25"/>
      <c r="C3446" s="2"/>
      <c r="D3446"/>
      <c r="E3446" s="48"/>
      <c r="F3446"/>
      <c r="G3446"/>
    </row>
    <row r="3447" spans="1:7" s="4" customFormat="1">
      <c r="A3447"/>
      <c r="B3447" s="25"/>
      <c r="C3447" s="2"/>
      <c r="D3447"/>
      <c r="E3447" s="48"/>
      <c r="F3447"/>
      <c r="G3447"/>
    </row>
    <row r="3448" spans="1:7" s="4" customFormat="1">
      <c r="A3448"/>
      <c r="B3448" s="25"/>
      <c r="C3448" s="2"/>
      <c r="D3448"/>
      <c r="E3448" s="48"/>
      <c r="F3448"/>
      <c r="G3448"/>
    </row>
    <row r="3449" spans="1:7" s="4" customFormat="1">
      <c r="A3449"/>
      <c r="B3449" s="25"/>
      <c r="C3449" s="2"/>
      <c r="D3449"/>
      <c r="E3449" s="48"/>
      <c r="F3449"/>
      <c r="G3449"/>
    </row>
    <row r="3450" spans="1:7" s="4" customFormat="1">
      <c r="A3450"/>
      <c r="B3450" s="25"/>
      <c r="C3450" s="2"/>
      <c r="D3450"/>
      <c r="E3450" s="48"/>
      <c r="F3450"/>
      <c r="G3450"/>
    </row>
    <row r="3451" spans="1:7" s="4" customFormat="1">
      <c r="A3451"/>
      <c r="B3451" s="25"/>
      <c r="C3451" s="2"/>
      <c r="D3451"/>
      <c r="E3451" s="48"/>
      <c r="F3451"/>
      <c r="G3451"/>
    </row>
    <row r="3452" spans="1:7" s="4" customFormat="1">
      <c r="A3452"/>
      <c r="B3452" s="25"/>
      <c r="C3452" s="2"/>
      <c r="D3452"/>
      <c r="E3452" s="48"/>
      <c r="F3452"/>
      <c r="G3452"/>
    </row>
    <row r="3453" spans="1:7" s="4" customFormat="1">
      <c r="A3453"/>
      <c r="B3453" s="25"/>
      <c r="C3453" s="2"/>
      <c r="D3453"/>
      <c r="E3453" s="48"/>
      <c r="F3453"/>
      <c r="G3453"/>
    </row>
    <row r="3454" spans="1:7" s="4" customFormat="1">
      <c r="A3454"/>
      <c r="B3454" s="25"/>
      <c r="C3454" s="2"/>
      <c r="D3454"/>
      <c r="E3454" s="48"/>
      <c r="F3454"/>
      <c r="G3454"/>
    </row>
    <row r="3455" spans="1:7" s="4" customFormat="1">
      <c r="A3455"/>
      <c r="B3455" s="25"/>
      <c r="C3455" s="2"/>
      <c r="D3455"/>
      <c r="E3455" s="48"/>
      <c r="F3455"/>
      <c r="G3455"/>
    </row>
    <row r="3456" spans="1:7" s="4" customFormat="1">
      <c r="A3456"/>
      <c r="B3456" s="25"/>
      <c r="C3456" s="2"/>
      <c r="D3456"/>
      <c r="E3456" s="48"/>
      <c r="F3456"/>
      <c r="G3456"/>
    </row>
    <row r="3457" spans="1:7" s="4" customFormat="1">
      <c r="A3457"/>
      <c r="B3457" s="25"/>
      <c r="C3457" s="2"/>
      <c r="D3457"/>
      <c r="E3457" s="48"/>
      <c r="F3457"/>
      <c r="G3457"/>
    </row>
    <row r="3458" spans="1:7" s="4" customFormat="1">
      <c r="A3458"/>
      <c r="B3458" s="25"/>
      <c r="C3458" s="2"/>
      <c r="D3458"/>
      <c r="E3458" s="48"/>
      <c r="F3458"/>
      <c r="G3458"/>
    </row>
    <row r="3459" spans="1:7" s="4" customFormat="1">
      <c r="A3459"/>
      <c r="B3459" s="25"/>
      <c r="C3459" s="2"/>
      <c r="D3459"/>
      <c r="E3459" s="48"/>
      <c r="F3459"/>
      <c r="G3459"/>
    </row>
    <row r="3460" spans="1:7" s="4" customFormat="1">
      <c r="A3460"/>
      <c r="B3460" s="25"/>
      <c r="C3460" s="2"/>
      <c r="D3460"/>
      <c r="E3460" s="48"/>
      <c r="F3460"/>
      <c r="G3460"/>
    </row>
    <row r="3461" spans="1:7" s="4" customFormat="1">
      <c r="A3461"/>
      <c r="B3461" s="25"/>
      <c r="C3461" s="2"/>
      <c r="D3461"/>
      <c r="E3461" s="48"/>
      <c r="F3461"/>
      <c r="G3461"/>
    </row>
    <row r="3462" spans="1:7" s="4" customFormat="1">
      <c r="A3462"/>
      <c r="B3462" s="25"/>
      <c r="C3462" s="2"/>
      <c r="D3462"/>
      <c r="E3462" s="48"/>
      <c r="F3462"/>
      <c r="G3462"/>
    </row>
  </sheetData>
  <mergeCells count="11">
    <mergeCell ref="C51:G51"/>
    <mergeCell ref="B52:G53"/>
    <mergeCell ref="C54:E54"/>
    <mergeCell ref="F54:G55"/>
    <mergeCell ref="C55:E56"/>
    <mergeCell ref="F56:G56"/>
    <mergeCell ref="F48:G48"/>
    <mergeCell ref="B49:G49"/>
    <mergeCell ref="C2:F3"/>
    <mergeCell ref="C50:D50"/>
    <mergeCell ref="F50:G50"/>
  </mergeCells>
  <pageMargins left="0.78740157480314965" right="0.23622047244094491" top="0.96" bottom="0.31496062992125984" header="0.92" footer="0.31496062992125984"/>
  <pageSetup scale="83" orientation="portrait" horizontalDpi="4294967294"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ENTRADA ALMACEN</vt:lpstr>
      <vt:lpstr>'ENTRADA ALMACEN'!Área_de_impresión</vt:lpstr>
    </vt:vector>
  </TitlesOfParts>
  <Company>hogar</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razo gateway</dc:creator>
  <cp:lastModifiedBy>*</cp:lastModifiedBy>
  <cp:lastPrinted>2025-12-18T21:23:21Z</cp:lastPrinted>
  <dcterms:created xsi:type="dcterms:W3CDTF">2016-03-10T01:50:40Z</dcterms:created>
  <dcterms:modified xsi:type="dcterms:W3CDTF">2025-12-23T17:01:55Z</dcterms:modified>
</cp:coreProperties>
</file>